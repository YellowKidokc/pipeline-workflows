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50\h_hp\Desktop\"/>
    </mc:Choice>
  </mc:AlternateContent>
  <xr:revisionPtr revIDLastSave="0" documentId="8_{95AB48D1-EF5E-48D2-B19E-D893361E1F16}" xr6:coauthVersionLast="47" xr6:coauthVersionMax="47" xr10:uidLastSave="{00000000-0000-0000-0000-000000000000}"/>
  <bookViews>
    <workbookView xWindow="-108" yWindow="492" windowWidth="49368" windowHeight="24816" xr2:uid="{CF3C9F34-BA97-4623-AEC1-A20FFB533E69}"/>
  </bookViews>
  <sheets>
    <sheet name="Overview" sheetId="1" r:id="rId1"/>
    <sheet name="Fruits_Laws" sheetId="2" r:id="rId2"/>
    <sheet name="Commandments_Entropy" sheetId="3" r:id="rId3"/>
    <sheet name="Fruit_Dynamics" sheetId="4" r:id="rId4"/>
    <sheet name="Bidirectional_Test" sheetId="5" r:id="rId5"/>
    <sheet name="Bridge_Kill" sheetId="6" r:id="rId6"/>
    <sheet name="Adversarial_Review" sheetId="7" r:id="rId7"/>
    <sheet name="Formalization" sheetId="8" r:id="rId8"/>
    <sheet name="Master_Equation" sheetId="9" r:id="rId9"/>
    <sheet name="Spine_Compare" sheetId="10" r:id="rId10"/>
    <sheet name="Result_Domains" sheetId="11" r:id="rId11"/>
    <sheet name="Simple_Math" sheetId="12" r:id="rId12"/>
    <sheet name="Axiom_Schema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3" l="1"/>
  <c r="E14" i="11"/>
  <c r="D14" i="11"/>
  <c r="C14" i="11"/>
  <c r="E12" i="11"/>
  <c r="E11" i="11"/>
  <c r="E10" i="11"/>
  <c r="E9" i="11"/>
  <c r="E8" i="11"/>
  <c r="E7" i="11"/>
  <c r="E6" i="11"/>
  <c r="E5" i="11"/>
  <c r="E4" i="11"/>
  <c r="B21" i="10"/>
  <c r="B20" i="10"/>
  <c r="B19" i="10"/>
  <c r="B18" i="10"/>
  <c r="B17" i="10"/>
  <c r="B42" i="5"/>
  <c r="B41" i="5"/>
  <c r="B40" i="5"/>
  <c r="B39" i="5"/>
  <c r="B38" i="5"/>
  <c r="L28" i="5"/>
  <c r="L29" i="5"/>
  <c r="L30" i="5"/>
  <c r="L31" i="5"/>
  <c r="L32" i="5"/>
  <c r="L33" i="5"/>
  <c r="L34" i="5"/>
  <c r="L35" i="5"/>
  <c r="K28" i="5"/>
  <c r="K29" i="5"/>
  <c r="K30" i="5"/>
  <c r="K31" i="5"/>
  <c r="K32" i="5"/>
  <c r="K33" i="5"/>
  <c r="K34" i="5"/>
  <c r="K35" i="5"/>
  <c r="B28" i="5"/>
  <c r="C28" i="5"/>
  <c r="D28" i="5"/>
  <c r="E28" i="5"/>
  <c r="F28" i="5"/>
  <c r="G28" i="5"/>
  <c r="H28" i="5"/>
  <c r="I28" i="5"/>
  <c r="B29" i="5"/>
  <c r="C29" i="5"/>
  <c r="D29" i="5"/>
  <c r="E29" i="5"/>
  <c r="F29" i="5"/>
  <c r="G29" i="5"/>
  <c r="H29" i="5"/>
  <c r="I29" i="5"/>
  <c r="B30" i="5"/>
  <c r="C30" i="5"/>
  <c r="D30" i="5"/>
  <c r="E30" i="5"/>
  <c r="F30" i="5"/>
  <c r="G30" i="5"/>
  <c r="H30" i="5"/>
  <c r="I30" i="5"/>
  <c r="B31" i="5"/>
  <c r="C31" i="5"/>
  <c r="D31" i="5"/>
  <c r="E31" i="5"/>
  <c r="F31" i="5"/>
  <c r="G31" i="5"/>
  <c r="H31" i="5"/>
  <c r="I31" i="5"/>
  <c r="B32" i="5"/>
  <c r="C32" i="5"/>
  <c r="D32" i="5"/>
  <c r="E32" i="5"/>
  <c r="F32" i="5"/>
  <c r="G32" i="5"/>
  <c r="H32" i="5"/>
  <c r="I32" i="5"/>
  <c r="B33" i="5"/>
  <c r="C33" i="5"/>
  <c r="D33" i="5"/>
  <c r="E33" i="5"/>
  <c r="F33" i="5"/>
  <c r="G33" i="5"/>
  <c r="H33" i="5"/>
  <c r="I33" i="5"/>
  <c r="B34" i="5"/>
  <c r="C34" i="5"/>
  <c r="D34" i="5"/>
  <c r="E34" i="5"/>
  <c r="F34" i="5"/>
  <c r="G34" i="5"/>
  <c r="H34" i="5"/>
  <c r="I34" i="5"/>
  <c r="B35" i="5"/>
  <c r="C35" i="5"/>
  <c r="D35" i="5"/>
  <c r="E35" i="5"/>
  <c r="F35" i="5"/>
  <c r="G35" i="5"/>
  <c r="H35" i="5"/>
  <c r="I35" i="5"/>
  <c r="A28" i="5"/>
  <c r="A29" i="5"/>
  <c r="A30" i="5"/>
  <c r="A31" i="5"/>
  <c r="A32" i="5"/>
  <c r="A33" i="5"/>
  <c r="A34" i="5"/>
  <c r="A35" i="5"/>
  <c r="L11" i="4"/>
  <c r="L10" i="4"/>
  <c r="L9" i="4"/>
  <c r="L8" i="4"/>
  <c r="L7" i="4"/>
  <c r="H13" i="4"/>
  <c r="H12" i="4"/>
  <c r="H11" i="4"/>
  <c r="H10" i="4"/>
  <c r="H9" i="4"/>
  <c r="H8" i="4"/>
  <c r="H7" i="4"/>
  <c r="H6" i="4"/>
  <c r="H5" i="4"/>
  <c r="F13" i="4"/>
  <c r="F12" i="4"/>
  <c r="F11" i="4"/>
  <c r="F10" i="4"/>
  <c r="F9" i="4"/>
  <c r="F8" i="4"/>
  <c r="F7" i="4"/>
  <c r="F6" i="4"/>
  <c r="F5" i="4"/>
  <c r="G13" i="4"/>
  <c r="G12" i="4"/>
  <c r="G11" i="4"/>
  <c r="G10" i="4"/>
  <c r="G9" i="4"/>
  <c r="G8" i="4"/>
  <c r="G7" i="4"/>
  <c r="G6" i="4"/>
  <c r="G5" i="4"/>
  <c r="C13" i="4"/>
  <c r="C12" i="4"/>
  <c r="C11" i="4"/>
  <c r="C10" i="4"/>
  <c r="C9" i="4"/>
  <c r="C8" i="4"/>
  <c r="C7" i="4"/>
  <c r="C6" i="4"/>
  <c r="C5" i="4"/>
  <c r="B13" i="4"/>
  <c r="B12" i="4"/>
  <c r="B11" i="4"/>
  <c r="B10" i="4"/>
  <c r="B9" i="4"/>
  <c r="B8" i="4"/>
  <c r="B7" i="4"/>
  <c r="B6" i="4"/>
  <c r="B5" i="4"/>
  <c r="H10" i="3"/>
  <c r="H9" i="3"/>
  <c r="H8" i="3"/>
  <c r="H7" i="3"/>
  <c r="H6" i="3"/>
  <c r="H5" i="3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</calcChain>
</file>

<file path=xl/sharedStrings.xml><?xml version="1.0" encoding="utf-8"?>
<sst xmlns="http://schemas.openxmlformats.org/spreadsheetml/2006/main" count="758" uniqueCount="608">
  <si>
    <t>THEOPHYSICS — Eight-Family Spiritual Architecture ↔ Nine-Law Spine</t>
  </si>
  <si>
    <t>An ordered transformation pipeline mapped onto the Master Equation  χ = C_W[∏ Xᵢ],   Ẋ = W·∇χ + η</t>
  </si>
  <si>
    <t>THE EIGHT-FAMILY PROCESS PIPELINE</t>
  </si>
  <si>
    <t>Step</t>
  </si>
  <si>
    <t>Spiritual Family</t>
  </si>
  <si>
    <t>Canon Count</t>
  </si>
  <si>
    <t>Process Role</t>
  </si>
  <si>
    <t>Physics / Math Analog</t>
  </si>
  <si>
    <t>Master-Equation Layer</t>
  </si>
  <si>
    <t>Mapping Verdict</t>
  </si>
  <si>
    <t>“I AM” statements</t>
  </si>
  <si>
    <t>7 (John)</t>
  </si>
  <si>
    <t>Identity / Source</t>
  </si>
  <si>
    <t>Source condition, identity anchor, eigenmode</t>
  </si>
  <si>
    <t>Input / source layer</t>
  </si>
  <si>
    <t>Ten Commandments</t>
  </si>
  <si>
    <t>Constraint / Boundary</t>
  </si>
  <si>
    <t>Boundary conditions; anti-entropy constraints</t>
  </si>
  <si>
    <t>Constraint layer</t>
  </si>
  <si>
    <t>Grace modes</t>
  </si>
  <si>
    <t>varies</t>
  </si>
  <si>
    <t>Repair / Source term</t>
  </si>
  <si>
    <t>External source η; negentropy injection</t>
  </si>
  <si>
    <t>Repair / source layer</t>
  </si>
  <si>
    <t>Beatitudes</t>
  </si>
  <si>
    <t>Receptivity / Posture</t>
  </si>
  <si>
    <t>Receptive boundary condition; basin of attraction</t>
  </si>
  <si>
    <t>Boundary posture</t>
  </si>
  <si>
    <t>Fruits of the Spirit</t>
  </si>
  <si>
    <t>Formation / Output</t>
  </si>
  <si>
    <t>Coherent attractor outputs of gradient flow</t>
  </si>
  <si>
    <t>Dynamical transformation</t>
  </si>
  <si>
    <t>Gifts of the Spirit</t>
  </si>
  <si>
    <t>9 (+disputed)</t>
  </si>
  <si>
    <t>Distribution / Function</t>
  </si>
  <si>
    <t>Distributed operators; channel allocation</t>
  </si>
  <si>
    <t>Functional distribution</t>
  </si>
  <si>
    <t>Distributed operators</t>
  </si>
  <si>
    <t>Armor of God</t>
  </si>
  <si>
    <t>Defense / Robustness</t>
  </si>
  <si>
    <t>Shielding; error correction; adversarial robustness</t>
  </si>
  <si>
    <t>Defense layer</t>
  </si>
  <si>
    <t>Seven Churches</t>
  </si>
  <si>
    <t>Audit / Diagnostic</t>
  </si>
  <si>
    <t>System diagnostics; failure-mode detection</t>
  </si>
  <si>
    <t>Diagnostic audit</t>
  </si>
  <si>
    <t>COMBINED RULING</t>
  </si>
  <si>
    <t>•  Eight-family sequence  =  theological process architecture (identity → constraint → repair → receptivity → formation → distribution → defense → audit)</t>
  </si>
  <si>
    <t>•  Fruits ↔ nine laws  =  the ONLY clean 9-to-9 count match → lead candidate, tested on the Fruits_Laws &amp; Fruit_Dynamics tabs</t>
  </si>
  <si>
    <t>•  All other families stay as constraint / source / posture / operator / defense / audit layers until they separately earn stronger status</t>
  </si>
  <si>
    <t>LEGEND</t>
  </si>
  <si>
    <t>Blue text = input / assumption you can change</t>
  </si>
  <si>
    <t>Black text = formula (auditable in the bar)</t>
  </si>
  <si>
    <t>Green text = pulls from another sheet</t>
  </si>
  <si>
    <t>Verdict scale:  metaphor &lt; analogy &lt; structural correspondence &lt; homomorphism &lt; isomorphism candidate &lt; isomorphism</t>
  </si>
  <si>
    <t>FRUITS OF THE SPIRIT → NINE-LAW SPINE  (the 9↔9 isomorphism candidate)</t>
  </si>
  <si>
    <t>Physical / Spiritual poles are looked up live from the spine below via INDEX/MATCH on the target Law number.</t>
  </si>
  <si>
    <t>NINE-LAW SPINE</t>
  </si>
  <si>
    <t>Law #</t>
  </si>
  <si>
    <t>Physical Pole</t>
  </si>
  <si>
    <t>Spiritual Pole</t>
  </si>
  <si>
    <t>Gravitation</t>
  </si>
  <si>
    <t>Grace</t>
  </si>
  <si>
    <t>Mass–Energy</t>
  </si>
  <si>
    <t>Meaning</t>
  </si>
  <si>
    <t>Electromagnetism (Light)</t>
  </si>
  <si>
    <t>Truth</t>
  </si>
  <si>
    <t>Strong Force</t>
  </si>
  <si>
    <t>Love</t>
  </si>
  <si>
    <t>Thermodynamics</t>
  </si>
  <si>
    <t>Judgment</t>
  </si>
  <si>
    <t>Logos</t>
  </si>
  <si>
    <t>Information</t>
  </si>
  <si>
    <t>Relativity</t>
  </si>
  <si>
    <t>Grace-Frame</t>
  </si>
  <si>
    <t>Quantum</t>
  </si>
  <si>
    <t>Faith</t>
  </si>
  <si>
    <t>Weak Force</t>
  </si>
  <si>
    <t>Moral Conservation</t>
  </si>
  <si>
    <t>FRUITS → LAWS MAPPING  (Galatians 5:22–23 canonical order)</t>
  </si>
  <si>
    <t>Gal #</t>
  </si>
  <si>
    <t>Fruit</t>
  </si>
  <si>
    <t>Greek</t>
  </si>
  <si>
    <t>→ Law</t>
  </si>
  <si>
    <t>Why it fits</t>
  </si>
  <si>
    <t>Operational measure (state-variable behavior)</t>
  </si>
  <si>
    <t>Verdict</t>
  </si>
  <si>
    <t>ἀγάπη (agapē)</t>
  </si>
  <si>
    <t>Binding force — direct structural match</t>
  </si>
  <si>
    <t>X₄ : binding-force strength</t>
  </si>
  <si>
    <t>isomorphism candidate</t>
  </si>
  <si>
    <t>Joy</t>
  </si>
  <si>
    <t>χαρά (chara)</t>
  </si>
  <si>
    <t>Resonance / alignment with the true state</t>
  </si>
  <si>
    <t>dχ/dt : rate of coherence increase</t>
  </si>
  <si>
    <t>Peace</t>
  </si>
  <si>
    <t>εἰρήνη (eirēnē)</t>
  </si>
  <si>
    <t>Resolved tension — stability near equilibrium</t>
  </si>
  <si>
    <t>1 − ‖∇χ‖ : proximity to equilibrium</t>
  </si>
  <si>
    <t>Patience</t>
  </si>
  <si>
    <t>μακροθυμία (makrothymia)</t>
  </si>
  <si>
    <t>Long-range, persistent, non-coercive ascent</t>
  </si>
  <si>
    <t>perturbation-recovery time (↓ = more patient)</t>
  </si>
  <si>
    <t>Kindness</t>
  </si>
  <si>
    <t>χρηστότης (chrēstotēs)</t>
  </si>
  <si>
    <t>Truth mediated through relationship</t>
  </si>
  <si>
    <t>X₆ : information / signal fidelity</t>
  </si>
  <si>
    <t>Goodness</t>
  </si>
  <si>
    <t>ἀγαθωσύνη (agathōsynē)</t>
  </si>
  <si>
    <t>Maintains structure, prevents decay</t>
  </si>
  <si>
    <t>X₉ : structure preservation / entropy resistance</t>
  </si>
  <si>
    <t>Faithfulness</t>
  </si>
  <si>
    <t>πίστις (pistis)</t>
  </si>
  <si>
    <t>Persistent state expectation / measurement</t>
  </si>
  <si>
    <t>X₈ : state persistence / expectation stability</t>
  </si>
  <si>
    <t>Gentleness</t>
  </si>
  <si>
    <t>πραΐτης (prautēs)</t>
  </si>
  <si>
    <t>Low resistance, frame-aligned (low frame distortion)</t>
  </si>
  <si>
    <t>X₇ : inverse frame distortion</t>
  </si>
  <si>
    <t>Self-control</t>
  </si>
  <si>
    <t>ἐγκράτεια (enkrateia)</t>
  </si>
  <si>
    <t>Directed inertia / momentum under agency</t>
  </si>
  <si>
    <t>X₂ : directed inertia / momentum control</t>
  </si>
  <si>
    <t>ADVERSARIAL NOTE — the ordering challenge</t>
  </si>
  <si>
    <t>Galatians order is love, joy, peace, patience, kindness, goodness, faithfulness, gentleness, self-control. The target-Law column (→ Law) is NOT monotonic (4,3,5,1,6,9,8,7,2). If that permutation is arbitrary, the isomorphism weakens; if a hidden ordering principle exists, it must be shown. Column D holds the hypothesis — change a number to test a rival mapping and watch the poles + downstream sheets update.</t>
  </si>
  <si>
    <t>TEN COMMANDMENTS → ANTI-ENTROPY BOUNDARY CONSTRAINTS</t>
  </si>
  <si>
    <t>Structural claim: the Commandments define a low-entropy submanifold of moral state-space; each blocks a distinct disorder channel. They are the box, not the contents (constraints on the 9-D state, not factors in the product).</t>
  </si>
  <si>
    <t>#</t>
  </si>
  <si>
    <t>Commandment</t>
  </si>
  <si>
    <t>Disorder Channel Blocked</t>
  </si>
  <si>
    <t>Entropy Analog</t>
  </si>
  <si>
    <t>No other gods</t>
  </si>
  <si>
    <t>Source fragmentation</t>
  </si>
  <si>
    <t>Multiple attractors, no convergence</t>
  </si>
  <si>
    <t>No idols</t>
  </si>
  <si>
    <t>Model corruption</t>
  </si>
  <si>
    <t>Wrong Hamiltonian / false landscape</t>
  </si>
  <si>
    <t>No misuse of the Name</t>
  </si>
  <si>
    <t>Signal corruption / authority spoofing</t>
  </si>
  <si>
    <t>Noise injection in the communication channel</t>
  </si>
  <si>
    <t>Sabbath</t>
  </si>
  <si>
    <t>Temporal burnout</t>
  </si>
  <si>
    <t>Uncontrolled dissipation, no repair cycle</t>
  </si>
  <si>
    <t>Honor father and mother</t>
  </si>
  <si>
    <t>Generational collapse</t>
  </si>
  <si>
    <t>Broken boundary conditions</t>
  </si>
  <si>
    <t>No murder</t>
  </si>
  <si>
    <t>Life-system destruction</t>
  </si>
  <si>
    <t>Irreversible state loss</t>
  </si>
  <si>
    <t>No adultery</t>
  </si>
  <si>
    <t>Covenant rupture</t>
  </si>
  <si>
    <t>Bond breaking / decoherence</t>
  </si>
  <si>
    <t>No theft</t>
  </si>
  <si>
    <t>Trust-boundary violation</t>
  </si>
  <si>
    <t>Property / expectation disorder</t>
  </si>
  <si>
    <t>No false witness</t>
  </si>
  <si>
    <t>Truth-channel corruption</t>
  </si>
  <si>
    <t>Bit-flip errors</t>
  </si>
  <si>
    <t>No covet</t>
  </si>
  <si>
    <t>Internal desire disorder</t>
  </si>
  <si>
    <t>Source of spontaneous decoherence</t>
  </si>
  <si>
    <t>Compliance Cᵢ (0–1)</t>
  </si>
  <si>
    <t>LIVE: COMPLIANCE → ENTROPY</t>
  </si>
  <si>
    <t>Σ Compliance</t>
  </si>
  <si>
    <t>Entropy  S(C) = 10 − ΣC</t>
  </si>
  <si>
    <t>Normalized  Ŝ = 1 − mean(C)</t>
  </si>
  <si>
    <t>Decoherence multiplier (1+Ŝ)</t>
  </si>
  <si>
    <t>Weakest link  min(C)</t>
  </si>
  <si>
    <t>Weakest commandment</t>
  </si>
  <si>
    <t>Reading: S(C) is the entropy the constraint layer is failing to suppress. High S → the dynamics on Fruit_Dynamics decohere faster (feed 1+Ŝ as a drag on Ẋ). Perfect compliance (all C=1) → S=0 → no constraint-driven decoherence.</t>
  </si>
  <si>
    <t>FRUIT DYNAMICS — derived equation of motion</t>
  </si>
  <si>
    <t>χ = C_W·∏Xⱼ    •    ∂χ/∂Xⱼ = ∏_{k≠j} Xₖ  (product of others = veto)    •    dFᵢ/dt = W·∂χ/∂X_{m(i)} + η_{m(i)}</t>
  </si>
  <si>
    <t>Physical</t>
  </si>
  <si>
    <t>Spiritual</t>
  </si>
  <si>
    <t>State Xⱼ (0–1)</t>
  </si>
  <si>
    <t>Grace ηⱼ</t>
  </si>
  <si>
    <t>∂χ/∂Xⱼ (grad)</t>
  </si>
  <si>
    <t>Assigned Fruit</t>
  </si>
  <si>
    <t>dF/dt = W·grad + η</t>
  </si>
  <si>
    <t>AGENCY &amp; SYSTEM READOUTS</t>
  </si>
  <si>
    <t>W (agency, 0–2)</t>
  </si>
  <si>
    <t>C_W (wrapper)</t>
  </si>
  <si>
    <t>χ = C_W·∏Xⱼ</t>
  </si>
  <si>
    <t>‖∇χ‖</t>
  </si>
  <si>
    <t>mean dF/dt</t>
  </si>
  <si>
    <t>min Xⱼ (weakest law)</t>
  </si>
  <si>
    <t>weakest fruit (vetoing)</t>
  </si>
  <si>
    <t>WHAT THE EQUATION SAYS</t>
  </si>
  <si>
    <t>•  dF/dt = W·∇χ + η : a Fruit grows through agency W aimed along the coherence gradient, PLUS grace η injected on that dimension. Neither term alone is sufficient.</t>
  </si>
  <si>
    <t>•  VETO (product structure): set any Xⱼ = 0 → χ = 0 and every OTHER law's gradient → 0. Effort cannot grow a Fruit while any dimension is dead — only that fruit's own η can still move it. This is why Paul names one fruit (singular), not nine.</t>
  </si>
  <si>
    <t>•  η = 0 test: zero the Grace column and growth collapses to pure W·∇χ; near a weak dimension the system stalls. η ≠ 0 is what enables trajectories the closed system cannot reach. (Try it: set E5:E13 = 0.)</t>
  </si>
  <si>
    <t>BIDIRECTIONAL STRUCTURAL-ROLE MATCH TEST</t>
  </si>
  <si>
    <t>Score families and law-roles by abstract ROLE profile (not word similarity), then check whether the canonical diagonal wins vs off-diagonal chance. Recovery works both ways: spiritual→physical and physical→spiritual.</t>
  </si>
  <si>
    <t>SPIRITUAL FAMILY ROLE PROFILES  (weights 0–1, inputs)</t>
  </si>
  <si>
    <t>Family</t>
  </si>
  <si>
    <t>Src</t>
  </si>
  <si>
    <t>Con</t>
  </si>
  <si>
    <t>Rep</t>
  </si>
  <si>
    <t>Rec</t>
  </si>
  <si>
    <t>For</t>
  </si>
  <si>
    <t>Dis</t>
  </si>
  <si>
    <t>Def</t>
  </si>
  <si>
    <t>Aud</t>
  </si>
  <si>
    <t>I AM</t>
  </si>
  <si>
    <t>Commandments</t>
  </si>
  <si>
    <t>Fruits</t>
  </si>
  <si>
    <t>Gifts</t>
  </si>
  <si>
    <t>Armor</t>
  </si>
  <si>
    <t>Churches</t>
  </si>
  <si>
    <t>PHYSICS LAW-ROLE PROFILES  (weights 0–1, inputs)</t>
  </si>
  <si>
    <t>Law-role</t>
  </si>
  <si>
    <t>Source / identity anchor</t>
  </si>
  <si>
    <t>Boundary / constraint (anti-entropy)</t>
  </si>
  <si>
    <t>External source term η</t>
  </si>
  <si>
    <t>Receptive boundary condition</t>
  </si>
  <si>
    <t>Gradient-flow output / attractor</t>
  </si>
  <si>
    <t>Distributed operators / channels</t>
  </si>
  <si>
    <t>Shielding / error-correction</t>
  </si>
  <si>
    <t>Diagnostic / failure-mode feedback</t>
  </si>
  <si>
    <t>COSINE MATCH MATRIX  (spiritual rows × physics-role cols) — diagonal = canonical mapping</t>
  </si>
  <si>
    <t>Family \ Law-role</t>
  </si>
  <si>
    <t>Source</t>
  </si>
  <si>
    <t>Constraint</t>
  </si>
  <si>
    <t>η source</t>
  </si>
  <si>
    <t>Recept.</t>
  </si>
  <si>
    <t>Gradient</t>
  </si>
  <si>
    <t>Distrib.</t>
  </si>
  <si>
    <t>Robust.</t>
  </si>
  <si>
    <t>Diagnostic</t>
  </si>
  <si>
    <t>argmax col</t>
  </si>
  <si>
    <t>hit?</t>
  </si>
  <si>
    <t>READOUTS</t>
  </si>
  <si>
    <t>Canonical diagonal mean</t>
  </si>
  <si>
    <t>Off-diagonal mean (chance baseline)</t>
  </si>
  <si>
    <t>Separation ratio  (diag / off-diag)</t>
  </si>
  <si>
    <t>Recovery accuracy  (argmax on diagonal)</t>
  </si>
  <si>
    <t>VERDICT</t>
  </si>
  <si>
    <t>CONTROLS TO RUN (edit the input weights and watch the verdict move):</t>
  </si>
  <si>
    <t>1) Shuffle: swap two families' profile rows → diagonal should collapse toward chance.   2) Flatten: set all weights = 1 → every cosine → 1, separation ratio → 1 (no information).   3) Rival list: replace a family's profile with a generic virtue and see if it still lands on its law-role.   4) Reverse direction: read the matrix by COLUMN (argmax down each law-role) — it should recover the same pairing.</t>
  </si>
  <si>
    <t>BRIDGE CLAIMS &amp; KILL CONDITIONS</t>
  </si>
  <si>
    <t>The math works without the theology. WITH the theology it becomes Theophysics. These identifications are bridge claims, not theorems — kept explicit and falsifiable.</t>
  </si>
  <si>
    <t>BRIDGE CLAIMS  (mathematical object → theological claim)</t>
  </si>
  <si>
    <t>Mathematical object</t>
  </si>
  <si>
    <t>Theological claim</t>
  </si>
  <si>
    <t>Status</t>
  </si>
  <si>
    <t>χ → 1</t>
  </si>
  <si>
    <t>Sanctification / Christ-likeness</t>
  </si>
  <si>
    <t>bridge claim</t>
  </si>
  <si>
    <t>η ≠ 0</t>
  </si>
  <si>
    <t>Holy Spirit active (external source)</t>
  </si>
  <si>
    <t>W &gt; 0</t>
  </si>
  <si>
    <t>Human agency cooperating with grace</t>
  </si>
  <si>
    <t>Fruits emerging (Fᵢ rising)</t>
  </si>
  <si>
    <t>Evidence of Spirit-filled life</t>
  </si>
  <si>
    <t>Product / veto structure</t>
  </si>
  <si>
    <t>One fruit (singular), not nine separable virtues</t>
  </si>
  <si>
    <t>structural</t>
  </si>
  <si>
    <t>Commandments as constraints</t>
  </si>
  <si>
    <t>Moral law revealing God's order (the box)</t>
  </si>
  <si>
    <t>Entropy term / Γ_sin</t>
  </si>
  <si>
    <t>The adversary / works of the flesh</t>
  </si>
  <si>
    <t>Armor robustness</t>
  </si>
  <si>
    <t>Spiritual protection under attack</t>
  </si>
  <si>
    <t>analogy</t>
  </si>
  <si>
    <t>KILL CONDITIONS  (what would break the mapping)</t>
  </si>
  <si>
    <t>Condition</t>
  </si>
  <si>
    <t>If observed →</t>
  </si>
  <si>
    <t>Where to test</t>
  </si>
  <si>
    <t>Random W reproduces the Fruit pattern</t>
  </si>
  <si>
    <t>mapping underconstrained — downgrade</t>
  </si>
  <si>
    <t>Fruit_Dynamics (vary W, compare)</t>
  </si>
  <si>
    <t>η = 0 produces Fruits equally well</t>
  </si>
  <si>
    <t>grace not necessary — core claim fails</t>
  </si>
  <si>
    <t>Fruit_Dynamics (set E5:E13 = 0)</t>
  </si>
  <si>
    <t>Shuffled family–law pairing scores as high</t>
  </si>
  <si>
    <t>pairing not load-bearing — downgrade</t>
  </si>
  <si>
    <t>Bidirectional_Test (swap profile rows)</t>
  </si>
  <si>
    <t>Rival virtue list maps just as well</t>
  </si>
  <si>
    <t>Fruits not special — downgrade</t>
  </si>
  <si>
    <t>Bidirectional_Test (swap in generic list)</t>
  </si>
  <si>
    <t>Galatians order is arbitrary vs law order</t>
  </si>
  <si>
    <t>isomorphism → mere correspondence</t>
  </si>
  <si>
    <t>Fruits_Laws (ordering note, col D)</t>
  </si>
  <si>
    <t>Flatten all role weights → ratio ≈ 1</t>
  </si>
  <si>
    <t>sanity check: no information in profiles</t>
  </si>
  <si>
    <t>Bidirectional_Test (set weights = 1)</t>
  </si>
  <si>
    <t>HONEST LIMIT</t>
  </si>
  <si>
    <t>None of this proves the Holy Spirit produces fruit. It proves: IF Ẋ = W·∇χ + η is the right dynamics AND the Fruit→Law mapping is right, THEN the Fruits emerge as coupled observables with the veto/product structure shown. The 'IF' is the bridge; the derivation is rigorous given the 'IF'. The Fruits are the only clean 9↔9 candidate — lead with them; everything else stays process architecture until it earns more.</t>
  </si>
  <si>
    <t>Homomorphism</t>
  </si>
  <si>
    <t>Structural correspondence</t>
  </si>
  <si>
    <t>Isomorphism candidate</t>
  </si>
  <si>
    <t>Analogy</t>
  </si>
  <si>
    <t>★ STRONG ISOMORPHISM (9↔9)</t>
  </si>
  <si>
    <t>Metaphor / weak mapping</t>
  </si>
  <si>
    <t>See Adversarial_Review for the dimensional-mismatch finding, corrected 4-phase architecture, and final verdict; Formalization for the Python/Lean test matrix and kill conditions.</t>
  </si>
  <si>
    <t>ADVERSARIAL REVIEW — Gemini deep-research verdict</t>
  </si>
  <si>
    <t>FINAL VERDICT: structural correspondence + valid homomorphism — NOT a strict isomorphism. Blocked by dimensional mismatch, one forced metaphor (Armor), and a linear order that flattens concurrent layers. Survives formalization only with dimensional projection, reordering, and discontinuous (Dirac-δ) grace operators.</t>
  </si>
  <si>
    <t>DIMENSIONAL MISMATCH  (the central obstruction to isomorphism)</t>
  </si>
  <si>
    <t>Count</t>
  </si>
  <si>
    <t>Math role</t>
  </si>
  <si>
    <t>Reconciliation needed</t>
  </si>
  <si>
    <t>Input basis / eigenstates</t>
  </si>
  <si>
    <t>Expand to 9-D basis, or accept homomorphic projection</t>
  </si>
  <si>
    <t>Constraint manifold (Lagrangian)</t>
  </si>
  <si>
    <t>10-D bounding 9-D → gauge projection or 1 dependent constraint</t>
  </si>
  <si>
    <t>open</t>
  </si>
  <si>
    <t>Dimension-free forcing (no count constraint)</t>
  </si>
  <si>
    <t>Boundary / admissible states</t>
  </si>
  <si>
    <t>8 → 9 posture conditioning of W</t>
  </si>
  <si>
    <t>State vector X (target)</t>
  </si>
  <si>
    <t>Canonical 9-D — the anchor dimension</t>
  </si>
  <si>
    <t>9*</t>
  </si>
  <si>
    <t>Count disputed (1 Cor 12 vs Rom 12 vs Eph 4); network layer</t>
  </si>
  <si>
    <t>Robustness filter (H∞)</t>
  </si>
  <si>
    <t>Systemic filter; pieces are NOT orthogonal operators</t>
  </si>
  <si>
    <t>Diagnostic / measurement</t>
  </si>
  <si>
    <t>7-D terminal audit vs 9-D state</t>
  </si>
  <si>
    <t>CORE ISSUE</t>
  </si>
  <si>
    <t>10-D constraint bounds a 9-D state; 7-D input &amp; 7-D terminal. Strict isomorphism fails without gauge projection / dimensionality reduction.</t>
  </si>
  <si>
    <t>CORRECTED SYSTEM ARCHITECTURE  (linear order flattens concurrent layers — this is the fix)</t>
  </si>
  <si>
    <t>Phase</t>
  </si>
  <si>
    <t>Mode</t>
  </si>
  <si>
    <t>1. Initialization</t>
  </si>
  <si>
    <t>Sequential</t>
  </si>
  <si>
    <t>Source / Identity</t>
  </si>
  <si>
    <t>Hilbert space + orthogonal basis vectors</t>
  </si>
  <si>
    <t>Boundary constraints</t>
  </si>
  <si>
    <t>Lagrangian bounds + landscape topology</t>
  </si>
  <si>
    <t>2. Dynamical evolution</t>
  </si>
  <si>
    <t>Iterative feedback loop</t>
  </si>
  <si>
    <t>Posture</t>
  </si>
  <si>
    <t>W conditions itself (minimize internal potential)</t>
  </si>
  <si>
    <t>Repair</t>
  </si>
  <si>
    <t>η applies continuous / non-adiabatic corrections vs drift</t>
  </si>
  <si>
    <t>Formation</t>
  </si>
  <si>
    <t>X integrates toward the stable 9-D attractor</t>
  </si>
  <si>
    <t>3. Network operation</t>
  </si>
  <si>
    <t>Concurrent</t>
  </si>
  <si>
    <t>Distribution + Defense</t>
  </si>
  <si>
    <t>Gifts + Armor</t>
  </si>
  <si>
    <t>Coupled matrices: channel allocation + real-time noise damping</t>
  </si>
  <si>
    <t>4. Terminal measurement</t>
  </si>
  <si>
    <t>Sequential endpoint</t>
  </si>
  <si>
    <t>Audit</t>
  </si>
  <si>
    <t>Eigenvalue measurement + fixed-point consensus</t>
  </si>
  <si>
    <t>FORMALIZATION — what must be proven, and what kills it</t>
  </si>
  <si>
    <t>Python/Colab for computational viability; Lean 4 for type-safety and topological consistency. Each test has an explicit kill condition.</t>
  </si>
  <si>
    <t>TEST MATRIX</t>
  </si>
  <si>
    <t>Platform</t>
  </si>
  <si>
    <t>Test / Theorem</t>
  </si>
  <si>
    <t>Success criterion</t>
  </si>
  <si>
    <t>Kill condition</t>
  </si>
  <si>
    <t>Python</t>
  </si>
  <si>
    <t>Lyapunov stability of W &amp; H</t>
  </si>
  <si>
    <t>Converges to X_target iff W is symmetric positive-definite</t>
  </si>
  <si>
    <t>Negative eigenvalues in W do NOT produce divergence → the “sin” analog fails</t>
  </si>
  <si>
    <t>Directed repair operator η</t>
  </si>
  <si>
    <t>η stabilizes paths that would otherwise terminally diverge</t>
  </si>
  <si>
    <t>η is mathematically indistinguishable from Gaussian noise → grace is lost</t>
  </si>
  <si>
    <t>Dimensional projection mapping</t>
  </si>
  <si>
    <t>Map 10-D constraint (Commandments) onto 9-D state (Fruits) cleanly</t>
  </si>
  <si>
    <t>Projection creates unresolvable null spaces / loses moral-constraint data</t>
  </si>
  <si>
    <t>Lean 4</t>
  </si>
  <si>
    <t>Type safety of the sequence</t>
  </si>
  <si>
    <t>Familyₙ output is a valid input for Familyₙ₊₁ (category-theoretic functors)</t>
  </si>
  <si>
    <t>Fruits (individual state) → Gifts (network) cannot map without a scale-transition error</t>
  </si>
  <si>
    <t>Fixed-point theorem of repair</t>
  </si>
  <si>
    <t>OPH patch network under mismatch converges to a unique normal form</t>
  </si>
  <si>
    <t>Repair diverges or yields multiple conflicting terminal states → the Audit fails</t>
  </si>
  <si>
    <t>TOP-LEVEL KILL CONDITIONS  (framework is broken if ANY holds)</t>
  </si>
  <si>
    <t>The 10→9 dimensional mapping cannot be resolved via gauge symmetry or projection — constraints stay incompatible with the state vector.</t>
  </si>
  <si>
    <t>Agency W cannot be a mobility matrix without violating free will — a purely deterministic W annihilates free choice.</t>
  </si>
  <si>
    <t>The directed grace operator η violates conservation laws without an explicit external, low-entropy divine source.</t>
  </si>
  <si>
    <t>Continuous dX/dt cannot accommodate the Dirac-δ impulses required for sudden, discontinuous regeneration.</t>
  </si>
  <si>
    <t>THEOPHYSICS MASTER EQUATION — canonical spine (imported from Axiom_Containers)</t>
  </si>
  <si>
    <t>χ = ∫(G·K)dΩ   ·   X = (G, M, E, S, T, K, R, Q, F, C)   ·   LLC = χ(t)Σ̇² − S·χ(t).  C (Coherence/Christ) is the binding wrapper C_W → 9 state factors + 1 wrapper.</t>
  </si>
  <si>
    <t>Var</t>
  </si>
  <si>
    <t>Law</t>
  </si>
  <si>
    <t>Science name</t>
  </si>
  <si>
    <t>Physical meaning</t>
  </si>
  <si>
    <t>God name</t>
  </si>
  <si>
    <t>Theological meaning</t>
  </si>
  <si>
    <t>Scripture</t>
  </si>
  <si>
    <t>Conjugate pair</t>
  </si>
  <si>
    <t>G</t>
  </si>
  <si>
    <t>Gravity / Negentropy</t>
  </si>
  <si>
    <t>Curvature of spacetime</t>
  </si>
  <si>
    <t>Unearned external input</t>
  </si>
  <si>
    <t>Romans 6:23</t>
  </si>
  <si>
    <t>Q (Faith)</t>
  </si>
  <si>
    <t>M</t>
  </si>
  <si>
    <t>Mass-Energy</t>
  </si>
  <si>
    <t>Substance, matter content</t>
  </si>
  <si>
    <t>Significance, weight</t>
  </si>
  <si>
    <t>Ecclesiastes 1:2</t>
  </si>
  <si>
    <t>F (Sin-decay)</t>
  </si>
  <si>
    <t>E</t>
  </si>
  <si>
    <t>Electromagnetism</t>
  </si>
  <si>
    <t>Light, signal, truth propagation</t>
  </si>
  <si>
    <t>What actually is</t>
  </si>
  <si>
    <t>John 14:6</t>
  </si>
  <si>
    <t>C (Christ)</t>
  </si>
  <si>
    <t>K</t>
  </si>
  <si>
    <t>Logos / Information</t>
  </si>
  <si>
    <t>Information structure, deep order</t>
  </si>
  <si>
    <t>John 1:1, the Word</t>
  </si>
  <si>
    <t>John 1:1</t>
  </si>
  <si>
    <t>T (Judgment)</t>
  </si>
  <si>
    <t>S</t>
  </si>
  <si>
    <t>Entropy</t>
  </si>
  <si>
    <t>Disorder, thermodynamic arrow</t>
  </si>
  <si>
    <t>Sin / Disorder</t>
  </si>
  <si>
    <t>Drags χ down</t>
  </si>
  <si>
    <t>Genesis 3:17-19</t>
  </si>
  <si>
    <t>R (Relationship)</t>
  </si>
  <si>
    <t>T</t>
  </si>
  <si>
    <t>Time</t>
  </si>
  <si>
    <t>Consequence domain</t>
  </si>
  <si>
    <t>Consequences unfold</t>
  </si>
  <si>
    <t>Ecclesiastes 3:1</t>
  </si>
  <si>
    <t>K (Logos)</t>
  </si>
  <si>
    <t>R</t>
  </si>
  <si>
    <t>Relational Physics</t>
  </si>
  <si>
    <t>Relational substrate</t>
  </si>
  <si>
    <t>Relationship</t>
  </si>
  <si>
    <t>Trinity, relational nature</t>
  </si>
  <si>
    <t>Genesis 2:18</t>
  </si>
  <si>
    <t>S (Sin)</t>
  </si>
  <si>
    <t>Q</t>
  </si>
  <si>
    <t>Quantum Observation</t>
  </si>
  <si>
    <t>Wavefunction collapse</t>
  </si>
  <si>
    <t>Acting before evidence compels</t>
  </si>
  <si>
    <t>Hebrews 11:1</t>
  </si>
  <si>
    <t>G (Grace)</t>
  </si>
  <si>
    <t>F</t>
  </si>
  <si>
    <t>Weak Force Decay</t>
  </si>
  <si>
    <t>Slow atomic decay</t>
  </si>
  <si>
    <t>Sin-decay</t>
  </si>
  <si>
    <t>Slow invisible corruption</t>
  </si>
  <si>
    <t>M (Meaning)</t>
  </si>
  <si>
    <t>C</t>
  </si>
  <si>
    <t>Coherence</t>
  </si>
  <si>
    <t>Binding force</t>
  </si>
  <si>
    <t>Christ</t>
  </si>
  <si>
    <t>In Him all things hold together</t>
  </si>
  <si>
    <t>Colossians 1:17</t>
  </si>
  <si>
    <t>E (Truth)</t>
  </si>
  <si>
    <t>SPINE COMPARISON — my earlier Fruits_Laws spine vs the canonical Master Equation</t>
  </si>
  <si>
    <t>Non-destructive: original Fruits_Laws mapping is untouched. This tab shows where it agrees with, and breaks against, the canonical spine.</t>
  </si>
  <si>
    <t>My physical</t>
  </si>
  <si>
    <t>My spiritual</t>
  </si>
  <si>
    <t>My Fruit</t>
  </si>
  <si>
    <t>Canon science</t>
  </si>
  <si>
    <t>Canon God-name</t>
  </si>
  <si>
    <t>Sign</t>
  </si>
  <si>
    <t>Note</t>
  </si>
  <si>
    <t>+</t>
  </si>
  <si>
    <t>MATCH</t>
  </si>
  <si>
    <t>Spiritual pole = Grace on both</t>
  </si>
  <si>
    <t>Meaning on both</t>
  </si>
  <si>
    <t>Truth on both</t>
  </si>
  <si>
    <t>CONFLICT</t>
  </si>
  <si>
    <t>Canon L4 = Logos, not Love. No Strong-Force/Love law exists in canon.</t>
  </si>
  <si>
    <t>−</t>
  </si>
  <si>
    <t>Canon factor is NEGATIVE (drags χ down). A Fruit cannot map onto Sin.</t>
  </si>
  <si>
    <t>~</t>
  </si>
  <si>
    <t>Logos moved to L4 in canon; canon L6 = Time/Judgment</t>
  </si>
  <si>
    <t>PARTIAL</t>
  </si>
  <si>
    <t>Both relational/frame themes — loose but compatible</t>
  </si>
  <si>
    <t>Faith on both</t>
  </si>
  <si>
    <t>Canon factor is NEGATIVE (slow corruption). Goodness cannot map onto Sin-decay.</t>
  </si>
  <si>
    <t>—</t>
  </si>
  <si>
    <t>wrap</t>
  </si>
  <si>
    <t>CANON-ADD</t>
  </si>
  <si>
    <t>The binding wrapper C_W. Not in my 9-law spine.</t>
  </si>
  <si>
    <t>SCORECARD</t>
  </si>
  <si>
    <t>Clean matches</t>
  </si>
  <si>
    <t>Partial</t>
  </si>
  <si>
    <t>Conflicts</t>
  </si>
  <si>
    <t>…of which caused by sin factors (S,F)</t>
  </si>
  <si>
    <t>Canon-only (wrapper)</t>
  </si>
  <si>
    <t>TAKEAWAY</t>
  </si>
  <si>
    <t>The positive theological poles survive — Grace, Meaning, Truth, Faith line up on both spines (4 clean + 1 partial). The mapping breaks on 4 laws: Love has no home in canon (Logos sits at L4), and two canonical factors (Entropy/Sin at L5, Weak-decay/Sin-decay at L9) are NEGATIVE, so no positive Fruit can occupy them. Conclusion: the clean 9↔9 Fruits↔laws isomorphism does not hold against the canonical spine; at best it is a ~7-slot partial mapping over the positive factors, with Christ (C) as the wrapper.</t>
  </si>
  <si>
    <t>RESULT DOMAINS — empirical scorecard (imported from Axiom_Containers)</t>
  </si>
  <si>
    <t>Domain</t>
  </si>
  <si>
    <t>Surprise</t>
  </si>
  <si>
    <t>Pass</t>
  </si>
  <si>
    <t>Total</t>
  </si>
  <si>
    <t>Pass rate</t>
  </si>
  <si>
    <t>Key result</t>
  </si>
  <si>
    <t>Strength</t>
  </si>
  <si>
    <t>Physics</t>
  </si>
  <si>
    <t>Cosmology</t>
  </si>
  <si>
    <t>H0: 4.4σ → 1.9σ</t>
  </si>
  <si>
    <t>strong</t>
  </si>
  <si>
    <t>Dark energy drives expansion</t>
  </si>
  <si>
    <t>Galaxy dynamics</t>
  </si>
  <si>
    <t>37× better than NFW</t>
  </si>
  <si>
    <t>χ-field modifies G_eff</t>
  </si>
  <si>
    <t>Genesis narrative</t>
  </si>
  <si>
    <t>10¹¹ collapse ratio</t>
  </si>
  <si>
    <t>Q×C decoherence collapse</t>
  </si>
  <si>
    <t>Moral dynamics</t>
  </si>
  <si>
    <t>3.77× asymmetry</t>
  </si>
  <si>
    <t>Grace/entropy asymmetry in LLC</t>
  </si>
  <si>
    <t>Community coherence</t>
  </si>
  <si>
    <t>N=10 → 221×</t>
  </si>
  <si>
    <t>Superlinear grace scaling</t>
  </si>
  <si>
    <t>Works vs grace</t>
  </si>
  <si>
    <t>Semi-Pelagian Theorem</t>
  </si>
  <si>
    <t>Eigenvalue impossibility proof</t>
  </si>
  <si>
    <t>Phase transition</t>
  </si>
  <si>
    <t>Discontinuous transition</t>
  </si>
  <si>
    <t>moderate</t>
  </si>
  <si>
    <t>R/S sharp threshold</t>
  </si>
  <si>
    <t>Terminus Sui</t>
  </si>
  <si>
    <t>6 fields, 3 centuries</t>
  </si>
  <si>
    <t>Six impossibility theorems converge</t>
  </si>
  <si>
    <t>χ-field reality</t>
  </si>
  <si>
    <t>5/5 criteria</t>
  </si>
  <si>
    <t>5/5 field criteria satisfied</t>
  </si>
  <si>
    <t>TOTAL</t>
  </si>
  <si>
    <t>SIMPLE MATH — scripture ↔ equation (imported from Axiom_Containers)</t>
  </si>
  <si>
    <t>Label</t>
  </si>
  <si>
    <t>Equation</t>
  </si>
  <si>
    <t>Plain English</t>
  </si>
  <si>
    <t>χ Var</t>
  </si>
  <si>
    <t>Grace superabounds</t>
  </si>
  <si>
    <t>Romans 5:20</t>
  </si>
  <si>
    <t>ΔG &gt; ΔS  (always, by factor of 3.77)</t>
  </si>
  <si>
    <t>No matter how much disorder increases, grace increases more.</t>
  </si>
  <si>
    <t>moral</t>
  </si>
  <si>
    <t>Apart from me, nothing</t>
  </si>
  <si>
    <t>John 15:5</t>
  </si>
  <si>
    <t>G = 0 → χ drops 99%</t>
  </si>
  <si>
    <t>Take out grace, the whole system collapses.</t>
  </si>
  <si>
    <t>terminus</t>
  </si>
  <si>
    <t>Not of works</t>
  </si>
  <si>
    <t>Ephesians 2:8-9</t>
  </si>
  <si>
    <t>e^G &gt;&gt; W₁ + W₂ + W₃ + … (exponential vs linear)</t>
  </si>
  <si>
    <t>You can stack works forever. They never reach what one grace does.</t>
  </si>
  <si>
    <t>eigenvalue</t>
  </si>
  <si>
    <t>Where two or three gather</t>
  </si>
  <si>
    <t>Matthew 18:20</t>
  </si>
  <si>
    <t>1 person: χ=1; 10 people: χ=221 (not 10)</t>
  </si>
  <si>
    <t>Gathering does not add — it multiplies.</t>
  </si>
  <si>
    <t>community</t>
  </si>
  <si>
    <t>Narrow gate</t>
  </si>
  <si>
    <t>Matthew 7:13</t>
  </si>
  <si>
    <t>R &gt; S → σ=+1; R &lt; S → σ=−1. No in-between.</t>
  </si>
  <si>
    <t>It is a switch, not a dial.</t>
  </si>
  <si>
    <t>phase</t>
  </si>
  <si>
    <t>The Fall</t>
  </si>
  <si>
    <t>Genesis 3</t>
  </si>
  <si>
    <t>Q×C coupled → χ collapses by 10¹¹</t>
  </si>
  <si>
    <t>Knowledge of good and evil coupled with choice collapsed coherence by a hundred billion.</t>
  </si>
  <si>
    <t>genesis</t>
  </si>
  <si>
    <t>Grace is idempotent</t>
  </si>
  <si>
    <t>Hebrews 10:10</t>
  </si>
  <si>
    <t>G² = G  (apply grace twice = apply once)</t>
  </si>
  <si>
    <t>100% grace works. 99% grace + 1% works breaks. For ANY mixture.</t>
  </si>
  <si>
    <t>No system saves itself</t>
  </si>
  <si>
    <t>Gödel + Clausius + Turing + … → internal ops preserve eigenvalue</t>
  </si>
  <si>
    <t>Six fields, three centuries, one conclusion: you cannot fix yourself from inside yourself.</t>
  </si>
  <si>
    <t>Glorification exceeds Eden</t>
  </si>
  <si>
    <t>John 14:12</t>
  </si>
  <si>
    <t>Glorified χ / Pre-Fall χ = 11.7×</t>
  </si>
  <si>
    <t>The restored state is not a return to innocence. It is 12 times better.</t>
  </si>
  <si>
    <t>AXIOM SCHEMA — the causal waterfall (188 axioms → 6 schemata, 1 closed loop)</t>
  </si>
  <si>
    <t>Not parallel columns — a cascade. Each schema generates the next; AS-005 loops back to AS-000.</t>
  </si>
  <si>
    <t>Schema</t>
  </si>
  <si>
    <t>Plain statement</t>
  </si>
  <si>
    <t>Formal assertion</t>
  </si>
  <si>
    <t>Root axioms</t>
  </si>
  <si>
    <t>#Ax</t>
  </si>
  <si>
    <t>Generates →</t>
  </si>
  <si>
    <t>AS-000: GOD</t>
  </si>
  <si>
    <t>The source is external, coherent, and personal.</t>
  </si>
  <si>
    <t>∃ T.O. : Φ(T.O.)=∞ ∧ Ĝ†Ĝ≠I ∧ N=3</t>
  </si>
  <si>
    <t>AX-073 (External Intervention) + AX-074 (Non-Unitary Grace) + AX-066 (TO≡God)</t>
  </si>
  <si>
    <t>AS-001 (Existence)</t>
  </si>
  <si>
    <t>AS-001: EXISTENCE</t>
  </si>
  <si>
    <t>Something exists rather than nothing.</t>
  </si>
  <si>
    <t>∃x (x ∈ Reality) ∧ χ=∫(G·K)dΩ</t>
  </si>
  <si>
    <t>AX-001 (Existence) + AX-009 (Self-Grounding) + AX-012 (χ First Form) + AX-017 (Coherence)</t>
  </si>
  <si>
    <t>AS-002 (Right and Wrong)</t>
  </si>
  <si>
    <t>AS-002: RIGHT AND WRONG</t>
  </si>
  <si>
    <t>The distinction is binary and real. σ = ±1.</t>
  </si>
  <si>
    <t>σ̂=diag(+1,-1) ∧ [σ̂,Û]=0 ∧ Good≡ΔC&gt;0</t>
  </si>
  <si>
    <t>AX-067 (Binary Distinction) + AX-068 (Sign Conservation) + AX-089 (Coherence-Morality)</t>
  </si>
  <si>
    <t>AS-003 (People)</t>
  </si>
  <si>
    <t>AS-003: PEOPLE</t>
  </si>
  <si>
    <t>Conscious observers participate in the system.</t>
  </si>
  <si>
    <t>Φ=min[I(whole)-I(parts)] ∧ χ_actual=Ŵ(Φ)·χ_potential</t>
  </si>
  <si>
    <t>AX-082 (Consciousness Substrate) + AX-036 (Participatory) + AX-120 (Φ Threshold)</t>
  </si>
  <si>
    <t>AS-004 (The World)</t>
  </si>
  <si>
    <t>AS-004: THE WORLD</t>
  </si>
  <si>
    <t>Physical reality has rules, boundaries, and states.</t>
  </si>
  <si>
    <t>|ψ⟩=Σcᵢ|aᵢ⟩ ∧ H²=(8πG/3)ρ-k/a²+G(t)/3</t>
  </si>
  <si>
    <t>AX-045 (Superposition) + AX-056 (Closure) + AX-100 (χ Unification) + AX-105 (Dark Energy)</t>
  </si>
  <si>
    <t>AS-005 (The Enemy)</t>
  </si>
  <si>
    <t>AS-005: THE ENEMY</t>
  </si>
  <si>
    <t>Without intervention, the system decays to σ = −1.  (DERIVED, not assumed)</t>
  </si>
  <si>
    <t>dC/dt≤0 ∧ [σ̂,Û]=0 ∧ lim Φ=0</t>
  </si>
  <si>
    <t>AX-067 (Binary) + AX-025 (dC/dt≤0) + AX-047 (Irreversibility) → −1 attractor exists</t>
  </si>
  <si>
    <t>AS-000 (GOD) ← LOOP</t>
  </si>
  <si>
    <t>Total axioms (with overlaps)</t>
  </si>
  <si>
    <t>Note: raw sum 189 collapses to 188 canonical axioms after shared-axiom overlaps; the loop AS-005 → AS-000 closes because THE ENEMY (decay to −1) necessitates GOD (the anti-entropy source).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</si>
</sst>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i/>
      <sz val="11"/>
      <color rgb="FF333333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i/>
      <sz val="11"/>
      <color rgb="FF1F3864"/>
      <name val="Aptos Narrow"/>
      <family val="2"/>
      <scheme val="minor"/>
    </font>
    <font>
      <b/>
      <sz val="11"/>
      <color rgb="FF843C0C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843C0C"/>
      <name val="Aptos Narrow"/>
      <family val="2"/>
      <scheme val="minor"/>
    </font>
    <font>
      <b/>
      <i/>
      <sz val="11"/>
      <color rgb="FF375623"/>
      <name val="Aptos Narrow"/>
      <family val="2"/>
      <scheme val="minor"/>
    </font>
    <font>
      <sz val="11"/>
      <color rgb="FF7F6000"/>
      <name val="Aptos Narrow"/>
      <family val="2"/>
      <scheme val="minor"/>
    </font>
    <font>
      <sz val="11"/>
      <color rgb="FF375623"/>
      <name val="Consolas"/>
      <family val="3"/>
    </font>
    <font>
      <b/>
      <sz val="11"/>
      <color rgb="FFC00000"/>
      <name val="Aptos Narrow"/>
      <family val="2"/>
      <scheme val="minor"/>
    </font>
    <font>
      <i/>
      <sz val="11"/>
      <color rgb="FF7F6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6" fillId="2" borderId="0" xfId="0" applyFont="1" applyFill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2" fillId="4" borderId="0" xfId="0" applyFon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0" fontId="1" fillId="4" borderId="2" xfId="0" applyFont="1" applyFill="1" applyBorder="1"/>
    <xf numFmtId="0" fontId="0" fillId="4" borderId="2" xfId="0" applyFill="1" applyBorder="1"/>
    <xf numFmtId="0" fontId="1" fillId="4" borderId="3" xfId="0" applyFont="1" applyFill="1" applyBorder="1"/>
    <xf numFmtId="0" fontId="0" fillId="4" borderId="3" xfId="0" applyFill="1" applyBorder="1"/>
    <xf numFmtId="0" fontId="13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0" xfId="0" applyFont="1" applyFill="1"/>
    <xf numFmtId="0" fontId="12" fillId="4" borderId="1" xfId="0" applyFont="1" applyFill="1" applyBorder="1"/>
    <xf numFmtId="0" fontId="8" fillId="4" borderId="2" xfId="0" applyFont="1" applyFill="1" applyBorder="1"/>
    <xf numFmtId="0" fontId="8" fillId="0" borderId="0" xfId="0" applyFont="1" applyAlignment="1">
      <alignment horizontal="center"/>
    </xf>
    <xf numFmtId="0" fontId="14" fillId="0" borderId="0" xfId="0" applyFont="1"/>
    <xf numFmtId="0" fontId="5" fillId="4" borderId="0" xfId="0" applyFont="1" applyFill="1"/>
    <xf numFmtId="0" fontId="1" fillId="3" borderId="0" xfId="0" applyFont="1" applyFill="1"/>
    <xf numFmtId="0" fontId="12" fillId="3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6" borderId="0" xfId="0" applyFont="1" applyFill="1" applyAlignment="1">
      <alignment wrapText="1"/>
    </xf>
    <xf numFmtId="0" fontId="1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0" fillId="3" borderId="0" xfId="0" applyFont="1" applyFill="1" applyAlignment="1">
      <alignment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21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2" fillId="6" borderId="6" xfId="0" applyFont="1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21" fillId="6" borderId="6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2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vertical="center" wrapText="1"/>
    </xf>
    <xf numFmtId="0" fontId="2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17B3D9-D3FC-47B7-8085-F03DBBAD9E8B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4eb1c4b1-4f5d-454f-b9e1-823caff7748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E8DD-D98B-4C08-969C-F38D1657C877}">
  <dimension ref="A1:G26"/>
  <sheetViews>
    <sheetView tabSelected="1" workbookViewId="0"/>
  </sheetViews>
  <sheetFormatPr defaultRowHeight="14.4" x14ac:dyDescent="0.3"/>
  <cols>
    <col min="1" max="1" width="6.33203125" customWidth="1"/>
    <col min="2" max="2" width="27.77734375" customWidth="1"/>
    <col min="3" max="3" width="14.44140625" customWidth="1"/>
    <col min="4" max="4" width="24.109375" customWidth="1"/>
    <col min="5" max="5" width="53.6640625" customWidth="1"/>
    <col min="6" max="6" width="27.77734375" customWidth="1"/>
    <col min="7" max="7" width="37" customWidth="1"/>
  </cols>
  <sheetData>
    <row r="1" spans="1:7" ht="19.8" x14ac:dyDescent="0.4">
      <c r="A1" s="2" t="s">
        <v>0</v>
      </c>
    </row>
    <row r="2" spans="1:7" x14ac:dyDescent="0.3">
      <c r="A2" s="4" t="s">
        <v>1</v>
      </c>
    </row>
    <row r="4" spans="1:7" ht="15.6" x14ac:dyDescent="0.3">
      <c r="A4" s="5" t="s">
        <v>2</v>
      </c>
    </row>
    <row r="5" spans="1:7" x14ac:dyDescent="0.3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 x14ac:dyDescent="0.3">
      <c r="A6" s="10">
        <v>1</v>
      </c>
      <c r="B6" s="11" t="s">
        <v>10</v>
      </c>
      <c r="C6" s="10" t="s">
        <v>11</v>
      </c>
      <c r="D6" s="11" t="s">
        <v>12</v>
      </c>
      <c r="E6" s="11" t="s">
        <v>13</v>
      </c>
      <c r="F6" s="11" t="s">
        <v>14</v>
      </c>
      <c r="G6" s="11" t="s">
        <v>288</v>
      </c>
    </row>
    <row r="7" spans="1:7" x14ac:dyDescent="0.3">
      <c r="A7" s="12">
        <v>2</v>
      </c>
      <c r="B7" s="13" t="s">
        <v>15</v>
      </c>
      <c r="C7" s="12">
        <v>10</v>
      </c>
      <c r="D7" s="13" t="s">
        <v>16</v>
      </c>
      <c r="E7" s="13" t="s">
        <v>17</v>
      </c>
      <c r="F7" s="13" t="s">
        <v>18</v>
      </c>
      <c r="G7" s="13" t="s">
        <v>289</v>
      </c>
    </row>
    <row r="8" spans="1:7" x14ac:dyDescent="0.3">
      <c r="A8" s="14">
        <v>3</v>
      </c>
      <c r="B8" s="15" t="s">
        <v>19</v>
      </c>
      <c r="C8" s="14" t="s">
        <v>20</v>
      </c>
      <c r="D8" s="15" t="s">
        <v>21</v>
      </c>
      <c r="E8" s="15" t="s">
        <v>22</v>
      </c>
      <c r="F8" s="15" t="s">
        <v>23</v>
      </c>
      <c r="G8" s="15" t="s">
        <v>290</v>
      </c>
    </row>
    <row r="9" spans="1:7" x14ac:dyDescent="0.3">
      <c r="A9" s="12">
        <v>4</v>
      </c>
      <c r="B9" s="13" t="s">
        <v>24</v>
      </c>
      <c r="C9" s="12">
        <v>8</v>
      </c>
      <c r="D9" s="13" t="s">
        <v>25</v>
      </c>
      <c r="E9" s="13" t="s">
        <v>26</v>
      </c>
      <c r="F9" s="13" t="s">
        <v>27</v>
      </c>
      <c r="G9" s="13" t="s">
        <v>291</v>
      </c>
    </row>
    <row r="10" spans="1:7" x14ac:dyDescent="0.3">
      <c r="A10" s="16">
        <v>5</v>
      </c>
      <c r="B10" s="17" t="s">
        <v>28</v>
      </c>
      <c r="C10" s="16">
        <v>9</v>
      </c>
      <c r="D10" s="17" t="s">
        <v>29</v>
      </c>
      <c r="E10" s="17" t="s">
        <v>30</v>
      </c>
      <c r="F10" s="17" t="s">
        <v>31</v>
      </c>
      <c r="G10" s="17" t="s">
        <v>292</v>
      </c>
    </row>
    <row r="11" spans="1:7" x14ac:dyDescent="0.3">
      <c r="A11" s="12">
        <v>6</v>
      </c>
      <c r="B11" s="13" t="s">
        <v>32</v>
      </c>
      <c r="C11" s="12" t="s">
        <v>33</v>
      </c>
      <c r="D11" s="13" t="s">
        <v>34</v>
      </c>
      <c r="E11" s="13" t="s">
        <v>35</v>
      </c>
      <c r="F11" s="13" t="s">
        <v>36</v>
      </c>
      <c r="G11" s="13" t="s">
        <v>288</v>
      </c>
    </row>
    <row r="12" spans="1:7" x14ac:dyDescent="0.3">
      <c r="A12" s="14">
        <v>7</v>
      </c>
      <c r="B12" s="15" t="s">
        <v>38</v>
      </c>
      <c r="C12" s="14">
        <v>6</v>
      </c>
      <c r="D12" s="15" t="s">
        <v>39</v>
      </c>
      <c r="E12" s="15" t="s">
        <v>40</v>
      </c>
      <c r="F12" s="15" t="s">
        <v>41</v>
      </c>
      <c r="G12" s="15" t="s">
        <v>293</v>
      </c>
    </row>
    <row r="13" spans="1:7" x14ac:dyDescent="0.3">
      <c r="A13" s="18">
        <v>8</v>
      </c>
      <c r="B13" s="19" t="s">
        <v>42</v>
      </c>
      <c r="C13" s="18">
        <v>7</v>
      </c>
      <c r="D13" s="19" t="s">
        <v>43</v>
      </c>
      <c r="E13" s="19" t="s">
        <v>44</v>
      </c>
      <c r="F13" s="19" t="s">
        <v>45</v>
      </c>
      <c r="G13" s="19" t="s">
        <v>290</v>
      </c>
    </row>
    <row r="15" spans="1:7" ht="15.6" x14ac:dyDescent="0.3">
      <c r="A15" s="5" t="s">
        <v>46</v>
      </c>
    </row>
    <row r="16" spans="1:7" x14ac:dyDescent="0.3">
      <c r="A16" s="20" t="s">
        <v>47</v>
      </c>
    </row>
    <row r="17" spans="1:1" x14ac:dyDescent="0.3">
      <c r="A17" s="20" t="s">
        <v>48</v>
      </c>
    </row>
    <row r="18" spans="1:1" x14ac:dyDescent="0.3">
      <c r="A18" s="20" t="s">
        <v>49</v>
      </c>
    </row>
    <row r="20" spans="1:1" ht="15.6" x14ac:dyDescent="0.3">
      <c r="A20" s="5" t="s">
        <v>50</v>
      </c>
    </row>
    <row r="21" spans="1:1" x14ac:dyDescent="0.3">
      <c r="A21" s="21" t="s">
        <v>51</v>
      </c>
    </row>
    <row r="22" spans="1:1" x14ac:dyDescent="0.3">
      <c r="A22" s="22" t="s">
        <v>52</v>
      </c>
    </row>
    <row r="23" spans="1:1" x14ac:dyDescent="0.3">
      <c r="A23" s="23" t="s">
        <v>53</v>
      </c>
    </row>
    <row r="24" spans="1:1" x14ac:dyDescent="0.3">
      <c r="A24" s="3" t="s">
        <v>54</v>
      </c>
    </row>
    <row r="26" spans="1:1" ht="409.6" x14ac:dyDescent="0.3">
      <c r="A26" s="73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BEF9-E565-49FB-BCBC-DF4FAD2AEC96}">
  <dimension ref="A1:I29"/>
  <sheetViews>
    <sheetView workbookViewId="0"/>
  </sheetViews>
  <sheetFormatPr defaultRowHeight="14.4" x14ac:dyDescent="0.3"/>
  <cols>
    <col min="1" max="1" width="7.77734375" customWidth="1"/>
    <col min="2" max="2" width="16.6640625" customWidth="1"/>
    <col min="3" max="3" width="27.77734375" customWidth="1"/>
    <col min="5" max="5" width="27.77734375" customWidth="1"/>
    <col min="6" max="6" width="24.109375" customWidth="1"/>
    <col min="7" max="7" width="42.5546875" customWidth="1"/>
    <col min="8" max="8" width="46.33203125" customWidth="1"/>
    <col min="9" max="9" width="24.109375" customWidth="1"/>
  </cols>
  <sheetData>
    <row r="1" spans="1:3" ht="19.8" x14ac:dyDescent="0.4">
      <c r="A1" s="2" t="s">
        <v>55</v>
      </c>
    </row>
    <row r="2" spans="1:3" x14ac:dyDescent="0.3">
      <c r="A2" s="4" t="s">
        <v>56</v>
      </c>
    </row>
    <row r="4" spans="1:3" ht="15.6" x14ac:dyDescent="0.3">
      <c r="A4" s="5" t="s">
        <v>57</v>
      </c>
    </row>
    <row r="5" spans="1:3" x14ac:dyDescent="0.3">
      <c r="A5" s="6" t="s">
        <v>58</v>
      </c>
      <c r="B5" s="6" t="s">
        <v>59</v>
      </c>
      <c r="C5" s="6" t="s">
        <v>60</v>
      </c>
    </row>
    <row r="6" spans="1:3" x14ac:dyDescent="0.3">
      <c r="A6" s="25">
        <v>1</v>
      </c>
      <c r="B6" s="26" t="s">
        <v>61</v>
      </c>
      <c r="C6" s="26" t="s">
        <v>62</v>
      </c>
    </row>
    <row r="7" spans="1:3" x14ac:dyDescent="0.3">
      <c r="A7" s="27">
        <v>2</v>
      </c>
      <c r="B7" s="28" t="s">
        <v>63</v>
      </c>
      <c r="C7" s="28" t="s">
        <v>64</v>
      </c>
    </row>
    <row r="8" spans="1:3" x14ac:dyDescent="0.3">
      <c r="A8" s="27">
        <v>3</v>
      </c>
      <c r="B8" s="28" t="s">
        <v>65</v>
      </c>
      <c r="C8" s="28" t="s">
        <v>66</v>
      </c>
    </row>
    <row r="9" spans="1:3" x14ac:dyDescent="0.3">
      <c r="A9" s="27">
        <v>4</v>
      </c>
      <c r="B9" s="28" t="s">
        <v>67</v>
      </c>
      <c r="C9" s="28" t="s">
        <v>68</v>
      </c>
    </row>
    <row r="10" spans="1:3" x14ac:dyDescent="0.3">
      <c r="A10" s="27">
        <v>5</v>
      </c>
      <c r="B10" s="28" t="s">
        <v>69</v>
      </c>
      <c r="C10" s="28" t="s">
        <v>70</v>
      </c>
    </row>
    <row r="11" spans="1:3" x14ac:dyDescent="0.3">
      <c r="A11" s="27">
        <v>6</v>
      </c>
      <c r="B11" s="28" t="s">
        <v>71</v>
      </c>
      <c r="C11" s="28" t="s">
        <v>72</v>
      </c>
    </row>
    <row r="12" spans="1:3" x14ac:dyDescent="0.3">
      <c r="A12" s="27">
        <v>7</v>
      </c>
      <c r="B12" s="28" t="s">
        <v>73</v>
      </c>
      <c r="C12" s="28" t="s">
        <v>74</v>
      </c>
    </row>
    <row r="13" spans="1:3" x14ac:dyDescent="0.3">
      <c r="A13" s="27">
        <v>8</v>
      </c>
      <c r="B13" s="28" t="s">
        <v>75</v>
      </c>
      <c r="C13" s="28" t="s">
        <v>76</v>
      </c>
    </row>
    <row r="14" spans="1:3" x14ac:dyDescent="0.3">
      <c r="A14" s="29">
        <v>9</v>
      </c>
      <c r="B14" s="30" t="s">
        <v>77</v>
      </c>
      <c r="C14" s="30" t="s">
        <v>78</v>
      </c>
    </row>
    <row r="16" spans="1:3" ht="15.6" x14ac:dyDescent="0.3">
      <c r="A16" s="5" t="s">
        <v>79</v>
      </c>
    </row>
    <row r="17" spans="1:9" ht="86.4" x14ac:dyDescent="0.3">
      <c r="A17" s="31" t="s">
        <v>80</v>
      </c>
      <c r="B17" s="31" t="s">
        <v>81</v>
      </c>
      <c r="C17" s="31" t="s">
        <v>82</v>
      </c>
      <c r="D17" s="31" t="s">
        <v>83</v>
      </c>
      <c r="E17" s="31" t="s">
        <v>59</v>
      </c>
      <c r="F17" s="31" t="s">
        <v>60</v>
      </c>
      <c r="G17" s="31" t="s">
        <v>84</v>
      </c>
      <c r="H17" s="31" t="s">
        <v>85</v>
      </c>
      <c r="I17" s="31" t="s">
        <v>86</v>
      </c>
    </row>
    <row r="18" spans="1:9" ht="72" x14ac:dyDescent="0.3">
      <c r="A18" s="39">
        <v>1</v>
      </c>
      <c r="B18" s="40" t="s">
        <v>68</v>
      </c>
      <c r="C18" s="40" t="s">
        <v>87</v>
      </c>
      <c r="D18" s="41">
        <v>4</v>
      </c>
      <c r="E18" s="40" t="str">
        <f>INDEX($B$6:$B$14,MATCH(D18,$A$6:$A$14,0))</f>
        <v>Strong Force</v>
      </c>
      <c r="F18" s="40" t="str">
        <f>INDEX($C$6:$C$14,MATCH(D18,$A$6:$A$14,0))</f>
        <v>Love</v>
      </c>
      <c r="G18" s="40" t="s">
        <v>88</v>
      </c>
      <c r="H18" s="40" t="s">
        <v>89</v>
      </c>
      <c r="I18" s="40" t="s">
        <v>90</v>
      </c>
    </row>
    <row r="19" spans="1:9" ht="72" x14ac:dyDescent="0.3">
      <c r="A19" s="12">
        <v>2</v>
      </c>
      <c r="B19" s="13" t="s">
        <v>91</v>
      </c>
      <c r="C19" s="13" t="s">
        <v>92</v>
      </c>
      <c r="D19" s="37">
        <v>3</v>
      </c>
      <c r="E19" s="13" t="str">
        <f t="shared" ref="E19:E26" si="0">INDEX($B$6:$B$14,MATCH(D19,$A$6:$A$14,0))</f>
        <v>Electromagnetism (Light)</v>
      </c>
      <c r="F19" s="13" t="str">
        <f t="shared" ref="F19:F26" si="1">INDEX($C$6:$C$14,MATCH(D19,$A$6:$A$14,0))</f>
        <v>Truth</v>
      </c>
      <c r="G19" s="13" t="s">
        <v>93</v>
      </c>
      <c r="H19" s="13" t="s">
        <v>94</v>
      </c>
      <c r="I19" s="13" t="s">
        <v>90</v>
      </c>
    </row>
    <row r="20" spans="1:9" ht="100.8" x14ac:dyDescent="0.3">
      <c r="A20" s="12">
        <v>3</v>
      </c>
      <c r="B20" s="13" t="s">
        <v>95</v>
      </c>
      <c r="C20" s="13" t="s">
        <v>96</v>
      </c>
      <c r="D20" s="37">
        <v>5</v>
      </c>
      <c r="E20" s="13" t="str">
        <f t="shared" si="0"/>
        <v>Thermodynamics</v>
      </c>
      <c r="F20" s="13" t="str">
        <f t="shared" si="1"/>
        <v>Judgment</v>
      </c>
      <c r="G20" s="13" t="s">
        <v>97</v>
      </c>
      <c r="H20" s="13" t="s">
        <v>98</v>
      </c>
      <c r="I20" s="13" t="s">
        <v>90</v>
      </c>
    </row>
    <row r="21" spans="1:9" ht="86.4" x14ac:dyDescent="0.3">
      <c r="A21" s="12">
        <v>4</v>
      </c>
      <c r="B21" s="13" t="s">
        <v>99</v>
      </c>
      <c r="C21" s="13" t="s">
        <v>100</v>
      </c>
      <c r="D21" s="37">
        <v>1</v>
      </c>
      <c r="E21" s="13" t="str">
        <f t="shared" si="0"/>
        <v>Gravitation</v>
      </c>
      <c r="F21" s="13" t="str">
        <f t="shared" si="1"/>
        <v>Grace</v>
      </c>
      <c r="G21" s="13" t="s">
        <v>101</v>
      </c>
      <c r="H21" s="13" t="s">
        <v>102</v>
      </c>
      <c r="I21" s="13" t="s">
        <v>90</v>
      </c>
    </row>
    <row r="22" spans="1:9" ht="72" x14ac:dyDescent="0.3">
      <c r="A22" s="12">
        <v>5</v>
      </c>
      <c r="B22" s="13" t="s">
        <v>103</v>
      </c>
      <c r="C22" s="13" t="s">
        <v>104</v>
      </c>
      <c r="D22" s="37">
        <v>6</v>
      </c>
      <c r="E22" s="13" t="str">
        <f t="shared" si="0"/>
        <v>Logos</v>
      </c>
      <c r="F22" s="13" t="str">
        <f t="shared" si="1"/>
        <v>Information</v>
      </c>
      <c r="G22" s="13" t="s">
        <v>105</v>
      </c>
      <c r="H22" s="13" t="s">
        <v>106</v>
      </c>
      <c r="I22" s="13" t="s">
        <v>90</v>
      </c>
    </row>
    <row r="23" spans="1:9" ht="100.8" x14ac:dyDescent="0.3">
      <c r="A23" s="12">
        <v>6</v>
      </c>
      <c r="B23" s="13" t="s">
        <v>107</v>
      </c>
      <c r="C23" s="13" t="s">
        <v>108</v>
      </c>
      <c r="D23" s="37">
        <v>9</v>
      </c>
      <c r="E23" s="13" t="str">
        <f t="shared" si="0"/>
        <v>Weak Force</v>
      </c>
      <c r="F23" s="13" t="str">
        <f t="shared" si="1"/>
        <v>Moral Conservation</v>
      </c>
      <c r="G23" s="13" t="s">
        <v>109</v>
      </c>
      <c r="H23" s="13" t="s">
        <v>110</v>
      </c>
      <c r="I23" s="13" t="s">
        <v>90</v>
      </c>
    </row>
    <row r="24" spans="1:9" ht="86.4" x14ac:dyDescent="0.3">
      <c r="A24" s="12">
        <v>7</v>
      </c>
      <c r="B24" s="13" t="s">
        <v>111</v>
      </c>
      <c r="C24" s="13" t="s">
        <v>112</v>
      </c>
      <c r="D24" s="37">
        <v>8</v>
      </c>
      <c r="E24" s="13" t="str">
        <f t="shared" si="0"/>
        <v>Quantum</v>
      </c>
      <c r="F24" s="13" t="str">
        <f t="shared" si="1"/>
        <v>Faith</v>
      </c>
      <c r="G24" s="13" t="s">
        <v>113</v>
      </c>
      <c r="H24" s="13" t="s">
        <v>114</v>
      </c>
      <c r="I24" s="13" t="s">
        <v>90</v>
      </c>
    </row>
    <row r="25" spans="1:9" ht="115.2" x14ac:dyDescent="0.3">
      <c r="A25" s="12">
        <v>8</v>
      </c>
      <c r="B25" s="13" t="s">
        <v>115</v>
      </c>
      <c r="C25" s="13" t="s">
        <v>116</v>
      </c>
      <c r="D25" s="37">
        <v>7</v>
      </c>
      <c r="E25" s="13" t="str">
        <f t="shared" si="0"/>
        <v>Relativity</v>
      </c>
      <c r="F25" s="13" t="str">
        <f t="shared" si="1"/>
        <v>Grace-Frame</v>
      </c>
      <c r="G25" s="13" t="s">
        <v>117</v>
      </c>
      <c r="H25" s="13" t="s">
        <v>118</v>
      </c>
      <c r="I25" s="13" t="s">
        <v>90</v>
      </c>
    </row>
    <row r="26" spans="1:9" ht="72" x14ac:dyDescent="0.3">
      <c r="A26" s="18">
        <v>9</v>
      </c>
      <c r="B26" s="19" t="s">
        <v>119</v>
      </c>
      <c r="C26" s="19" t="s">
        <v>120</v>
      </c>
      <c r="D26" s="38">
        <v>2</v>
      </c>
      <c r="E26" s="19" t="str">
        <f t="shared" si="0"/>
        <v>Mass–Energy</v>
      </c>
      <c r="F26" s="19" t="str">
        <f t="shared" si="1"/>
        <v>Meaning</v>
      </c>
      <c r="G26" s="19" t="s">
        <v>121</v>
      </c>
      <c r="H26" s="19" t="s">
        <v>122</v>
      </c>
      <c r="I26" s="19" t="s">
        <v>90</v>
      </c>
    </row>
    <row r="28" spans="1:9" ht="15.6" x14ac:dyDescent="0.3">
      <c r="A28" s="5" t="s">
        <v>123</v>
      </c>
    </row>
    <row r="29" spans="1:9" ht="58.05" customHeight="1" x14ac:dyDescent="0.3">
      <c r="A29" s="4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12D7-D577-4DE8-8FF1-A11CAB2F7DB5}">
  <dimension ref="A1:H14"/>
  <sheetViews>
    <sheetView workbookViewId="0"/>
  </sheetViews>
  <sheetFormatPr defaultRowHeight="14.4" x14ac:dyDescent="0.3"/>
  <cols>
    <col min="1" max="1" width="5.5546875" customWidth="1"/>
    <col min="2" max="2" width="31.44140625" customWidth="1"/>
    <col min="3" max="3" width="37" customWidth="1"/>
    <col min="4" max="4" width="42.5546875" customWidth="1"/>
    <col min="5" max="5" width="17.5546875" customWidth="1"/>
    <col min="6" max="6" width="3" customWidth="1"/>
    <col min="7" max="7" width="35.21875" customWidth="1"/>
    <col min="8" max="8" width="20.33203125" customWidth="1"/>
  </cols>
  <sheetData>
    <row r="1" spans="1:8" ht="19.8" x14ac:dyDescent="0.4">
      <c r="A1" s="2" t="s">
        <v>125</v>
      </c>
    </row>
    <row r="2" spans="1:8" ht="400.2" x14ac:dyDescent="0.3">
      <c r="A2" s="43" t="s">
        <v>126</v>
      </c>
    </row>
    <row r="4" spans="1:8" ht="43.2" x14ac:dyDescent="0.3">
      <c r="A4" s="31" t="s">
        <v>127</v>
      </c>
      <c r="B4" s="31" t="s">
        <v>128</v>
      </c>
      <c r="C4" s="31" t="s">
        <v>129</v>
      </c>
      <c r="D4" s="31" t="s">
        <v>130</v>
      </c>
      <c r="E4" s="31" t="s">
        <v>161</v>
      </c>
      <c r="G4" s="44" t="s">
        <v>162</v>
      </c>
      <c r="H4" s="45"/>
    </row>
    <row r="5" spans="1:8" ht="72" x14ac:dyDescent="0.3">
      <c r="A5" s="33">
        <v>1</v>
      </c>
      <c r="B5" s="32" t="s">
        <v>131</v>
      </c>
      <c r="C5" s="32" t="s">
        <v>132</v>
      </c>
      <c r="D5" s="32" t="s">
        <v>133</v>
      </c>
      <c r="E5" s="34">
        <v>0.9</v>
      </c>
      <c r="G5" s="46" t="s">
        <v>163</v>
      </c>
      <c r="H5" s="47">
        <f>SUM(E5:E14)</f>
        <v>8.3000000000000007</v>
      </c>
    </row>
    <row r="6" spans="1:8" ht="72" x14ac:dyDescent="0.3">
      <c r="A6" s="12">
        <v>2</v>
      </c>
      <c r="B6" s="13" t="s">
        <v>134</v>
      </c>
      <c r="C6" s="13" t="s">
        <v>135</v>
      </c>
      <c r="D6" s="13" t="s">
        <v>136</v>
      </c>
      <c r="E6" s="35">
        <v>0.9</v>
      </c>
      <c r="G6" s="48" t="s">
        <v>164</v>
      </c>
      <c r="H6" s="49">
        <f>10-SUM(E5:E14)</f>
        <v>1.6999999999999993</v>
      </c>
    </row>
    <row r="7" spans="1:8" ht="86.4" x14ac:dyDescent="0.3">
      <c r="A7" s="12">
        <v>3</v>
      </c>
      <c r="B7" s="13" t="s">
        <v>137</v>
      </c>
      <c r="C7" s="13" t="s">
        <v>138</v>
      </c>
      <c r="D7" s="13" t="s">
        <v>139</v>
      </c>
      <c r="E7" s="35">
        <v>0.8</v>
      </c>
      <c r="G7" s="48" t="s">
        <v>165</v>
      </c>
      <c r="H7" s="49">
        <f>1-AVERAGE(E5:E14)</f>
        <v>0.16999999999999993</v>
      </c>
    </row>
    <row r="8" spans="1:8" ht="86.4" x14ac:dyDescent="0.3">
      <c r="A8" s="12">
        <v>4</v>
      </c>
      <c r="B8" s="13" t="s">
        <v>140</v>
      </c>
      <c r="C8" s="13" t="s">
        <v>141</v>
      </c>
      <c r="D8" s="13" t="s">
        <v>142</v>
      </c>
      <c r="E8" s="35">
        <v>0.7</v>
      </c>
      <c r="G8" s="48" t="s">
        <v>166</v>
      </c>
      <c r="H8" s="49">
        <f>1+H7</f>
        <v>1.17</v>
      </c>
    </row>
    <row r="9" spans="1:8" ht="57.6" x14ac:dyDescent="0.3">
      <c r="A9" s="12">
        <v>5</v>
      </c>
      <c r="B9" s="13" t="s">
        <v>143</v>
      </c>
      <c r="C9" s="13" t="s">
        <v>144</v>
      </c>
      <c r="D9" s="13" t="s">
        <v>145</v>
      </c>
      <c r="E9" s="35">
        <v>0.8</v>
      </c>
      <c r="G9" s="48" t="s">
        <v>167</v>
      </c>
      <c r="H9" s="49">
        <f>MIN(E5:E14)</f>
        <v>0.6</v>
      </c>
    </row>
    <row r="10" spans="1:8" ht="57.6" x14ac:dyDescent="0.3">
      <c r="A10" s="12">
        <v>6</v>
      </c>
      <c r="B10" s="13" t="s">
        <v>146</v>
      </c>
      <c r="C10" s="13" t="s">
        <v>147</v>
      </c>
      <c r="D10" s="13" t="s">
        <v>148</v>
      </c>
      <c r="E10" s="35">
        <v>1</v>
      </c>
      <c r="G10" s="50" t="s">
        <v>168</v>
      </c>
      <c r="H10" s="51" t="str">
        <f>INDEX(B5:B14,MATCH(MIN(E5:E14),E5:E14,0))</f>
        <v>No covet</v>
      </c>
    </row>
    <row r="11" spans="1:8" ht="72" x14ac:dyDescent="0.3">
      <c r="A11" s="12">
        <v>7</v>
      </c>
      <c r="B11" s="13" t="s">
        <v>149</v>
      </c>
      <c r="C11" s="13" t="s">
        <v>150</v>
      </c>
      <c r="D11" s="13" t="s">
        <v>151</v>
      </c>
      <c r="E11" s="35">
        <v>0.9</v>
      </c>
    </row>
    <row r="12" spans="1:8" ht="70.05" customHeight="1" x14ac:dyDescent="0.3">
      <c r="A12" s="12">
        <v>8</v>
      </c>
      <c r="B12" s="13" t="s">
        <v>152</v>
      </c>
      <c r="C12" s="13" t="s">
        <v>153</v>
      </c>
      <c r="D12" s="13" t="s">
        <v>154</v>
      </c>
      <c r="E12" s="35">
        <v>0.9</v>
      </c>
      <c r="G12" s="52" t="s">
        <v>169</v>
      </c>
    </row>
    <row r="13" spans="1:8" ht="57.6" x14ac:dyDescent="0.3">
      <c r="A13" s="12">
        <v>9</v>
      </c>
      <c r="B13" s="13" t="s">
        <v>155</v>
      </c>
      <c r="C13" s="13" t="s">
        <v>156</v>
      </c>
      <c r="D13" s="13" t="s">
        <v>157</v>
      </c>
      <c r="E13" s="35">
        <v>0.8</v>
      </c>
    </row>
    <row r="14" spans="1:8" ht="72" x14ac:dyDescent="0.3">
      <c r="A14" s="18">
        <v>10</v>
      </c>
      <c r="B14" s="19" t="s">
        <v>158</v>
      </c>
      <c r="C14" s="19" t="s">
        <v>159</v>
      </c>
      <c r="D14" s="19" t="s">
        <v>160</v>
      </c>
      <c r="E14" s="36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7386-AC8B-4FDD-924A-653D4174F091}">
  <dimension ref="A1:L18"/>
  <sheetViews>
    <sheetView workbookViewId="0"/>
  </sheetViews>
  <sheetFormatPr defaultRowHeight="14.4" x14ac:dyDescent="0.3"/>
  <cols>
    <col min="1" max="1" width="7.77734375" customWidth="1"/>
    <col min="2" max="2" width="27.77734375" customWidth="1"/>
    <col min="3" max="3" width="24.109375" customWidth="1"/>
    <col min="4" max="4" width="14.44140625" customWidth="1"/>
    <col min="5" max="5" width="11.44140625" customWidth="1"/>
    <col min="6" max="6" width="17.5546875" customWidth="1"/>
    <col min="7" max="7" width="19.44140625" customWidth="1"/>
    <col min="8" max="8" width="22.21875" customWidth="1"/>
    <col min="10" max="10" width="2.5546875" customWidth="1"/>
    <col min="11" max="11" width="27.77734375" customWidth="1"/>
    <col min="12" max="12" width="16.6640625" customWidth="1"/>
  </cols>
  <sheetData>
    <row r="1" spans="1:12" ht="19.8" x14ac:dyDescent="0.4">
      <c r="A1" s="2" t="s">
        <v>170</v>
      </c>
    </row>
    <row r="2" spans="1:12" ht="165.6" x14ac:dyDescent="0.3">
      <c r="A2" s="43" t="s">
        <v>171</v>
      </c>
    </row>
    <row r="4" spans="1:12" ht="43.2" x14ac:dyDescent="0.3">
      <c r="A4" s="31" t="s">
        <v>58</v>
      </c>
      <c r="B4" s="31" t="s">
        <v>172</v>
      </c>
      <c r="C4" s="31" t="s">
        <v>173</v>
      </c>
      <c r="D4" s="31" t="s">
        <v>174</v>
      </c>
      <c r="E4" s="31" t="s">
        <v>175</v>
      </c>
      <c r="F4" s="31" t="s">
        <v>176</v>
      </c>
      <c r="G4" s="31" t="s">
        <v>177</v>
      </c>
      <c r="H4" s="31" t="s">
        <v>178</v>
      </c>
      <c r="K4" s="63" t="s">
        <v>179</v>
      </c>
      <c r="L4" s="47"/>
    </row>
    <row r="5" spans="1:12" x14ac:dyDescent="0.3">
      <c r="A5" s="7">
        <v>1</v>
      </c>
      <c r="B5" s="56" t="str">
        <f>Fruits_Laws!B6</f>
        <v>Gravitation</v>
      </c>
      <c r="C5" s="56" t="str">
        <f>Fruits_Laws!C6</f>
        <v>Grace</v>
      </c>
      <c r="D5" s="53">
        <v>0.9</v>
      </c>
      <c r="E5" s="53">
        <v>0.05</v>
      </c>
      <c r="F5" s="7">
        <f>D6*D7*D8*D9*D10*D11*D12*D13</f>
        <v>0.19663560000000005</v>
      </c>
      <c r="G5" s="56" t="str">
        <f>INDEX(Fruits_Laws!$B$18:$B$26,MATCH(A5,Fruits_Laws!$D$18:$D$26,0))</f>
        <v>Patience</v>
      </c>
      <c r="H5" s="59">
        <f>$L$5*F5+E5</f>
        <v>0.24663560000000007</v>
      </c>
      <c r="K5" s="48" t="s">
        <v>180</v>
      </c>
      <c r="L5" s="64">
        <v>1</v>
      </c>
    </row>
    <row r="6" spans="1:12" x14ac:dyDescent="0.3">
      <c r="A6" s="8">
        <v>2</v>
      </c>
      <c r="B6" s="57" t="str">
        <f>Fruits_Laws!B7</f>
        <v>Mass–Energy</v>
      </c>
      <c r="C6" s="57" t="str">
        <f>Fruits_Laws!C7</f>
        <v>Meaning</v>
      </c>
      <c r="D6" s="54">
        <v>0.8</v>
      </c>
      <c r="E6" s="54">
        <v>0.05</v>
      </c>
      <c r="F6" s="8">
        <f>D5*D7*D8*D9*D10*D11*D12*D13</f>
        <v>0.22121505000000002</v>
      </c>
      <c r="G6" s="57" t="str">
        <f>INDEX(Fruits_Laws!$B$18:$B$26,MATCH(A6,Fruits_Laws!$D$18:$D$26,0))</f>
        <v>Self-control</v>
      </c>
      <c r="H6" s="60">
        <f>$L$5*F6+E6</f>
        <v>0.27121505000000001</v>
      </c>
      <c r="K6" s="48" t="s">
        <v>181</v>
      </c>
      <c r="L6" s="64">
        <v>1</v>
      </c>
    </row>
    <row r="7" spans="1:12" x14ac:dyDescent="0.3">
      <c r="A7" s="8">
        <v>3</v>
      </c>
      <c r="B7" s="57" t="str">
        <f>Fruits_Laws!B8</f>
        <v>Electromagnetism (Light)</v>
      </c>
      <c r="C7" s="57" t="str">
        <f>Fruits_Laws!C8</f>
        <v>Truth</v>
      </c>
      <c r="D7" s="54">
        <v>0.85</v>
      </c>
      <c r="E7" s="54">
        <v>0.05</v>
      </c>
      <c r="F7" s="8">
        <f>D5*D6*D8*D9*D10*D11*D12*D13</f>
        <v>0.20820240000000001</v>
      </c>
      <c r="G7" s="57" t="str">
        <f>INDEX(Fruits_Laws!$B$18:$B$26,MATCH(A7,Fruits_Laws!$D$18:$D$26,0))</f>
        <v>Joy</v>
      </c>
      <c r="H7" s="60">
        <f>$L$5*F7+E7</f>
        <v>0.2582024</v>
      </c>
      <c r="K7" s="48" t="s">
        <v>182</v>
      </c>
      <c r="L7" s="49">
        <f>L6*PRODUCT(D5:D13)</f>
        <v>0.17697204000000002</v>
      </c>
    </row>
    <row r="8" spans="1:12" x14ac:dyDescent="0.3">
      <c r="A8" s="8">
        <v>4</v>
      </c>
      <c r="B8" s="57" t="str">
        <f>Fruits_Laws!B9</f>
        <v>Strong Force</v>
      </c>
      <c r="C8" s="57" t="str">
        <f>Fruits_Laws!C9</f>
        <v>Love</v>
      </c>
      <c r="D8" s="54">
        <v>0.7</v>
      </c>
      <c r="E8" s="54">
        <v>0.05</v>
      </c>
      <c r="F8" s="8">
        <f>D5*D6*D7*D9*D10*D11*D12*D13</f>
        <v>0.25281720000000008</v>
      </c>
      <c r="G8" s="57" t="str">
        <f>INDEX(Fruits_Laws!$B$18:$B$26,MATCH(A8,Fruits_Laws!$D$18:$D$26,0))</f>
        <v>Love</v>
      </c>
      <c r="H8" s="60">
        <f>$L$5*F8+E8</f>
        <v>0.30281720000000006</v>
      </c>
      <c r="K8" s="48" t="s">
        <v>183</v>
      </c>
      <c r="L8" s="49">
        <f>SQRT(SUMSQ(F5:F13))</f>
        <v>0.64819772819120836</v>
      </c>
    </row>
    <row r="9" spans="1:12" x14ac:dyDescent="0.3">
      <c r="A9" s="8">
        <v>5</v>
      </c>
      <c r="B9" s="57" t="str">
        <f>Fruits_Laws!B10</f>
        <v>Thermodynamics</v>
      </c>
      <c r="C9" s="57" t="str">
        <f>Fruits_Laws!C10</f>
        <v>Judgment</v>
      </c>
      <c r="D9" s="54">
        <v>0.9</v>
      </c>
      <c r="E9" s="54">
        <v>0.05</v>
      </c>
      <c r="F9" s="8">
        <f>D5*D6*D7*D8*D10*D11*D12*D13</f>
        <v>0.19663560000000005</v>
      </c>
      <c r="G9" s="57" t="str">
        <f>INDEX(Fruits_Laws!$B$18:$B$26,MATCH(A9,Fruits_Laws!$D$18:$D$26,0))</f>
        <v>Peace</v>
      </c>
      <c r="H9" s="60">
        <f>$L$5*F9+E9</f>
        <v>0.24663560000000007</v>
      </c>
      <c r="K9" s="48" t="s">
        <v>184</v>
      </c>
      <c r="L9" s="49">
        <f>AVERAGE(H5:H13)</f>
        <v>0.26528018000000003</v>
      </c>
    </row>
    <row r="10" spans="1:12" x14ac:dyDescent="0.3">
      <c r="A10" s="8">
        <v>6</v>
      </c>
      <c r="B10" s="57" t="str">
        <f>Fruits_Laws!B11</f>
        <v>Logos</v>
      </c>
      <c r="C10" s="57" t="str">
        <f>Fruits_Laws!C11</f>
        <v>Information</v>
      </c>
      <c r="D10" s="54">
        <v>0.8</v>
      </c>
      <c r="E10" s="54">
        <v>0.05</v>
      </c>
      <c r="F10" s="8">
        <f>D5*D6*D7*D8*D9*D11*D12*D13</f>
        <v>0.22121505000000002</v>
      </c>
      <c r="G10" s="57" t="str">
        <f>INDEX(Fruits_Laws!$B$18:$B$26,MATCH(A10,Fruits_Laws!$D$18:$D$26,0))</f>
        <v>Kindness</v>
      </c>
      <c r="H10" s="60">
        <f>$L$5*F10+E10</f>
        <v>0.27121505000000001</v>
      </c>
      <c r="K10" s="48" t="s">
        <v>185</v>
      </c>
      <c r="L10" s="49">
        <f>MIN(D5:D13)</f>
        <v>0.7</v>
      </c>
    </row>
    <row r="11" spans="1:12" x14ac:dyDescent="0.3">
      <c r="A11" s="8">
        <v>7</v>
      </c>
      <c r="B11" s="57" t="str">
        <f>Fruits_Laws!B12</f>
        <v>Relativity</v>
      </c>
      <c r="C11" s="57" t="str">
        <f>Fruits_Laws!C12</f>
        <v>Grace-Frame</v>
      </c>
      <c r="D11" s="54">
        <v>0.75</v>
      </c>
      <c r="E11" s="54">
        <v>0.05</v>
      </c>
      <c r="F11" s="8">
        <f>D5*D6*D7*D8*D9*D10*D12*D13</f>
        <v>0.23596272000000004</v>
      </c>
      <c r="G11" s="57" t="str">
        <f>INDEX(Fruits_Laws!$B$18:$B$26,MATCH(A11,Fruits_Laws!$D$18:$D$26,0))</f>
        <v>Gentleness</v>
      </c>
      <c r="H11" s="60">
        <f>$L$5*F11+E11</f>
        <v>0.28596272000000006</v>
      </c>
      <c r="K11" s="50" t="s">
        <v>186</v>
      </c>
      <c r="L11" s="51" t="str">
        <f>INDEX(G5:G13,MATCH(MIN(D5:D13),D5:D13,0))</f>
        <v>Love</v>
      </c>
    </row>
    <row r="12" spans="1:12" x14ac:dyDescent="0.3">
      <c r="A12" s="8">
        <v>8</v>
      </c>
      <c r="B12" s="57" t="str">
        <f>Fruits_Laws!B13</f>
        <v>Quantum</v>
      </c>
      <c r="C12" s="57" t="str">
        <f>Fruits_Laws!C13</f>
        <v>Faith</v>
      </c>
      <c r="D12" s="54">
        <v>0.85</v>
      </c>
      <c r="E12" s="54">
        <v>0.05</v>
      </c>
      <c r="F12" s="8">
        <f>D5*D6*D7*D8*D9*D10*D11*D13</f>
        <v>0.20820240000000004</v>
      </c>
      <c r="G12" s="57" t="str">
        <f>INDEX(Fruits_Laws!$B$18:$B$26,MATCH(A12,Fruits_Laws!$D$18:$D$26,0))</f>
        <v>Faithfulness</v>
      </c>
      <c r="H12" s="60">
        <f>$L$5*F12+E12</f>
        <v>0.25820240000000005</v>
      </c>
    </row>
    <row r="13" spans="1:12" x14ac:dyDescent="0.3">
      <c r="A13" s="9">
        <v>9</v>
      </c>
      <c r="B13" s="58" t="str">
        <f>Fruits_Laws!B14</f>
        <v>Weak Force</v>
      </c>
      <c r="C13" s="58" t="str">
        <f>Fruits_Laws!C14</f>
        <v>Moral Conservation</v>
      </c>
      <c r="D13" s="55">
        <v>0.9</v>
      </c>
      <c r="E13" s="55">
        <v>0.05</v>
      </c>
      <c r="F13" s="9">
        <f>D5*D6*D7*D8*D9*D10*D11*D12</f>
        <v>0.19663560000000002</v>
      </c>
      <c r="G13" s="58" t="str">
        <f>INDEX(Fruits_Laws!$B$18:$B$26,MATCH(A13,Fruits_Laws!$D$18:$D$26,0))</f>
        <v>Goodness</v>
      </c>
      <c r="H13" s="61">
        <f>$L$5*F13+E13</f>
        <v>0.24663560000000001</v>
      </c>
    </row>
    <row r="15" spans="1:12" ht="15.6" x14ac:dyDescent="0.3">
      <c r="A15" s="5" t="s">
        <v>187</v>
      </c>
    </row>
    <row r="16" spans="1:12" ht="30" customHeight="1" x14ac:dyDescent="0.3">
      <c r="A16" s="42" t="s">
        <v>188</v>
      </c>
    </row>
    <row r="17" spans="1:1" ht="43.95" customHeight="1" x14ac:dyDescent="0.3">
      <c r="A17" s="42" t="s">
        <v>189</v>
      </c>
    </row>
    <row r="18" spans="1:1" ht="43.95" customHeight="1" x14ac:dyDescent="0.3">
      <c r="A18" s="42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C82B-03BF-4451-AFF5-57332E5214FE}">
  <dimension ref="A1:L45"/>
  <sheetViews>
    <sheetView workbookViewId="0"/>
  </sheetViews>
  <sheetFormatPr defaultRowHeight="14.4" x14ac:dyDescent="0.3"/>
  <cols>
    <col min="1" max="1" width="31.44140625" customWidth="1"/>
    <col min="2" max="9" width="11.88671875" customWidth="1"/>
    <col min="10" max="10" width="2.5546875" customWidth="1"/>
    <col min="11" max="11" width="13" customWidth="1"/>
    <col min="12" max="12" width="8.5546875" customWidth="1"/>
  </cols>
  <sheetData>
    <row r="1" spans="1:9" ht="19.8" x14ac:dyDescent="0.4">
      <c r="A1" s="2" t="s">
        <v>191</v>
      </c>
    </row>
    <row r="2" spans="1:9" ht="386.4" x14ac:dyDescent="0.3">
      <c r="A2" s="43" t="s">
        <v>192</v>
      </c>
    </row>
    <row r="4" spans="1:9" ht="15.6" x14ac:dyDescent="0.3">
      <c r="A4" s="5" t="s">
        <v>193</v>
      </c>
    </row>
    <row r="5" spans="1:9" x14ac:dyDescent="0.3">
      <c r="A5" s="6" t="s">
        <v>194</v>
      </c>
      <c r="B5" s="6" t="s">
        <v>195</v>
      </c>
      <c r="C5" s="6" t="s">
        <v>196</v>
      </c>
      <c r="D5" s="6" t="s">
        <v>197</v>
      </c>
      <c r="E5" s="6" t="s">
        <v>198</v>
      </c>
      <c r="F5" s="6" t="s">
        <v>199</v>
      </c>
      <c r="G5" s="6" t="s">
        <v>200</v>
      </c>
      <c r="H5" s="6" t="s">
        <v>201</v>
      </c>
      <c r="I5" s="6" t="s">
        <v>202</v>
      </c>
    </row>
    <row r="6" spans="1:9" x14ac:dyDescent="0.3">
      <c r="A6" s="1" t="s">
        <v>203</v>
      </c>
      <c r="B6" s="65">
        <v>1</v>
      </c>
      <c r="C6" s="65">
        <v>0</v>
      </c>
      <c r="D6" s="65">
        <v>0</v>
      </c>
      <c r="E6" s="65">
        <v>0</v>
      </c>
      <c r="F6" s="65">
        <v>0</v>
      </c>
      <c r="G6" s="65">
        <v>0.2</v>
      </c>
      <c r="H6" s="65">
        <v>0</v>
      </c>
      <c r="I6" s="65">
        <v>0.1</v>
      </c>
    </row>
    <row r="7" spans="1:9" x14ac:dyDescent="0.3">
      <c r="A7" s="1" t="s">
        <v>204</v>
      </c>
      <c r="B7" s="65">
        <v>0</v>
      </c>
      <c r="C7" s="65">
        <v>1</v>
      </c>
      <c r="D7" s="65">
        <v>0</v>
      </c>
      <c r="E7" s="65">
        <v>0</v>
      </c>
      <c r="F7" s="65">
        <v>0</v>
      </c>
      <c r="G7" s="65">
        <v>0</v>
      </c>
      <c r="H7" s="65">
        <v>0.3</v>
      </c>
      <c r="I7" s="65">
        <v>0.2</v>
      </c>
    </row>
    <row r="8" spans="1:9" x14ac:dyDescent="0.3">
      <c r="A8" s="1" t="s">
        <v>62</v>
      </c>
      <c r="B8" s="65">
        <v>0</v>
      </c>
      <c r="C8" s="65">
        <v>0</v>
      </c>
      <c r="D8" s="65">
        <v>1</v>
      </c>
      <c r="E8" s="65">
        <v>0.2</v>
      </c>
      <c r="F8" s="65">
        <v>0.3</v>
      </c>
      <c r="G8" s="65">
        <v>0</v>
      </c>
      <c r="H8" s="65">
        <v>0</v>
      </c>
      <c r="I8" s="65">
        <v>0</v>
      </c>
    </row>
    <row r="9" spans="1:9" x14ac:dyDescent="0.3">
      <c r="A9" s="1" t="s">
        <v>24</v>
      </c>
      <c r="B9" s="65">
        <v>0.2</v>
      </c>
      <c r="C9" s="65">
        <v>0</v>
      </c>
      <c r="D9" s="65">
        <v>0</v>
      </c>
      <c r="E9" s="65">
        <v>1</v>
      </c>
      <c r="F9" s="65">
        <v>0.3</v>
      </c>
      <c r="G9" s="65">
        <v>0</v>
      </c>
      <c r="H9" s="65">
        <v>0</v>
      </c>
      <c r="I9" s="65">
        <v>0</v>
      </c>
    </row>
    <row r="10" spans="1:9" x14ac:dyDescent="0.3">
      <c r="A10" s="1" t="s">
        <v>205</v>
      </c>
      <c r="B10" s="65">
        <v>0</v>
      </c>
      <c r="C10" s="65">
        <v>0</v>
      </c>
      <c r="D10" s="65">
        <v>0.2</v>
      </c>
      <c r="E10" s="65">
        <v>0.2</v>
      </c>
      <c r="F10" s="65">
        <v>1</v>
      </c>
      <c r="G10" s="65">
        <v>0</v>
      </c>
      <c r="H10" s="65">
        <v>0</v>
      </c>
      <c r="I10" s="65">
        <v>0</v>
      </c>
    </row>
    <row r="11" spans="1:9" x14ac:dyDescent="0.3">
      <c r="A11" s="1" t="s">
        <v>206</v>
      </c>
      <c r="B11" s="65">
        <v>0</v>
      </c>
      <c r="C11" s="65">
        <v>0</v>
      </c>
      <c r="D11" s="65">
        <v>0</v>
      </c>
      <c r="E11" s="65">
        <v>0</v>
      </c>
      <c r="F11" s="65">
        <v>0.3</v>
      </c>
      <c r="G11" s="65">
        <v>1</v>
      </c>
      <c r="H11" s="65">
        <v>0.2</v>
      </c>
      <c r="I11" s="65">
        <v>0</v>
      </c>
    </row>
    <row r="12" spans="1:9" x14ac:dyDescent="0.3">
      <c r="A12" s="1" t="s">
        <v>207</v>
      </c>
      <c r="B12" s="65">
        <v>0</v>
      </c>
      <c r="C12" s="65">
        <v>0.3</v>
      </c>
      <c r="D12" s="65">
        <v>0</v>
      </c>
      <c r="E12" s="65">
        <v>0</v>
      </c>
      <c r="F12" s="65">
        <v>0</v>
      </c>
      <c r="G12" s="65">
        <v>0.2</v>
      </c>
      <c r="H12" s="65">
        <v>1</v>
      </c>
      <c r="I12" s="65">
        <v>0</v>
      </c>
    </row>
    <row r="13" spans="1:9" x14ac:dyDescent="0.3">
      <c r="A13" s="1" t="s">
        <v>208</v>
      </c>
      <c r="B13" s="65">
        <v>0</v>
      </c>
      <c r="C13" s="65">
        <v>0.2</v>
      </c>
      <c r="D13" s="65">
        <v>0</v>
      </c>
      <c r="E13" s="65">
        <v>0.2</v>
      </c>
      <c r="F13" s="65">
        <v>0</v>
      </c>
      <c r="G13" s="65">
        <v>0</v>
      </c>
      <c r="H13" s="65">
        <v>0.2</v>
      </c>
      <c r="I13" s="65">
        <v>1</v>
      </c>
    </row>
    <row r="15" spans="1:9" ht="15.6" x14ac:dyDescent="0.3">
      <c r="A15" s="5" t="s">
        <v>209</v>
      </c>
    </row>
    <row r="16" spans="1:9" x14ac:dyDescent="0.3">
      <c r="A16" s="6" t="s">
        <v>210</v>
      </c>
      <c r="B16" s="6" t="s">
        <v>195</v>
      </c>
      <c r="C16" s="6" t="s">
        <v>196</v>
      </c>
      <c r="D16" s="6" t="s">
        <v>197</v>
      </c>
      <c r="E16" s="6" t="s">
        <v>198</v>
      </c>
      <c r="F16" s="6" t="s">
        <v>199</v>
      </c>
      <c r="G16" s="6" t="s">
        <v>200</v>
      </c>
      <c r="H16" s="6" t="s">
        <v>201</v>
      </c>
      <c r="I16" s="6" t="s">
        <v>202</v>
      </c>
    </row>
    <row r="17" spans="1:12" x14ac:dyDescent="0.3">
      <c r="A17" s="1" t="s">
        <v>211</v>
      </c>
      <c r="B17" s="65">
        <v>1</v>
      </c>
      <c r="C17" s="65">
        <v>0</v>
      </c>
      <c r="D17" s="65">
        <v>0</v>
      </c>
      <c r="E17" s="65">
        <v>0.1</v>
      </c>
      <c r="F17" s="65">
        <v>0</v>
      </c>
      <c r="G17" s="65">
        <v>0.2</v>
      </c>
      <c r="H17" s="65">
        <v>0</v>
      </c>
      <c r="I17" s="65">
        <v>0</v>
      </c>
    </row>
    <row r="18" spans="1:12" x14ac:dyDescent="0.3">
      <c r="A18" s="1" t="s">
        <v>212</v>
      </c>
      <c r="B18" s="65">
        <v>0</v>
      </c>
      <c r="C18" s="65">
        <v>1</v>
      </c>
      <c r="D18" s="65">
        <v>0</v>
      </c>
      <c r="E18" s="65">
        <v>0</v>
      </c>
      <c r="F18" s="65">
        <v>0</v>
      </c>
      <c r="G18" s="65">
        <v>0</v>
      </c>
      <c r="H18" s="65">
        <v>0.3</v>
      </c>
      <c r="I18" s="65">
        <v>0.2</v>
      </c>
    </row>
    <row r="19" spans="1:12" x14ac:dyDescent="0.3">
      <c r="A19" s="1" t="s">
        <v>213</v>
      </c>
      <c r="B19" s="65">
        <v>0</v>
      </c>
      <c r="C19" s="65">
        <v>0</v>
      </c>
      <c r="D19" s="65">
        <v>1</v>
      </c>
      <c r="E19" s="65">
        <v>0.2</v>
      </c>
      <c r="F19" s="65">
        <v>0.3</v>
      </c>
      <c r="G19" s="65">
        <v>0</v>
      </c>
      <c r="H19" s="65">
        <v>0</v>
      </c>
      <c r="I19" s="65">
        <v>0</v>
      </c>
    </row>
    <row r="20" spans="1:12" x14ac:dyDescent="0.3">
      <c r="A20" s="1" t="s">
        <v>214</v>
      </c>
      <c r="B20" s="65">
        <v>0.2</v>
      </c>
      <c r="C20" s="65">
        <v>0</v>
      </c>
      <c r="D20" s="65">
        <v>0.1</v>
      </c>
      <c r="E20" s="65">
        <v>1</v>
      </c>
      <c r="F20" s="65">
        <v>0.2</v>
      </c>
      <c r="G20" s="65">
        <v>0</v>
      </c>
      <c r="H20" s="65">
        <v>0</v>
      </c>
      <c r="I20" s="65">
        <v>0</v>
      </c>
    </row>
    <row r="21" spans="1:12" x14ac:dyDescent="0.3">
      <c r="A21" s="1" t="s">
        <v>215</v>
      </c>
      <c r="B21" s="65">
        <v>0</v>
      </c>
      <c r="C21" s="65">
        <v>0</v>
      </c>
      <c r="D21" s="65">
        <v>0.2</v>
      </c>
      <c r="E21" s="65">
        <v>0.2</v>
      </c>
      <c r="F21" s="65">
        <v>1</v>
      </c>
      <c r="G21" s="65">
        <v>0.1</v>
      </c>
      <c r="H21" s="65">
        <v>0</v>
      </c>
      <c r="I21" s="65">
        <v>0</v>
      </c>
    </row>
    <row r="22" spans="1:12" x14ac:dyDescent="0.3">
      <c r="A22" s="1" t="s">
        <v>216</v>
      </c>
      <c r="B22" s="65">
        <v>0</v>
      </c>
      <c r="C22" s="65">
        <v>0</v>
      </c>
      <c r="D22" s="65">
        <v>0</v>
      </c>
      <c r="E22" s="65">
        <v>0</v>
      </c>
      <c r="F22" s="65">
        <v>0.3</v>
      </c>
      <c r="G22" s="65">
        <v>1</v>
      </c>
      <c r="H22" s="65">
        <v>0.2</v>
      </c>
      <c r="I22" s="65">
        <v>0</v>
      </c>
    </row>
    <row r="23" spans="1:12" x14ac:dyDescent="0.3">
      <c r="A23" s="1" t="s">
        <v>217</v>
      </c>
      <c r="B23" s="65">
        <v>0</v>
      </c>
      <c r="C23" s="65">
        <v>0.3</v>
      </c>
      <c r="D23" s="65">
        <v>0</v>
      </c>
      <c r="E23" s="65">
        <v>0</v>
      </c>
      <c r="F23" s="65">
        <v>0</v>
      </c>
      <c r="G23" s="65">
        <v>0.2</v>
      </c>
      <c r="H23" s="65">
        <v>1</v>
      </c>
      <c r="I23" s="65">
        <v>0</v>
      </c>
    </row>
    <row r="24" spans="1:12" x14ac:dyDescent="0.3">
      <c r="A24" s="1" t="s">
        <v>218</v>
      </c>
      <c r="B24" s="65">
        <v>0</v>
      </c>
      <c r="C24" s="65">
        <v>0.2</v>
      </c>
      <c r="D24" s="65">
        <v>0</v>
      </c>
      <c r="E24" s="65">
        <v>0.1</v>
      </c>
      <c r="F24" s="65">
        <v>0</v>
      </c>
      <c r="G24" s="65">
        <v>0</v>
      </c>
      <c r="H24" s="65">
        <v>0.2</v>
      </c>
      <c r="I24" s="65">
        <v>1</v>
      </c>
    </row>
    <row r="26" spans="1:12" ht="15.6" x14ac:dyDescent="0.3">
      <c r="A26" s="5" t="s">
        <v>219</v>
      </c>
    </row>
    <row r="27" spans="1:12" x14ac:dyDescent="0.3">
      <c r="A27" s="6" t="s">
        <v>220</v>
      </c>
      <c r="B27" s="6" t="s">
        <v>221</v>
      </c>
      <c r="C27" s="6" t="s">
        <v>222</v>
      </c>
      <c r="D27" s="6" t="s">
        <v>223</v>
      </c>
      <c r="E27" s="6" t="s">
        <v>224</v>
      </c>
      <c r="F27" s="6" t="s">
        <v>225</v>
      </c>
      <c r="G27" s="6" t="s">
        <v>226</v>
      </c>
      <c r="H27" s="6" t="s">
        <v>227</v>
      </c>
      <c r="I27" s="6" t="s">
        <v>228</v>
      </c>
      <c r="K27" s="1" t="s">
        <v>229</v>
      </c>
      <c r="L27" s="1" t="s">
        <v>230</v>
      </c>
    </row>
    <row r="28" spans="1:12" x14ac:dyDescent="0.3">
      <c r="A28" s="66" t="str">
        <f>A6</f>
        <v>I AM</v>
      </c>
      <c r="B28" s="24">
        <f>SUMPRODUCT(B6:I6,B17:I17)/(SQRT(SUMSQ(B6:I6))*SQRT(SUMSQ(B17:I17)))</f>
        <v>0.99047619047619029</v>
      </c>
      <c r="C28" s="24">
        <f>SUMPRODUCT(B6:I6,B18:I18)/(SQRT(SUMSQ(B6:I6))*SQRT(SUMSQ(B18:I18)))</f>
        <v>1.8360991281595199E-2</v>
      </c>
      <c r="D28" s="24">
        <f>SUMPRODUCT(B6:I6,B19:I19)/(SQRT(SUMSQ(B6:I6))*SQRT(SUMSQ(B19:I19)))</f>
        <v>0</v>
      </c>
      <c r="E28" s="24">
        <f>SUMPRODUCT(B6:I6,B20:I20)/(SQRT(SUMSQ(B6:I6))*SQRT(SUMSQ(B20:I20)))</f>
        <v>0.18694854832386884</v>
      </c>
      <c r="F28" s="24">
        <f>SUMPRODUCT(B6:I6,B21:I21)/(SQRT(SUMSQ(B6:I6))*SQRT(SUMSQ(B21:I21)))</f>
        <v>1.8694854832386885E-2</v>
      </c>
      <c r="G28" s="24">
        <f>SUMPRODUCT(B6:I6,B22:I22)/(SQRT(SUMSQ(B6:I6))*SQRT(SUMSQ(B22:I22)))</f>
        <v>0.18360991281595199</v>
      </c>
      <c r="H28" s="24">
        <f>SUMPRODUCT(B6:I6,B23:I23)/(SQRT(SUMSQ(B6:I6))*SQRT(SUMSQ(B23:I23)))</f>
        <v>3.6721982563190418E-2</v>
      </c>
      <c r="I28" s="24">
        <f>SUMPRODUCT(B6:I6,B24:I24)/(SQRT(SUMSQ(B6:I6))*SQRT(SUMSQ(B24:I24)))</f>
        <v>9.347427416193442E-2</v>
      </c>
      <c r="K28" s="24">
        <f>MATCH(MAX(B28:I28),B28:I28,0)</f>
        <v>1</v>
      </c>
      <c r="L28" s="24">
        <f>IF(K28=ROW()-27,1,0)</f>
        <v>1</v>
      </c>
    </row>
    <row r="29" spans="1:12" x14ac:dyDescent="0.3">
      <c r="A29" s="66" t="str">
        <f>A7</f>
        <v>Commandments</v>
      </c>
      <c r="B29" s="24">
        <f>SUMPRODUCT(B7:I7,B17:I17)/(SQRT(SUMSQ(B7:I7))*SQRT(SUMSQ(B17:I17)))</f>
        <v>0</v>
      </c>
      <c r="C29" s="24">
        <f>SUMPRODUCT(B7:I7,B18:I18)/(SQRT(SUMSQ(B7:I7))*SQRT(SUMSQ(B18:I18)))</f>
        <v>1</v>
      </c>
      <c r="D29" s="24">
        <f>SUMPRODUCT(B7:I7,B19:I19)/(SQRT(SUMSQ(B7:I7))*SQRT(SUMSQ(B19:I19)))</f>
        <v>0</v>
      </c>
      <c r="E29" s="24">
        <f>SUMPRODUCT(B7:I7,B20:I20)/(SQRT(SUMSQ(B7:I7))*SQRT(SUMSQ(B20:I20)))</f>
        <v>0</v>
      </c>
      <c r="F29" s="24">
        <f>SUMPRODUCT(B7:I7,B21:I21)/(SQRT(SUMSQ(B7:I7))*SQRT(SUMSQ(B21:I21)))</f>
        <v>0</v>
      </c>
      <c r="G29" s="24">
        <f>SUMPRODUCT(B7:I7,B22:I22)/(SQRT(SUMSQ(B7:I7))*SQRT(SUMSQ(B22:I22)))</f>
        <v>5.3097345132743355E-2</v>
      </c>
      <c r="H29" s="24">
        <f>SUMPRODUCT(B7:I7,B23:I23)/(SQRT(SUMSQ(B7:I7))*SQRT(SUMSQ(B23:I23)))</f>
        <v>0.53097345132743368</v>
      </c>
      <c r="I29" s="24">
        <f>SUMPRODUCT(B7:I7,B24:I24)/(SQRT(SUMSQ(B7:I7))*SQRT(SUMSQ(B24:I24)))</f>
        <v>0.41448170040518323</v>
      </c>
      <c r="K29" s="24">
        <f>MATCH(MAX(B29:I29),B29:I29,0)</f>
        <v>2</v>
      </c>
      <c r="L29" s="24">
        <f>IF(K29=ROW()-27,1,0)</f>
        <v>1</v>
      </c>
    </row>
    <row r="30" spans="1:12" x14ac:dyDescent="0.3">
      <c r="A30" s="66" t="str">
        <f>A8</f>
        <v>Grace</v>
      </c>
      <c r="B30" s="24">
        <f>SUMPRODUCT(B8:I8,B17:I17)/(SQRT(SUMSQ(B8:I8))*SQRT(SUMSQ(B17:I17)))</f>
        <v>1.8360991281595199E-2</v>
      </c>
      <c r="C30" s="24">
        <f>SUMPRODUCT(B8:I8,B18:I18)/(SQRT(SUMSQ(B8:I8))*SQRT(SUMSQ(B18:I18)))</f>
        <v>0</v>
      </c>
      <c r="D30" s="24">
        <f>SUMPRODUCT(B8:I8,B19:I19)/(SQRT(SUMSQ(B8:I8))*SQRT(SUMSQ(B19:I19)))</f>
        <v>1</v>
      </c>
      <c r="E30" s="24">
        <f>SUMPRODUCT(B8:I8,B20:I20)/(SQRT(SUMSQ(B8:I8))*SQRT(SUMSQ(B20:I20)))</f>
        <v>0.32437698292579559</v>
      </c>
      <c r="F30" s="24">
        <f>SUMPRODUCT(B8:I8,B21:I21)/(SQRT(SUMSQ(B8:I8))*SQRT(SUMSQ(B21:I21)))</f>
        <v>0.48656547438869335</v>
      </c>
      <c r="G30" s="24">
        <f>SUMPRODUCT(B8:I8,B22:I22)/(SQRT(SUMSQ(B8:I8))*SQRT(SUMSQ(B22:I22)))</f>
        <v>7.9646017699115029E-2</v>
      </c>
      <c r="H30" s="24">
        <f>SUMPRODUCT(B8:I8,B23:I23)/(SQRT(SUMSQ(B8:I8))*SQRT(SUMSQ(B23:I23)))</f>
        <v>0</v>
      </c>
      <c r="I30" s="24">
        <f>SUMPRODUCT(B8:I8,B24:I24)/(SQRT(SUMSQ(B8:I8))*SQRT(SUMSQ(B24:I24)))</f>
        <v>1.8020943495877535E-2</v>
      </c>
      <c r="K30" s="24">
        <f>MATCH(MAX(B30:I30),B30:I30,0)</f>
        <v>3</v>
      </c>
      <c r="L30" s="24">
        <f>IF(K30=ROW()-27,1,0)</f>
        <v>1</v>
      </c>
    </row>
    <row r="31" spans="1:12" x14ac:dyDescent="0.3">
      <c r="A31" s="66" t="str">
        <f>A9</f>
        <v>Beatitudes</v>
      </c>
      <c r="B31" s="24">
        <f>SUMPRODUCT(B9:I9,B17:I17)/(SQRT(SUMSQ(B9:I9))*SQRT(SUMSQ(B17:I17)))</f>
        <v>0.27541486922392799</v>
      </c>
      <c r="C31" s="24">
        <f>SUMPRODUCT(B9:I9,B18:I18)/(SQRT(SUMSQ(B9:I9))*SQRT(SUMSQ(B18:I18)))</f>
        <v>0</v>
      </c>
      <c r="D31" s="24">
        <f>SUMPRODUCT(B9:I9,B19:I19)/(SQRT(SUMSQ(B9:I9))*SQRT(SUMSQ(B19:I19)))</f>
        <v>0.25663716814159293</v>
      </c>
      <c r="E31" s="24">
        <f>SUMPRODUCT(B9:I9,B20:I20)/(SQRT(SUMSQ(B9:I9))*SQRT(SUMSQ(B20:I20)))</f>
        <v>0.99115189227326428</v>
      </c>
      <c r="F31" s="24">
        <f>SUMPRODUCT(B9:I9,B21:I21)/(SQRT(SUMSQ(B9:I9))*SQRT(SUMSQ(B21:I21)))</f>
        <v>0.45052358739693826</v>
      </c>
      <c r="G31" s="24">
        <f>SUMPRODUCT(B9:I9,B22:I22)/(SQRT(SUMSQ(B9:I9))*SQRT(SUMSQ(B22:I22)))</f>
        <v>7.9646017699115029E-2</v>
      </c>
      <c r="H31" s="24">
        <f>SUMPRODUCT(B9:I9,B23:I23)/(SQRT(SUMSQ(B9:I9))*SQRT(SUMSQ(B23:I23)))</f>
        <v>0</v>
      </c>
      <c r="I31" s="24">
        <f>SUMPRODUCT(B9:I9,B24:I24)/(SQRT(SUMSQ(B9:I9))*SQRT(SUMSQ(B24:I24)))</f>
        <v>9.0104717479387655E-2</v>
      </c>
      <c r="K31" s="24">
        <f>MATCH(MAX(B31:I31),B31:I31,0)</f>
        <v>4</v>
      </c>
      <c r="L31" s="24">
        <f>IF(K31=ROW()-27,1,0)</f>
        <v>1</v>
      </c>
    </row>
    <row r="32" spans="1:12" x14ac:dyDescent="0.3">
      <c r="A32" s="66" t="str">
        <f>A10</f>
        <v>Fruits</v>
      </c>
      <c r="B32" s="24">
        <f>SUMPRODUCT(B10:I10,B17:I17)/(SQRT(SUMSQ(B10:I10))*SQRT(SUMSQ(B17:I17)))</f>
        <v>1.8781205660633703E-2</v>
      </c>
      <c r="C32" s="24">
        <f>SUMPRODUCT(B10:I10,B18:I18)/(SQRT(SUMSQ(B10:I10))*SQRT(SUMSQ(B18:I18)))</f>
        <v>0</v>
      </c>
      <c r="D32" s="24">
        <f>SUMPRODUCT(B10:I10,B19:I19)/(SQRT(SUMSQ(B10:I10))*SQRT(SUMSQ(B19:I19)))</f>
        <v>0.48881290193421145</v>
      </c>
      <c r="E32" s="24">
        <f>SUMPRODUCT(B10:I10,B20:I20)/(SQRT(SUMSQ(B10:I10))*SQRT(SUMSQ(B20:I20)))</f>
        <v>0.38710088452653169</v>
      </c>
      <c r="F32" s="24">
        <f>SUMPRODUCT(B10:I10,B21:I21)/(SQRT(SUMSQ(B10:I10))*SQRT(SUMSQ(B21:I21)))</f>
        <v>0.99540227449679575</v>
      </c>
      <c r="G32" s="24">
        <f>SUMPRODUCT(B10:I10,B22:I22)/(SQRT(SUMSQ(B10:I10))*SQRT(SUMSQ(B22:I22)))</f>
        <v>0.2715627232967841</v>
      </c>
      <c r="H32" s="24">
        <f>SUMPRODUCT(B10:I10,B23:I23)/(SQRT(SUMSQ(B10:I10))*SQRT(SUMSQ(B23:I23)))</f>
        <v>0</v>
      </c>
      <c r="I32" s="24">
        <f>SUMPRODUCT(B10:I10,B24:I24)/(SQRT(SUMSQ(B10:I10))*SQRT(SUMSQ(B24:I24)))</f>
        <v>1.8433375453644367E-2</v>
      </c>
      <c r="K32" s="24">
        <f>MATCH(MAX(B32:I32),B32:I32,0)</f>
        <v>5</v>
      </c>
      <c r="L32" s="24">
        <f>IF(K32=ROW()-27,1,0)</f>
        <v>1</v>
      </c>
    </row>
    <row r="33" spans="1:12" x14ac:dyDescent="0.3">
      <c r="A33" s="66" t="str">
        <f>A11</f>
        <v>Gifts</v>
      </c>
      <c r="B33" s="24">
        <f>SUMPRODUCT(B11:I11,B17:I17)/(SQRT(SUMSQ(B11:I11))*SQRT(SUMSQ(B17:I17)))</f>
        <v>0.18360991281595199</v>
      </c>
      <c r="C33" s="24">
        <f>SUMPRODUCT(B11:I11,B18:I18)/(SQRT(SUMSQ(B11:I11))*SQRT(SUMSQ(B18:I18)))</f>
        <v>5.3097345132743355E-2</v>
      </c>
      <c r="D33" s="24">
        <f>SUMPRODUCT(B11:I11,B19:I19)/(SQRT(SUMSQ(B11:I11))*SQRT(SUMSQ(B19:I19)))</f>
        <v>7.9646017699115029E-2</v>
      </c>
      <c r="E33" s="24">
        <f>SUMPRODUCT(B11:I11,B20:I20)/(SQRT(SUMSQ(B11:I11))*SQRT(SUMSQ(B20:I20)))</f>
        <v>5.4062830487632586E-2</v>
      </c>
      <c r="F33" s="24">
        <f>SUMPRODUCT(B11:I11,B21:I21)/(SQRT(SUMSQ(B11:I11))*SQRT(SUMSQ(B21:I21)))</f>
        <v>0.36041886991755062</v>
      </c>
      <c r="G33" s="24">
        <f>SUMPRODUCT(B11:I11,B22:I22)/(SQRT(SUMSQ(B11:I11))*SQRT(SUMSQ(B22:I22)))</f>
        <v>1</v>
      </c>
      <c r="H33" s="24">
        <f>SUMPRODUCT(B11:I11,B23:I23)/(SQRT(SUMSQ(B11:I11))*SQRT(SUMSQ(B23:I23)))</f>
        <v>0.3539823008849558</v>
      </c>
      <c r="I33" s="24">
        <f>SUMPRODUCT(B11:I11,B24:I24)/(SQRT(SUMSQ(B11:I11))*SQRT(SUMSQ(B24:I24)))</f>
        <v>3.6041886991755069E-2</v>
      </c>
      <c r="K33" s="24">
        <f>MATCH(MAX(B33:I33),B33:I33,0)</f>
        <v>6</v>
      </c>
      <c r="L33" s="24">
        <f>IF(K33=ROW()-27,1,0)</f>
        <v>1</v>
      </c>
    </row>
    <row r="34" spans="1:12" x14ac:dyDescent="0.3">
      <c r="A34" s="66" t="str">
        <f>A12</f>
        <v>Armor</v>
      </c>
      <c r="B34" s="24">
        <f>SUMPRODUCT(B12:I12,B17:I17)/(SQRT(SUMSQ(B12:I12))*SQRT(SUMSQ(B17:I17)))</f>
        <v>3.6721982563190418E-2</v>
      </c>
      <c r="C34" s="24">
        <f>SUMPRODUCT(B12:I12,B18:I18)/(SQRT(SUMSQ(B12:I12))*SQRT(SUMSQ(B18:I18)))</f>
        <v>0.53097345132743368</v>
      </c>
      <c r="D34" s="24">
        <f>SUMPRODUCT(B12:I12,B19:I19)/(SQRT(SUMSQ(B12:I12))*SQRT(SUMSQ(B19:I19)))</f>
        <v>0</v>
      </c>
      <c r="E34" s="24">
        <f>SUMPRODUCT(B12:I12,B20:I20)/(SQRT(SUMSQ(B12:I12))*SQRT(SUMSQ(B20:I20)))</f>
        <v>0</v>
      </c>
      <c r="F34" s="24">
        <f>SUMPRODUCT(B12:I12,B21:I21)/(SQRT(SUMSQ(B12:I12))*SQRT(SUMSQ(B21:I21)))</f>
        <v>1.8020943495877538E-2</v>
      </c>
      <c r="G34" s="24">
        <f>SUMPRODUCT(B12:I12,B22:I22)/(SQRT(SUMSQ(B12:I12))*SQRT(SUMSQ(B22:I22)))</f>
        <v>0.3539823008849558</v>
      </c>
      <c r="H34" s="24">
        <f>SUMPRODUCT(B12:I12,B23:I23)/(SQRT(SUMSQ(B12:I12))*SQRT(SUMSQ(B23:I23)))</f>
        <v>1.0000000000000002</v>
      </c>
      <c r="I34" s="24">
        <f>SUMPRODUCT(B12:I12,B24:I24)/(SQRT(SUMSQ(B12:I12))*SQRT(SUMSQ(B24:I24)))</f>
        <v>0.23427226544640795</v>
      </c>
      <c r="K34" s="24">
        <f>MATCH(MAX(B34:I34),B34:I34,0)</f>
        <v>7</v>
      </c>
      <c r="L34" s="24">
        <f>IF(K34=ROW()-27,1,0)</f>
        <v>1</v>
      </c>
    </row>
    <row r="35" spans="1:12" x14ac:dyDescent="0.3">
      <c r="A35" s="66" t="str">
        <f>A13</f>
        <v>Churches</v>
      </c>
      <c r="B35" s="24">
        <f>SUMPRODUCT(B13:I13,B17:I17)/(SQRT(SUMSQ(B13:I13))*SQRT(SUMSQ(B17:I17)))</f>
        <v>1.8442777839082936E-2</v>
      </c>
      <c r="C35" s="24">
        <f>SUMPRODUCT(B13:I13,B18:I18)/(SQRT(SUMSQ(B13:I13))*SQRT(SUMSQ(B18:I18)))</f>
        <v>0.40889292735749722</v>
      </c>
      <c r="D35" s="24">
        <f>SUMPRODUCT(B13:I13,B19:I19)/(SQRT(SUMSQ(B13:I13))*SQRT(SUMSQ(B19:I19)))</f>
        <v>3.5555906726738896E-2</v>
      </c>
      <c r="E35" s="24">
        <f>SUMPRODUCT(B13:I13,B20:I20)/(SQRT(SUMSQ(B13:I13))*SQRT(SUMSQ(B20:I20)))</f>
        <v>0.18101215356399911</v>
      </c>
      <c r="F35" s="24">
        <f>SUMPRODUCT(B13:I13,B21:I21)/(SQRT(SUMSQ(B13:I13))*SQRT(SUMSQ(B21:I21)))</f>
        <v>3.6202430712799827E-2</v>
      </c>
      <c r="G35" s="24">
        <f>SUMPRODUCT(B13:I13,B22:I22)/(SQRT(SUMSQ(B13:I13))*SQRT(SUMSQ(B22:I22)))</f>
        <v>3.5555906726738896E-2</v>
      </c>
      <c r="H35" s="24">
        <f>SUMPRODUCT(B13:I13,B23:I23)/(SQRT(SUMSQ(B13:I13))*SQRT(SUMSQ(B23:I23)))</f>
        <v>0.23111339372380282</v>
      </c>
      <c r="I35" s="24">
        <f>SUMPRODUCT(B13:I13,B24:I24)/(SQRT(SUMSQ(B13:I13))*SQRT(SUMSQ(B24:I24)))</f>
        <v>0.99556684460199507</v>
      </c>
      <c r="K35" s="24">
        <f>MATCH(MAX(B35:I35),B35:I35,0)</f>
        <v>8</v>
      </c>
      <c r="L35" s="24">
        <f>IF(K35=ROW()-27,1,0)</f>
        <v>1</v>
      </c>
    </row>
    <row r="37" spans="1:12" ht="15.6" x14ac:dyDescent="0.3">
      <c r="A37" s="67" t="s">
        <v>231</v>
      </c>
      <c r="B37" s="45"/>
    </row>
    <row r="38" spans="1:12" x14ac:dyDescent="0.3">
      <c r="A38" s="62" t="s">
        <v>232</v>
      </c>
      <c r="B38" s="45">
        <f>(B28+C29+D30+E31+F32+G33+H34+I35)/8</f>
        <v>0.99657465023103065</v>
      </c>
    </row>
    <row r="39" spans="1:12" x14ac:dyDescent="0.3">
      <c r="A39" s="62" t="s">
        <v>233</v>
      </c>
      <c r="B39" s="45">
        <f>(SUM(B28:I35)-(B28+C29+D30+E31+F32+G33+H34+I35))/56</f>
        <v>0.14360636653118508</v>
      </c>
    </row>
    <row r="40" spans="1:12" x14ac:dyDescent="0.3">
      <c r="A40" s="62" t="s">
        <v>234</v>
      </c>
      <c r="B40" s="45">
        <f>B38/B39</f>
        <v>6.9396272205983136</v>
      </c>
    </row>
    <row r="41" spans="1:12" x14ac:dyDescent="0.3">
      <c r="A41" s="62" t="s">
        <v>235</v>
      </c>
      <c r="B41" s="45">
        <f>SUM(L28:L35)/8</f>
        <v>1</v>
      </c>
    </row>
    <row r="42" spans="1:12" x14ac:dyDescent="0.3">
      <c r="A42" s="68" t="s">
        <v>236</v>
      </c>
      <c r="B42" s="69" t="str">
        <f>IF(AND(B40&gt;=1.5,B41&gt;=0.75),"structural correspondence supported",IF(B40&gt;=1.15,"weak support — tighten profiles","not supported — downgrade"))</f>
        <v>structural correspondence supported</v>
      </c>
    </row>
    <row r="44" spans="1:12" ht="15.6" x14ac:dyDescent="0.3">
      <c r="A44" s="5" t="s">
        <v>237</v>
      </c>
    </row>
    <row r="45" spans="1:12" ht="60" customHeight="1" x14ac:dyDescent="0.3">
      <c r="A45" s="52" t="s">
        <v>238</v>
      </c>
    </row>
  </sheetData>
  <conditionalFormatting sqref="B28:I35">
    <cfRule type="colorScale" priority="1">
      <colorScale>
        <cfvo type="min"/>
        <cfvo type="num" val="0.5"/>
        <cfvo type="max"/>
        <color rgb="FFFFFFFF"/>
        <color rgb="FFBDD7EE"/>
        <color rgb="FF2E75B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7DF8-3C58-4F99-A5CF-660870642A82}">
  <dimension ref="A1:D25"/>
  <sheetViews>
    <sheetView workbookViewId="0"/>
  </sheetViews>
  <sheetFormatPr defaultRowHeight="14.4" x14ac:dyDescent="0.3"/>
  <cols>
    <col min="1" max="1" width="29.6640625" customWidth="1"/>
    <col min="2" max="2" width="53.6640625" customWidth="1"/>
    <col min="3" max="3" width="46.33203125" customWidth="1"/>
    <col min="4" max="4" width="42.5546875" customWidth="1"/>
  </cols>
  <sheetData>
    <row r="1" spans="1:4" ht="19.8" x14ac:dyDescent="0.4">
      <c r="A1" s="2" t="s">
        <v>239</v>
      </c>
    </row>
    <row r="2" spans="1:4" ht="317.39999999999998" x14ac:dyDescent="0.3">
      <c r="A2" s="43" t="s">
        <v>240</v>
      </c>
    </row>
    <row r="4" spans="1:4" ht="15.6" x14ac:dyDescent="0.3">
      <c r="A4" s="5" t="s">
        <v>241</v>
      </c>
    </row>
    <row r="5" spans="1:4" x14ac:dyDescent="0.3">
      <c r="A5" s="6" t="s">
        <v>242</v>
      </c>
      <c r="B5" s="6" t="s">
        <v>243</v>
      </c>
      <c r="C5" s="6" t="s">
        <v>244</v>
      </c>
    </row>
    <row r="6" spans="1:4" ht="57.6" x14ac:dyDescent="0.3">
      <c r="A6" s="70" t="s">
        <v>245</v>
      </c>
      <c r="B6" s="32" t="s">
        <v>246</v>
      </c>
      <c r="C6" s="33" t="s">
        <v>247</v>
      </c>
    </row>
    <row r="7" spans="1:4" ht="72" x14ac:dyDescent="0.3">
      <c r="A7" s="71" t="s">
        <v>248</v>
      </c>
      <c r="B7" s="13" t="s">
        <v>249</v>
      </c>
      <c r="C7" s="12" t="s">
        <v>247</v>
      </c>
    </row>
    <row r="8" spans="1:4" ht="72" x14ac:dyDescent="0.3">
      <c r="A8" s="71" t="s">
        <v>250</v>
      </c>
      <c r="B8" s="13" t="s">
        <v>251</v>
      </c>
      <c r="C8" s="12" t="s">
        <v>247</v>
      </c>
    </row>
    <row r="9" spans="1:4" ht="43.2" x14ac:dyDescent="0.3">
      <c r="A9" s="71" t="s">
        <v>252</v>
      </c>
      <c r="B9" s="13" t="s">
        <v>253</v>
      </c>
      <c r="C9" s="12" t="s">
        <v>247</v>
      </c>
    </row>
    <row r="10" spans="1:4" ht="72" x14ac:dyDescent="0.3">
      <c r="A10" s="71" t="s">
        <v>254</v>
      </c>
      <c r="B10" s="13" t="s">
        <v>255</v>
      </c>
      <c r="C10" s="12" t="s">
        <v>256</v>
      </c>
    </row>
    <row r="11" spans="1:4" ht="86.4" x14ac:dyDescent="0.3">
      <c r="A11" s="71" t="s">
        <v>257</v>
      </c>
      <c r="B11" s="13" t="s">
        <v>258</v>
      </c>
      <c r="C11" s="12" t="s">
        <v>256</v>
      </c>
    </row>
    <row r="12" spans="1:4" ht="72" x14ac:dyDescent="0.3">
      <c r="A12" s="71" t="s">
        <v>259</v>
      </c>
      <c r="B12" s="13" t="s">
        <v>260</v>
      </c>
      <c r="C12" s="12" t="s">
        <v>247</v>
      </c>
    </row>
    <row r="13" spans="1:4" ht="57.6" x14ac:dyDescent="0.3">
      <c r="A13" s="72" t="s">
        <v>261</v>
      </c>
      <c r="B13" s="19" t="s">
        <v>262</v>
      </c>
      <c r="C13" s="18" t="s">
        <v>263</v>
      </c>
    </row>
    <row r="15" spans="1:4" ht="15.6" x14ac:dyDescent="0.3">
      <c r="A15" s="5" t="s">
        <v>264</v>
      </c>
    </row>
    <row r="16" spans="1:4" x14ac:dyDescent="0.3">
      <c r="A16" s="6" t="s">
        <v>127</v>
      </c>
      <c r="B16" s="6" t="s">
        <v>265</v>
      </c>
      <c r="C16" s="6" t="s">
        <v>266</v>
      </c>
      <c r="D16" s="6" t="s">
        <v>267</v>
      </c>
    </row>
    <row r="17" spans="1:4" ht="86.4" x14ac:dyDescent="0.3">
      <c r="A17" s="33">
        <v>1</v>
      </c>
      <c r="B17" s="32" t="s">
        <v>268</v>
      </c>
      <c r="C17" s="32" t="s">
        <v>269</v>
      </c>
      <c r="D17" s="32" t="s">
        <v>270</v>
      </c>
    </row>
    <row r="18" spans="1:4" ht="72" x14ac:dyDescent="0.3">
      <c r="A18" s="12">
        <v>2</v>
      </c>
      <c r="B18" s="13" t="s">
        <v>271</v>
      </c>
      <c r="C18" s="13" t="s">
        <v>272</v>
      </c>
      <c r="D18" s="13" t="s">
        <v>273</v>
      </c>
    </row>
    <row r="19" spans="1:4" ht="86.4" x14ac:dyDescent="0.3">
      <c r="A19" s="12">
        <v>3</v>
      </c>
      <c r="B19" s="13" t="s">
        <v>274</v>
      </c>
      <c r="C19" s="13" t="s">
        <v>275</v>
      </c>
      <c r="D19" s="13" t="s">
        <v>276</v>
      </c>
    </row>
    <row r="20" spans="1:4" ht="72" x14ac:dyDescent="0.3">
      <c r="A20" s="12">
        <v>4</v>
      </c>
      <c r="B20" s="13" t="s">
        <v>277</v>
      </c>
      <c r="C20" s="13" t="s">
        <v>278</v>
      </c>
      <c r="D20" s="13" t="s">
        <v>279</v>
      </c>
    </row>
    <row r="21" spans="1:4" ht="72" x14ac:dyDescent="0.3">
      <c r="A21" s="12">
        <v>5</v>
      </c>
      <c r="B21" s="13" t="s">
        <v>280</v>
      </c>
      <c r="C21" s="13" t="s">
        <v>281</v>
      </c>
      <c r="D21" s="13" t="s">
        <v>282</v>
      </c>
    </row>
    <row r="22" spans="1:4" ht="86.4" x14ac:dyDescent="0.3">
      <c r="A22" s="18">
        <v>6</v>
      </c>
      <c r="B22" s="19" t="s">
        <v>283</v>
      </c>
      <c r="C22" s="19" t="s">
        <v>284</v>
      </c>
      <c r="D22" s="19" t="s">
        <v>285</v>
      </c>
    </row>
    <row r="24" spans="1:4" ht="15.6" x14ac:dyDescent="0.3">
      <c r="A24" s="5" t="s">
        <v>286</v>
      </c>
    </row>
    <row r="25" spans="1:4" ht="76.05" customHeight="1" x14ac:dyDescent="0.3">
      <c r="A25" s="42" t="s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D1D5-DE23-4605-B762-6754BFCEC60A}">
  <dimension ref="A1:E24"/>
  <sheetViews>
    <sheetView workbookViewId="0"/>
  </sheetViews>
  <sheetFormatPr defaultRowHeight="14.4" x14ac:dyDescent="0.3"/>
  <cols>
    <col min="1" max="1" width="24.109375" customWidth="1"/>
    <col min="2" max="2" width="10.21875" customWidth="1"/>
    <col min="3" max="3" width="31.44140625" customWidth="1"/>
    <col min="4" max="4" width="25.88671875" customWidth="1"/>
    <col min="5" max="5" width="53.6640625" customWidth="1"/>
  </cols>
  <sheetData>
    <row r="1" spans="1:4" ht="19.8" x14ac:dyDescent="0.4">
      <c r="A1" s="2" t="s">
        <v>295</v>
      </c>
    </row>
    <row r="2" spans="1:4" ht="54" customHeight="1" x14ac:dyDescent="0.3">
      <c r="A2" s="74" t="s">
        <v>296</v>
      </c>
    </row>
    <row r="4" spans="1:4" ht="15.6" x14ac:dyDescent="0.3">
      <c r="A4" s="5" t="s">
        <v>297</v>
      </c>
    </row>
    <row r="5" spans="1:4" x14ac:dyDescent="0.3">
      <c r="A5" s="6" t="s">
        <v>194</v>
      </c>
      <c r="B5" s="6" t="s">
        <v>298</v>
      </c>
      <c r="C5" s="6" t="s">
        <v>299</v>
      </c>
      <c r="D5" s="6" t="s">
        <v>300</v>
      </c>
    </row>
    <row r="6" spans="1:4" ht="115.2" x14ac:dyDescent="0.3">
      <c r="A6" s="70" t="s">
        <v>203</v>
      </c>
      <c r="B6" s="33">
        <v>7</v>
      </c>
      <c r="C6" s="32" t="s">
        <v>301</v>
      </c>
      <c r="D6" s="32" t="s">
        <v>302</v>
      </c>
    </row>
    <row r="7" spans="1:4" ht="144" x14ac:dyDescent="0.3">
      <c r="A7" s="78" t="s">
        <v>204</v>
      </c>
      <c r="B7" s="79">
        <v>10</v>
      </c>
      <c r="C7" s="80" t="s">
        <v>303</v>
      </c>
      <c r="D7" s="80" t="s">
        <v>304</v>
      </c>
    </row>
    <row r="8" spans="1:4" ht="86.4" x14ac:dyDescent="0.3">
      <c r="A8" s="71" t="s">
        <v>62</v>
      </c>
      <c r="B8" s="12" t="s">
        <v>305</v>
      </c>
      <c r="C8" s="13" t="s">
        <v>213</v>
      </c>
      <c r="D8" s="13" t="s">
        <v>306</v>
      </c>
    </row>
    <row r="9" spans="1:4" ht="57.6" x14ac:dyDescent="0.3">
      <c r="A9" s="71" t="s">
        <v>24</v>
      </c>
      <c r="B9" s="12">
        <v>8</v>
      </c>
      <c r="C9" s="13" t="s">
        <v>307</v>
      </c>
      <c r="D9" s="13" t="s">
        <v>308</v>
      </c>
    </row>
    <row r="10" spans="1:4" ht="86.4" x14ac:dyDescent="0.3">
      <c r="A10" s="75" t="s">
        <v>205</v>
      </c>
      <c r="B10" s="76">
        <v>9</v>
      </c>
      <c r="C10" s="77" t="s">
        <v>309</v>
      </c>
      <c r="D10" s="77" t="s">
        <v>310</v>
      </c>
    </row>
    <row r="11" spans="1:4" ht="115.2" x14ac:dyDescent="0.3">
      <c r="A11" s="71" t="s">
        <v>206</v>
      </c>
      <c r="B11" s="12" t="s">
        <v>311</v>
      </c>
      <c r="C11" s="13" t="s">
        <v>37</v>
      </c>
      <c r="D11" s="13" t="s">
        <v>312</v>
      </c>
    </row>
    <row r="12" spans="1:4" ht="100.8" x14ac:dyDescent="0.3">
      <c r="A12" s="71" t="s">
        <v>207</v>
      </c>
      <c r="B12" s="12">
        <v>6</v>
      </c>
      <c r="C12" s="13" t="s">
        <v>313</v>
      </c>
      <c r="D12" s="13" t="s">
        <v>314</v>
      </c>
    </row>
    <row r="13" spans="1:4" ht="57.6" x14ac:dyDescent="0.3">
      <c r="A13" s="71" t="s">
        <v>208</v>
      </c>
      <c r="B13" s="12">
        <v>7</v>
      </c>
      <c r="C13" s="13" t="s">
        <v>315</v>
      </c>
      <c r="D13" s="13" t="s">
        <v>316</v>
      </c>
    </row>
    <row r="14" spans="1:4" ht="273.60000000000002" x14ac:dyDescent="0.3">
      <c r="A14" s="82" t="s">
        <v>317</v>
      </c>
      <c r="B14" s="82"/>
      <c r="C14" s="82" t="s">
        <v>318</v>
      </c>
      <c r="D14" s="82"/>
    </row>
    <row r="16" spans="1:4" ht="15.6" x14ac:dyDescent="0.3">
      <c r="A16" s="5" t="s">
        <v>319</v>
      </c>
    </row>
    <row r="17" spans="1:5" x14ac:dyDescent="0.3">
      <c r="A17" s="6" t="s">
        <v>320</v>
      </c>
      <c r="B17" s="6" t="s">
        <v>321</v>
      </c>
      <c r="C17" s="6" t="s">
        <v>3</v>
      </c>
      <c r="D17" s="6" t="s">
        <v>194</v>
      </c>
      <c r="E17" s="6" t="s">
        <v>299</v>
      </c>
    </row>
    <row r="18" spans="1:5" ht="72" x14ac:dyDescent="0.3">
      <c r="A18" s="83" t="s">
        <v>322</v>
      </c>
      <c r="B18" s="83" t="s">
        <v>323</v>
      </c>
      <c r="C18" s="83" t="s">
        <v>324</v>
      </c>
      <c r="D18" s="83" t="s">
        <v>203</v>
      </c>
      <c r="E18" s="83" t="s">
        <v>325</v>
      </c>
    </row>
    <row r="19" spans="1:5" ht="86.4" x14ac:dyDescent="0.3">
      <c r="A19" s="84" t="s">
        <v>322</v>
      </c>
      <c r="B19" s="84" t="s">
        <v>323</v>
      </c>
      <c r="C19" s="84" t="s">
        <v>326</v>
      </c>
      <c r="D19" s="84" t="s">
        <v>204</v>
      </c>
      <c r="E19" s="84" t="s">
        <v>327</v>
      </c>
    </row>
    <row r="20" spans="1:5" ht="86.4" x14ac:dyDescent="0.3">
      <c r="A20" s="77" t="s">
        <v>328</v>
      </c>
      <c r="B20" s="77" t="s">
        <v>329</v>
      </c>
      <c r="C20" s="77" t="s">
        <v>330</v>
      </c>
      <c r="D20" s="77" t="s">
        <v>24</v>
      </c>
      <c r="E20" s="77" t="s">
        <v>331</v>
      </c>
    </row>
    <row r="21" spans="1:5" ht="86.4" x14ac:dyDescent="0.3">
      <c r="A21" s="77" t="s">
        <v>328</v>
      </c>
      <c r="B21" s="77" t="s">
        <v>329</v>
      </c>
      <c r="C21" s="77" t="s">
        <v>332</v>
      </c>
      <c r="D21" s="77" t="s">
        <v>62</v>
      </c>
      <c r="E21" s="77" t="s">
        <v>333</v>
      </c>
    </row>
    <row r="22" spans="1:5" ht="100.8" x14ac:dyDescent="0.3">
      <c r="A22" s="77" t="s">
        <v>328</v>
      </c>
      <c r="B22" s="77" t="s">
        <v>329</v>
      </c>
      <c r="C22" s="77" t="s">
        <v>334</v>
      </c>
      <c r="D22" s="77" t="s">
        <v>205</v>
      </c>
      <c r="E22" s="77" t="s">
        <v>335</v>
      </c>
    </row>
    <row r="23" spans="1:5" ht="115.2" x14ac:dyDescent="0.3">
      <c r="A23" s="85" t="s">
        <v>336</v>
      </c>
      <c r="B23" s="85" t="s">
        <v>337</v>
      </c>
      <c r="C23" s="85" t="s">
        <v>338</v>
      </c>
      <c r="D23" s="85" t="s">
        <v>339</v>
      </c>
      <c r="E23" s="85" t="s">
        <v>340</v>
      </c>
    </row>
    <row r="24" spans="1:5" ht="115.2" x14ac:dyDescent="0.3">
      <c r="A24" s="86" t="s">
        <v>341</v>
      </c>
      <c r="B24" s="86" t="s">
        <v>342</v>
      </c>
      <c r="C24" s="86" t="s">
        <v>343</v>
      </c>
      <c r="D24" s="86" t="s">
        <v>208</v>
      </c>
      <c r="E24" s="86" t="s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12D-17AA-4649-B1D0-98BE6B4611D5}">
  <dimension ref="A1:D16"/>
  <sheetViews>
    <sheetView workbookViewId="0"/>
  </sheetViews>
  <sheetFormatPr defaultRowHeight="14.4" x14ac:dyDescent="0.3"/>
  <cols>
    <col min="1" max="1" width="13" customWidth="1"/>
    <col min="2" max="2" width="38.88671875" customWidth="1"/>
    <col min="3" max="3" width="53.6640625" customWidth="1"/>
    <col min="4" max="4" width="55.5546875" customWidth="1"/>
  </cols>
  <sheetData>
    <row r="1" spans="1:4" ht="19.8" x14ac:dyDescent="0.4">
      <c r="A1" s="2" t="s">
        <v>345</v>
      </c>
    </row>
    <row r="2" spans="1:4" ht="262.2" x14ac:dyDescent="0.3">
      <c r="A2" s="43" t="s">
        <v>346</v>
      </c>
    </row>
    <row r="4" spans="1:4" ht="15.6" x14ac:dyDescent="0.3">
      <c r="A4" s="5" t="s">
        <v>347</v>
      </c>
    </row>
    <row r="5" spans="1:4" x14ac:dyDescent="0.3">
      <c r="A5" s="6" t="s">
        <v>348</v>
      </c>
      <c r="B5" s="6" t="s">
        <v>349</v>
      </c>
      <c r="C5" s="6" t="s">
        <v>350</v>
      </c>
      <c r="D5" s="6" t="s">
        <v>351</v>
      </c>
    </row>
    <row r="6" spans="1:4" ht="144" x14ac:dyDescent="0.3">
      <c r="A6" s="87" t="s">
        <v>352</v>
      </c>
      <c r="B6" s="32" t="s">
        <v>353</v>
      </c>
      <c r="C6" s="32" t="s">
        <v>354</v>
      </c>
      <c r="D6" s="92" t="s">
        <v>355</v>
      </c>
    </row>
    <row r="7" spans="1:4" ht="144" x14ac:dyDescent="0.3">
      <c r="A7" s="88" t="s">
        <v>352</v>
      </c>
      <c r="B7" s="13" t="s">
        <v>356</v>
      </c>
      <c r="C7" s="13" t="s">
        <v>357</v>
      </c>
      <c r="D7" s="93" t="s">
        <v>358</v>
      </c>
    </row>
    <row r="8" spans="1:4" ht="144" x14ac:dyDescent="0.3">
      <c r="A8" s="88" t="s">
        <v>352</v>
      </c>
      <c r="B8" s="13" t="s">
        <v>359</v>
      </c>
      <c r="C8" s="13" t="s">
        <v>360</v>
      </c>
      <c r="D8" s="93" t="s">
        <v>361</v>
      </c>
    </row>
    <row r="9" spans="1:4" ht="158.4" x14ac:dyDescent="0.3">
      <c r="A9" s="90" t="s">
        <v>362</v>
      </c>
      <c r="B9" s="13" t="s">
        <v>363</v>
      </c>
      <c r="C9" s="13" t="s">
        <v>364</v>
      </c>
      <c r="D9" s="93" t="s">
        <v>365</v>
      </c>
    </row>
    <row r="10" spans="1:4" ht="158.4" x14ac:dyDescent="0.3">
      <c r="A10" s="91" t="s">
        <v>362</v>
      </c>
      <c r="B10" s="19" t="s">
        <v>366</v>
      </c>
      <c r="C10" s="19" t="s">
        <v>367</v>
      </c>
      <c r="D10" s="94" t="s">
        <v>368</v>
      </c>
    </row>
    <row r="12" spans="1:4" ht="15.6" x14ac:dyDescent="0.3">
      <c r="A12" s="5" t="s">
        <v>369</v>
      </c>
    </row>
    <row r="13" spans="1:4" ht="259.2" x14ac:dyDescent="0.3">
      <c r="A13" s="96">
        <v>1</v>
      </c>
      <c r="B13" s="95" t="s">
        <v>370</v>
      </c>
    </row>
    <row r="14" spans="1:4" ht="216" x14ac:dyDescent="0.3">
      <c r="A14" s="97">
        <v>2</v>
      </c>
      <c r="B14" s="80" t="s">
        <v>371</v>
      </c>
    </row>
    <row r="15" spans="1:4" ht="216" x14ac:dyDescent="0.3">
      <c r="A15" s="97">
        <v>3</v>
      </c>
      <c r="B15" s="80" t="s">
        <v>372</v>
      </c>
    </row>
    <row r="16" spans="1:4" ht="201.6" x14ac:dyDescent="0.3">
      <c r="A16" s="98">
        <v>4</v>
      </c>
      <c r="B16" s="86" t="s">
        <v>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354F-A745-4BD3-B210-8D4CA9FAC350}">
  <dimension ref="A1:H14"/>
  <sheetViews>
    <sheetView workbookViewId="0"/>
  </sheetViews>
  <sheetFormatPr defaultRowHeight="14.4" x14ac:dyDescent="0.3"/>
  <cols>
    <col min="1" max="1" width="7.77734375" customWidth="1"/>
    <col min="2" max="2" width="7" customWidth="1"/>
    <col min="3" max="3" width="25" customWidth="1"/>
    <col min="4" max="4" width="32.44140625" customWidth="1"/>
    <col min="5" max="5" width="15.77734375" customWidth="1"/>
    <col min="6" max="6" width="31.44140625" customWidth="1"/>
    <col min="7" max="8" width="20.33203125" customWidth="1"/>
  </cols>
  <sheetData>
    <row r="1" spans="1:8" ht="19.8" x14ac:dyDescent="0.4">
      <c r="A1" s="2" t="s">
        <v>374</v>
      </c>
    </row>
    <row r="2" spans="1:8" ht="288" x14ac:dyDescent="0.3">
      <c r="A2" s="99" t="s">
        <v>375</v>
      </c>
    </row>
    <row r="4" spans="1:8" x14ac:dyDescent="0.3">
      <c r="A4" s="6" t="s">
        <v>376</v>
      </c>
      <c r="B4" s="6" t="s">
        <v>377</v>
      </c>
      <c r="C4" s="6" t="s">
        <v>378</v>
      </c>
      <c r="D4" s="6" t="s">
        <v>379</v>
      </c>
      <c r="E4" s="6" t="s">
        <v>380</v>
      </c>
      <c r="F4" s="6" t="s">
        <v>381</v>
      </c>
      <c r="G4" s="6" t="s">
        <v>382</v>
      </c>
      <c r="H4" s="6" t="s">
        <v>383</v>
      </c>
    </row>
    <row r="5" spans="1:8" ht="57.6" x14ac:dyDescent="0.3">
      <c r="A5" s="87" t="s">
        <v>384</v>
      </c>
      <c r="B5" s="33">
        <v>1</v>
      </c>
      <c r="C5" s="32" t="s">
        <v>385</v>
      </c>
      <c r="D5" s="32" t="s">
        <v>386</v>
      </c>
      <c r="E5" s="32" t="s">
        <v>62</v>
      </c>
      <c r="F5" s="32" t="s">
        <v>387</v>
      </c>
      <c r="G5" s="32" t="s">
        <v>388</v>
      </c>
      <c r="H5" s="32" t="s">
        <v>389</v>
      </c>
    </row>
    <row r="6" spans="1:8" ht="43.2" x14ac:dyDescent="0.3">
      <c r="A6" s="88" t="s">
        <v>390</v>
      </c>
      <c r="B6" s="12">
        <v>2</v>
      </c>
      <c r="C6" s="13" t="s">
        <v>391</v>
      </c>
      <c r="D6" s="13" t="s">
        <v>392</v>
      </c>
      <c r="E6" s="13" t="s">
        <v>64</v>
      </c>
      <c r="F6" s="13" t="s">
        <v>393</v>
      </c>
      <c r="G6" s="13" t="s">
        <v>394</v>
      </c>
      <c r="H6" s="13" t="s">
        <v>395</v>
      </c>
    </row>
    <row r="7" spans="1:8" ht="72" x14ac:dyDescent="0.3">
      <c r="A7" s="88" t="s">
        <v>396</v>
      </c>
      <c r="B7" s="12">
        <v>3</v>
      </c>
      <c r="C7" s="13" t="s">
        <v>397</v>
      </c>
      <c r="D7" s="13" t="s">
        <v>398</v>
      </c>
      <c r="E7" s="13" t="s">
        <v>66</v>
      </c>
      <c r="F7" s="13" t="s">
        <v>399</v>
      </c>
      <c r="G7" s="13" t="s">
        <v>400</v>
      </c>
      <c r="H7" s="13" t="s">
        <v>401</v>
      </c>
    </row>
    <row r="8" spans="1:8" ht="72" x14ac:dyDescent="0.3">
      <c r="A8" s="88" t="s">
        <v>402</v>
      </c>
      <c r="B8" s="12">
        <v>4</v>
      </c>
      <c r="C8" s="13" t="s">
        <v>403</v>
      </c>
      <c r="D8" s="13" t="s">
        <v>404</v>
      </c>
      <c r="E8" s="13" t="s">
        <v>71</v>
      </c>
      <c r="F8" s="13" t="s">
        <v>405</v>
      </c>
      <c r="G8" s="13" t="s">
        <v>406</v>
      </c>
      <c r="H8" s="13" t="s">
        <v>407</v>
      </c>
    </row>
    <row r="9" spans="1:8" ht="57.6" x14ac:dyDescent="0.3">
      <c r="A9" s="88" t="s">
        <v>408</v>
      </c>
      <c r="B9" s="12">
        <v>5</v>
      </c>
      <c r="C9" s="13" t="s">
        <v>409</v>
      </c>
      <c r="D9" s="13" t="s">
        <v>410</v>
      </c>
      <c r="E9" s="13" t="s">
        <v>411</v>
      </c>
      <c r="F9" s="13" t="s">
        <v>412</v>
      </c>
      <c r="G9" s="13" t="s">
        <v>413</v>
      </c>
      <c r="H9" s="13" t="s">
        <v>414</v>
      </c>
    </row>
    <row r="10" spans="1:8" ht="43.2" x14ac:dyDescent="0.3">
      <c r="A10" s="88" t="s">
        <v>415</v>
      </c>
      <c r="B10" s="12">
        <v>6</v>
      </c>
      <c r="C10" s="13" t="s">
        <v>416</v>
      </c>
      <c r="D10" s="13" t="s">
        <v>417</v>
      </c>
      <c r="E10" s="13" t="s">
        <v>70</v>
      </c>
      <c r="F10" s="13" t="s">
        <v>418</v>
      </c>
      <c r="G10" s="13" t="s">
        <v>419</v>
      </c>
      <c r="H10" s="13" t="s">
        <v>420</v>
      </c>
    </row>
    <row r="11" spans="1:8" ht="43.2" x14ac:dyDescent="0.3">
      <c r="A11" s="88" t="s">
        <v>421</v>
      </c>
      <c r="B11" s="12">
        <v>7</v>
      </c>
      <c r="C11" s="13" t="s">
        <v>422</v>
      </c>
      <c r="D11" s="13" t="s">
        <v>423</v>
      </c>
      <c r="E11" s="13" t="s">
        <v>424</v>
      </c>
      <c r="F11" s="13" t="s">
        <v>425</v>
      </c>
      <c r="G11" s="13" t="s">
        <v>426</v>
      </c>
      <c r="H11" s="13" t="s">
        <v>427</v>
      </c>
    </row>
    <row r="12" spans="1:8" ht="57.6" x14ac:dyDescent="0.3">
      <c r="A12" s="88" t="s">
        <v>428</v>
      </c>
      <c r="B12" s="12">
        <v>8</v>
      </c>
      <c r="C12" s="13" t="s">
        <v>429</v>
      </c>
      <c r="D12" s="13" t="s">
        <v>430</v>
      </c>
      <c r="E12" s="13" t="s">
        <v>76</v>
      </c>
      <c r="F12" s="13" t="s">
        <v>431</v>
      </c>
      <c r="G12" s="13" t="s">
        <v>432</v>
      </c>
      <c r="H12" s="13" t="s">
        <v>433</v>
      </c>
    </row>
    <row r="13" spans="1:8" ht="57.6" x14ac:dyDescent="0.3">
      <c r="A13" s="88" t="s">
        <v>434</v>
      </c>
      <c r="B13" s="12">
        <v>9</v>
      </c>
      <c r="C13" s="13" t="s">
        <v>435</v>
      </c>
      <c r="D13" s="13" t="s">
        <v>436</v>
      </c>
      <c r="E13" s="13" t="s">
        <v>437</v>
      </c>
      <c r="F13" s="13" t="s">
        <v>438</v>
      </c>
      <c r="G13" s="13" t="s">
        <v>388</v>
      </c>
      <c r="H13" s="13" t="s">
        <v>439</v>
      </c>
    </row>
    <row r="14" spans="1:8" ht="57.6" x14ac:dyDescent="0.3">
      <c r="A14" s="100" t="s">
        <v>440</v>
      </c>
      <c r="B14" s="101">
        <v>10</v>
      </c>
      <c r="C14" s="81" t="s">
        <v>441</v>
      </c>
      <c r="D14" s="81" t="s">
        <v>442</v>
      </c>
      <c r="E14" s="81" t="s">
        <v>443</v>
      </c>
      <c r="F14" s="81" t="s">
        <v>444</v>
      </c>
      <c r="G14" s="81" t="s">
        <v>445</v>
      </c>
      <c r="H14" s="81" t="s">
        <v>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23F1-8975-40CE-8328-14CDD3F845BD}">
  <dimension ref="A1:I24"/>
  <sheetViews>
    <sheetView workbookViewId="0"/>
  </sheetViews>
  <sheetFormatPr defaultRowHeight="14.4" x14ac:dyDescent="0.3"/>
  <cols>
    <col min="1" max="1" width="7" customWidth="1"/>
    <col min="2" max="2" width="21.33203125" customWidth="1"/>
    <col min="3" max="3" width="20.33203125" customWidth="1"/>
    <col min="4" max="4" width="16.6640625" customWidth="1"/>
    <col min="5" max="5" width="25" customWidth="1"/>
    <col min="6" max="6" width="17.5546875" customWidth="1"/>
    <col min="7" max="7" width="7.44140625" customWidth="1"/>
    <col min="8" max="8" width="14.77734375" customWidth="1"/>
    <col min="9" max="9" width="55.5546875" customWidth="1"/>
  </cols>
  <sheetData>
    <row r="1" spans="1:9" ht="19.8" x14ac:dyDescent="0.4">
      <c r="A1" s="2" t="s">
        <v>447</v>
      </c>
    </row>
    <row r="2" spans="1:9" ht="288" x14ac:dyDescent="0.3">
      <c r="A2" s="102" t="s">
        <v>448</v>
      </c>
    </row>
    <row r="4" spans="1:9" x14ac:dyDescent="0.3">
      <c r="A4" s="6" t="s">
        <v>377</v>
      </c>
      <c r="B4" s="6" t="s">
        <v>449</v>
      </c>
      <c r="C4" s="6" t="s">
        <v>450</v>
      </c>
      <c r="D4" s="6" t="s">
        <v>451</v>
      </c>
      <c r="E4" s="6" t="s">
        <v>452</v>
      </c>
      <c r="F4" s="6" t="s">
        <v>453</v>
      </c>
      <c r="G4" s="6" t="s">
        <v>454</v>
      </c>
      <c r="H4" s="6" t="s">
        <v>244</v>
      </c>
      <c r="I4" s="6" t="s">
        <v>455</v>
      </c>
    </row>
    <row r="5" spans="1:9" ht="57.6" x14ac:dyDescent="0.3">
      <c r="A5" s="87">
        <v>1</v>
      </c>
      <c r="B5" s="32" t="s">
        <v>61</v>
      </c>
      <c r="C5" s="32" t="s">
        <v>62</v>
      </c>
      <c r="D5" s="32" t="s">
        <v>99</v>
      </c>
      <c r="E5" s="32" t="s">
        <v>385</v>
      </c>
      <c r="F5" s="32" t="s">
        <v>62</v>
      </c>
      <c r="G5" s="33" t="s">
        <v>456</v>
      </c>
      <c r="H5" s="103" t="s">
        <v>457</v>
      </c>
      <c r="I5" s="32" t="s">
        <v>458</v>
      </c>
    </row>
    <row r="6" spans="1:9" ht="28.8" x14ac:dyDescent="0.3">
      <c r="A6" s="88">
        <v>2</v>
      </c>
      <c r="B6" s="13" t="s">
        <v>63</v>
      </c>
      <c r="C6" s="13" t="s">
        <v>64</v>
      </c>
      <c r="D6" s="13" t="s">
        <v>119</v>
      </c>
      <c r="E6" s="13" t="s">
        <v>391</v>
      </c>
      <c r="F6" s="13" t="s">
        <v>64</v>
      </c>
      <c r="G6" s="12" t="s">
        <v>456</v>
      </c>
      <c r="H6" s="76" t="s">
        <v>457</v>
      </c>
      <c r="I6" s="13" t="s">
        <v>459</v>
      </c>
    </row>
    <row r="7" spans="1:9" ht="28.8" x14ac:dyDescent="0.3">
      <c r="A7" s="88">
        <v>3</v>
      </c>
      <c r="B7" s="13" t="s">
        <v>397</v>
      </c>
      <c r="C7" s="13" t="s">
        <v>66</v>
      </c>
      <c r="D7" s="13" t="s">
        <v>91</v>
      </c>
      <c r="E7" s="13" t="s">
        <v>397</v>
      </c>
      <c r="F7" s="13" t="s">
        <v>66</v>
      </c>
      <c r="G7" s="12" t="s">
        <v>456</v>
      </c>
      <c r="H7" s="76" t="s">
        <v>457</v>
      </c>
      <c r="I7" s="13" t="s">
        <v>460</v>
      </c>
    </row>
    <row r="8" spans="1:9" ht="129.6" x14ac:dyDescent="0.3">
      <c r="A8" s="88">
        <v>4</v>
      </c>
      <c r="B8" s="13" t="s">
        <v>67</v>
      </c>
      <c r="C8" s="13" t="s">
        <v>68</v>
      </c>
      <c r="D8" s="13" t="s">
        <v>68</v>
      </c>
      <c r="E8" s="13" t="s">
        <v>403</v>
      </c>
      <c r="F8" s="13" t="s">
        <v>71</v>
      </c>
      <c r="G8" s="12" t="s">
        <v>456</v>
      </c>
      <c r="H8" s="104" t="s">
        <v>461</v>
      </c>
      <c r="I8" s="13" t="s">
        <v>462</v>
      </c>
    </row>
    <row r="9" spans="1:9" ht="129.6" x14ac:dyDescent="0.3">
      <c r="A9" s="88">
        <v>5</v>
      </c>
      <c r="B9" s="13" t="s">
        <v>69</v>
      </c>
      <c r="C9" s="13" t="s">
        <v>70</v>
      </c>
      <c r="D9" s="13" t="s">
        <v>95</v>
      </c>
      <c r="E9" s="13" t="s">
        <v>409</v>
      </c>
      <c r="F9" s="13" t="s">
        <v>411</v>
      </c>
      <c r="G9" s="12" t="s">
        <v>463</v>
      </c>
      <c r="H9" s="104" t="s">
        <v>461</v>
      </c>
      <c r="I9" s="13" t="s">
        <v>464</v>
      </c>
    </row>
    <row r="10" spans="1:9" ht="115.2" x14ac:dyDescent="0.3">
      <c r="A10" s="88">
        <v>6</v>
      </c>
      <c r="B10" s="13" t="s">
        <v>71</v>
      </c>
      <c r="C10" s="13" t="s">
        <v>72</v>
      </c>
      <c r="D10" s="13" t="s">
        <v>103</v>
      </c>
      <c r="E10" s="13" t="s">
        <v>416</v>
      </c>
      <c r="F10" s="13" t="s">
        <v>70</v>
      </c>
      <c r="G10" s="12" t="s">
        <v>465</v>
      </c>
      <c r="H10" s="104" t="s">
        <v>461</v>
      </c>
      <c r="I10" s="13" t="s">
        <v>466</v>
      </c>
    </row>
    <row r="11" spans="1:9" ht="115.2" x14ac:dyDescent="0.3">
      <c r="A11" s="88">
        <v>7</v>
      </c>
      <c r="B11" s="13" t="s">
        <v>73</v>
      </c>
      <c r="C11" s="13" t="s">
        <v>74</v>
      </c>
      <c r="D11" s="13" t="s">
        <v>115</v>
      </c>
      <c r="E11" s="13" t="s">
        <v>422</v>
      </c>
      <c r="F11" s="13" t="s">
        <v>424</v>
      </c>
      <c r="G11" s="12" t="s">
        <v>456</v>
      </c>
      <c r="H11" s="105" t="s">
        <v>467</v>
      </c>
      <c r="I11" s="13" t="s">
        <v>468</v>
      </c>
    </row>
    <row r="12" spans="1:9" ht="43.2" x14ac:dyDescent="0.3">
      <c r="A12" s="88">
        <v>8</v>
      </c>
      <c r="B12" s="13" t="s">
        <v>75</v>
      </c>
      <c r="C12" s="13" t="s">
        <v>76</v>
      </c>
      <c r="D12" s="13" t="s">
        <v>111</v>
      </c>
      <c r="E12" s="13" t="s">
        <v>429</v>
      </c>
      <c r="F12" s="13" t="s">
        <v>76</v>
      </c>
      <c r="G12" s="12" t="s">
        <v>456</v>
      </c>
      <c r="H12" s="76" t="s">
        <v>457</v>
      </c>
      <c r="I12" s="13" t="s">
        <v>469</v>
      </c>
    </row>
    <row r="13" spans="1:9" ht="158.4" x14ac:dyDescent="0.3">
      <c r="A13" s="88">
        <v>9</v>
      </c>
      <c r="B13" s="13" t="s">
        <v>77</v>
      </c>
      <c r="C13" s="13" t="s">
        <v>78</v>
      </c>
      <c r="D13" s="13" t="s">
        <v>107</v>
      </c>
      <c r="E13" s="13" t="s">
        <v>435</v>
      </c>
      <c r="F13" s="13" t="s">
        <v>437</v>
      </c>
      <c r="G13" s="12" t="s">
        <v>463</v>
      </c>
      <c r="H13" s="104" t="s">
        <v>461</v>
      </c>
      <c r="I13" s="13" t="s">
        <v>470</v>
      </c>
    </row>
    <row r="14" spans="1:9" ht="100.8" x14ac:dyDescent="0.3">
      <c r="A14" s="89">
        <v>10</v>
      </c>
      <c r="B14" s="19" t="s">
        <v>471</v>
      </c>
      <c r="C14" s="19" t="s">
        <v>471</v>
      </c>
      <c r="D14" s="19" t="s">
        <v>471</v>
      </c>
      <c r="E14" s="19" t="s">
        <v>441</v>
      </c>
      <c r="F14" s="19" t="s">
        <v>443</v>
      </c>
      <c r="G14" s="18" t="s">
        <v>472</v>
      </c>
      <c r="H14" s="106" t="s">
        <v>473</v>
      </c>
      <c r="I14" s="19" t="s">
        <v>474</v>
      </c>
    </row>
    <row r="16" spans="1:9" ht="15.6" x14ac:dyDescent="0.3">
      <c r="A16" s="5" t="s">
        <v>475</v>
      </c>
    </row>
    <row r="17" spans="1:2" x14ac:dyDescent="0.3">
      <c r="A17" t="s">
        <v>476</v>
      </c>
      <c r="B17" s="107">
        <f>COUNTIF(H5:H14,"MATCH")</f>
        <v>4</v>
      </c>
    </row>
    <row r="18" spans="1:2" x14ac:dyDescent="0.3">
      <c r="A18" t="s">
        <v>477</v>
      </c>
      <c r="B18" s="107">
        <f>COUNTIF(H5:H14,"PARTIAL")</f>
        <v>1</v>
      </c>
    </row>
    <row r="19" spans="1:2" x14ac:dyDescent="0.3">
      <c r="A19" t="s">
        <v>478</v>
      </c>
      <c r="B19" s="107">
        <f>COUNTIF(H5:H14,"CONFLICT")</f>
        <v>4</v>
      </c>
    </row>
    <row r="20" spans="1:2" x14ac:dyDescent="0.3">
      <c r="A20" t="s">
        <v>479</v>
      </c>
      <c r="B20" s="107">
        <f>COUNTIF(G5:G13,"−")</f>
        <v>2</v>
      </c>
    </row>
    <row r="21" spans="1:2" x14ac:dyDescent="0.3">
      <c r="A21" t="s">
        <v>480</v>
      </c>
      <c r="B21" s="107">
        <f>COUNTIF(H5:H14,"CANON-ADD")</f>
        <v>1</v>
      </c>
    </row>
    <row r="23" spans="1:2" ht="15.6" x14ac:dyDescent="0.3">
      <c r="A23" s="5" t="s">
        <v>481</v>
      </c>
    </row>
    <row r="24" spans="1:2" ht="409.6" x14ac:dyDescent="0.3">
      <c r="A24" s="108" t="s">
        <v>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D231-7B9A-4A4D-B21B-CAC634DAE7C8}">
  <dimension ref="A1:H14"/>
  <sheetViews>
    <sheetView workbookViewId="0"/>
  </sheetViews>
  <sheetFormatPr defaultRowHeight="14.4" x14ac:dyDescent="0.3"/>
  <cols>
    <col min="1" max="1" width="25.88671875" customWidth="1"/>
    <col min="2" max="2" width="11.44140625" customWidth="1"/>
    <col min="5" max="5" width="11.44140625" customWidth="1"/>
    <col min="6" max="6" width="27.77734375" customWidth="1"/>
    <col min="7" max="7" width="13" customWidth="1"/>
    <col min="8" max="8" width="40.77734375" customWidth="1"/>
  </cols>
  <sheetData>
    <row r="1" spans="1:8" ht="19.8" x14ac:dyDescent="0.4">
      <c r="A1" s="2" t="s">
        <v>483</v>
      </c>
    </row>
    <row r="3" spans="1:8" x14ac:dyDescent="0.3">
      <c r="A3" s="6" t="s">
        <v>484</v>
      </c>
      <c r="B3" s="6" t="s">
        <v>485</v>
      </c>
      <c r="C3" s="6" t="s">
        <v>486</v>
      </c>
      <c r="D3" s="6" t="s">
        <v>487</v>
      </c>
      <c r="E3" s="6" t="s">
        <v>488</v>
      </c>
      <c r="F3" s="6" t="s">
        <v>489</v>
      </c>
      <c r="G3" s="6" t="s">
        <v>490</v>
      </c>
      <c r="H3" s="6" t="s">
        <v>491</v>
      </c>
    </row>
    <row r="4" spans="1:8" ht="72" x14ac:dyDescent="0.3">
      <c r="A4" s="70" t="s">
        <v>492</v>
      </c>
      <c r="B4" s="33">
        <v>9</v>
      </c>
      <c r="C4" s="33">
        <v>4</v>
      </c>
      <c r="D4" s="33">
        <v>4</v>
      </c>
      <c r="E4" s="109">
        <f>IFERROR(C4/D4,"")</f>
        <v>1</v>
      </c>
      <c r="F4" s="32" t="s">
        <v>493</v>
      </c>
      <c r="G4" s="33" t="s">
        <v>494</v>
      </c>
      <c r="H4" s="32" t="s">
        <v>495</v>
      </c>
    </row>
    <row r="5" spans="1:8" ht="43.2" x14ac:dyDescent="0.3">
      <c r="A5" s="71" t="s">
        <v>496</v>
      </c>
      <c r="B5" s="12">
        <v>10</v>
      </c>
      <c r="C5" s="12">
        <v>3</v>
      </c>
      <c r="D5" s="12">
        <v>4</v>
      </c>
      <c r="E5" s="110">
        <f>IFERROR(C5/D5,"")</f>
        <v>0.75</v>
      </c>
      <c r="F5" s="13" t="s">
        <v>497</v>
      </c>
      <c r="G5" s="12" t="s">
        <v>494</v>
      </c>
      <c r="H5" s="13" t="s">
        <v>498</v>
      </c>
    </row>
    <row r="6" spans="1:8" ht="57.6" x14ac:dyDescent="0.3">
      <c r="A6" s="71" t="s">
        <v>499</v>
      </c>
      <c r="B6" s="12">
        <v>7</v>
      </c>
      <c r="C6" s="12">
        <v>4</v>
      </c>
      <c r="D6" s="12">
        <v>4</v>
      </c>
      <c r="E6" s="110">
        <f>IFERROR(C6/D6,"")</f>
        <v>1</v>
      </c>
      <c r="F6" s="13" t="s">
        <v>500</v>
      </c>
      <c r="G6" s="12" t="s">
        <v>494</v>
      </c>
      <c r="H6" s="13" t="s">
        <v>501</v>
      </c>
    </row>
    <row r="7" spans="1:8" ht="57.6" x14ac:dyDescent="0.3">
      <c r="A7" s="71" t="s">
        <v>502</v>
      </c>
      <c r="B7" s="12">
        <v>4</v>
      </c>
      <c r="C7" s="12">
        <v>4</v>
      </c>
      <c r="D7" s="12">
        <v>4</v>
      </c>
      <c r="E7" s="110">
        <f>IFERROR(C7/D7,"")</f>
        <v>1</v>
      </c>
      <c r="F7" s="13" t="s">
        <v>503</v>
      </c>
      <c r="G7" s="12" t="s">
        <v>494</v>
      </c>
      <c r="H7" s="13" t="s">
        <v>504</v>
      </c>
    </row>
    <row r="8" spans="1:8" ht="57.6" x14ac:dyDescent="0.3">
      <c r="A8" s="71" t="s">
        <v>505</v>
      </c>
      <c r="B8" s="12">
        <v>6</v>
      </c>
      <c r="C8" s="12">
        <v>3</v>
      </c>
      <c r="D8" s="12">
        <v>3</v>
      </c>
      <c r="E8" s="110">
        <f>IFERROR(C8/D8,"")</f>
        <v>1</v>
      </c>
      <c r="F8" s="13" t="s">
        <v>506</v>
      </c>
      <c r="G8" s="12" t="s">
        <v>494</v>
      </c>
      <c r="H8" s="13" t="s">
        <v>507</v>
      </c>
    </row>
    <row r="9" spans="1:8" ht="57.6" x14ac:dyDescent="0.3">
      <c r="A9" s="71" t="s">
        <v>508</v>
      </c>
      <c r="B9" s="12">
        <v>8</v>
      </c>
      <c r="C9" s="12">
        <v>4</v>
      </c>
      <c r="D9" s="12">
        <v>4</v>
      </c>
      <c r="E9" s="110">
        <f>IFERROR(C9/D9,"")</f>
        <v>1</v>
      </c>
      <c r="F9" s="13" t="s">
        <v>509</v>
      </c>
      <c r="G9" s="12" t="s">
        <v>494</v>
      </c>
      <c r="H9" s="13" t="s">
        <v>510</v>
      </c>
    </row>
    <row r="10" spans="1:8" ht="43.2" x14ac:dyDescent="0.3">
      <c r="A10" s="71" t="s">
        <v>511</v>
      </c>
      <c r="B10" s="12">
        <v>5</v>
      </c>
      <c r="C10" s="12">
        <v>2</v>
      </c>
      <c r="D10" s="12">
        <v>2</v>
      </c>
      <c r="E10" s="110">
        <f>IFERROR(C10/D10,"")</f>
        <v>1</v>
      </c>
      <c r="F10" s="13" t="s">
        <v>512</v>
      </c>
      <c r="G10" s="12" t="s">
        <v>513</v>
      </c>
      <c r="H10" s="13" t="s">
        <v>514</v>
      </c>
    </row>
    <row r="11" spans="1:8" ht="72" x14ac:dyDescent="0.3">
      <c r="A11" s="71" t="s">
        <v>515</v>
      </c>
      <c r="B11" s="12">
        <v>9</v>
      </c>
      <c r="C11" s="12">
        <v>6</v>
      </c>
      <c r="D11" s="12">
        <v>6</v>
      </c>
      <c r="E11" s="110">
        <f>IFERROR(C11/D11,"")</f>
        <v>1</v>
      </c>
      <c r="F11" s="13" t="s">
        <v>516</v>
      </c>
      <c r="G11" s="12" t="s">
        <v>494</v>
      </c>
      <c r="H11" s="13" t="s">
        <v>517</v>
      </c>
    </row>
    <row r="12" spans="1:8" ht="43.2" x14ac:dyDescent="0.3">
      <c r="A12" s="72" t="s">
        <v>518</v>
      </c>
      <c r="B12" s="18">
        <v>3</v>
      </c>
      <c r="C12" s="18">
        <v>5</v>
      </c>
      <c r="D12" s="18">
        <v>5</v>
      </c>
      <c r="E12" s="111">
        <f>IFERROR(C12/D12,"")</f>
        <v>1</v>
      </c>
      <c r="F12" s="19" t="s">
        <v>519</v>
      </c>
      <c r="G12" s="18" t="s">
        <v>494</v>
      </c>
      <c r="H12" s="19" t="s">
        <v>520</v>
      </c>
    </row>
    <row r="13" spans="1:8" x14ac:dyDescent="0.3">
      <c r="E13" s="112"/>
    </row>
    <row r="14" spans="1:8" x14ac:dyDescent="0.3">
      <c r="A14" s="68" t="s">
        <v>521</v>
      </c>
      <c r="B14" s="68"/>
      <c r="C14" s="68">
        <f>SUM(C4:C12)</f>
        <v>35</v>
      </c>
      <c r="D14" s="68">
        <f>SUM(D4:D12)</f>
        <v>36</v>
      </c>
      <c r="E14" s="113">
        <f>IFERROR(C14/D14,"")</f>
        <v>0.97222222222222221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CA92-9A76-4F92-903C-D9FF307AB9F5}">
  <dimension ref="A1:F12"/>
  <sheetViews>
    <sheetView workbookViewId="0"/>
  </sheetViews>
  <sheetFormatPr defaultRowHeight="14.4" x14ac:dyDescent="0.3"/>
  <cols>
    <col min="1" max="1" width="28.6640625" customWidth="1"/>
    <col min="2" max="2" width="19.44140625" customWidth="1"/>
    <col min="3" max="3" width="48.109375" customWidth="1"/>
    <col min="4" max="4" width="51.88671875" customWidth="1"/>
    <col min="6" max="6" width="15.77734375" customWidth="1"/>
  </cols>
  <sheetData>
    <row r="1" spans="1:6" ht="19.8" x14ac:dyDescent="0.4">
      <c r="A1" s="2" t="s">
        <v>522</v>
      </c>
    </row>
    <row r="3" spans="1:6" x14ac:dyDescent="0.3">
      <c r="A3" s="6" t="s">
        <v>523</v>
      </c>
      <c r="B3" s="6" t="s">
        <v>382</v>
      </c>
      <c r="C3" s="6" t="s">
        <v>524</v>
      </c>
      <c r="D3" s="6" t="s">
        <v>525</v>
      </c>
      <c r="E3" s="6" t="s">
        <v>526</v>
      </c>
      <c r="F3" s="6" t="s">
        <v>484</v>
      </c>
    </row>
    <row r="4" spans="1:6" ht="129.6" x14ac:dyDescent="0.3">
      <c r="A4" s="70" t="s">
        <v>527</v>
      </c>
      <c r="B4" s="32" t="s">
        <v>528</v>
      </c>
      <c r="C4" s="114" t="s">
        <v>529</v>
      </c>
      <c r="D4" s="32" t="s">
        <v>530</v>
      </c>
      <c r="E4" s="117" t="s">
        <v>384</v>
      </c>
      <c r="F4" s="32" t="s">
        <v>531</v>
      </c>
    </row>
    <row r="5" spans="1:6" ht="100.8" x14ac:dyDescent="0.3">
      <c r="A5" s="71" t="s">
        <v>532</v>
      </c>
      <c r="B5" s="13" t="s">
        <v>533</v>
      </c>
      <c r="C5" s="115" t="s">
        <v>534</v>
      </c>
      <c r="D5" s="13" t="s">
        <v>535</v>
      </c>
      <c r="E5" s="118" t="s">
        <v>384</v>
      </c>
      <c r="F5" s="13" t="s">
        <v>536</v>
      </c>
    </row>
    <row r="6" spans="1:6" ht="144" x14ac:dyDescent="0.3">
      <c r="A6" s="71" t="s">
        <v>537</v>
      </c>
      <c r="B6" s="13" t="s">
        <v>538</v>
      </c>
      <c r="C6" s="115" t="s">
        <v>539</v>
      </c>
      <c r="D6" s="13" t="s">
        <v>540</v>
      </c>
      <c r="E6" s="118" t="s">
        <v>384</v>
      </c>
      <c r="F6" s="13" t="s">
        <v>541</v>
      </c>
    </row>
    <row r="7" spans="1:6" ht="115.2" x14ac:dyDescent="0.3">
      <c r="A7" s="71" t="s">
        <v>542</v>
      </c>
      <c r="B7" s="13" t="s">
        <v>543</v>
      </c>
      <c r="C7" s="115" t="s">
        <v>544</v>
      </c>
      <c r="D7" s="13" t="s">
        <v>545</v>
      </c>
      <c r="E7" s="118" t="s">
        <v>421</v>
      </c>
      <c r="F7" s="13" t="s">
        <v>546</v>
      </c>
    </row>
    <row r="8" spans="1:6" ht="129.6" x14ac:dyDescent="0.3">
      <c r="A8" s="71" t="s">
        <v>547</v>
      </c>
      <c r="B8" s="13" t="s">
        <v>548</v>
      </c>
      <c r="C8" s="115" t="s">
        <v>549</v>
      </c>
      <c r="D8" s="13" t="s">
        <v>550</v>
      </c>
      <c r="E8" s="118" t="s">
        <v>421</v>
      </c>
      <c r="F8" s="13" t="s">
        <v>551</v>
      </c>
    </row>
    <row r="9" spans="1:6" ht="172.8" x14ac:dyDescent="0.3">
      <c r="A9" s="71" t="s">
        <v>552</v>
      </c>
      <c r="B9" s="13" t="s">
        <v>553</v>
      </c>
      <c r="C9" s="115" t="s">
        <v>554</v>
      </c>
      <c r="D9" s="13" t="s">
        <v>555</v>
      </c>
      <c r="E9" s="118" t="s">
        <v>428</v>
      </c>
      <c r="F9" s="13" t="s">
        <v>556</v>
      </c>
    </row>
    <row r="10" spans="1:6" ht="144" x14ac:dyDescent="0.3">
      <c r="A10" s="71" t="s">
        <v>557</v>
      </c>
      <c r="B10" s="13" t="s">
        <v>558</v>
      </c>
      <c r="C10" s="115" t="s">
        <v>559</v>
      </c>
      <c r="D10" s="13" t="s">
        <v>560</v>
      </c>
      <c r="E10" s="118" t="s">
        <v>384</v>
      </c>
      <c r="F10" s="13" t="s">
        <v>541</v>
      </c>
    </row>
    <row r="11" spans="1:6" ht="172.8" x14ac:dyDescent="0.3">
      <c r="A11" s="71" t="s">
        <v>561</v>
      </c>
      <c r="B11" s="13" t="s">
        <v>533</v>
      </c>
      <c r="C11" s="115" t="s">
        <v>562</v>
      </c>
      <c r="D11" s="13" t="s">
        <v>563</v>
      </c>
      <c r="E11" s="118" t="s">
        <v>440</v>
      </c>
      <c r="F11" s="13" t="s">
        <v>536</v>
      </c>
    </row>
    <row r="12" spans="1:6" ht="129.6" x14ac:dyDescent="0.3">
      <c r="A12" s="72" t="s">
        <v>564</v>
      </c>
      <c r="B12" s="19" t="s">
        <v>565</v>
      </c>
      <c r="C12" s="116" t="s">
        <v>566</v>
      </c>
      <c r="D12" s="19" t="s">
        <v>567</v>
      </c>
      <c r="E12" s="119" t="s">
        <v>440</v>
      </c>
      <c r="F12" s="19" t="s">
        <v>556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3DCD-5D19-48B0-A011-457909D542D8}">
  <dimension ref="A1:F13"/>
  <sheetViews>
    <sheetView workbookViewId="0"/>
  </sheetViews>
  <sheetFormatPr defaultRowHeight="14.4" x14ac:dyDescent="0.3"/>
  <cols>
    <col min="1" max="1" width="30.5546875" customWidth="1"/>
    <col min="2" max="2" width="37" customWidth="1"/>
    <col min="3" max="3" width="46.33203125" customWidth="1"/>
    <col min="4" max="4" width="50" customWidth="1"/>
    <col min="5" max="5" width="8.109375" customWidth="1"/>
    <col min="6" max="6" width="27.77734375" customWidth="1"/>
  </cols>
  <sheetData>
    <row r="1" spans="1:6" ht="19.8" x14ac:dyDescent="0.4">
      <c r="A1" s="2" t="s">
        <v>568</v>
      </c>
    </row>
    <row r="2" spans="1:6" ht="201.6" x14ac:dyDescent="0.3">
      <c r="A2" s="102" t="s">
        <v>569</v>
      </c>
    </row>
    <row r="4" spans="1:6" x14ac:dyDescent="0.3">
      <c r="A4" s="6" t="s">
        <v>570</v>
      </c>
      <c r="B4" s="6" t="s">
        <v>571</v>
      </c>
      <c r="C4" s="6" t="s">
        <v>572</v>
      </c>
      <c r="D4" s="6" t="s">
        <v>573</v>
      </c>
      <c r="E4" s="6" t="s">
        <v>574</v>
      </c>
      <c r="F4" s="6" t="s">
        <v>575</v>
      </c>
    </row>
    <row r="5" spans="1:6" ht="129.6" x14ac:dyDescent="0.3">
      <c r="A5" s="130" t="s">
        <v>576</v>
      </c>
      <c r="B5" s="131" t="s">
        <v>577</v>
      </c>
      <c r="C5" s="132" t="s">
        <v>578</v>
      </c>
      <c r="D5" s="131" t="s">
        <v>579</v>
      </c>
      <c r="E5" s="133">
        <v>31</v>
      </c>
      <c r="F5" s="134" t="s">
        <v>580</v>
      </c>
    </row>
    <row r="6" spans="1:6" ht="172.8" x14ac:dyDescent="0.3">
      <c r="A6" s="121" t="s">
        <v>581</v>
      </c>
      <c r="B6" s="120" t="s">
        <v>582</v>
      </c>
      <c r="C6" s="122" t="s">
        <v>583</v>
      </c>
      <c r="D6" s="120" t="s">
        <v>584</v>
      </c>
      <c r="E6" s="123">
        <v>55</v>
      </c>
      <c r="F6" s="124" t="s">
        <v>585</v>
      </c>
    </row>
    <row r="7" spans="1:6" ht="158.4" x14ac:dyDescent="0.3">
      <c r="A7" s="121" t="s">
        <v>586</v>
      </c>
      <c r="B7" s="120" t="s">
        <v>587</v>
      </c>
      <c r="C7" s="122" t="s">
        <v>588</v>
      </c>
      <c r="D7" s="120" t="s">
        <v>589</v>
      </c>
      <c r="E7" s="123">
        <v>24</v>
      </c>
      <c r="F7" s="124" t="s">
        <v>590</v>
      </c>
    </row>
    <row r="8" spans="1:6" ht="172.8" x14ac:dyDescent="0.3">
      <c r="A8" s="121" t="s">
        <v>591</v>
      </c>
      <c r="B8" s="120" t="s">
        <v>592</v>
      </c>
      <c r="C8" s="122" t="s">
        <v>593</v>
      </c>
      <c r="D8" s="120" t="s">
        <v>594</v>
      </c>
      <c r="E8" s="123">
        <v>36</v>
      </c>
      <c r="F8" s="124" t="s">
        <v>595</v>
      </c>
    </row>
    <row r="9" spans="1:6" ht="172.8" x14ac:dyDescent="0.3">
      <c r="A9" s="121" t="s">
        <v>596</v>
      </c>
      <c r="B9" s="120" t="s">
        <v>597</v>
      </c>
      <c r="C9" s="122" t="s">
        <v>598</v>
      </c>
      <c r="D9" s="120" t="s">
        <v>599</v>
      </c>
      <c r="E9" s="123">
        <v>32</v>
      </c>
      <c r="F9" s="124" t="s">
        <v>600</v>
      </c>
    </row>
    <row r="10" spans="1:6" ht="144" x14ac:dyDescent="0.3">
      <c r="A10" s="125" t="s">
        <v>601</v>
      </c>
      <c r="B10" s="126" t="s">
        <v>602</v>
      </c>
      <c r="C10" s="127" t="s">
        <v>603</v>
      </c>
      <c r="D10" s="126" t="s">
        <v>604</v>
      </c>
      <c r="E10" s="128">
        <v>11</v>
      </c>
      <c r="F10" s="129" t="s">
        <v>605</v>
      </c>
    </row>
    <row r="12" spans="1:6" x14ac:dyDescent="0.3">
      <c r="A12" s="1" t="s">
        <v>606</v>
      </c>
      <c r="E12" s="107">
        <f>SUM(E5:E10)</f>
        <v>189</v>
      </c>
    </row>
    <row r="13" spans="1:6" ht="388.8" x14ac:dyDescent="0.3">
      <c r="A13" s="135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Fruits_Laws</vt:lpstr>
      <vt:lpstr>Commandments_Entropy</vt:lpstr>
      <vt:lpstr>Fruit_Dynamics</vt:lpstr>
      <vt:lpstr>Bidirectional_Test</vt:lpstr>
      <vt:lpstr>Bridge_Kill</vt:lpstr>
      <vt:lpstr>Adversarial_Review</vt:lpstr>
      <vt:lpstr>Formalization</vt:lpstr>
      <vt:lpstr>Master_Equation</vt:lpstr>
      <vt:lpstr>Spine_Compare</vt:lpstr>
      <vt:lpstr>Result_Domains</vt:lpstr>
      <vt:lpstr>Simple_Math</vt:lpstr>
      <vt:lpstr>Axiom_Schema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2026-07-26T23:26:21Z</dcterms:created>
  <dcterms:modified xsi:type="dcterms:W3CDTF">2026-07-27T03:22:45Z</dcterms:modified>
</cp:coreProperties>
</file>