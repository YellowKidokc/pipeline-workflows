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itHub\pipeline-workflows\API_ALL\05_API_DEEP_STATIONS\FRUITS\"/>
    </mc:Choice>
  </mc:AlternateContent>
  <xr:revisionPtr revIDLastSave="0" documentId="8_{17D6914B-1099-49BC-8200-8D84F2A5F28A}" xr6:coauthVersionLast="47" xr6:coauthVersionMax="47" xr10:uidLastSave="{00000000-0000-0000-0000-000000000000}"/>
  <bookViews>
    <workbookView xWindow="4992" yWindow="2748" windowWidth="34560" windowHeight="18144" firstSheet="3" activeTab="3" xr2:uid="{00000000-000D-0000-FFFF-FFFF00000000}"/>
  </bookViews>
  <sheets>
    <sheet name="MASTER_TERM_REGISTRY" sheetId="39" r:id="rId1"/>
    <sheet name="AAVE-Ebonics" sheetId="38" r:id="rId2"/>
    <sheet name="MASTER_README" sheetId="1" r:id="rId3"/>
    <sheet name="TEXT_GRADER" sheetId="40" r:id="rId4"/>
    <sheet name="SUPRA_INFRAQUE" sheetId="31" r:id="rId5"/>
    <sheet name="FRUIT_RETRIEVAL_LEXICON_V2" sheetId="37" r:id="rId6"/>
    <sheet name="SI_OBJECT_TYPES" sheetId="32" r:id="rId7"/>
    <sheet name="SI_CLASS_AXES" sheetId="33" r:id="rId8"/>
    <sheet name="SI_RELATIONS" sheetId="34" r:id="rId9"/>
    <sheet name="SI_SCHEMA_TABLES" sheetId="35" r:id="rId10"/>
    <sheet name="SI_VALIDATION" sheetId="36" r:id="rId11"/>
    <sheet name="BFP_DG_GRAMMAR" sheetId="30" r:id="rId12"/>
    <sheet name="BFP_DG_PRIMITIVES" sheetId="29" r:id="rId13"/>
    <sheet name="NAMING_TAXONOMY" sheetId="28" r:id="rId14"/>
    <sheet name="SUBJECTIVE_INDEX" sheetId="2" r:id="rId15"/>
    <sheet name="Fruit Semantic Architecture" sheetId="3" r:id="rId16"/>
    <sheet name="README" sheetId="4" r:id="rId17"/>
    <sheet name="WISDOM_TERMS" sheetId="5" r:id="rId18"/>
    <sheet name="KNOWLEDGE_TERMS" sheetId="6" r:id="rId19"/>
    <sheet name="COHERENCE_TERMS" sheetId="7" r:id="rId20"/>
    <sheet name="FRUITS" sheetId="8" r:id="rId21"/>
    <sheet name="ME_VARS" sheetId="9" r:id="rId22"/>
    <sheet name="CLAIM_TERMS" sheetId="10" r:id="rId23"/>
    <sheet name="EVIDENCE_TERMS" sheetId="11" r:id="rId24"/>
    <sheet name="FALSIFY_TERMS" sheetId="12" r:id="rId25"/>
    <sheet name="DEPENDENCY_TERMS" sheetId="13" r:id="rId26"/>
    <sheet name="HEDGE_TERMS" sheetId="14" r:id="rId27"/>
    <sheet name="ABSOLUTE_TERMS" sheetId="15" r:id="rId28"/>
    <sheet name="BRIDGE_TERMS" sheetId="16" r:id="rId29"/>
    <sheet name="NEGATION_TERMS" sheetId="17" r:id="rId30"/>
    <sheet name="FRUITS_LEX" sheetId="18" r:id="rId31"/>
    <sheet name="ANTI_FRUITS" sheetId="19" r:id="rId32"/>
    <sheet name="CHAR_ATTR_PATTERNS" sheetId="20" r:id="rId33"/>
    <sheet name="FRUIT_BLEND" sheetId="21" r:id="rId34"/>
    <sheet name="ANTI_FRUIT_MAP" sheetId="22" r:id="rId35"/>
    <sheet name="LAW_KEYWORDS" sheetId="23" r:id="rId36"/>
    <sheet name="DOC_TYPE_PATTERNS" sheetId="24" r:id="rId37"/>
    <sheet name="SEMANTIC_BUCKETS" sheetId="25" r:id="rId38"/>
    <sheet name="LEXICON_ADDITIONS_README" sheetId="26" r:id="rId39"/>
    <sheet name="SEMANTIC_BUCKETS_SUMMARY" sheetId="27" r:id="rId4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3" i="40" l="1" a="1"/>
  <c r="A213" i="40" s="1"/>
  <c r="B212" i="40" a="1"/>
  <c r="B211" i="40" a="1"/>
  <c r="B210" i="40" a="1"/>
  <c r="B209" i="40" a="1"/>
  <c r="A209" i="40" s="1"/>
  <c r="B208" i="40" a="1"/>
  <c r="B207" i="40" a="1"/>
  <c r="B206" i="40" a="1"/>
  <c r="B205" i="40" a="1"/>
  <c r="B204" i="40" a="1"/>
  <c r="B203" i="40" a="1"/>
  <c r="B202" i="40" a="1"/>
  <c r="B201" i="40" a="1"/>
  <c r="B200" i="40" a="1"/>
  <c r="B199" i="40" a="1"/>
  <c r="B198" i="40" a="1"/>
  <c r="B197" i="40" a="1"/>
  <c r="B196" i="40" a="1"/>
  <c r="B195" i="40" a="1"/>
  <c r="B194" i="40" a="1"/>
  <c r="B193" i="40" a="1"/>
  <c r="A193" i="40" s="1"/>
  <c r="B192" i="40" a="1"/>
  <c r="A192" i="40" s="1"/>
  <c r="B191" i="40" a="1"/>
  <c r="A191" i="40" s="1"/>
  <c r="B190" i="40" a="1"/>
  <c r="A190" i="40" s="1"/>
  <c r="B189" i="40" a="1"/>
  <c r="A189" i="40" s="1"/>
  <c r="B188" i="40" a="1"/>
  <c r="B187" i="40" a="1"/>
  <c r="B186" i="40" a="1"/>
  <c r="B185" i="40" a="1"/>
  <c r="B184" i="40" a="1"/>
  <c r="B183" i="40" a="1"/>
  <c r="B182" i="40" a="1"/>
  <c r="B181" i="40" a="1"/>
  <c r="B180" i="40" a="1"/>
  <c r="B179" i="40" a="1"/>
  <c r="B178" i="40" a="1"/>
  <c r="B177" i="40" a="1"/>
  <c r="B176" i="40" a="1"/>
  <c r="B175" i="40" a="1"/>
  <c r="B174" i="40" a="1"/>
  <c r="A174" i="40" s="1"/>
  <c r="B173" i="40" a="1"/>
  <c r="A173" i="40" s="1"/>
  <c r="B172" i="40" a="1"/>
  <c r="A172" i="40" s="1"/>
  <c r="B171" i="40" a="1"/>
  <c r="A171" i="40" s="1"/>
  <c r="B170" i="40" a="1"/>
  <c r="A170" i="40" s="1"/>
  <c r="B169" i="40" a="1"/>
  <c r="A169" i="40"/>
  <c r="B168" i="40" a="1"/>
  <c r="A168" i="40"/>
  <c r="B167" i="40" a="1"/>
  <c r="A167" i="40"/>
  <c r="B166" i="40" a="1"/>
  <c r="A166" i="40"/>
  <c r="B165" i="40" a="1"/>
  <c r="B164" i="40" a="1"/>
  <c r="B163" i="40" a="1"/>
  <c r="B162" i="40" a="1"/>
  <c r="B161" i="40" a="1"/>
  <c r="B160" i="40" a="1"/>
  <c r="B159" i="40" a="1"/>
  <c r="B158" i="40" a="1"/>
  <c r="B157" i="40" a="1"/>
  <c r="B156" i="40" a="1"/>
  <c r="B155" i="40" a="1"/>
  <c r="B154" i="40" a="1"/>
  <c r="A154" i="40" s="1"/>
  <c r="B153" i="40" a="1"/>
  <c r="A153" i="40" s="1"/>
  <c r="B152" i="40" a="1"/>
  <c r="A152" i="40" s="1"/>
  <c r="B151" i="40" a="1"/>
  <c r="A151" i="40" s="1"/>
  <c r="B150" i="40" a="1"/>
  <c r="A150" i="40" s="1"/>
  <c r="B149" i="40" a="1"/>
  <c r="A149" i="40" s="1"/>
  <c r="B148" i="40" a="1"/>
  <c r="A148" i="40" s="1"/>
  <c r="B147" i="40" a="1"/>
  <c r="A147" i="40" s="1"/>
  <c r="B146" i="40" a="1"/>
  <c r="A146" i="40" s="1"/>
  <c r="B145" i="40" a="1"/>
  <c r="B144" i="40" a="1"/>
  <c r="B143" i="40" a="1"/>
  <c r="B142" i="40" a="1"/>
  <c r="B141" i="40" a="1"/>
  <c r="B140" i="40" a="1"/>
  <c r="B139" i="40" a="1"/>
  <c r="B138" i="40" a="1"/>
  <c r="E138" i="40" s="1" a="1"/>
  <c r="B137" i="40" a="1"/>
  <c r="B136" i="40" a="1"/>
  <c r="B135" i="40" a="1"/>
  <c r="B134" i="40" a="1"/>
  <c r="A134" i="40" s="1"/>
  <c r="B133" i="40" a="1"/>
  <c r="A133" i="40" s="1"/>
  <c r="B132" i="40" a="1"/>
  <c r="A132" i="40" s="1"/>
  <c r="B131" i="40" a="1"/>
  <c r="A131" i="40" s="1"/>
  <c r="B130" i="40" a="1"/>
  <c r="A130" i="40" s="1"/>
  <c r="B129" i="40" a="1"/>
  <c r="A129" i="40" s="1"/>
  <c r="B128" i="40" a="1"/>
  <c r="A128" i="40" s="1"/>
  <c r="B127" i="40" a="1"/>
  <c r="A127" i="40" s="1"/>
  <c r="B126" i="40" a="1"/>
  <c r="A126" i="40" s="1"/>
  <c r="B125" i="40" a="1"/>
  <c r="A125" i="40" s="1"/>
  <c r="B124" i="40" a="1"/>
  <c r="A124" i="40" s="1"/>
  <c r="B123" i="40" a="1"/>
  <c r="A123" i="40"/>
  <c r="B122" i="40" a="1"/>
  <c r="A122" i="40"/>
  <c r="B121" i="40" a="1"/>
  <c r="B120" i="40" a="1"/>
  <c r="B119" i="40" a="1"/>
  <c r="B118" i="40" a="1"/>
  <c r="B117" i="40" a="1"/>
  <c r="B116" i="40" a="1"/>
  <c r="B115" i="40" a="1"/>
  <c r="A115" i="40" s="1"/>
  <c r="B114" i="40" a="1"/>
  <c r="A114" i="40" s="1"/>
  <c r="B113" i="40" a="1"/>
  <c r="A113" i="40" s="1"/>
  <c r="B112" i="40" a="1"/>
  <c r="A112" i="40" s="1"/>
  <c r="B111" i="40" a="1"/>
  <c r="A111" i="40" s="1"/>
  <c r="B110" i="40" a="1"/>
  <c r="A110" i="40" s="1"/>
  <c r="B109" i="40" a="1"/>
  <c r="A109" i="40" s="1"/>
  <c r="B108" i="40" a="1"/>
  <c r="A108" i="40" s="1"/>
  <c r="B107" i="40" a="1"/>
  <c r="A107" i="40" s="1"/>
  <c r="B106" i="40" a="1"/>
  <c r="A106" i="40" s="1"/>
  <c r="B105" i="40" a="1"/>
  <c r="A105" i="40" s="1"/>
  <c r="B104" i="40" a="1"/>
  <c r="A104" i="40" s="1"/>
  <c r="B103" i="40" a="1"/>
  <c r="A103" i="40" s="1"/>
  <c r="B102" i="40" a="1"/>
  <c r="A102" i="40" s="1"/>
  <c r="B101" i="40" a="1"/>
  <c r="B100" i="40" a="1"/>
  <c r="B99" i="40" a="1"/>
  <c r="B98" i="40" a="1"/>
  <c r="B97" i="40" a="1"/>
  <c r="B96" i="40" a="1"/>
  <c r="B95" i="40" a="1"/>
  <c r="A95" i="40" s="1"/>
  <c r="B94" i="40" a="1"/>
  <c r="A94" i="40" s="1"/>
  <c r="B93" i="40" a="1"/>
  <c r="A93" i="40" s="1"/>
  <c r="B92" i="40" a="1"/>
  <c r="A92" i="40" s="1"/>
  <c r="B91" i="40" a="1"/>
  <c r="A91" i="40" s="1"/>
  <c r="B90" i="40" a="1"/>
  <c r="A90" i="40" s="1"/>
  <c r="B89" i="40" a="1"/>
  <c r="A89" i="40" s="1"/>
  <c r="B88" i="40" a="1"/>
  <c r="A88" i="40" s="1"/>
  <c r="B87" i="40" a="1"/>
  <c r="A87" i="40" s="1"/>
  <c r="B86" i="40" a="1"/>
  <c r="A86" i="40" s="1"/>
  <c r="B85" i="40" a="1"/>
  <c r="A85" i="40" s="1"/>
  <c r="B84" i="40" a="1"/>
  <c r="A84" i="40" s="1"/>
  <c r="B83" i="40" a="1"/>
  <c r="A83" i="40" s="1"/>
  <c r="B82" i="40" a="1"/>
  <c r="B81" i="40" a="1"/>
  <c r="B80" i="40" a="1"/>
  <c r="B79" i="40" a="1"/>
  <c r="B78" i="40" a="1"/>
  <c r="B77" i="40" a="1"/>
  <c r="B76" i="40" a="1"/>
  <c r="A76" i="40"/>
  <c r="B75" i="40" a="1"/>
  <c r="A75" i="40"/>
  <c r="B74" i="40" a="1"/>
  <c r="A74" i="40"/>
  <c r="B73" i="40" a="1"/>
  <c r="A73" i="40"/>
  <c r="B72" i="40" a="1"/>
  <c r="A72" i="40"/>
  <c r="B71" i="40" a="1"/>
  <c r="A71" i="40"/>
  <c r="B70" i="40" a="1"/>
  <c r="A70" i="40"/>
  <c r="B69" i="40" a="1"/>
  <c r="A69" i="40"/>
  <c r="B68" i="40" a="1"/>
  <c r="A68" i="40"/>
  <c r="B67" i="40" a="1"/>
  <c r="A67" i="40"/>
  <c r="B66" i="40" a="1"/>
  <c r="A66" i="40"/>
  <c r="B65" i="40" a="1"/>
  <c r="A65" i="40"/>
  <c r="B64" i="40" a="1"/>
  <c r="A64" i="40"/>
  <c r="B63" i="40" a="1"/>
  <c r="A63" i="40"/>
  <c r="B62" i="40" a="1"/>
  <c r="B61" i="40" a="1"/>
  <c r="B60" i="40" a="1"/>
  <c r="B59" i="40" a="1"/>
  <c r="B58" i="40" a="1"/>
  <c r="B57" i="40" a="1"/>
  <c r="B56" i="40" a="1"/>
  <c r="A56" i="40" s="1"/>
  <c r="B55" i="40" a="1"/>
  <c r="A55" i="40" s="1"/>
  <c r="B54" i="40" a="1"/>
  <c r="A54" i="40" s="1"/>
  <c r="B53" i="40" a="1"/>
  <c r="A53" i="40" s="1"/>
  <c r="B52" i="40" a="1"/>
  <c r="A52" i="40" s="1"/>
  <c r="B51" i="40" a="1"/>
  <c r="A51" i="40" s="1"/>
  <c r="B50" i="40" a="1"/>
  <c r="A50" i="40" s="1"/>
  <c r="B49" i="40" a="1"/>
  <c r="A49" i="40" s="1"/>
  <c r="B48" i="40" a="1"/>
  <c r="A48" i="40" s="1"/>
  <c r="B47" i="40" a="1"/>
  <c r="A47" i="40" s="1"/>
  <c r="B46" i="40" a="1"/>
  <c r="A46" i="40" s="1"/>
  <c r="B45" i="40" a="1"/>
  <c r="A45" i="40" s="1"/>
  <c r="B44" i="40" a="1"/>
  <c r="A44" i="40" s="1"/>
  <c r="B43" i="40" a="1"/>
  <c r="A43" i="40" s="1"/>
  <c r="B42" i="40" a="1"/>
  <c r="B41" i="40" a="1"/>
  <c r="B40" i="40" a="1"/>
  <c r="B39" i="40" a="1"/>
  <c r="B38" i="40" a="1"/>
  <c r="B37" i="40" a="1"/>
  <c r="B36" i="40" a="1"/>
  <c r="B35" i="40" a="1"/>
  <c r="B34" i="40" a="1"/>
  <c r="B33" i="40" a="1"/>
  <c r="B32" i="40" a="1"/>
  <c r="B31" i="40" a="1"/>
  <c r="B30" i="40" a="1"/>
  <c r="B29" i="40" a="1"/>
  <c r="B28" i="40" a="1"/>
  <c r="B27" i="40" a="1"/>
  <c r="B26" i="40" a="1"/>
  <c r="B25" i="40" a="1"/>
  <c r="B24" i="40" a="1"/>
  <c r="B23" i="40" a="1"/>
  <c r="B22" i="40" a="1"/>
  <c r="B21" i="40" a="1"/>
  <c r="B20" i="40" a="1"/>
  <c r="B19" i="40" a="1"/>
  <c r="B18" i="40" a="1"/>
  <c r="B17" i="40" a="1"/>
  <c r="B16" i="40" a="1"/>
  <c r="B15" i="40" a="1"/>
  <c r="B14" i="40" a="1"/>
  <c r="A4" i="38" a="1"/>
  <c r="A5" i="38" a="1"/>
  <c r="A11" i="38" a="1"/>
  <c r="A19" i="38" a="1"/>
  <c r="E194" i="40" l="1" a="1"/>
  <c r="G194" i="40"/>
  <c r="A194" i="40"/>
  <c r="C155" i="40"/>
  <c r="A155" i="40"/>
  <c r="G155" i="40"/>
  <c r="D155" i="40" a="1"/>
  <c r="E155" i="40" a="1"/>
  <c r="G135" i="40"/>
  <c r="A135" i="40"/>
  <c r="A96" i="40"/>
  <c r="E96" i="40" a="1"/>
  <c r="G96" i="40"/>
  <c r="C57" i="40"/>
  <c r="G57" i="40"/>
  <c r="D57" i="40" a="1"/>
  <c r="E57" i="40" a="1"/>
  <c r="A57" i="40"/>
  <c r="G213" i="40"/>
  <c r="E213" i="40" a="1"/>
  <c r="D213" i="40" a="1"/>
  <c r="C213" i="40"/>
  <c r="E212" i="40" a="1"/>
  <c r="D212" i="40" a="1"/>
  <c r="C212" i="40"/>
  <c r="A212" i="40"/>
  <c r="G212" i="40"/>
  <c r="C211" i="40"/>
  <c r="E211" i="40" a="1"/>
  <c r="D211" i="40" a="1"/>
  <c r="H211" i="40" s="1" a="1"/>
  <c r="A211" i="40"/>
  <c r="F211" i="40" a="1"/>
  <c r="G211" i="40"/>
  <c r="A210" i="40"/>
  <c r="G210" i="40"/>
  <c r="C210" i="40"/>
  <c r="D210" i="40" a="1"/>
  <c r="E210" i="40" a="1"/>
  <c r="G209" i="40"/>
  <c r="E209" i="40" a="1"/>
  <c r="D209" i="40" a="1"/>
  <c r="C209" i="40"/>
  <c r="E208" i="40" a="1"/>
  <c r="D208" i="40" a="1"/>
  <c r="A208" i="40"/>
  <c r="C208" i="40"/>
  <c r="G208" i="40"/>
  <c r="G207" i="40"/>
  <c r="E207" i="40" a="1"/>
  <c r="D207" i="40" a="1"/>
  <c r="C207" i="40"/>
  <c r="A207" i="40"/>
  <c r="A206" i="40"/>
  <c r="D206" i="40" a="1"/>
  <c r="E206" i="40" a="1"/>
  <c r="F206" i="40" a="1"/>
  <c r="G206" i="40"/>
  <c r="H206" i="40" a="1"/>
  <c r="C206" i="40"/>
  <c r="E205" i="40" a="1"/>
  <c r="D205" i="40" a="1"/>
  <c r="G205" i="40"/>
  <c r="A205" i="40"/>
  <c r="C205" i="40"/>
  <c r="E204" i="40" a="1"/>
  <c r="C204" i="40"/>
  <c r="G204" i="40"/>
  <c r="D204" i="40" a="1"/>
  <c r="A204" i="40"/>
  <c r="D203" i="40" a="1"/>
  <c r="C203" i="40"/>
  <c r="G203" i="40"/>
  <c r="A203" i="40"/>
  <c r="E203" i="40" a="1"/>
  <c r="D202" i="40" a="1"/>
  <c r="F202" i="40" s="1" a="1"/>
  <c r="E202" i="40" a="1"/>
  <c r="G202" i="40"/>
  <c r="C202" i="40"/>
  <c r="H202" i="40" a="1"/>
  <c r="A202" i="40"/>
  <c r="A201" i="40"/>
  <c r="C201" i="40"/>
  <c r="D201" i="40" a="1"/>
  <c r="F201" i="40" a="1"/>
  <c r="G201" i="40"/>
  <c r="H201" i="40" a="1"/>
  <c r="E201" i="40" a="1"/>
  <c r="E200" i="40" a="1"/>
  <c r="D200" i="40" a="1"/>
  <c r="H200" i="40" a="1"/>
  <c r="G200" i="40"/>
  <c r="F200" i="40" a="1"/>
  <c r="A200" i="40"/>
  <c r="C200" i="40"/>
  <c r="G199" i="40"/>
  <c r="E199" i="40" a="1"/>
  <c r="D199" i="40" a="1"/>
  <c r="C199" i="40"/>
  <c r="A199" i="40"/>
  <c r="A198" i="40"/>
  <c r="D198" i="40" a="1"/>
  <c r="E198" i="40" a="1"/>
  <c r="G198" i="40"/>
  <c r="F198" i="40" a="1"/>
  <c r="H198" i="40" a="1"/>
  <c r="C198" i="40"/>
  <c r="G197" i="40"/>
  <c r="E197" i="40" a="1"/>
  <c r="D197" i="40" a="1"/>
  <c r="C197" i="40"/>
  <c r="A197" i="40"/>
  <c r="G196" i="40"/>
  <c r="E196" i="40" a="1"/>
  <c r="D196" i="40" a="1"/>
  <c r="C196" i="40"/>
  <c r="F196" i="40" a="1"/>
  <c r="H196" i="40" a="1"/>
  <c r="A196" i="40"/>
  <c r="A195" i="40"/>
  <c r="C195" i="40"/>
  <c r="D195" i="40" a="1"/>
  <c r="E195" i="40" a="1"/>
  <c r="H195" i="40" a="1"/>
  <c r="G195" i="40"/>
  <c r="F195" i="40" a="1"/>
  <c r="D194" i="40" a="1"/>
  <c r="C194" i="40"/>
  <c r="E193" i="40" a="1"/>
  <c r="D193" i="40" a="1"/>
  <c r="C193" i="40"/>
  <c r="G193" i="40"/>
  <c r="C192" i="40"/>
  <c r="D192" i="40" a="1"/>
  <c r="F192" i="40" s="1" a="1"/>
  <c r="E192" i="40" a="1"/>
  <c r="H192" i="40" a="1"/>
  <c r="G192" i="40"/>
  <c r="D191" i="40" a="1"/>
  <c r="E191" i="40" a="1"/>
  <c r="G191" i="40"/>
  <c r="C191" i="40"/>
  <c r="D190" i="40" a="1"/>
  <c r="F190" i="40" s="1" a="1"/>
  <c r="C190" i="40"/>
  <c r="G190" i="40"/>
  <c r="E190" i="40" a="1"/>
  <c r="H190" i="40" a="1"/>
  <c r="G189" i="40"/>
  <c r="E189" i="40" a="1"/>
  <c r="D189" i="40" a="1"/>
  <c r="C189" i="40"/>
  <c r="G188" i="40"/>
  <c r="E188" i="40" a="1"/>
  <c r="C188" i="40"/>
  <c r="D188" i="40" a="1"/>
  <c r="A188" i="40"/>
  <c r="A187" i="40"/>
  <c r="E187" i="40" a="1"/>
  <c r="G187" i="40"/>
  <c r="D187" i="40" a="1"/>
  <c r="F187" i="40" s="1" a="1"/>
  <c r="H187" i="40" a="1"/>
  <c r="C187" i="40"/>
  <c r="D186" i="40" a="1"/>
  <c r="F186" i="40" s="1" a="1"/>
  <c r="G186" i="40"/>
  <c r="H186" i="40" a="1"/>
  <c r="E186" i="40" a="1"/>
  <c r="C186" i="40"/>
  <c r="A186" i="40"/>
  <c r="D185" i="40" a="1"/>
  <c r="C185" i="40"/>
  <c r="A185" i="40"/>
  <c r="F185" i="40" a="1"/>
  <c r="G185" i="40"/>
  <c r="H185" i="40" a="1"/>
  <c r="E185" i="40" a="1"/>
  <c r="G184" i="40"/>
  <c r="E184" i="40" a="1"/>
  <c r="C184" i="40"/>
  <c r="A184" i="40"/>
  <c r="D184" i="40" a="1"/>
  <c r="G183" i="40"/>
  <c r="E183" i="40" a="1"/>
  <c r="D183" i="40" a="1"/>
  <c r="F183" i="40" s="1" a="1"/>
  <c r="C183" i="40"/>
  <c r="A183" i="40"/>
  <c r="H183" i="40" a="1"/>
  <c r="E182" i="40" a="1"/>
  <c r="A182" i="40"/>
  <c r="C182" i="40"/>
  <c r="G182" i="40"/>
  <c r="D182" i="40" a="1"/>
  <c r="C181" i="40"/>
  <c r="E181" i="40" a="1"/>
  <c r="G181" i="40"/>
  <c r="D181" i="40" a="1"/>
  <c r="A181" i="40"/>
  <c r="C180" i="40"/>
  <c r="D180" i="40" a="1"/>
  <c r="H180" i="40" s="1" a="1"/>
  <c r="A180" i="40"/>
  <c r="E180" i="40" a="1"/>
  <c r="G180" i="40"/>
  <c r="F180" i="40" a="1"/>
  <c r="C179" i="40"/>
  <c r="D179" i="40" a="1"/>
  <c r="F179" i="40" s="1" a="1"/>
  <c r="H179" i="40" a="1"/>
  <c r="E179" i="40" a="1"/>
  <c r="A179" i="40"/>
  <c r="G179" i="40"/>
  <c r="C178" i="40"/>
  <c r="G178" i="40"/>
  <c r="A178" i="40"/>
  <c r="E178" i="40" a="1"/>
  <c r="D178" i="40" a="1"/>
  <c r="C177" i="40"/>
  <c r="D177" i="40" a="1"/>
  <c r="F177" i="40" s="1" a="1"/>
  <c r="A177" i="40"/>
  <c r="H177" i="40" a="1"/>
  <c r="G177" i="40"/>
  <c r="E177" i="40" a="1"/>
  <c r="E176" i="40" a="1"/>
  <c r="C176" i="40"/>
  <c r="G176" i="40"/>
  <c r="D176" i="40" a="1"/>
  <c r="A176" i="40"/>
  <c r="G175" i="40"/>
  <c r="E175" i="40" a="1"/>
  <c r="D175" i="40" a="1"/>
  <c r="C175" i="40"/>
  <c r="H175" i="40" a="1"/>
  <c r="F175" i="40" a="1"/>
  <c r="A175" i="40"/>
  <c r="D174" i="40" a="1"/>
  <c r="H174" i="40" s="1" a="1"/>
  <c r="G174" i="40"/>
  <c r="F174" i="40" a="1"/>
  <c r="E174" i="40" a="1"/>
  <c r="C174" i="40"/>
  <c r="D173" i="40" a="1"/>
  <c r="C173" i="40"/>
  <c r="E173" i="40" a="1"/>
  <c r="H173" i="40" a="1"/>
  <c r="G173" i="40"/>
  <c r="F173" i="40" a="1"/>
  <c r="G172" i="40"/>
  <c r="E172" i="40" a="1"/>
  <c r="D172" i="40" a="1"/>
  <c r="C172" i="40"/>
  <c r="G171" i="40"/>
  <c r="E171" i="40" a="1"/>
  <c r="D171" i="40" a="1"/>
  <c r="C171" i="40"/>
  <c r="G170" i="40"/>
  <c r="E170" i="40" a="1"/>
  <c r="D170" i="40" a="1"/>
  <c r="C170" i="40"/>
  <c r="D169" i="40" a="1"/>
  <c r="C169" i="40"/>
  <c r="H169" i="40" a="1"/>
  <c r="G169" i="40"/>
  <c r="F169" i="40" a="1"/>
  <c r="E169" i="40" a="1"/>
  <c r="D168" i="40" a="1"/>
  <c r="H168" i="40" a="1"/>
  <c r="C168" i="40"/>
  <c r="G168" i="40"/>
  <c r="F168" i="40" a="1"/>
  <c r="E168" i="40" a="1"/>
  <c r="G167" i="40"/>
  <c r="E167" i="40" a="1"/>
  <c r="C167" i="40"/>
  <c r="D167" i="40" a="1"/>
  <c r="D166" i="40" a="1"/>
  <c r="C166" i="40"/>
  <c r="H166" i="40" a="1"/>
  <c r="G166" i="40"/>
  <c r="F166" i="40" a="1"/>
  <c r="E166" i="40" a="1"/>
  <c r="D165" i="40" a="1"/>
  <c r="G165" i="40"/>
  <c r="H165" i="40" a="1"/>
  <c r="C165" i="40"/>
  <c r="F165" i="40" a="1"/>
  <c r="E165" i="40" a="1"/>
  <c r="A165" i="40"/>
  <c r="D164" i="40" a="1"/>
  <c r="A164" i="40"/>
  <c r="C164" i="40"/>
  <c r="G164" i="40"/>
  <c r="H164" i="40" a="1"/>
  <c r="F164" i="40" a="1"/>
  <c r="E164" i="40" a="1"/>
  <c r="A163" i="40"/>
  <c r="C163" i="40"/>
  <c r="D163" i="40" a="1"/>
  <c r="F163" i="40" s="1" a="1"/>
  <c r="E163" i="40" a="1"/>
  <c r="G163" i="40"/>
  <c r="H163" i="40" a="1"/>
  <c r="A162" i="40"/>
  <c r="C162" i="40"/>
  <c r="D162" i="40" a="1"/>
  <c r="F162" i="40" s="1" a="1"/>
  <c r="G162" i="40"/>
  <c r="H162" i="40" a="1"/>
  <c r="E162" i="40" a="1"/>
  <c r="G161" i="40"/>
  <c r="C161" i="40"/>
  <c r="E161" i="40" a="1"/>
  <c r="D161" i="40" a="1"/>
  <c r="A161" i="40"/>
  <c r="D160" i="40" a="1"/>
  <c r="C160" i="40"/>
  <c r="A160" i="40"/>
  <c r="G160" i="40"/>
  <c r="E160" i="40" a="1"/>
  <c r="E159" i="40" a="1"/>
  <c r="G159" i="40"/>
  <c r="D159" i="40" a="1"/>
  <c r="C159" i="40"/>
  <c r="A159" i="40"/>
  <c r="G158" i="40"/>
  <c r="A158" i="40"/>
  <c r="E158" i="40" a="1"/>
  <c r="D158" i="40" a="1"/>
  <c r="F158" i="40" s="1" a="1"/>
  <c r="C158" i="40"/>
  <c r="H158" i="40" a="1"/>
  <c r="E157" i="40" a="1"/>
  <c r="D157" i="40" a="1"/>
  <c r="H157" i="40" s="1" a="1"/>
  <c r="G157" i="40"/>
  <c r="F157" i="40" a="1"/>
  <c r="A157" i="40"/>
  <c r="C157" i="40"/>
  <c r="D156" i="40" a="1"/>
  <c r="A156" i="40"/>
  <c r="G156" i="40"/>
  <c r="F156" i="40" a="1"/>
  <c r="E156" i="40" a="1"/>
  <c r="H156" i="40" a="1"/>
  <c r="C156" i="40"/>
  <c r="H155" i="40" a="1"/>
  <c r="F155" i="40" a="1"/>
  <c r="G154" i="40"/>
  <c r="E154" i="40" a="1"/>
  <c r="D154" i="40" a="1"/>
  <c r="C154" i="40"/>
  <c r="C153" i="40"/>
  <c r="G153" i="40"/>
  <c r="E153" i="40" a="1"/>
  <c r="D153" i="40" a="1"/>
  <c r="C152" i="40"/>
  <c r="D152" i="40" a="1"/>
  <c r="E152" i="40" a="1"/>
  <c r="F152" i="40" a="1"/>
  <c r="G152" i="40"/>
  <c r="H152" i="40" a="1"/>
  <c r="G151" i="40"/>
  <c r="C151" i="40"/>
  <c r="E151" i="40" a="1"/>
  <c r="D151" i="40" a="1"/>
  <c r="C150" i="40"/>
  <c r="G150" i="40"/>
  <c r="E150" i="40" a="1"/>
  <c r="D150" i="40" a="1"/>
  <c r="E149" i="40" a="1"/>
  <c r="D149" i="40" a="1"/>
  <c r="H149" i="40" s="1" a="1"/>
  <c r="C149" i="40"/>
  <c r="G149" i="40"/>
  <c r="F149" i="40" a="1"/>
  <c r="E148" i="40" a="1"/>
  <c r="G148" i="40"/>
  <c r="C148" i="40"/>
  <c r="D148" i="40" a="1"/>
  <c r="D147" i="40" a="1"/>
  <c r="C147" i="40"/>
  <c r="E147" i="40" a="1"/>
  <c r="F147" i="40" a="1"/>
  <c r="G147" i="40"/>
  <c r="H147" i="40" a="1"/>
  <c r="D146" i="40" a="1"/>
  <c r="C146" i="40"/>
  <c r="G146" i="40"/>
  <c r="E146" i="40" a="1"/>
  <c r="F146" i="40" a="1"/>
  <c r="H146" i="40" a="1"/>
  <c r="G145" i="40"/>
  <c r="A145" i="40"/>
  <c r="C145" i="40"/>
  <c r="D145" i="40" a="1"/>
  <c r="E145" i="40" a="1"/>
  <c r="A144" i="40"/>
  <c r="C144" i="40"/>
  <c r="D144" i="40" a="1"/>
  <c r="E144" i="40" a="1"/>
  <c r="G144" i="40"/>
  <c r="G143" i="40"/>
  <c r="E143" i="40" a="1"/>
  <c r="C143" i="40"/>
  <c r="D143" i="40" a="1"/>
  <c r="F143" i="40" a="1"/>
  <c r="H143" i="40" a="1"/>
  <c r="A143" i="40"/>
  <c r="D142" i="40" a="1"/>
  <c r="F142" i="40" s="1" a="1"/>
  <c r="A142" i="40"/>
  <c r="C142" i="40"/>
  <c r="E142" i="40" a="1"/>
  <c r="H142" i="40" a="1"/>
  <c r="G142" i="40"/>
  <c r="C141" i="40"/>
  <c r="E141" i="40" a="1"/>
  <c r="D141" i="40" a="1"/>
  <c r="G141" i="40"/>
  <c r="A141" i="40"/>
  <c r="E140" i="40" a="1"/>
  <c r="C140" i="40"/>
  <c r="G140" i="40"/>
  <c r="D140" i="40" a="1"/>
  <c r="A140" i="40"/>
  <c r="G139" i="40"/>
  <c r="C139" i="40"/>
  <c r="A139" i="40"/>
  <c r="E139" i="40" a="1"/>
  <c r="D139" i="40" a="1"/>
  <c r="D138" i="40" a="1"/>
  <c r="C138" i="40"/>
  <c r="G138" i="40"/>
  <c r="H138" i="40" a="1"/>
  <c r="A138" i="40"/>
  <c r="F138" i="40" a="1"/>
  <c r="E137" i="40" a="1"/>
  <c r="C137" i="40"/>
  <c r="D137" i="40" a="1"/>
  <c r="G137" i="40"/>
  <c r="H137" i="40" a="1"/>
  <c r="A137" i="40"/>
  <c r="F137" i="40" a="1"/>
  <c r="D136" i="40" a="1"/>
  <c r="F136" i="40" s="1" a="1"/>
  <c r="E136" i="40" a="1"/>
  <c r="G136" i="40"/>
  <c r="C136" i="40"/>
  <c r="H136" i="40" a="1"/>
  <c r="A136" i="40"/>
  <c r="E135" i="40" a="1"/>
  <c r="D135" i="40" a="1"/>
  <c r="C135" i="40"/>
  <c r="D134" i="40" a="1"/>
  <c r="F134" i="40" s="1" a="1"/>
  <c r="E134" i="40" a="1"/>
  <c r="H134" i="40" a="1"/>
  <c r="C134" i="40"/>
  <c r="G134" i="40"/>
  <c r="E133" i="40" a="1"/>
  <c r="D133" i="40" a="1"/>
  <c r="H133" i="40" s="1" a="1"/>
  <c r="C133" i="40"/>
  <c r="G133" i="40"/>
  <c r="F133" i="40" a="1"/>
  <c r="D132" i="40" a="1"/>
  <c r="G132" i="40"/>
  <c r="E132" i="40" a="1"/>
  <c r="C132" i="40"/>
  <c r="C131" i="40"/>
  <c r="G131" i="40"/>
  <c r="E131" i="40" a="1"/>
  <c r="D131" i="40" a="1"/>
  <c r="G130" i="40"/>
  <c r="C130" i="40"/>
  <c r="D130" i="40" a="1"/>
  <c r="E130" i="40" a="1"/>
  <c r="C129" i="40"/>
  <c r="D129" i="40" a="1"/>
  <c r="H129" i="40" s="1" a="1"/>
  <c r="G129" i="40"/>
  <c r="E129" i="40" a="1"/>
  <c r="F129" i="40" a="1"/>
  <c r="E128" i="40" a="1"/>
  <c r="C128" i="40"/>
  <c r="G128" i="40"/>
  <c r="D128" i="40" a="1"/>
  <c r="G127" i="40"/>
  <c r="E127" i="40" a="1"/>
  <c r="D127" i="40" a="1"/>
  <c r="C127" i="40"/>
  <c r="E126" i="40" a="1"/>
  <c r="D126" i="40" a="1"/>
  <c r="G126" i="40"/>
  <c r="C126" i="40"/>
  <c r="D125" i="40" a="1"/>
  <c r="F125" i="40" s="1" a="1"/>
  <c r="E125" i="40" a="1"/>
  <c r="G125" i="40"/>
  <c r="H125" i="40" a="1"/>
  <c r="C125" i="40"/>
  <c r="C124" i="40"/>
  <c r="D124" i="40" a="1"/>
  <c r="E124" i="40" a="1"/>
  <c r="G124" i="40"/>
  <c r="E123" i="40" a="1"/>
  <c r="C123" i="40"/>
  <c r="G123" i="40"/>
  <c r="D123" i="40" a="1"/>
  <c r="G122" i="40"/>
  <c r="E122" i="40" a="1"/>
  <c r="D122" i="40" a="1"/>
  <c r="C122" i="40"/>
  <c r="D121" i="40" a="1"/>
  <c r="F121" i="40" s="1" a="1"/>
  <c r="A121" i="40"/>
  <c r="E121" i="40" a="1"/>
  <c r="C121" i="40"/>
  <c r="G121" i="40"/>
  <c r="H121" i="40" a="1"/>
  <c r="D120" i="40" a="1"/>
  <c r="E120" i="40" a="1"/>
  <c r="A120" i="40"/>
  <c r="C120" i="40"/>
  <c r="G120" i="40"/>
  <c r="A119" i="40"/>
  <c r="E119" i="40" a="1"/>
  <c r="G119" i="40"/>
  <c r="D119" i="40" a="1"/>
  <c r="C119" i="40"/>
  <c r="A118" i="40"/>
  <c r="G118" i="40"/>
  <c r="E118" i="40" a="1"/>
  <c r="D118" i="40" a="1"/>
  <c r="C118" i="40"/>
  <c r="G117" i="40"/>
  <c r="E117" i="40" a="1"/>
  <c r="C117" i="40"/>
  <c r="D117" i="40" a="1"/>
  <c r="A117" i="40"/>
  <c r="A116" i="40"/>
  <c r="G116" i="40"/>
  <c r="C116" i="40"/>
  <c r="E116" i="40" a="1"/>
  <c r="D116" i="40" a="1"/>
  <c r="D115" i="40" a="1"/>
  <c r="G115" i="40"/>
  <c r="E115" i="40" a="1"/>
  <c r="C115" i="40"/>
  <c r="G114" i="40"/>
  <c r="E114" i="40" a="1"/>
  <c r="C114" i="40"/>
  <c r="D114" i="40" a="1"/>
  <c r="C113" i="40"/>
  <c r="E113" i="40" a="1"/>
  <c r="D113" i="40" a="1"/>
  <c r="G113" i="40"/>
  <c r="D112" i="40" a="1"/>
  <c r="G112" i="40"/>
  <c r="C112" i="40"/>
  <c r="E112" i="40" a="1"/>
  <c r="E111" i="40" a="1"/>
  <c r="D111" i="40" a="1"/>
  <c r="H111" i="40" s="1" a="1"/>
  <c r="C111" i="40"/>
  <c r="G111" i="40"/>
  <c r="F111" i="40" a="1"/>
  <c r="C110" i="40"/>
  <c r="E110" i="40" a="1"/>
  <c r="G110" i="40"/>
  <c r="D110" i="40" a="1"/>
  <c r="C109" i="40"/>
  <c r="G109" i="40"/>
  <c r="E109" i="40" a="1"/>
  <c r="D109" i="40" a="1"/>
  <c r="D108" i="40" a="1"/>
  <c r="E108" i="40" a="1"/>
  <c r="G108" i="40"/>
  <c r="C108" i="40"/>
  <c r="D107" i="40" a="1"/>
  <c r="F107" i="40" s="1" a="1"/>
  <c r="E107" i="40" a="1"/>
  <c r="G107" i="40"/>
  <c r="H107" i="40" a="1"/>
  <c r="C107" i="40"/>
  <c r="E106" i="40" a="1"/>
  <c r="D106" i="40" a="1"/>
  <c r="G106" i="40"/>
  <c r="C106" i="40"/>
  <c r="G105" i="40"/>
  <c r="E105" i="40" a="1"/>
  <c r="D105" i="40" a="1"/>
  <c r="C105" i="40"/>
  <c r="G104" i="40"/>
  <c r="D104" i="40" a="1"/>
  <c r="C104" i="40"/>
  <c r="E104" i="40" a="1"/>
  <c r="C103" i="40"/>
  <c r="D103" i="40" a="1"/>
  <c r="E103" i="40" a="1"/>
  <c r="G103" i="40"/>
  <c r="E102" i="40" a="1"/>
  <c r="G102" i="40"/>
  <c r="D102" i="40" a="1"/>
  <c r="C102" i="40"/>
  <c r="G101" i="40"/>
  <c r="E101" i="40" a="1"/>
  <c r="D101" i="40" a="1"/>
  <c r="C101" i="40"/>
  <c r="A101" i="40"/>
  <c r="E100" i="40" a="1"/>
  <c r="C100" i="40"/>
  <c r="A100" i="40"/>
  <c r="G100" i="40"/>
  <c r="D100" i="40" a="1"/>
  <c r="A99" i="40"/>
  <c r="D99" i="40" a="1"/>
  <c r="F99" i="40" s="1" a="1"/>
  <c r="G99" i="40"/>
  <c r="E99" i="40" a="1"/>
  <c r="H99" i="40" a="1"/>
  <c r="C99" i="40"/>
  <c r="E98" i="40" a="1"/>
  <c r="G98" i="40"/>
  <c r="C98" i="40"/>
  <c r="D98" i="40" a="1"/>
  <c r="A98" i="40"/>
  <c r="G97" i="40"/>
  <c r="A97" i="40"/>
  <c r="C97" i="40"/>
  <c r="E97" i="40" a="1"/>
  <c r="D97" i="40" a="1"/>
  <c r="D96" i="40" a="1"/>
  <c r="C96" i="40"/>
  <c r="E95" i="40" a="1"/>
  <c r="D95" i="40" a="1"/>
  <c r="F95" i="40" s="1" a="1"/>
  <c r="C95" i="40"/>
  <c r="H95" i="40" a="1"/>
  <c r="G95" i="40"/>
  <c r="E94" i="40" a="1"/>
  <c r="D94" i="40" a="1"/>
  <c r="F94" i="40" s="1" a="1"/>
  <c r="C94" i="40"/>
  <c r="H94" i="40" a="1"/>
  <c r="G94" i="40"/>
  <c r="E93" i="40" a="1"/>
  <c r="G93" i="40"/>
  <c r="C93" i="40"/>
  <c r="D93" i="40" a="1"/>
  <c r="G92" i="40"/>
  <c r="E92" i="40" a="1"/>
  <c r="D92" i="40" a="1"/>
  <c r="F92" i="40" s="1" a="1"/>
  <c r="C92" i="40"/>
  <c r="H92" i="40" a="1"/>
  <c r="C91" i="40"/>
  <c r="G91" i="40"/>
  <c r="E91" i="40" a="1"/>
  <c r="D91" i="40" a="1"/>
  <c r="E90" i="40" a="1"/>
  <c r="D90" i="40" a="1"/>
  <c r="H90" i="40" s="1" a="1"/>
  <c r="C90" i="40"/>
  <c r="F90" i="40" a="1"/>
  <c r="G90" i="40"/>
  <c r="G89" i="40"/>
  <c r="E89" i="40" a="1"/>
  <c r="D89" i="40" a="1"/>
  <c r="H89" i="40" s="1" a="1"/>
  <c r="C89" i="40"/>
  <c r="F89" i="40" a="1"/>
  <c r="G88" i="40"/>
  <c r="E88" i="40" a="1"/>
  <c r="D88" i="40" a="1"/>
  <c r="H88" i="40" s="1" a="1"/>
  <c r="C88" i="40"/>
  <c r="F88" i="40" a="1"/>
  <c r="D87" i="40" a="1"/>
  <c r="C87" i="40"/>
  <c r="H87" i="40" a="1"/>
  <c r="G87" i="40"/>
  <c r="F87" i="40" a="1"/>
  <c r="E87" i="40" a="1"/>
  <c r="G86" i="40"/>
  <c r="E86" i="40" a="1"/>
  <c r="D86" i="40" a="1"/>
  <c r="F86" i="40" s="1" a="1"/>
  <c r="C86" i="40"/>
  <c r="H86" i="40" a="1"/>
  <c r="D85" i="40" a="1"/>
  <c r="C85" i="40"/>
  <c r="E85" i="40" a="1"/>
  <c r="F85" i="40" a="1"/>
  <c r="G85" i="40"/>
  <c r="H85" i="40" a="1"/>
  <c r="C84" i="40"/>
  <c r="D84" i="40" a="1"/>
  <c r="E84" i="40" a="1"/>
  <c r="H84" i="40" a="1"/>
  <c r="G84" i="40"/>
  <c r="F84" i="40" a="1"/>
  <c r="D83" i="40" a="1"/>
  <c r="C83" i="40"/>
  <c r="H83" i="40" a="1"/>
  <c r="G83" i="40"/>
  <c r="F83" i="40" a="1"/>
  <c r="E83" i="40" a="1"/>
  <c r="G82" i="40"/>
  <c r="E82" i="40" a="1"/>
  <c r="D82" i="40" a="1"/>
  <c r="C82" i="40"/>
  <c r="A82" i="40"/>
  <c r="G81" i="40"/>
  <c r="C81" i="40"/>
  <c r="E81" i="40" a="1"/>
  <c r="A81" i="40"/>
  <c r="D81" i="40" a="1"/>
  <c r="H81" i="40" s="1" a="1"/>
  <c r="F81" i="40" a="1"/>
  <c r="D80" i="40" a="1"/>
  <c r="F80" i="40" s="1" a="1"/>
  <c r="G80" i="40"/>
  <c r="H80" i="40" a="1"/>
  <c r="C80" i="40"/>
  <c r="E80" i="40" a="1"/>
  <c r="A80" i="40"/>
  <c r="A79" i="40"/>
  <c r="G79" i="40"/>
  <c r="D79" i="40" a="1"/>
  <c r="F79" i="40" s="1" a="1"/>
  <c r="C79" i="40"/>
  <c r="E79" i="40" a="1"/>
  <c r="H79" i="40" a="1"/>
  <c r="C78" i="40"/>
  <c r="D78" i="40" a="1"/>
  <c r="G78" i="40"/>
  <c r="E78" i="40" a="1"/>
  <c r="A78" i="40"/>
  <c r="C77" i="40"/>
  <c r="A77" i="40"/>
  <c r="G77" i="40"/>
  <c r="E77" i="40" a="1"/>
  <c r="D77" i="40" a="1"/>
  <c r="D76" i="40" a="1"/>
  <c r="H76" i="40" s="1" a="1"/>
  <c r="E76" i="40" a="1"/>
  <c r="F76" i="40" a="1"/>
  <c r="G76" i="40"/>
  <c r="C76" i="40"/>
  <c r="C75" i="40"/>
  <c r="E75" i="40" a="1"/>
  <c r="D75" i="40" a="1"/>
  <c r="G75" i="40"/>
  <c r="C74" i="40"/>
  <c r="G74" i="40"/>
  <c r="E74" i="40" a="1"/>
  <c r="D74" i="40" a="1"/>
  <c r="C73" i="40"/>
  <c r="D73" i="40" a="1"/>
  <c r="E73" i="40" a="1"/>
  <c r="G73" i="40"/>
  <c r="D72" i="40" a="1"/>
  <c r="F72" i="40" s="1" a="1"/>
  <c r="G72" i="40"/>
  <c r="E72" i="40" a="1"/>
  <c r="C72" i="40"/>
  <c r="H72" i="40" a="1"/>
  <c r="E71" i="40" a="1"/>
  <c r="D71" i="40" a="1"/>
  <c r="G71" i="40"/>
  <c r="C71" i="40"/>
  <c r="E70" i="40" a="1"/>
  <c r="D70" i="40" a="1"/>
  <c r="C70" i="40"/>
  <c r="H70" i="40" a="1"/>
  <c r="F70" i="40" a="1"/>
  <c r="G70" i="40"/>
  <c r="D69" i="40" a="1"/>
  <c r="H69" i="40" a="1"/>
  <c r="G69" i="40"/>
  <c r="E69" i="40" a="1"/>
  <c r="C69" i="40"/>
  <c r="F69" i="40" a="1"/>
  <c r="C68" i="40"/>
  <c r="G68" i="40"/>
  <c r="E68" i="40" a="1"/>
  <c r="D68" i="40" a="1"/>
  <c r="E67" i="40" a="1"/>
  <c r="C67" i="40"/>
  <c r="D67" i="40" a="1"/>
  <c r="G67" i="40"/>
  <c r="H67" i="40" a="1"/>
  <c r="F67" i="40" a="1"/>
  <c r="C66" i="40"/>
  <c r="D66" i="40" a="1"/>
  <c r="H66" i="40" s="1" a="1"/>
  <c r="E66" i="40" a="1"/>
  <c r="G66" i="40"/>
  <c r="F66" i="40" a="1"/>
  <c r="E65" i="40" a="1"/>
  <c r="D65" i="40" a="1"/>
  <c r="C65" i="40"/>
  <c r="H65" i="40" a="1"/>
  <c r="G65" i="40"/>
  <c r="F65" i="40" a="1"/>
  <c r="E64" i="40" a="1"/>
  <c r="C64" i="40"/>
  <c r="D64" i="40" a="1"/>
  <c r="G64" i="40"/>
  <c r="D63" i="40" a="1"/>
  <c r="E63" i="40" a="1"/>
  <c r="F63" i="40" a="1"/>
  <c r="G63" i="40"/>
  <c r="H63" i="40" a="1"/>
  <c r="C63" i="40"/>
  <c r="E62" i="40" a="1"/>
  <c r="C62" i="40"/>
  <c r="D62" i="40" a="1"/>
  <c r="H62" i="40" a="1"/>
  <c r="G62" i="40"/>
  <c r="F62" i="40" a="1"/>
  <c r="A62" i="40"/>
  <c r="A61" i="40"/>
  <c r="E61" i="40" a="1"/>
  <c r="C61" i="40"/>
  <c r="D61" i="40" a="1"/>
  <c r="G61" i="40"/>
  <c r="F61" i="40" a="1"/>
  <c r="H61" i="40" a="1"/>
  <c r="G60" i="40"/>
  <c r="D60" i="40" a="1"/>
  <c r="H60" i="40" s="1" a="1"/>
  <c r="E60" i="40" a="1"/>
  <c r="A60" i="40"/>
  <c r="C60" i="40"/>
  <c r="F60" i="40" a="1"/>
  <c r="D59" i="40" a="1"/>
  <c r="F59" i="40" s="1" a="1"/>
  <c r="G59" i="40"/>
  <c r="E59" i="40" a="1"/>
  <c r="A59" i="40"/>
  <c r="C59" i="40"/>
  <c r="H59" i="40" a="1"/>
  <c r="C58" i="40"/>
  <c r="G58" i="40"/>
  <c r="A58" i="40"/>
  <c r="E58" i="40" a="1"/>
  <c r="D58" i="40" a="1"/>
  <c r="F57" i="40" a="1"/>
  <c r="H57" i="40" a="1"/>
  <c r="G56" i="40"/>
  <c r="E56" i="40" a="1"/>
  <c r="D56" i="40" a="1"/>
  <c r="C56" i="40"/>
  <c r="G55" i="40"/>
  <c r="D55" i="40" a="1"/>
  <c r="H55" i="40" s="1" a="1"/>
  <c r="C55" i="40"/>
  <c r="E55" i="40" a="1"/>
  <c r="F55" i="40" a="1"/>
  <c r="D54" i="40" a="1"/>
  <c r="C54" i="40"/>
  <c r="E54" i="40" a="1"/>
  <c r="F54" i="40" a="1"/>
  <c r="G54" i="40"/>
  <c r="H54" i="40" a="1"/>
  <c r="G53" i="40"/>
  <c r="E53" i="40" a="1"/>
  <c r="D53" i="40" a="1"/>
  <c r="C53" i="40"/>
  <c r="G52" i="40"/>
  <c r="E52" i="40" a="1"/>
  <c r="C52" i="40"/>
  <c r="D52" i="40" a="1"/>
  <c r="G51" i="40"/>
  <c r="C51" i="40"/>
  <c r="E51" i="40" a="1"/>
  <c r="D51" i="40" a="1"/>
  <c r="G50" i="40"/>
  <c r="E50" i="40" a="1"/>
  <c r="D50" i="40" a="1"/>
  <c r="C50" i="40"/>
  <c r="C49" i="40"/>
  <c r="D49" i="40" a="1"/>
  <c r="E49" i="40" a="1"/>
  <c r="G49" i="40"/>
  <c r="C48" i="40"/>
  <c r="D48" i="40" a="1"/>
  <c r="E48" i="40" a="1"/>
  <c r="G48" i="40"/>
  <c r="G47" i="40"/>
  <c r="D47" i="40" a="1"/>
  <c r="C47" i="40"/>
  <c r="E47" i="40" a="1"/>
  <c r="G46" i="40"/>
  <c r="E46" i="40" a="1"/>
  <c r="D46" i="40" a="1"/>
  <c r="C46" i="40"/>
  <c r="G45" i="40"/>
  <c r="E45" i="40" a="1"/>
  <c r="D45" i="40" a="1"/>
  <c r="C45" i="40"/>
  <c r="C44" i="40"/>
  <c r="D44" i="40" a="1"/>
  <c r="E44" i="40" a="1"/>
  <c r="G44" i="40"/>
  <c r="D43" i="40" a="1"/>
  <c r="E43" i="40" a="1"/>
  <c r="F43" i="40" a="1"/>
  <c r="G43" i="40"/>
  <c r="H43" i="40" a="1"/>
  <c r="C43" i="40"/>
  <c r="G42" i="40"/>
  <c r="E42" i="40" a="1"/>
  <c r="D42" i="40" a="1"/>
  <c r="C42" i="40"/>
  <c r="A42" i="40"/>
  <c r="D41" i="40" a="1"/>
  <c r="G41" i="40"/>
  <c r="E41" i="40" a="1"/>
  <c r="C41" i="40"/>
  <c r="F41" i="40" a="1"/>
  <c r="H41" i="40" a="1"/>
  <c r="A41" i="40"/>
  <c r="G40" i="40"/>
  <c r="C40" i="40"/>
  <c r="A40" i="40"/>
  <c r="D40" i="40" a="1"/>
  <c r="F40" i="40" s="1" a="1"/>
  <c r="H40" i="40" a="1"/>
  <c r="E40" i="40" a="1"/>
  <c r="A39" i="40"/>
  <c r="G39" i="40"/>
  <c r="D39" i="40" a="1"/>
  <c r="H39" i="40" a="1"/>
  <c r="E39" i="40" a="1"/>
  <c r="C39" i="40"/>
  <c r="F39" i="40" a="1"/>
  <c r="D38" i="40" a="1"/>
  <c r="C38" i="40"/>
  <c r="H38" i="40" a="1"/>
  <c r="G38" i="40"/>
  <c r="E38" i="40" a="1"/>
  <c r="F38" i="40" a="1"/>
  <c r="A38" i="40"/>
  <c r="C37" i="40"/>
  <c r="A37" i="40"/>
  <c r="G37" i="40"/>
  <c r="D37" i="40" a="1"/>
  <c r="E37" i="40" a="1"/>
  <c r="F37" i="40" a="1"/>
  <c r="H37" i="40" a="1"/>
  <c r="D36" i="40" a="1"/>
  <c r="A36" i="40"/>
  <c r="H36" i="40" a="1"/>
  <c r="C36" i="40"/>
  <c r="F36" i="40" a="1"/>
  <c r="G36" i="40"/>
  <c r="E36" i="40" a="1"/>
  <c r="A35" i="40"/>
  <c r="C35" i="40"/>
  <c r="E35" i="40" a="1"/>
  <c r="G35" i="40"/>
  <c r="D35" i="40" a="1"/>
  <c r="E34" i="40" a="1"/>
  <c r="C34" i="40"/>
  <c r="G34" i="40"/>
  <c r="D34" i="40" a="1"/>
  <c r="A34" i="40"/>
  <c r="D33" i="40" a="1"/>
  <c r="C33" i="40"/>
  <c r="G33" i="40"/>
  <c r="E33" i="40" a="1"/>
  <c r="A33" i="40"/>
  <c r="G32" i="40"/>
  <c r="D32" i="40" a="1"/>
  <c r="A32" i="40"/>
  <c r="C32" i="40"/>
  <c r="E32" i="40" a="1"/>
  <c r="C31" i="40"/>
  <c r="G31" i="40"/>
  <c r="A31" i="40"/>
  <c r="E31" i="40" a="1"/>
  <c r="D31" i="40" a="1"/>
  <c r="F31" i="40" a="1"/>
  <c r="H31" i="40" a="1"/>
  <c r="A30" i="40"/>
  <c r="G30" i="40"/>
  <c r="C30" i="40"/>
  <c r="D30" i="40" a="1"/>
  <c r="F30" i="40" s="1" a="1"/>
  <c r="E30" i="40" a="1"/>
  <c r="H30" i="40" a="1"/>
  <c r="D29" i="40" a="1"/>
  <c r="G29" i="40"/>
  <c r="F29" i="40" a="1"/>
  <c r="H29" i="40" a="1"/>
  <c r="C29" i="40"/>
  <c r="A29" i="40"/>
  <c r="E29" i="40" a="1"/>
  <c r="A28" i="40"/>
  <c r="C28" i="40"/>
  <c r="D28" i="40" a="1"/>
  <c r="E28" i="40" a="1"/>
  <c r="G28" i="40"/>
  <c r="A27" i="40"/>
  <c r="E27" i="40" a="1"/>
  <c r="G27" i="40"/>
  <c r="C27" i="40"/>
  <c r="D27" i="40" a="1"/>
  <c r="C26" i="40"/>
  <c r="E26" i="40" a="1"/>
  <c r="G26" i="40"/>
  <c r="D26" i="40" a="1"/>
  <c r="A26" i="40"/>
  <c r="C25" i="40"/>
  <c r="G25" i="40"/>
  <c r="D25" i="40" a="1"/>
  <c r="H25" i="40" s="1" a="1"/>
  <c r="E25" i="40" a="1"/>
  <c r="A25" i="40"/>
  <c r="F25" i="40" a="1"/>
  <c r="C24" i="40"/>
  <c r="D24" i="40" a="1"/>
  <c r="E24" i="40" a="1"/>
  <c r="G24" i="40"/>
  <c r="A24" i="40"/>
  <c r="G23" i="40"/>
  <c r="E23" i="40" a="1"/>
  <c r="A23" i="40"/>
  <c r="C23" i="40"/>
  <c r="D23" i="40" a="1"/>
  <c r="A22" i="40"/>
  <c r="C22" i="40"/>
  <c r="G22" i="40"/>
  <c r="E22" i="40" a="1"/>
  <c r="D22" i="40" a="1"/>
  <c r="G21" i="40"/>
  <c r="A21" i="40"/>
  <c r="C21" i="40"/>
  <c r="D21" i="40" a="1"/>
  <c r="E21" i="40" a="1"/>
  <c r="E20" i="40" a="1"/>
  <c r="A20" i="40"/>
  <c r="C20" i="40"/>
  <c r="G20" i="40"/>
  <c r="D20" i="40" a="1"/>
  <c r="C19" i="40"/>
  <c r="E19" i="40" a="1"/>
  <c r="D19" i="40" a="1"/>
  <c r="F19" i="40" s="1" a="1"/>
  <c r="A19" i="40"/>
  <c r="G19" i="40"/>
  <c r="H19" i="40" a="1"/>
  <c r="A18" i="40"/>
  <c r="E18" i="40" a="1"/>
  <c r="G18" i="40"/>
  <c r="C18" i="40"/>
  <c r="D18" i="40" a="1"/>
  <c r="D17" i="40" a="1"/>
  <c r="A17" i="40"/>
  <c r="E17" i="40" a="1"/>
  <c r="G17" i="40"/>
  <c r="C17" i="40"/>
  <c r="A16" i="40"/>
  <c r="C16" i="40"/>
  <c r="E16" i="40" a="1"/>
  <c r="G16" i="40" s="1"/>
  <c r="D16" i="40" a="1"/>
  <c r="D15" i="40" a="1"/>
  <c r="E15" i="40" a="1"/>
  <c r="G15" i="40" s="1"/>
  <c r="A15" i="40"/>
  <c r="C15" i="40"/>
  <c r="A14" i="40"/>
  <c r="F5" i="40" s="1"/>
  <c r="C14" i="40"/>
  <c r="E14" i="40" a="1"/>
  <c r="D14" i="40" a="1"/>
  <c r="F191" i="40" l="1" a="1"/>
  <c r="H191" i="40" a="1"/>
  <c r="F188" i="40" a="1"/>
  <c r="H188" i="40" a="1"/>
  <c r="H150" i="40" a="1"/>
  <c r="F150" i="40" a="1"/>
  <c r="F144" i="40" a="1"/>
  <c r="H144" i="40" a="1"/>
  <c r="F126" i="40" a="1"/>
  <c r="H126" i="40" a="1"/>
  <c r="H120" i="40" a="1"/>
  <c r="F120" i="40" a="1"/>
  <c r="H112" i="40" a="1"/>
  <c r="F112" i="40" a="1"/>
  <c r="F106" i="40" a="1"/>
  <c r="H106" i="40" a="1"/>
  <c r="F104" i="40" a="1"/>
  <c r="H104" i="40" a="1"/>
  <c r="F103" i="40" a="1"/>
  <c r="H103" i="40" a="1"/>
  <c r="H98" i="40" a="1"/>
  <c r="F98" i="40" a="1"/>
  <c r="H58" i="40" a="1"/>
  <c r="F58" i="40" a="1"/>
  <c r="F56" i="40" a="1"/>
  <c r="H56" i="40" a="1"/>
  <c r="F53" i="40" a="1"/>
  <c r="H53" i="40" a="1"/>
  <c r="F49" i="40" a="1"/>
  <c r="H49" i="40" a="1"/>
  <c r="F47" i="40" a="1"/>
  <c r="H47" i="40" a="1"/>
  <c r="H45" i="40" a="1"/>
  <c r="F45" i="40" a="1"/>
  <c r="G14" i="40"/>
  <c r="F8" i="40" s="1"/>
  <c r="F6" i="40"/>
  <c r="F7" i="40" s="1"/>
  <c r="F194" i="40" a="1"/>
  <c r="H194" i="40" a="1"/>
  <c r="F135" i="40" a="1"/>
  <c r="H135" i="40" a="1"/>
  <c r="H96" i="40" a="1"/>
  <c r="F96" i="40" a="1"/>
  <c r="H213" i="40" a="1"/>
  <c r="F213" i="40" a="1"/>
  <c r="H212" i="40" a="1"/>
  <c r="F212" i="40" a="1"/>
  <c r="F210" i="40" a="1"/>
  <c r="H210" i="40" a="1"/>
  <c r="H209" i="40" a="1"/>
  <c r="F209" i="40" a="1"/>
  <c r="H208" i="40" a="1"/>
  <c r="F208" i="40" a="1"/>
  <c r="H207" i="40" a="1"/>
  <c r="F207" i="40" a="1"/>
  <c r="F205" i="40" a="1"/>
  <c r="H205" i="40" a="1"/>
  <c r="F204" i="40" a="1"/>
  <c r="H204" i="40" a="1"/>
  <c r="F203" i="40" a="1"/>
  <c r="H203" i="40" a="1"/>
  <c r="H199" i="40" a="1"/>
  <c r="F199" i="40" a="1"/>
  <c r="H197" i="40" a="1"/>
  <c r="F197" i="40" a="1"/>
  <c r="H193" i="40" a="1"/>
  <c r="F193" i="40" a="1"/>
  <c r="F189" i="40" a="1"/>
  <c r="H189" i="40" a="1"/>
  <c r="F184" i="40" a="1"/>
  <c r="H184" i="40" a="1"/>
  <c r="F182" i="40" a="1"/>
  <c r="H182" i="40" a="1"/>
  <c r="F181" i="40" a="1"/>
  <c r="H181" i="40" a="1"/>
  <c r="H178" i="40" a="1"/>
  <c r="F178" i="40" a="1"/>
  <c r="H176" i="40" a="1"/>
  <c r="F176" i="40" a="1"/>
  <c r="F172" i="40" a="1"/>
  <c r="H172" i="40" a="1"/>
  <c r="H171" i="40" a="1"/>
  <c r="F171" i="40" a="1"/>
  <c r="H170" i="40" a="1"/>
  <c r="F170" i="40" a="1"/>
  <c r="H167" i="40" a="1"/>
  <c r="F167" i="40" a="1"/>
  <c r="H161" i="40" a="1"/>
  <c r="F161" i="40" a="1"/>
  <c r="F160" i="40" a="1"/>
  <c r="H160" i="40" a="1"/>
  <c r="F159" i="40" a="1"/>
  <c r="H159" i="40" a="1"/>
  <c r="F154" i="40" a="1"/>
  <c r="H154" i="40" a="1"/>
  <c r="H153" i="40" a="1"/>
  <c r="F153" i="40" a="1"/>
  <c r="H151" i="40" a="1"/>
  <c r="F151" i="40" a="1"/>
  <c r="F148" i="40" a="1"/>
  <c r="H148" i="40" a="1"/>
  <c r="H145" i="40" a="1"/>
  <c r="F145" i="40" a="1"/>
  <c r="F141" i="40" a="1"/>
  <c r="H141" i="40" a="1"/>
  <c r="F140" i="40" a="1"/>
  <c r="H140" i="40" a="1"/>
  <c r="F139" i="40" a="1"/>
  <c r="H139" i="40" a="1"/>
  <c r="F132" i="40" a="1"/>
  <c r="H132" i="40" a="1"/>
  <c r="H131" i="40" a="1"/>
  <c r="F131" i="40" a="1"/>
  <c r="F130" i="40" a="1"/>
  <c r="H130" i="40" a="1"/>
  <c r="H128" i="40" a="1"/>
  <c r="F128" i="40" a="1"/>
  <c r="H127" i="40" a="1"/>
  <c r="F127" i="40" a="1"/>
  <c r="H124" i="40" a="1"/>
  <c r="F124" i="40" a="1"/>
  <c r="F123" i="40" a="1"/>
  <c r="H123" i="40" a="1"/>
  <c r="F122" i="40" a="1"/>
  <c r="H122" i="40" a="1"/>
  <c r="F119" i="40" a="1"/>
  <c r="H119" i="40" a="1"/>
  <c r="F118" i="40" a="1"/>
  <c r="H118" i="40" a="1"/>
  <c r="F117" i="40" a="1"/>
  <c r="H117" i="40" a="1"/>
  <c r="F116" i="40" a="1"/>
  <c r="H116" i="40" a="1"/>
  <c r="F115" i="40" a="1"/>
  <c r="H115" i="40" a="1"/>
  <c r="F114" i="40" a="1"/>
  <c r="H114" i="40" a="1"/>
  <c r="F113" i="40" a="1"/>
  <c r="H113" i="40" a="1"/>
  <c r="F110" i="40" a="1"/>
  <c r="H110" i="40" a="1"/>
  <c r="F109" i="40" a="1"/>
  <c r="H109" i="40" a="1"/>
  <c r="F108" i="40" a="1"/>
  <c r="H108" i="40" a="1"/>
  <c r="H105" i="40" a="1"/>
  <c r="F105" i="40" a="1"/>
  <c r="H102" i="40" a="1"/>
  <c r="F102" i="40" a="1"/>
  <c r="H101" i="40" a="1"/>
  <c r="F101" i="40" a="1"/>
  <c r="H100" i="40" a="1"/>
  <c r="F100" i="40" a="1"/>
  <c r="F97" i="40" a="1"/>
  <c r="H97" i="40" a="1"/>
  <c r="H93" i="40" a="1"/>
  <c r="F93" i="40" a="1"/>
  <c r="H91" i="40" a="1"/>
  <c r="F91" i="40" a="1"/>
  <c r="H82" i="40" a="1"/>
  <c r="F82" i="40" a="1"/>
  <c r="F78" i="40" a="1"/>
  <c r="H78" i="40" a="1"/>
  <c r="H77" i="40" a="1"/>
  <c r="F77" i="40" a="1"/>
  <c r="F75" i="40" a="1"/>
  <c r="H75" i="40" a="1"/>
  <c r="H74" i="40" a="1"/>
  <c r="F74" i="40" a="1"/>
  <c r="F73" i="40" a="1"/>
  <c r="H73" i="40" a="1"/>
  <c r="F71" i="40" a="1"/>
  <c r="H71" i="40" a="1"/>
  <c r="F68" i="40" a="1"/>
  <c r="H68" i="40" a="1"/>
  <c r="F64" i="40" a="1"/>
  <c r="H64" i="40" a="1"/>
  <c r="H52" i="40" a="1"/>
  <c r="F52" i="40" a="1"/>
  <c r="H51" i="40" a="1"/>
  <c r="F51" i="40" a="1"/>
  <c r="H50" i="40" a="1"/>
  <c r="F50" i="40" a="1"/>
  <c r="H48" i="40" a="1"/>
  <c r="F48" i="40" a="1"/>
  <c r="H46" i="40" a="1"/>
  <c r="F46" i="40" a="1"/>
  <c r="H44" i="40" a="1"/>
  <c r="F44" i="40" a="1"/>
  <c r="H42" i="40" a="1"/>
  <c r="F42" i="40" a="1"/>
  <c r="H35" i="40" a="1"/>
  <c r="F35" i="40" a="1"/>
  <c r="H34" i="40" a="1"/>
  <c r="F34" i="40" a="1"/>
  <c r="H33" i="40" a="1"/>
  <c r="F33" i="40" a="1"/>
  <c r="F32" i="40" a="1"/>
  <c r="H32" i="40" a="1"/>
  <c r="H28" i="40" a="1"/>
  <c r="F28" i="40" a="1"/>
  <c r="F27" i="40" a="1"/>
  <c r="H27" i="40" a="1"/>
  <c r="H26" i="40" a="1"/>
  <c r="F26" i="40" a="1"/>
  <c r="H24" i="40" a="1"/>
  <c r="F24" i="40" a="1"/>
  <c r="H23" i="40" a="1"/>
  <c r="F23" i="40" a="1"/>
  <c r="F22" i="40" a="1"/>
  <c r="H22" i="40" a="1"/>
  <c r="H21" i="40" a="1"/>
  <c r="F21" i="40" a="1"/>
  <c r="F20" i="40" a="1"/>
  <c r="H20" i="40" a="1"/>
  <c r="H18" i="40" a="1"/>
  <c r="F18" i="40" a="1"/>
  <c r="F17" i="40" a="1"/>
  <c r="H17" i="40" a="1"/>
  <c r="H16" i="40" a="1"/>
  <c r="F16" i="40" a="1"/>
  <c r="F15" i="40" a="1"/>
  <c r="H15" i="40" a="1"/>
  <c r="F14" i="40" a="1"/>
  <c r="H14" i="40" a="1"/>
  <c r="B230" i="40" l="1"/>
  <c r="B225" i="40"/>
  <c r="B221" i="40"/>
  <c r="B218" i="40"/>
  <c r="B229" i="40"/>
  <c r="B223" i="40"/>
  <c r="B220" i="40"/>
  <c r="B217" i="40"/>
  <c r="B227" i="40"/>
  <c r="B226" i="40"/>
  <c r="B222" i="40"/>
  <c r="B228" i="40"/>
  <c r="B224" i="40"/>
  <c r="B219" i="4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<sst xmlns="http://schemas.openxmlformats.org/spreadsheetml/2006/main" count="46359" uniqueCount="3452">
  <si>
    <t>sheet</t>
  </si>
  <si>
    <t>role</t>
  </si>
  <si>
    <t>notes</t>
  </si>
  <si>
    <t>MASTER_README</t>
  </si>
  <si>
    <t>orientation</t>
  </si>
  <si>
    <t>Canonical single workbook. Subjective sheets are indexed separately below.</t>
  </si>
  <si>
    <t>Fruit Semantic Architecture</t>
  </si>
  <si>
    <t>general</t>
  </si>
  <si>
    <t/>
  </si>
  <si>
    <t>README</t>
  </si>
  <si>
    <t>WISDOM_TERMS</t>
  </si>
  <si>
    <t>subjective</t>
  </si>
  <si>
    <t>KNOWLEDGE_TERMS</t>
  </si>
  <si>
    <t>COHERENCE_TERMS</t>
  </si>
  <si>
    <t>FRUITS</t>
  </si>
  <si>
    <t>ME_VARS</t>
  </si>
  <si>
    <t>CLAIM_TERMS</t>
  </si>
  <si>
    <t>EVIDENCE_TERMS</t>
  </si>
  <si>
    <t>FALSIFY_TERMS</t>
  </si>
  <si>
    <t>DEPENDENCY_TERMS</t>
  </si>
  <si>
    <t>HEDGE_TERMS</t>
  </si>
  <si>
    <t>ABSOLUTE_TERMS</t>
  </si>
  <si>
    <t>BRIDGE_TERMS</t>
  </si>
  <si>
    <t>NEGATION_TERMS</t>
  </si>
  <si>
    <t>FRUITS_LEX</t>
  </si>
  <si>
    <t>ANTI_FRUITS</t>
  </si>
  <si>
    <t>CHAR_ATTR_PATTERNS</t>
  </si>
  <si>
    <t>FRUIT_BLEND</t>
  </si>
  <si>
    <t>ANTI_FRUIT_MAP</t>
  </si>
  <si>
    <t>LAW_KEYWORDS</t>
  </si>
  <si>
    <t>DOC_TYPE_PATTERNS</t>
  </si>
  <si>
    <t>priority</t>
  </si>
  <si>
    <t>reason</t>
  </si>
  <si>
    <t>high</t>
  </si>
  <si>
    <t>Judgment-heavy or interpretation-heavy scoring surface</t>
  </si>
  <si>
    <t>FRUIT OF THE SPIRIT — SEMANTIC ARCHITECTURE</t>
  </si>
  <si>
    <t>Galatians 5:22-23 | Deep Classification &amp; Naming Convention Reference</t>
  </si>
  <si>
    <t>SECTION 1: CORE CLASSIFICATION</t>
  </si>
  <si>
    <t>#</t>
  </si>
  <si>
    <t>Canonical (English)</t>
  </si>
  <si>
    <t>Greek Term</t>
  </si>
  <si>
    <t>Cluster ID</t>
  </si>
  <si>
    <t>Adjacent Cluster Terms</t>
  </si>
  <si>
    <t>Primary Anti-Fruit Opposed</t>
  </si>
  <si>
    <t>Valence Profile (Moral / Social / Self-Reg / Relational)</t>
  </si>
  <si>
    <t>Love</t>
  </si>
  <si>
    <t>Agape</t>
  </si>
  <si>
    <t>affection_benevolence</t>
  </si>
  <si>
    <t>compassion, mercy, grace, forgiveness, hospitality, solidarity, communion, covenant-faithfulness</t>
  </si>
  <si>
    <t>hatred, selfish ambition, envy</t>
  </si>
  <si>
    <t>1.0 / 1.0 / 0.3 / 1.0</t>
  </si>
  <si>
    <t>Joy</t>
  </si>
  <si>
    <t>Chara</t>
  </si>
  <si>
    <t>delight_exultation</t>
  </si>
  <si>
    <t>rejoicing, contentment, satisfaction, wonder, awe, gratitude, hope, triumph, festivity</t>
  </si>
  <si>
    <t>jealousy, envy, idolatry</t>
  </si>
  <si>
    <t>0.7 / 0.5 / 0.3 / 0.7</t>
  </si>
  <si>
    <t>Peace</t>
  </si>
  <si>
    <t>Eirene</t>
  </si>
  <si>
    <t>tranquility_harmony</t>
  </si>
  <si>
    <t>reconciliation, wholeness, integration, rest, silence, centeredness, balance, shalom, pax, truce</t>
  </si>
  <si>
    <t>discord, dissensions, factions, hatred</t>
  </si>
  <si>
    <t>0.5 / 1.0 / 0.7 / 1.0</t>
  </si>
  <si>
    <t>Patience</t>
  </si>
  <si>
    <t>Makrothymia</t>
  </si>
  <si>
    <t>endurance_composure</t>
  </si>
  <si>
    <t>perseverance, endurance, forbearance, constancy, steadfastness, slowness-to-anger, tolerance, delay-tolerance</t>
  </si>
  <si>
    <t>fits of rage, discord, jealousy</t>
  </si>
  <si>
    <t>0.5 / 0.5 / 1.0 / 0.7</t>
  </si>
  <si>
    <t>Kindness</t>
  </si>
  <si>
    <t>Chrestotes</t>
  </si>
  <si>
    <t>compassion_generosity</t>
  </si>
  <si>
    <t>compassion, mercy, grace, benevolence, generosity, helpfulness, courtesy, considerateness, thoughtfulness, tenderness, clemency, leniency</t>
  </si>
  <si>
    <t>selfish ambition, sorcery, hatred</t>
  </si>
  <si>
    <t>0.7 / 1.0 / 0.3 / 1.0</t>
  </si>
  <si>
    <t>Goodness</t>
  </si>
  <si>
    <t>Agathosyne</t>
  </si>
  <si>
    <t>virtue_integrity</t>
  </si>
  <si>
    <t>integrity, righteousness, uprightness, probity, rectitude, honor, decency, purity, excellence, beneficence, moral-courage, truthfulness, justice</t>
  </si>
  <si>
    <t>impurity, sorcery, selfish ambition</t>
  </si>
  <si>
    <t>1.0 / 0.7 / 0.5 / 0.5</t>
  </si>
  <si>
    <t>Faithfulness</t>
  </si>
  <si>
    <t>Pistis</t>
  </si>
  <si>
    <t>loyalty_reliability</t>
  </si>
  <si>
    <t>loyalty, fidelity, steadfastness, constancy, allegiance, devotion, reliability, trustworthiness, dependability, fealty, commitment, covenant-keeping</t>
  </si>
  <si>
    <t>idolatry, dissensions, factions</t>
  </si>
  <si>
    <t>0.7 / 0.5 / 0.7 / 1.0</t>
  </si>
  <si>
    <t>Gentleness</t>
  </si>
  <si>
    <t>Prautes</t>
  </si>
  <si>
    <t>mildness_meekness</t>
  </si>
  <si>
    <t>meekness, mildness, softness, tenderness, humility, approachability, clemency, leniency, forbearance, non-coercion, persuasion, diplomacy, tact</t>
  </si>
  <si>
    <t>fits of rage, debauchery, hatred</t>
  </si>
  <si>
    <t>0.5 / 0.7 / 0.7 / 1.0</t>
  </si>
  <si>
    <t>Self-Control</t>
  </si>
  <si>
    <t>Egkrateia</t>
  </si>
  <si>
    <t>restraint_mastery</t>
  </si>
  <si>
    <t>temperance, moderation, discipline, restraint, willpower, mastery, sobriety, continence, impulse-control, delayed-gratification, boundary-keeping</t>
  </si>
  <si>
    <t>debauchery, drunkenness, orgies, sexual immorality</t>
  </si>
  <si>
    <t>0.7 / 0.3 / 1.0 / 0.5</t>
  </si>
  <si>
    <t>SECTION 2: DEEP SEMANTIC FACETS (4 Measurement Dimensions per Fruit)</t>
  </si>
  <si>
    <t>Fruit</t>
  </si>
  <si>
    <t>Facet</t>
  </si>
  <si>
    <t>Semantic Field Terms</t>
  </si>
  <si>
    <t>Love (Agape)</t>
  </si>
  <si>
    <t>Affective</t>
  </si>
  <si>
    <t>cherishing, tenderness, devotion, ardor, fondness, heart-connection, emotional investment</t>
  </si>
  <si>
    <t>Behavioral</t>
  </si>
  <si>
    <t>self-sacrifice, nurture, protection, advocacy, presence, service, loyalty-in-action</t>
  </si>
  <si>
    <t>Motivational</t>
  </si>
  <si>
    <t>other-regard, seeking-flourishing, non-transactional care, commitment-despite-cost</t>
  </si>
  <si>
    <t>Cognitive</t>
  </si>
  <si>
    <t>inherent-worth perception, image-of-God recognition, non-commodification</t>
  </si>
  <si>
    <t>Joy (Chara)</t>
  </si>
  <si>
    <t>exultation, euphoria, mirth, jubilation, elation, bliss, radiance, lightness</t>
  </si>
  <si>
    <t>celebration, praise, gratitude-expression, laughter, dance, song, generosity-sparked</t>
  </si>
  <si>
    <t>hope-anchored, future-oriented delight, defiance-of-circumstance</t>
  </si>
  <si>
    <t>eschatological-awareness, gift-recognition, abundance-framing</t>
  </si>
  <si>
    <t>Peace (Eirene)</t>
  </si>
  <si>
    <t>serenity, calm, stillness, quietude, rest, ease, unperturbedness</t>
  </si>
  <si>
    <t>reconciliation, mediation, non-retaliation, bridge-building, silence-as-presence</t>
  </si>
  <si>
    <t>wholeness-seeking, conflict-transformation (not avoidance), integration-desire</t>
  </si>
  <si>
    <t>systemic-harmony perception, shalom-framing (not just absence-of-war)</t>
  </si>
  <si>
    <t>Patience (Makrothymia)</t>
  </si>
  <si>
    <t>composure, equanimity, unflappability, calm-under-pressure, grace-under-fire</t>
  </si>
  <si>
    <t>waiting-without-demand, persevering-presence, delayed-gratification, bearing-with</t>
  </si>
  <si>
    <t>trust-in-timing, process-respect, redemptive-hope (things take time)</t>
  </si>
  <si>
    <t>temporal-perspective, eschatological-patience, "not-yet" framing</t>
  </si>
  <si>
    <t>Kindness (Chrestotes)</t>
  </si>
  <si>
    <t>warmth, tenderness, soft-heartedness, movedness, pity (non-condescending)</t>
  </si>
  <si>
    <t>helpfulness, courtesy, generosity, practical-care, going-out-of-way, micro-kindnesses</t>
  </si>
  <si>
    <t>gratuitous-goodness, no-strings-attached, image-bearing recognition</t>
  </si>
  <si>
    <t>situational-awareness, need-perception, "what would help here?"</t>
  </si>
  <si>
    <t>Goodness (Agathosyne)</t>
  </si>
  <si>
    <t>uprightness-satisfaction, moral-clarity, clean-conscience, rectitude</t>
  </si>
  <si>
    <t>integrity-in-action, honesty, justice-doing, moral-courage, truth-telling</t>
  </si>
  <si>
    <t>excellence-seeking, holiness-aim, rightness-for-its-own-sake</t>
  </si>
  <si>
    <t>moral-discernment, truth-orientation, "this is right" conviction</t>
  </si>
  <si>
    <t>Faithfulness (Pistis)</t>
  </si>
  <si>
    <t>loyalty-affection, steadfast-love, secure-attachment, trust-feeling</t>
  </si>
  <si>
    <t>consistency, reliability, promise-keeping, showing-up, follow-through</t>
  </si>
  <si>
    <t>covenant-loyalty, commitment-despite-cost, through-thick-and-thin</t>
  </si>
  <si>
    <t>trust-in-character, dependability-assessment, "I can count on this"</t>
  </si>
  <si>
    <t>Gentleness (Prautes)</t>
  </si>
  <si>
    <t>softness, mildness, tenderness, non-threateningness, approachability</t>
  </si>
  <si>
    <t>careful-handling, measured-response, non-coercion, persuasion-over-force</t>
  </si>
  <si>
    <t>power-under-control, strength-restrained, non-dominance-despite-ability</t>
  </si>
  <si>
    <t>situational-proportion, "how much force is needed?" discernment</t>
  </si>
  <si>
    <t>Self-Control (Egkrateia)</t>
  </si>
  <si>
    <t>calm-desire, ordered-passion, non-compulsion, freedom-from-urge</t>
  </si>
  <si>
    <t>impulse-delay, saying-no, boundary-setting, habit-discipline, moderation</t>
  </si>
  <si>
    <t>long-term-flourishing-over-immediate-gratification, value-hierarchy</t>
  </si>
  <si>
    <t>metacognitive-awareness, "I see the urge and choose," executive-function</t>
  </si>
  <si>
    <t>SECTION 3: VICE MAPPING (Aristotelian Excess / Deficiency)</t>
  </si>
  <si>
    <t>Vice-of-Excess</t>
  </si>
  <si>
    <t>Vice-of-Deficiency</t>
  </si>
  <si>
    <t>enabling, co-dependency, possessiveness, smothering, people-pleasing</t>
  </si>
  <si>
    <t>indifference, apathy, neglect, withdrawal, coldness, objectification</t>
  </si>
  <si>
    <t>mania, toxic-positivity, escapism, denial, hedonism</t>
  </si>
  <si>
    <t>despair, melancholy, cynicism, resignation, joylessness, heaviness</t>
  </si>
  <si>
    <t>conflict-avoidance, false-peace, appeasement, suppression, denial</t>
  </si>
  <si>
    <t>chaos, fragmentation, anxiety, restlessness, agitation, discord</t>
  </si>
  <si>
    <t>passivity, fatalism, resignation, enabling-delay, procrastination</t>
  </si>
  <si>
    <t>impetuosity, irritability, restlessness, short-temperedness, demand-instantity</t>
  </si>
  <si>
    <t>over-accommodation, self-erasure, doormat-syndrome, compulsive-helping</t>
  </si>
  <si>
    <t>harshness, coldness, disregard, meanness, stinginess, contempt</t>
  </si>
  <si>
    <t>moralism, self-righteousness, priggishness, judgmentalism, legalism</t>
  </si>
  <si>
    <t>corruption, depravity, dishonesty, immorality, rot, decay, wickedness</t>
  </si>
  <si>
    <t>blind-loyalty, stubbornness, refusal-to-reassess, toxic-fidelity</t>
  </si>
  <si>
    <t>fickleness, unreliability, betrayal, treachery, perfidy, disloyalty, infidelity</t>
  </si>
  <si>
    <t>weakness, passivity, spinelessness, avoidance-of-confrontation</t>
  </si>
  <si>
    <t>harshness, severity, abrasiveness, roughness, brutality, domination</t>
  </si>
  <si>
    <t>asceticism, self-denial-to-harm, repression, emotional-deadness, rigidity</t>
  </si>
  <si>
    <t>compulsion, addiction, enslavement, impulsivity, excess, gluttony, lust, rage</t>
  </si>
  <si>
    <t>SECTION 4: ANTI-FRUIT — WORKS OF THE FLESH (Galatians 5:19-21)</t>
  </si>
  <si>
    <t>Flesh-Work</t>
  </si>
  <si>
    <t>Semantic Field</t>
  </si>
  <si>
    <t>Primary Fruit(s) Opposed</t>
  </si>
  <si>
    <t>Sexual Immorality</t>
  </si>
  <si>
    <t>porneia</t>
  </si>
  <si>
    <t>lust, promiscuity, objectification, exploitation</t>
  </si>
  <si>
    <t>Love, Self-Control</t>
  </si>
  <si>
    <t>Impurity</t>
  </si>
  <si>
    <t>akatharsia</t>
  </si>
  <si>
    <t>defilement, contamination, moral-taint, profanation</t>
  </si>
  <si>
    <t>Goodness, Peace</t>
  </si>
  <si>
    <t>Debauchery</t>
  </si>
  <si>
    <t>aselgeia</t>
  </si>
  <si>
    <t>excess, abandon, unrestraint, sensuality-run-wild</t>
  </si>
  <si>
    <t>Self-Control, Gentleness</t>
  </si>
  <si>
    <t>Idolatry</t>
  </si>
  <si>
    <t>eidololatria</t>
  </si>
  <si>
    <t>false-worship, ultimate-concern-misplacement, addiction-to-created</t>
  </si>
  <si>
    <t>Faithfulness, Joy</t>
  </si>
  <si>
    <t>Sorcery</t>
  </si>
  <si>
    <t>pharmakeia</t>
  </si>
  <si>
    <t>manipulation, control-through-hidden-means, deception</t>
  </si>
  <si>
    <t>Goodness, Kindness</t>
  </si>
  <si>
    <t>Hatred</t>
  </si>
  <si>
    <t>echthra</t>
  </si>
  <si>
    <t>enmity, hostility, malice, animosity, loathing</t>
  </si>
  <si>
    <t>Love, Peace</t>
  </si>
  <si>
    <t>Discord</t>
  </si>
  <si>
    <t>eris</t>
  </si>
  <si>
    <t>strife, contention, argumentativeness, factionalism</t>
  </si>
  <si>
    <t>Peace, Patience</t>
  </si>
  <si>
    <t>Jealousy</t>
  </si>
  <si>
    <t>zelos</t>
  </si>
  <si>
    <t>envy, covetousness, rivalrousness, status-anxiety</t>
  </si>
  <si>
    <t>Love, Joy</t>
  </si>
  <si>
    <t>Fits of Rage</t>
  </si>
  <si>
    <t>thymos</t>
  </si>
  <si>
    <t>outbursts, wrath, fury, indignation, temper</t>
  </si>
  <si>
    <t>Patience, Gentleness</t>
  </si>
  <si>
    <t>Selfish Ambition</t>
  </si>
  <si>
    <t>eritheia</t>
  </si>
  <si>
    <t>self-promotion, rivalry, status-climbing, narcissism</t>
  </si>
  <si>
    <t>Kindness, Goodness</t>
  </si>
  <si>
    <t>Dissensions</t>
  </si>
  <si>
    <t>dichostasia</t>
  </si>
  <si>
    <t>divisions, splits, sectarianism, us-vs-them</t>
  </si>
  <si>
    <t>Peace, Faithfulness</t>
  </si>
  <si>
    <t>Factions</t>
  </si>
  <si>
    <t>hairesis</t>
  </si>
  <si>
    <t>partisan-spirit, tribalism, clique-formation</t>
  </si>
  <si>
    <t>Peace, Love</t>
  </si>
  <si>
    <t>Envy</t>
  </si>
  <si>
    <t>phthonos</t>
  </si>
  <si>
    <t>resentment-at-others'-good, ill-will, begrudging</t>
  </si>
  <si>
    <t>Joy, Love</t>
  </si>
  <si>
    <t>Drunkenness</t>
  </si>
  <si>
    <t>methai</t>
  </si>
  <si>
    <t>intoxication, loss-of-control, escape</t>
  </si>
  <si>
    <t>Self-Control, Peace</t>
  </si>
  <si>
    <t>Orgies</t>
  </si>
  <si>
    <t>komoi</t>
  </si>
  <si>
    <t>revelry, excess-celebration, boundaryless-festivity</t>
  </si>
  <si>
    <t>Self-Control, Goodness</t>
  </si>
  <si>
    <t>SECTION 5: SURFACE VARIANTS BY IDEOLOGICAL FRAME</t>
  </si>
  <si>
    <t>Progressive / "Woke" Surface Variants</t>
  </si>
  <si>
    <t>Progressive Vice-of-Excess</t>
  </si>
  <si>
    <t>Conservative / Traditionalist Variants</t>
  </si>
  <si>
    <t>Traditionalist Vice-of-Excess</t>
  </si>
  <si>
    <t>allyship, solidarity, inclusion, equity-love, radical-love, unconditional-acceptance</t>
  </si>
  <si>
    <t>performative-love, love-without-truth, inclusivity-as-avoidance-of-judgment</t>
  </si>
  <si>
    <t>tough-love, truth-in-love, ordered-love, familial-love</t>
  </si>
  <si>
    <t>conditional-love, love-without-kindness, exclusionary-love</t>
  </si>
  <si>
    <t>liberatory-joy, Black-joy, queer-joy, resistance-joy, celebration-of-difference</t>
  </si>
  <si>
    <t>forced-joy, joy-as-political-weapon, toxic-positivity-in-activism</t>
  </si>
  <si>
    <t>traditional-values-joy, faith-based-happiness, prosperity, American-dream-joy</t>
  </si>
  <si>
    <t>complacent-joy, joy-as-denial, prosperity-gospel</t>
  </si>
  <si>
    <t>safe-spaces, harm-reduction, non-violent-resistance, restorative-justice, de-escalation</t>
  </si>
  <si>
    <t>peace-as-silencing, conflict-avoidance, false-consensus, appeasement</t>
  </si>
  <si>
    <t>law-and-order, stability, strong-borders, peace-through-strength</t>
  </si>
  <si>
    <t>authoritarian-peace, peace-as-control, Pax Romana critique</t>
  </si>
  <si>
    <t>"educate-yourself," gradual-reform, long-march, institutional-change-slow</t>
  </si>
  <si>
    <t>patience-as-passivity, patience-as-enabling-injustice, infinite-patience</t>
  </si>
  <si>
    <t>waiting-on-God, slow-to-change, institutional-respect, gradualism</t>
  </si>
  <si>
    <t>patience-as-inertia, patience-as-oppression-maintenance</t>
  </si>
  <si>
    <t>compassion, empathy, care, holding-space, validation, trauma-informed</t>
  </si>
  <si>
    <t>kindness-as-enabling, empathy-without-boundaries, compassion-fatigue, niceness-over-truth</t>
  </si>
  <si>
    <t>charity, personal-responsibility-help, bootstrap-compassion</t>
  </si>
  <si>
    <t>kindness-without-justice, paternalism, condescension</t>
  </si>
  <si>
    <t>justice, equity, anti-racism, decolonization, systemic-analysis, accountability</t>
  </si>
  <si>
    <t>moralism, self-righteousness, purity-testing, cancel-culture, performative-justice</t>
  </si>
  <si>
    <t>moral-absolutes, biblical-values, truth, objective-morality</t>
  </si>
  <si>
    <t>legalism, self-righteousness, moral-superiority, judgmentalism</t>
  </si>
  <si>
    <t>ally-commitment, staying-in-your-lane, loyalty-to-community, ride-or-die</t>
  </si>
  <si>
    <t>blind-loyalty, tribal-fidelity, no-deviation-allowed, epistemic-closure</t>
  </si>
  <si>
    <t>tradition, covenant, loyalty-to-institution, doctrinal-purity</t>
  </si>
  <si>
    <t>traditionalism-as-idolatry, blind-obedience, epistemic-closure</t>
  </si>
  <si>
    <t>tone-policing-awareness, call-in-not-call-out, gentle-correction, non-violent-communication</t>
  </si>
  <si>
    <t>gentleness-as-avoidance-of-confrontation, never-holding-accountable, weakness</t>
  </si>
  <si>
    <t>masculinity-reframed (gentle-strength), fatherly-correction</t>
  </si>
  <si>
    <t>harshness-framed-as-love, severity, dominance</t>
  </si>
  <si>
    <t>emotional-labor, boundary-setting, self-care-as-resistance, rest-as-revolution</t>
  </si>
  <si>
    <t>self-care-as-avoidance, narcissism-under-boundary-language, repression-framed-as-control</t>
  </si>
  <si>
    <t>discipline, personal-responsibility, stoicism, bootstraps</t>
  </si>
  <si>
    <t>repression, emotional-deadness, blame-the-victim</t>
  </si>
  <si>
    <t>SECTION 6: DIAGNOSTIC ASYMMETRY PATTERNS</t>
  </si>
  <si>
    <t>Pattern Name</t>
  </si>
  <si>
    <t>High-Index Fruits</t>
  </si>
  <si>
    <t>Low-Index Fruits</t>
  </si>
  <si>
    <t>Anti-Fruit Signal Present</t>
  </si>
  <si>
    <t>Diagnosis</t>
  </si>
  <si>
    <t>Pattern A: Justice without Gentleness</t>
  </si>
  <si>
    <t>Goodness (truth/justice), Kindness (compassion)</t>
  </si>
  <si>
    <t>Gentleness (measured response), Patience (composure)</t>
  </si>
  <si>
    <t>fits of rage, discord, selfish ambition</t>
  </si>
  <si>
    <t>Right concern, wrong method. Moralism vice-of-excess.</t>
  </si>
  <si>
    <t>Pattern B: Peace without Goodness</t>
  </si>
  <si>
    <t>Peace (safe spaces, non-violence), Patience (gradual reform)</t>
  </si>
  <si>
    <t>Goodness (truth-telling, moral courage), Faithfulness (steadfast principle)</t>
  </si>
  <si>
    <t>corruption, idolatry (of process), false peace</t>
  </si>
  <si>
    <t>Conflict avoidance masquerading as virtue.</t>
  </si>
  <si>
    <t>Pattern C: Love without Self-Control</t>
  </si>
  <si>
    <t>Love (allyship, solidarity), Kindness (empathy, validation)</t>
  </si>
  <si>
    <t>Self-Control (boundaries, discipline), Goodness (accountability)</t>
  </si>
  <si>
    <t>debauchery, impurity, excess</t>
  </si>
  <si>
    <t>Affect without structure. Enabling vice-of-excess.</t>
  </si>
  <si>
    <t>Pattern D: Gentleness without Goodness</t>
  </si>
  <si>
    <t>Gentleness (non-coercion), Peace (harm reduction)</t>
  </si>
  <si>
    <t>Goodness (moral courage), Faithfulness (truth-speaking)</t>
  </si>
  <si>
    <t>false peace, idolatry of niceness</t>
  </si>
  <si>
    <t>Niceness as moral evasion.</t>
  </si>
  <si>
    <t>SECTION 7: FSI SCORING METHODOLOGY</t>
  </si>
  <si>
    <t xml:space="preserve">but we probably need to make one for sin </t>
  </si>
  <si>
    <t>Dimension</t>
  </si>
  <si>
    <t>How to Measure in Text</t>
  </si>
  <si>
    <t>Formula Component</t>
  </si>
  <si>
    <t>Lexical Density</t>
  </si>
  <si>
    <t>Frequency of canonical + deep-semantic terms per 1000 words</t>
  </si>
  <si>
    <t>Raw signal input</t>
  </si>
  <si>
    <t>Affective Range</t>
  </si>
  <si>
    <t>Spread across emotional vs. behavioral vs. motivational vs. cognitive facets</t>
  </si>
  <si>
    <t>Integration Index component</t>
  </si>
  <si>
    <t>Vice-Awareness</t>
  </si>
  <si>
    <t>Does the paper acknowledge and resist the corresponding flesh-works?</t>
  </si>
  <si>
    <t>Anti-Fruit Presence (negative)</t>
  </si>
  <si>
    <t>Integration Score</t>
  </si>
  <si>
    <t>Are the fruits presented as singular "fruit" (integrated) or fragmented?</t>
  </si>
  <si>
    <t>Integration Index = evenness across all 9</t>
  </si>
  <si>
    <t>Anti-Fruit Resistance</t>
  </si>
  <si>
    <t>Explicit rejection or transformation of flesh-works in the argument</t>
  </si>
  <si>
    <t>Weighted count modifier</t>
  </si>
  <si>
    <t>MASTER FORMULA:</t>
  </si>
  <si>
    <t>FSI-Shape Score = (Integration Index) - (Asymmetry Penalty) - (Anti-Fruit Presence)</t>
  </si>
  <si>
    <t>Integration Index = how evenly distributed across all 9 fruits</t>
  </si>
  <si>
    <t>Asymmetry Penalty = max(fruit_cluster) - min(fruit_cluster) — high variance = high penalty</t>
  </si>
  <si>
    <t>Anti-Fruit Presence = weighted count of flesh-works detected</t>
  </si>
  <si>
    <t>KEY INSIGHT:</t>
  </si>
  <si>
    <t>A paper high on Goodness (justice) but zero on Gentleness gets a LOWER FSI than a paper moderate across all nine.</t>
  </si>
  <si>
    <t>This reflects the theological point: it's singular fruit, not fragmented virtues. The metric detects virtue-shape, not virtue-count.</t>
  </si>
  <si>
    <t>SECTION 8: EXPANDED FRUITS LEXICON (12 Dimensions — from L3 Metrics Wrapper)</t>
  </si>
  <si>
    <t>Fruit Key</t>
  </si>
  <si>
    <t>Type</t>
  </si>
  <si>
    <t>Detection Keywords (Code Lexicon)</t>
  </si>
  <si>
    <t>Source Module</t>
  </si>
  <si>
    <t>love</t>
  </si>
  <si>
    <t>Canonical 9</t>
  </si>
  <si>
    <t>love, care, sacrifice, agape, relational</t>
  </si>
  <si>
    <t>L3 FRUITS dict</t>
  </si>
  <si>
    <t>joy</t>
  </si>
  <si>
    <t>joy, delight, flourish, rejoice, abundance</t>
  </si>
  <si>
    <t>peace</t>
  </si>
  <si>
    <t>peace, harmony, noncontradiction, rest, shalom, stable</t>
  </si>
  <si>
    <t>patience</t>
  </si>
  <si>
    <t>patience, wait, endure, persist, long-suffering</t>
  </si>
  <si>
    <t>kindness</t>
  </si>
  <si>
    <t>kind, tender, compassion, mercy, gentle</t>
  </si>
  <si>
    <t>goodness</t>
  </si>
  <si>
    <t>good, righteous, integrity, upright, virtue</t>
  </si>
  <si>
    <t>faithfulness</t>
  </si>
  <si>
    <t>faithful, reliable, consistent, covenant, steadfast</t>
  </si>
  <si>
    <t>gentleness</t>
  </si>
  <si>
    <t>gentle, meek, humble, lowly, quiet</t>
  </si>
  <si>
    <t>self_control</t>
  </si>
  <si>
    <t>self-control, discipline, restrain, temperance</t>
  </si>
  <si>
    <t>grace</t>
  </si>
  <si>
    <t>Extended</t>
  </si>
  <si>
    <t>grace, unmerited, freely, gift</t>
  </si>
  <si>
    <t>hope</t>
  </si>
  <si>
    <t>hope, future, promise, expectation</t>
  </si>
  <si>
    <t>humility</t>
  </si>
  <si>
    <t>humble, humility, servant, lowly</t>
  </si>
  <si>
    <t>SECTION 9: WISDOM / KNOWLEDGE / COHERENCE TERM BANKS (from L3 Metrics)</t>
  </si>
  <si>
    <t>Category</t>
  </si>
  <si>
    <t>Domain</t>
  </si>
  <si>
    <t>Terms</t>
  </si>
  <si>
    <t>Weight (if applicable)</t>
  </si>
  <si>
    <t>Used In</t>
  </si>
  <si>
    <t>Theological / Spiritual</t>
  </si>
  <si>
    <t>wisdom, discernment, eternal, transcend, revelation, mystery, grace, covenant, truth, logos, spirit, divine, sacred, holy, virtue, righteousness, soul, prayer, faith, love, hope, redemption, atonement, resurrection, kingdom</t>
  </si>
  <si>
    <t>W/K Ratio (numerator)</t>
  </si>
  <si>
    <t>Scientific / Empirical</t>
  </si>
  <si>
    <t>data, evidence, experiment, measure, calculate, equation, formula, theorem, proof, derive, quantum, physics, entropy, probability, statistical, empirical, observation, hypothesis, analysis, sigma, decoherence, wavefunction, superposition, photon, spacetime, information</t>
  </si>
  <si>
    <t>W/K Ratio (denominator)</t>
  </si>
  <si>
    <t>COHERENCE_TERMS (wt=3)</t>
  </si>
  <si>
    <t>Cross-Domain Core</t>
  </si>
  <si>
    <t>coherence, coherent, logos, quantum, decoherence, wavefunction</t>
  </si>
  <si>
    <t>Weight: 3</t>
  </si>
  <si>
    <t>CHI Score</t>
  </si>
  <si>
    <t>COHERENCE_TERMS (wt=2)</t>
  </si>
  <si>
    <t>Cross-Domain Bridge</t>
  </si>
  <si>
    <t>entropy, conservation, order, structure, framework, principle, truth, divine, atonement, resurrection, isomorphism, axiom, theorem, measurement, observer, collapse, information, correction, grace, fundamental</t>
  </si>
  <si>
    <t>Weight: 2</t>
  </si>
  <si>
    <t>COHERENCE_TERMS (wt=1.5)</t>
  </si>
  <si>
    <t>Supporting</t>
  </si>
  <si>
    <t>system, wave, law, field</t>
  </si>
  <si>
    <t>Weight: 1.5</t>
  </si>
  <si>
    <t>SECTION 10: MASTER EQUATION VARIABLE KEYWORDS (χ = f(G,M,E,S,T,K,R,Q,F,C))</t>
  </si>
  <si>
    <t>Variable</t>
  </si>
  <si>
    <t>Label</t>
  </si>
  <si>
    <t>Detection Keywords</t>
  </si>
  <si>
    <t>G</t>
  </si>
  <si>
    <t>Gravity / Belonging</t>
  </si>
  <si>
    <t>gravity, belonging, community, gather, love, binding, together</t>
  </si>
  <si>
    <t>M</t>
  </si>
  <si>
    <t>Mass / Meaning</t>
  </si>
  <si>
    <t>meaning, purpose, mass, nuclear, commit, covenant, hold</t>
  </si>
  <si>
    <t>E</t>
  </si>
  <si>
    <t>Entropy / Engagement</t>
  </si>
  <si>
    <t>entropy, energy, work, engage, effort, action, decay</t>
  </si>
  <si>
    <t>S</t>
  </si>
  <si>
    <t>Spacetime / Structure</t>
  </si>
  <si>
    <t>spacetime, structure, geometry, context, space, time</t>
  </si>
  <si>
    <t>T</t>
  </si>
  <si>
    <t>Time / Eternity</t>
  </si>
  <si>
    <t>time, eternal, sequence, cause, before, after, duration</t>
  </si>
  <si>
    <t>K</t>
  </si>
  <si>
    <t>Knowledge / Logos</t>
  </si>
  <si>
    <t>knowledge, logos, word, information, encode, transmit, meaning</t>
  </si>
  <si>
    <t>R</t>
  </si>
  <si>
    <t>Relationship</t>
  </si>
  <si>
    <t>relationship, connect, communicate, interact, bond, between</t>
  </si>
  <si>
    <t>Q</t>
  </si>
  <si>
    <t>Quantum / Observer</t>
  </si>
  <si>
    <t>quantum, observer, measurement, collapse, wavefunction, consciousness</t>
  </si>
  <si>
    <t>F</t>
  </si>
  <si>
    <t>Faith / Coupling</t>
  </si>
  <si>
    <t>faith, coupling, align, connect, trust, belief, voluntary</t>
  </si>
  <si>
    <t>C</t>
  </si>
  <si>
    <t>Christ / Coherence</t>
  </si>
  <si>
    <t>christ, coherence, holds, together, all things, integration, complete</t>
  </si>
  <si>
    <t>SECTION 11: GoEMOTIONS → FRUIT BLENDED MAPPING (from L8 Emotion Profile)</t>
  </si>
  <si>
    <t>Formula: fruit = (pos_avg × 0.6) + ((1 − neg_avg) × 0.4) — requires BOTH active virtue AND absence of vice</t>
  </si>
  <si>
    <t>Greek</t>
  </si>
  <si>
    <t>Positive Emotion Signals (60% weight)</t>
  </si>
  <si>
    <t>Negative Emotion Signals (40% weight, inverted)</t>
  </si>
  <si>
    <t>agape</t>
  </si>
  <si>
    <t>love, caring, admiration, gratitude</t>
  </si>
  <si>
    <t>anger, disgust, disapproval</t>
  </si>
  <si>
    <t>chara</t>
  </si>
  <si>
    <t>joy, optimism, excitement, pride, gratitude</t>
  </si>
  <si>
    <t>sadness, grief, disappointment</t>
  </si>
  <si>
    <t>eirene</t>
  </si>
  <si>
    <t>relief, approval, realization, gratitude</t>
  </si>
  <si>
    <t>anger, fear, nervousness, annoyance</t>
  </si>
  <si>
    <t>makrothumia</t>
  </si>
  <si>
    <t>caring, approval, relief, optimism</t>
  </si>
  <si>
    <t>anger, annoyance, disappointment, disgust</t>
  </si>
  <si>
    <t>chrestotes</t>
  </si>
  <si>
    <t>caring, approval, gratitude, love</t>
  </si>
  <si>
    <t>disgust, disapproval, anger, annoyance</t>
  </si>
  <si>
    <t>agathosyne</t>
  </si>
  <si>
    <t>admiration, approval, gratitude, optimism</t>
  </si>
  <si>
    <t>disgust, disapproval, anger</t>
  </si>
  <si>
    <t>pistis</t>
  </si>
  <si>
    <t>realization, approval, admiration, optimism</t>
  </si>
  <si>
    <t>confusion, nervousness, fear, embarrassment</t>
  </si>
  <si>
    <t>prautes</t>
  </si>
  <si>
    <t>caring, love, relief, approval</t>
  </si>
  <si>
    <t>anger, annoyance, disgust, pride</t>
  </si>
  <si>
    <t>egkrateia</t>
  </si>
  <si>
    <t>realization, approval, relief</t>
  </si>
  <si>
    <t>desire, anger, annoyance, disgust, excitement</t>
  </si>
  <si>
    <t>Anti-Fruit Emotion Signals (from L8):</t>
  </si>
  <si>
    <t>Anti-Fruit</t>
  </si>
  <si>
    <t>Opposes</t>
  </si>
  <si>
    <t>GoEmotions Signals</t>
  </si>
  <si>
    <t>Despair</t>
  </si>
  <si>
    <t>Conflict</t>
  </si>
  <si>
    <t>anger, annoyance, fear, nervousness</t>
  </si>
  <si>
    <t>Impatience</t>
  </si>
  <si>
    <t>anger, annoyance, disappointment</t>
  </si>
  <si>
    <t>Cruelty</t>
  </si>
  <si>
    <t>Corruption</t>
  </si>
  <si>
    <t>Betrayal</t>
  </si>
  <si>
    <t>confusion, nervousness, disappointment, fear</t>
  </si>
  <si>
    <t>Harshness</t>
  </si>
  <si>
    <t>anger, annoyance, disgust</t>
  </si>
  <si>
    <t>Indulgence</t>
  </si>
  <si>
    <t>desire, excitement, anger, annoyance</t>
  </si>
  <si>
    <t>SECTION 12: DISCOURSE MARKER TERM BANKS (from Analytics Pipeline)</t>
  </si>
  <si>
    <t>Function</t>
  </si>
  <si>
    <t>Assertion markers</t>
  </si>
  <si>
    <t>must, is, are, requires, demands, forces, proves, shows, indicates, explains, grounds, predicts, means</t>
  </si>
  <si>
    <t>Empirical grounding</t>
  </si>
  <si>
    <t>data, dataset, study, source, evidence, measured, observed, experiment, trial, equation, proof, replicated, confirmed</t>
  </si>
  <si>
    <t>Falsifiability markers</t>
  </si>
  <si>
    <t>falsify, falsification, kill, disconfirm, if false, would fail, breaks if, collapse if, death condition, invalidates</t>
  </si>
  <si>
    <t>Conditional logic</t>
  </si>
  <si>
    <t>depends on, requires, assumes, given, if, because, under, boundary condition, premise</t>
  </si>
  <si>
    <t>Epistemic caution</t>
  </si>
  <si>
    <t>maybe, perhaps, possibly, appears, seems, might, could, likely, probably, roughly, sort of, kind of</t>
  </si>
  <si>
    <t>Certainty markers</t>
  </si>
  <si>
    <t>always, never, undeniable, proves, certainly, obviously, impossible</t>
  </si>
  <si>
    <t>Logical connectives</t>
  </si>
  <si>
    <t>therefore, thus, because, so, then, however, but, next, this means, as a result, consequently</t>
  </si>
  <si>
    <t>Negation signals</t>
  </si>
  <si>
    <t>not, never, no, cannot, can't, fails, false</t>
  </si>
  <si>
    <t>Force &amp; Interaction Terms:</t>
  </si>
  <si>
    <t>ATTRACTIVE_TERMS</t>
  </si>
  <si>
    <t>Binding / coherence forces</t>
  </si>
  <si>
    <t>attract, draw, pull, bind, gather, unify, cohere</t>
  </si>
  <si>
    <t>REPULSIVE_TERMS</t>
  </si>
  <si>
    <t>Scattering / division forces</t>
  </si>
  <si>
    <t>repel, scatter, divide, fracture, separate, oppose</t>
  </si>
  <si>
    <t>Conservation &amp; Symmetry Terms:</t>
  </si>
  <si>
    <t>CONSERVE_TERMS</t>
  </si>
  <si>
    <t>Conservation / stability</t>
  </si>
  <si>
    <t>conserve, preserve, constant, invariant, ledger, stable</t>
  </si>
  <si>
    <t>BREAK_TERMS</t>
  </si>
  <si>
    <t>Symmetry breaking / decay</t>
  </si>
  <si>
    <t>break, decay, collapse, irreversible, symmetry, decohere</t>
  </si>
  <si>
    <t>Causality &amp; Logic Terms:</t>
  </si>
  <si>
    <t>CAUSAL_TERMS</t>
  </si>
  <si>
    <t>Direct causation</t>
  </si>
  <si>
    <t>causes, produces, drives, induces, yields, forces, leads</t>
  </si>
  <si>
    <t>CONDITIONAL_TERMS</t>
  </si>
  <si>
    <t>Conditional / prerequisite</t>
  </si>
  <si>
    <t>if, unless, when, under, provided, requires, depends</t>
  </si>
  <si>
    <t>Mathematical Scaling Terms:</t>
  </si>
  <si>
    <t>INVERSE_SQUARE_TERMS</t>
  </si>
  <si>
    <t>1/r² scaling (gravity, EM)</t>
  </si>
  <si>
    <t>1/r^2, inverse square, inverse-square</t>
  </si>
  <si>
    <t>INVERSE_DISTANCE_TERMS</t>
  </si>
  <si>
    <t>1/r scaling (potential)</t>
  </si>
  <si>
    <t>1/r, inverse distance, distance-dependent</t>
  </si>
  <si>
    <t>EXPONENTIAL_TERMS</t>
  </si>
  <si>
    <t>Exponential scaling</t>
  </si>
  <si>
    <t>exp, e^, exponential</t>
  </si>
  <si>
    <t>SECTION 13: PERFORMATIVE VIRTUE DETECTOR — Semantic Camouflage Term Banks</t>
  </si>
  <si>
    <t>Purpose: Detect language that MIMICS fruit vocabulary but functions as tribal signaling, not fruit-bearing.</t>
  </si>
  <si>
    <t>These terms pass through standard emotion/lexicon detectors with positive valence but carry no spiritual substance.</t>
  </si>
  <si>
    <t>Detection rule: High performative count + low genuine fruit signal = camouflage flag.</t>
  </si>
  <si>
    <t>PROGRESSIVE PERFORMATIVE TERMS</t>
  </si>
  <si>
    <t>Mimics Which Fruit</t>
  </si>
  <si>
    <t>Surface Signal</t>
  </si>
  <si>
    <t>Performative Terms</t>
  </si>
  <si>
    <t>Why It Passes Detection</t>
  </si>
  <si>
    <t>Actual Function</t>
  </si>
  <si>
    <t>Love / Kindness</t>
  </si>
  <si>
    <t>Compassion</t>
  </si>
  <si>
    <t>ally, allyship, stand with, center (voices), hold space, uplift, amplify, solidarity</t>
  </si>
  <si>
    <t>Positive valence, caring/approval signals</t>
  </si>
  <si>
    <t>In-group loyalty marker; compliance signal</t>
  </si>
  <si>
    <t>Goodness / Justice</t>
  </si>
  <si>
    <t>Moral concern</t>
  </si>
  <si>
    <t>problematic, harmful, toxic, do the work, do better, educate yourself, unpack, interrogate</t>
  </si>
  <si>
    <t>Maps to moral reasoning terms</t>
  </si>
  <si>
    <t>Shame enforcement; boundary policing</t>
  </si>
  <si>
    <t>Peace / Gentleness</t>
  </si>
  <si>
    <t>Inclusion</t>
  </si>
  <si>
    <t>safe space, inclusive, belonging, brave space, affirming, centering, trauma-informed</t>
  </si>
  <si>
    <t>Reads as peace/harmony language</t>
  </si>
  <si>
    <t>Conformity requirement; dissent suppression</t>
  </si>
  <si>
    <t>Patience / Faithfulness</t>
  </si>
  <si>
    <t>Commitment</t>
  </si>
  <si>
    <t>lived experience, my truth, showing up, doing the work, labor, emotional labor</t>
  </si>
  <si>
    <t>Endurance/dedication signals</t>
  </si>
  <si>
    <t>Epistemic closure; unfalsifiable claim</t>
  </si>
  <si>
    <t>Discipline</t>
  </si>
  <si>
    <t>check your privilege, stay in your lane, not your story to tell, take up space, use your platform</t>
  </si>
  <si>
    <t>Self-regulation language</t>
  </si>
  <si>
    <t>Speech restriction; hierarchical silencing</t>
  </si>
  <si>
    <t>CONSERVATIVE PERFORMATIVE TERMS</t>
  </si>
  <si>
    <t>Love / Faithfulness</t>
  </si>
  <si>
    <t>Devotion</t>
  </si>
  <si>
    <t>prayer warrior, standing on the Word, love the sinner, speaking truth in love, called to, burden for</t>
  </si>
  <si>
    <t>Faith/trust/love signals</t>
  </si>
  <si>
    <t>Tribal piety display; judgment disguised as care</t>
  </si>
  <si>
    <t>Goodness / Self-Control</t>
  </si>
  <si>
    <t>Moral order</t>
  </si>
  <si>
    <t>traditional values, family values, biblical manhood/womanhood, natural order, God's design, moral fiber</t>
  </si>
  <si>
    <t>Virtue/discipline language</t>
  </si>
  <si>
    <t>Power hierarchy enforcement; nostalgia weaponization</t>
  </si>
  <si>
    <t>Peace / Patience</t>
  </si>
  <si>
    <t>Stability</t>
  </si>
  <si>
    <t>law and order, respect authority, founding fathers, real America, silent majority, common sense</t>
  </si>
  <si>
    <t>Harmony/endurance signals</t>
  </si>
  <si>
    <t>Status quo defense; dissent delegitimization</t>
  </si>
  <si>
    <t>Kindness / Gentleness</t>
  </si>
  <si>
    <t>Protection</t>
  </si>
  <si>
    <t>protect our children, defend the faith, shield the innocent, watch over, stand guard, keeper</t>
  </si>
  <si>
    <t>Caring/gentle language</t>
  </si>
  <si>
    <t>Fear mobilization; out-group threat construction</t>
  </si>
  <si>
    <t>Joy / Hope</t>
  </si>
  <si>
    <t>Optimism</t>
  </si>
  <si>
    <t>make X great again, take back, restore, revival, return to, glory days, awakening</t>
  </si>
  <si>
    <t>Positive future/hope signals</t>
  </si>
  <si>
    <t>Loss narrative; grievance engine disguised as hope</t>
  </si>
  <si>
    <t>CROSS-CUTTING PERFORMATIVE MARKERS (both sides use these)</t>
  </si>
  <si>
    <t>Pattern</t>
  </si>
  <si>
    <t>Detection Signal</t>
  </si>
  <si>
    <t>Urgency without specifics</t>
  </si>
  <si>
    <t>wake up, open your eyes, can't you see, it's time to, we must, fight for, battle for</t>
  </si>
  <si>
    <t>Alarm + vagueness = tribal mobilization</t>
  </si>
  <si>
    <t>Moral certainty markers</t>
  </si>
  <si>
    <t>clearly, obviously, any reasonable person, common sense, self-evident, undeniable</t>
  </si>
  <si>
    <t>Absolute terms + no evidence = performative</t>
  </si>
  <si>
    <t>Enemy construction</t>
  </si>
  <si>
    <t>they want to, they're trying to, the agenda, the narrative, the system, the machine, the elites</t>
  </si>
  <si>
    <t>Out-group threat + abstract enemy = tribal</t>
  </si>
  <si>
    <t>Victimhood framing</t>
  </si>
  <si>
    <t>under attack, silenced, persecuted, canceled, targeted, they don't want you to, suppressed</t>
  </si>
  <si>
    <t>Suffering language without specific harm = performance</t>
  </si>
  <si>
    <t>CAMOUFLAGE DETECTION FORMULA</t>
  </si>
  <si>
    <t>Score</t>
  </si>
  <si>
    <t>Formula / Rule</t>
  </si>
  <si>
    <t>Performative Density (PD)</t>
  </si>
  <si>
    <t>PD = (performative_term_count × 1000) / word_count</t>
  </si>
  <si>
    <t>Genuine Fruit Signal (GFS)</t>
  </si>
  <si>
    <t>GFS = FSI composite from Section 7 (behavioral + affective + motivational + cognitive)</t>
  </si>
  <si>
    <t>Camouflage Index (CI)</t>
  </si>
  <si>
    <t>CI = PD / max(GFS, 0.1)  —  High CI = lots of virtue language, little actual fruit</t>
  </si>
  <si>
    <t>Interpretation</t>
  </si>
  <si>
    <t>CI &lt; 1.0 = Genuine  |  1.0–2.0 = Mixed/Unclear  |  CI &gt; 2.0 = Probable camouflage  |  CI &gt; 5.0 = Pure performance</t>
  </si>
  <si>
    <t>KEY INSIGHT: The detector doesn't judge the PERSON. It measures whether the LANGUAGE carries fruit-bearing</t>
  </si>
  <si>
    <t>structure (specific, falsifiable, other-oriented) or tribal-signaling structure (vague, unfalsifiable, in-group-oriented).</t>
  </si>
  <si>
    <t>source_file</t>
  </si>
  <si>
    <t>Edit the term sheets, then use them for synonym expansion or lexicon patching.</t>
  </si>
  <si>
    <t>X:\apps\paper-intelligence-suite-python\03_THEOPHYSICS_METRICS\theophysics_scorer.py</t>
  </si>
  <si>
    <t>X:\apps\paper-intelligence-suite-python\06_TRUTH_ENGINE\truth_coherence_scanner.py</t>
  </si>
  <si>
    <t>FRUITS_LEXICON</t>
  </si>
  <si>
    <t>ANTI_FRUITS_LEXICON</t>
  </si>
  <si>
    <t>CHARACTER_ATTRIBUTE_PATTERNS</t>
  </si>
  <si>
    <t>X:\apps\paper-intelligence-suite-python\08_EMOTION_PROFILE\emotion_analyzer.py</t>
  </si>
  <si>
    <t>\\dlowenas\brain\David\pipelines\engines\pipeline\stations\classifier.py</t>
  </si>
  <si>
    <t>collection</t>
  </si>
  <si>
    <t>item_index</t>
  </si>
  <si>
    <t>term</t>
  </si>
  <si>
    <t>wisdom</t>
  </si>
  <si>
    <t>discernment</t>
  </si>
  <si>
    <t>eternal</t>
  </si>
  <si>
    <t>transcend</t>
  </si>
  <si>
    <t>revelation</t>
  </si>
  <si>
    <t>mystery</t>
  </si>
  <si>
    <t>covenant</t>
  </si>
  <si>
    <t>truth</t>
  </si>
  <si>
    <t>logos</t>
  </si>
  <si>
    <t>spirit</t>
  </si>
  <si>
    <t>divine</t>
  </si>
  <si>
    <t>sacred</t>
  </si>
  <si>
    <t>holy</t>
  </si>
  <si>
    <t>virtue</t>
  </si>
  <si>
    <t>righteousness</t>
  </si>
  <si>
    <t>soul</t>
  </si>
  <si>
    <t>prayer</t>
  </si>
  <si>
    <t>faith</t>
  </si>
  <si>
    <t>redemption</t>
  </si>
  <si>
    <t>atonement</t>
  </si>
  <si>
    <t>resurrection</t>
  </si>
  <si>
    <t>kingdom</t>
  </si>
  <si>
    <t>data</t>
  </si>
  <si>
    <t>evidence</t>
  </si>
  <si>
    <t>experiment</t>
  </si>
  <si>
    <t>measure</t>
  </si>
  <si>
    <t>calculate</t>
  </si>
  <si>
    <t>equation</t>
  </si>
  <si>
    <t>formula</t>
  </si>
  <si>
    <t>theorem</t>
  </si>
  <si>
    <t>proof</t>
  </si>
  <si>
    <t>derive</t>
  </si>
  <si>
    <t>quantum</t>
  </si>
  <si>
    <t>physics</t>
  </si>
  <si>
    <t>entropy</t>
  </si>
  <si>
    <t>probability</t>
  </si>
  <si>
    <t>statistical</t>
  </si>
  <si>
    <t>empirical</t>
  </si>
  <si>
    <t>observation</t>
  </si>
  <si>
    <t>hypothesis</t>
  </si>
  <si>
    <t>analysis</t>
  </si>
  <si>
    <t>sigma</t>
  </si>
  <si>
    <t>decoherence</t>
  </si>
  <si>
    <t>wavefunction</t>
  </si>
  <si>
    <t>superposition</t>
  </si>
  <si>
    <t>photon</t>
  </si>
  <si>
    <t>spacetime</t>
  </si>
  <si>
    <t>information</t>
  </si>
  <si>
    <t>key</t>
  </si>
  <si>
    <t>subkey</t>
  </si>
  <si>
    <t>value</t>
  </si>
  <si>
    <t>coherence</t>
  </si>
  <si>
    <t>3</t>
  </si>
  <si>
    <t>coherent</t>
  </si>
  <si>
    <t>2</t>
  </si>
  <si>
    <t>conservation</t>
  </si>
  <si>
    <t>order</t>
  </si>
  <si>
    <t>structure</t>
  </si>
  <si>
    <t>framework</t>
  </si>
  <si>
    <t>principle</t>
  </si>
  <si>
    <t>isomorphism</t>
  </si>
  <si>
    <t>axiom</t>
  </si>
  <si>
    <t>measurement</t>
  </si>
  <si>
    <t>observer</t>
  </si>
  <si>
    <t>collapse</t>
  </si>
  <si>
    <t>correction</t>
  </si>
  <si>
    <t>system</t>
  </si>
  <si>
    <t>1.5</t>
  </si>
  <si>
    <t>wave</t>
  </si>
  <si>
    <t>law</t>
  </si>
  <si>
    <t>field</t>
  </si>
  <si>
    <t>fundamental</t>
  </si>
  <si>
    <t>care</t>
  </si>
  <si>
    <t>sacrifice</t>
  </si>
  <si>
    <t>relational</t>
  </si>
  <si>
    <t>delight</t>
  </si>
  <si>
    <t>flourish</t>
  </si>
  <si>
    <t>rejoice</t>
  </si>
  <si>
    <t>abundance</t>
  </si>
  <si>
    <t>harmony</t>
  </si>
  <si>
    <t>noncontradiction</t>
  </si>
  <si>
    <t>rest</t>
  </si>
  <si>
    <t>shalom</t>
  </si>
  <si>
    <t>stable</t>
  </si>
  <si>
    <t>wait</t>
  </si>
  <si>
    <t>endure</t>
  </si>
  <si>
    <t>persist</t>
  </si>
  <si>
    <t>long-suffering</t>
  </si>
  <si>
    <t>kind</t>
  </si>
  <si>
    <t>tender</t>
  </si>
  <si>
    <t>compassion</t>
  </si>
  <si>
    <t>mercy</t>
  </si>
  <si>
    <t>gentle</t>
  </si>
  <si>
    <t>good</t>
  </si>
  <si>
    <t>righteous</t>
  </si>
  <si>
    <t>integrity</t>
  </si>
  <si>
    <t>upright</t>
  </si>
  <si>
    <t>faithful</t>
  </si>
  <si>
    <t>reliable</t>
  </si>
  <si>
    <t>consistent</t>
  </si>
  <si>
    <t>steadfast</t>
  </si>
  <si>
    <t>meek</t>
  </si>
  <si>
    <t>humble</t>
  </si>
  <si>
    <t>lowly</t>
  </si>
  <si>
    <t>quiet</t>
  </si>
  <si>
    <t>self-control</t>
  </si>
  <si>
    <t>discipline</t>
  </si>
  <si>
    <t>restrain</t>
  </si>
  <si>
    <t>temperance</t>
  </si>
  <si>
    <t>unmerited</t>
  </si>
  <si>
    <t>freely</t>
  </si>
  <si>
    <t>gift</t>
  </si>
  <si>
    <t>future</t>
  </si>
  <si>
    <t>promise</t>
  </si>
  <si>
    <t>expectation</t>
  </si>
  <si>
    <t>servant</t>
  </si>
  <si>
    <t>G_gravity_belonging</t>
  </si>
  <si>
    <t>gravity</t>
  </si>
  <si>
    <t>belonging</t>
  </si>
  <si>
    <t>community</t>
  </si>
  <si>
    <t>gather</t>
  </si>
  <si>
    <t>binding</t>
  </si>
  <si>
    <t>together</t>
  </si>
  <si>
    <t>M_mass_meaning</t>
  </si>
  <si>
    <t>meaning</t>
  </si>
  <si>
    <t>purpose</t>
  </si>
  <si>
    <t>mass</t>
  </si>
  <si>
    <t>nuclear</t>
  </si>
  <si>
    <t>commit</t>
  </si>
  <si>
    <t>hold</t>
  </si>
  <si>
    <t>E_entropy_engagement</t>
  </si>
  <si>
    <t>energy</t>
  </si>
  <si>
    <t>work</t>
  </si>
  <si>
    <t>engage</t>
  </si>
  <si>
    <t>effort</t>
  </si>
  <si>
    <t>action</t>
  </si>
  <si>
    <t>decay</t>
  </si>
  <si>
    <t>S_spacetime_structure</t>
  </si>
  <si>
    <t>geometry</t>
  </si>
  <si>
    <t>context</t>
  </si>
  <si>
    <t>space</t>
  </si>
  <si>
    <t>time</t>
  </si>
  <si>
    <t>T_time_eternity</t>
  </si>
  <si>
    <t>sequence</t>
  </si>
  <si>
    <t>cause</t>
  </si>
  <si>
    <t>before</t>
  </si>
  <si>
    <t>after</t>
  </si>
  <si>
    <t>duration</t>
  </si>
  <si>
    <t>K_knowledge_logos</t>
  </si>
  <si>
    <t>knowledge</t>
  </si>
  <si>
    <t>word</t>
  </si>
  <si>
    <t>encode</t>
  </si>
  <si>
    <t>transmit</t>
  </si>
  <si>
    <t>R_relationship</t>
  </si>
  <si>
    <t>relationship</t>
  </si>
  <si>
    <t>connect</t>
  </si>
  <si>
    <t>communicate</t>
  </si>
  <si>
    <t>interact</t>
  </si>
  <si>
    <t>bond</t>
  </si>
  <si>
    <t>between</t>
  </si>
  <si>
    <t>Q_quantum_observer</t>
  </si>
  <si>
    <t>consciousness</t>
  </si>
  <si>
    <t>F_faith_coupling</t>
  </si>
  <si>
    <t>coupling</t>
  </si>
  <si>
    <t>align</t>
  </si>
  <si>
    <t>trust</t>
  </si>
  <si>
    <t>belief</t>
  </si>
  <si>
    <t>voluntary</t>
  </si>
  <si>
    <t>C_christ_coherence</t>
  </si>
  <si>
    <t>christ</t>
  </si>
  <si>
    <t>holds</t>
  </si>
  <si>
    <t>all things</t>
  </si>
  <si>
    <t>integration</t>
  </si>
  <si>
    <t>complete</t>
  </si>
  <si>
    <t>shows</t>
  </si>
  <si>
    <t>demands</t>
  </si>
  <si>
    <t>proves</t>
  </si>
  <si>
    <t>is</t>
  </si>
  <si>
    <t>must</t>
  </si>
  <si>
    <t>requires</t>
  </si>
  <si>
    <t>indicates</t>
  </si>
  <si>
    <t>are</t>
  </si>
  <si>
    <t>forces</t>
  </si>
  <si>
    <t>grounds</t>
  </si>
  <si>
    <t>means</t>
  </si>
  <si>
    <t>predicts</t>
  </si>
  <si>
    <t>explains</t>
  </si>
  <si>
    <t>replicated</t>
  </si>
  <si>
    <t>source</t>
  </si>
  <si>
    <t>study</t>
  </si>
  <si>
    <t>confirmed</t>
  </si>
  <si>
    <t>measured</t>
  </si>
  <si>
    <t>dataset</t>
  </si>
  <si>
    <t>trial</t>
  </si>
  <si>
    <t>observed</t>
  </si>
  <si>
    <t>breaks if</t>
  </si>
  <si>
    <t>if false</t>
  </si>
  <si>
    <t>disconfirm</t>
  </si>
  <si>
    <t>invalidates</t>
  </si>
  <si>
    <t>collapse if</t>
  </si>
  <si>
    <t>death condition</t>
  </si>
  <si>
    <t>falsification</t>
  </si>
  <si>
    <t>kill</t>
  </si>
  <si>
    <t>would fail</t>
  </si>
  <si>
    <t>falsify</t>
  </si>
  <si>
    <t>boundary condition</t>
  </si>
  <si>
    <t>if</t>
  </si>
  <si>
    <t>depends on</t>
  </si>
  <si>
    <t>because</t>
  </si>
  <si>
    <t>given</t>
  </si>
  <si>
    <t>premise</t>
  </si>
  <si>
    <t>under</t>
  </si>
  <si>
    <t>assumes</t>
  </si>
  <si>
    <t>probably</t>
  </si>
  <si>
    <t>seems</t>
  </si>
  <si>
    <t>maybe</t>
  </si>
  <si>
    <t>might</t>
  </si>
  <si>
    <t>likely</t>
  </si>
  <si>
    <t>roughly</t>
  </si>
  <si>
    <t>perhaps</t>
  </si>
  <si>
    <t>could</t>
  </si>
  <si>
    <t>appears</t>
  </si>
  <si>
    <t>sort of</t>
  </si>
  <si>
    <t>kind of</t>
  </si>
  <si>
    <t>possibly</t>
  </si>
  <si>
    <t>always</t>
  </si>
  <si>
    <t>never</t>
  </si>
  <si>
    <t>certainly</t>
  </si>
  <si>
    <t>obviously</t>
  </si>
  <si>
    <t>undeniable</t>
  </si>
  <si>
    <t>impossible</t>
  </si>
  <si>
    <t>this means</t>
  </si>
  <si>
    <t>thus</t>
  </si>
  <si>
    <t>so</t>
  </si>
  <si>
    <t>then</t>
  </si>
  <si>
    <t>consequently</t>
  </si>
  <si>
    <t>as a result</t>
  </si>
  <si>
    <t>but</t>
  </si>
  <si>
    <t>therefore</t>
  </si>
  <si>
    <t>next</t>
  </si>
  <si>
    <t>however</t>
  </si>
  <si>
    <t>false</t>
  </si>
  <si>
    <t>can't</t>
  </si>
  <si>
    <t>fails</t>
  </si>
  <si>
    <t>cannot</t>
  </si>
  <si>
    <t>no</t>
  </si>
  <si>
    <t>not</t>
  </si>
  <si>
    <t>charity</t>
  </si>
  <si>
    <t>glad</t>
  </si>
  <si>
    <t>calm</t>
  </si>
  <si>
    <t>reconcile</t>
  </si>
  <si>
    <t>longsuffering</t>
  </si>
  <si>
    <t>loyal</t>
  </si>
  <si>
    <t>softly</t>
  </si>
  <si>
    <t>malice</t>
  </si>
  <si>
    <t>cruelty</t>
  </si>
  <si>
    <t>contempt</t>
  </si>
  <si>
    <t>hatred</t>
  </si>
  <si>
    <t>hopeless</t>
  </si>
  <si>
    <t>misery</t>
  </si>
  <si>
    <t>nihilism</t>
  </si>
  <si>
    <t>despair</t>
  </si>
  <si>
    <t>hostility</t>
  </si>
  <si>
    <t>violence</t>
  </si>
  <si>
    <t>panic</t>
  </si>
  <si>
    <t>chaos</t>
  </si>
  <si>
    <t>reactionary</t>
  </si>
  <si>
    <t>rash</t>
  </si>
  <si>
    <t>impatience</t>
  </si>
  <si>
    <t>restless</t>
  </si>
  <si>
    <t>unkind</t>
  </si>
  <si>
    <t>vindictive</t>
  </si>
  <si>
    <t>brutal</t>
  </si>
  <si>
    <t>harsh</t>
  </si>
  <si>
    <t>corrupt</t>
  </si>
  <si>
    <t>wicked</t>
  </si>
  <si>
    <t>depraved</t>
  </si>
  <si>
    <t>dishonest</t>
  </si>
  <si>
    <t>treacherous</t>
  </si>
  <si>
    <t>fickle</t>
  </si>
  <si>
    <t>faithless</t>
  </si>
  <si>
    <t>betray</t>
  </si>
  <si>
    <t>bullying</t>
  </si>
  <si>
    <t>coercive</t>
  </si>
  <si>
    <t>dominating</t>
  </si>
  <si>
    <t>abrasive</t>
  </si>
  <si>
    <t>impulsive</t>
  </si>
  <si>
    <t>undisciplined</t>
  </si>
  <si>
    <t>reckless</t>
  </si>
  <si>
    <t>unrestrained</t>
  </si>
  <si>
    <t>spiritual_coherence</t>
  </si>
  <si>
    <t>protective</t>
  </si>
  <si>
    <t>positive</t>
  </si>
  <si>
    <t>transparent faith</t>
  </si>
  <si>
    <t>sacrificial love</t>
  </si>
  <si>
    <t>walks the talk</t>
  </si>
  <si>
    <t>servant heart</t>
  </si>
  <si>
    <t>glorifies god</t>
  </si>
  <si>
    <t>genuine worship</t>
  </si>
  <si>
    <t>coherent theology</t>
  </si>
  <si>
    <t>consistent worldview</t>
  </si>
  <si>
    <t>negative</t>
  </si>
  <si>
    <t>contradictory statements</t>
  </si>
  <si>
    <t>self-serving theology</t>
  </si>
  <si>
    <t>manipulates faith</t>
  </si>
  <si>
    <t>selective scripture</t>
  </si>
  <si>
    <t>twists scripture</t>
  </si>
  <si>
    <t>humility_index</t>
  </si>
  <si>
    <t>admits uncertainty</t>
  </si>
  <si>
    <t>servant leadership</t>
  </si>
  <si>
    <t>acknowledges mistakes</t>
  </si>
  <si>
    <t>gives credit to others</t>
  </si>
  <si>
    <t>puts others first</t>
  </si>
  <si>
    <t>seeks guidance</t>
  </si>
  <si>
    <t>teachable spirit</t>
  </si>
  <si>
    <t>never admits error</t>
  </si>
  <si>
    <t>demands worship</t>
  </si>
  <si>
    <t>places self above all</t>
  </si>
  <si>
    <t>claims infallibility</t>
  </si>
  <si>
    <t>takes all credit</t>
  </si>
  <si>
    <t>refuses counsel</t>
  </si>
  <si>
    <t>shows arrogance</t>
  </si>
  <si>
    <t>spiritual_discernment</t>
  </si>
  <si>
    <t>recognizes false teaching</t>
  </si>
  <si>
    <t>tests the spirits</t>
  </si>
  <si>
    <t>sees through deception</t>
  </si>
  <si>
    <t>identifies wolves</t>
  </si>
  <si>
    <t>discerns motives</t>
  </si>
  <si>
    <t>spiritual maturity</t>
  </si>
  <si>
    <t>follows blindly</t>
  </si>
  <si>
    <t>easily deceived</t>
  </si>
  <si>
    <t>lacks discernment</t>
  </si>
  <si>
    <t>naive trust</t>
  </si>
  <si>
    <t>moral_courage</t>
  </si>
  <si>
    <t>maintains integrity</t>
  </si>
  <si>
    <t>stands for truth</t>
  </si>
  <si>
    <t>refuses compromise</t>
  </si>
  <si>
    <t>defends the innocent</t>
  </si>
  <si>
    <t>sacrifices for others</t>
  </si>
  <si>
    <t>resists pressure</t>
  </si>
  <si>
    <t>speaks against injustice</t>
  </si>
  <si>
    <t>follows crowd</t>
  </si>
  <si>
    <t>abandons principles for gain</t>
  </si>
  <si>
    <t>compromises principles</t>
  </si>
  <si>
    <t>stays silent about evil</t>
  </si>
  <si>
    <t>deception_mastery</t>
  </si>
  <si>
    <t>threat</t>
  </si>
  <si>
    <t>selective truth telling</t>
  </si>
  <si>
    <t>manages information</t>
  </si>
  <si>
    <t>spin doctor</t>
  </si>
  <si>
    <t>curates reality</t>
  </si>
  <si>
    <t>gaslighting</t>
  </si>
  <si>
    <t>shapes perception</t>
  </si>
  <si>
    <t>manipulates media</t>
  </si>
  <si>
    <t>creates false consensus</t>
  </si>
  <si>
    <t>narrative architect</t>
  </si>
  <si>
    <t>controls narrative</t>
  </si>
  <si>
    <t>transparent communication</t>
  </si>
  <si>
    <t>provides full context</t>
  </si>
  <si>
    <t>admits when wrong</t>
  </si>
  <si>
    <t>welcomes scrutiny</t>
  </si>
  <si>
    <t>open information</t>
  </si>
  <si>
    <t>charismatic_manipulation</t>
  </si>
  <si>
    <t>false intimacy</t>
  </si>
  <si>
    <t>uses charm to deceive</t>
  </si>
  <si>
    <t>mesmerizing presence</t>
  </si>
  <si>
    <t>inspires cult-like devotion</t>
  </si>
  <si>
    <t>exploits trust</t>
  </si>
  <si>
    <t>uses emotional manipulation</t>
  </si>
  <si>
    <t>magnetic personality</t>
  </si>
  <si>
    <t>creates dependency</t>
  </si>
  <si>
    <t>demands loyalty</t>
  </si>
  <si>
    <t>creates parasocial bonds</t>
  </si>
  <si>
    <t>builds genuine community</t>
  </si>
  <si>
    <t>transparent motives</t>
  </si>
  <si>
    <t>empowers others</t>
  </si>
  <si>
    <t>honest leadership</t>
  </si>
  <si>
    <t>encourages independence</t>
  </si>
  <si>
    <t>authority_usurpation</t>
  </si>
  <si>
    <t>undermines institutions</t>
  </si>
  <si>
    <t>creates parallel power structures</t>
  </si>
  <si>
    <t>executive overreach</t>
  </si>
  <si>
    <t>consolidates control</t>
  </si>
  <si>
    <t>demands supreme loyalty</t>
  </si>
  <si>
    <t>concentrates authority</t>
  </si>
  <si>
    <t>eliminates opposition</t>
  </si>
  <si>
    <t>bypasses democratic processes</t>
  </si>
  <si>
    <t>replaces established authority</t>
  </si>
  <si>
    <t>accountable to others</t>
  </si>
  <si>
    <t>respects institutions</t>
  </si>
  <si>
    <t>distributes authority</t>
  </si>
  <si>
    <t>shares power</t>
  </si>
  <si>
    <t>respects checks and balances</t>
  </si>
  <si>
    <t>global_solution_complex</t>
  </si>
  <si>
    <t>era of universal peace</t>
  </si>
  <si>
    <t>global governance</t>
  </si>
  <si>
    <t>ushering in a new age</t>
  </si>
  <si>
    <t>final answer to</t>
  </si>
  <si>
    <t>one solution for humanity</t>
  </si>
  <si>
    <t>single global framework</t>
  </si>
  <si>
    <t>comprehensive solutions</t>
  </si>
  <si>
    <t>world government</t>
  </si>
  <si>
    <t>global integration</t>
  </si>
  <si>
    <t>acknowledges complexity</t>
  </si>
  <si>
    <t>bottom-up approach</t>
  </si>
  <si>
    <t>respects local autonomy</t>
  </si>
  <si>
    <t>distributed solutions</t>
  </si>
  <si>
    <t>respects national sovereignty</t>
  </si>
  <si>
    <t>caring</t>
  </si>
  <si>
    <t>admiration</t>
  </si>
  <si>
    <t>gratitude</t>
  </si>
  <si>
    <t>anger</t>
  </si>
  <si>
    <t>disgust</t>
  </si>
  <si>
    <t>disapproval</t>
  </si>
  <si>
    <t>optimism</t>
  </si>
  <si>
    <t>excitement</t>
  </si>
  <si>
    <t>pride</t>
  </si>
  <si>
    <t>sadness</t>
  </si>
  <si>
    <t>grief</t>
  </si>
  <si>
    <t>disappointment</t>
  </si>
  <si>
    <t>relief</t>
  </si>
  <si>
    <t>approval</t>
  </si>
  <si>
    <t>realization</t>
  </si>
  <si>
    <t>fear</t>
  </si>
  <si>
    <t>nervousness</t>
  </si>
  <si>
    <t>annoyance</t>
  </si>
  <si>
    <t>confusion</t>
  </si>
  <si>
    <t>embarrassment</t>
  </si>
  <si>
    <t>desire</t>
  </si>
  <si>
    <t>conflict</t>
  </si>
  <si>
    <t>corruption</t>
  </si>
  <si>
    <t>betrayal</t>
  </si>
  <si>
    <t>harshness</t>
  </si>
  <si>
    <t>indulgence</t>
  </si>
  <si>
    <t>L1_Gravitation</t>
  </si>
  <si>
    <t>curvature</t>
  </si>
  <si>
    <t>sin</t>
  </si>
  <si>
    <t>gravitational</t>
  </si>
  <si>
    <t>geodesic</t>
  </si>
  <si>
    <t>attraction</t>
  </si>
  <si>
    <t>weight</t>
  </si>
  <si>
    <t>L2_Motion</t>
  </si>
  <si>
    <t>force</t>
  </si>
  <si>
    <t>acceleration</t>
  </si>
  <si>
    <t>momentum</t>
  </si>
  <si>
    <t>inertia</t>
  </si>
  <si>
    <t>newton</t>
  </si>
  <si>
    <t>will</t>
  </si>
  <si>
    <t>repentance</t>
  </si>
  <si>
    <t>conversion</t>
  </si>
  <si>
    <t>motion</t>
  </si>
  <si>
    <t>velocity</t>
  </si>
  <si>
    <t>L3_Electromagnetism</t>
  </si>
  <si>
    <t>electromagnetic</t>
  </si>
  <si>
    <t>light</t>
  </si>
  <si>
    <t>maxwell</t>
  </si>
  <si>
    <t>charge</t>
  </si>
  <si>
    <t>deception</t>
  </si>
  <si>
    <t>witness</t>
  </si>
  <si>
    <t>glory</t>
  </si>
  <si>
    <t>doxa</t>
  </si>
  <si>
    <t>L4_StrongForce</t>
  </si>
  <si>
    <t>strong force</t>
  </si>
  <si>
    <t>quark</t>
  </si>
  <si>
    <t>gluon</t>
  </si>
  <si>
    <t>yukawa</t>
  </si>
  <si>
    <t>fruit</t>
  </si>
  <si>
    <t>captivity</t>
  </si>
  <si>
    <t>L5_Thermodynamics</t>
  </si>
  <si>
    <t>thermodynamic</t>
  </si>
  <si>
    <t>heat</t>
  </si>
  <si>
    <t>temperature</t>
  </si>
  <si>
    <t>judgment</t>
  </si>
  <si>
    <t>justice</t>
  </si>
  <si>
    <t>free energy</t>
  </si>
  <si>
    <t>disorder</t>
  </si>
  <si>
    <t>L6_Information</t>
  </si>
  <si>
    <t>shannon</t>
  </si>
  <si>
    <t>channel</t>
  </si>
  <si>
    <t>bandwidth</t>
  </si>
  <si>
    <t>signal</t>
  </si>
  <si>
    <t>noise</t>
  </si>
  <si>
    <t>encoding</t>
  </si>
  <si>
    <t>communication</t>
  </si>
  <si>
    <t>L7_Quantum</t>
  </si>
  <si>
    <t>doubt</t>
  </si>
  <si>
    <t>uncertainty</t>
  </si>
  <si>
    <t>entangle</t>
  </si>
  <si>
    <t>L8_Relativity</t>
  </si>
  <si>
    <t>relativity</t>
  </si>
  <si>
    <t>frame</t>
  </si>
  <si>
    <t>reference</t>
  </si>
  <si>
    <t>lorentz</t>
  </si>
  <si>
    <t>perspective</t>
  </si>
  <si>
    <t>invariant</t>
  </si>
  <si>
    <t>transformation</t>
  </si>
  <si>
    <t>L9_WeakForce</t>
  </si>
  <si>
    <t>weak force</t>
  </si>
  <si>
    <t>parity</t>
  </si>
  <si>
    <t>symmetry breaking</t>
  </si>
  <si>
    <t>noether</t>
  </si>
  <si>
    <t>moral conservation</t>
  </si>
  <si>
    <t>irreversible</t>
  </si>
  <si>
    <t>L10_Coherence</t>
  </si>
  <si>
    <t>chi</t>
  </si>
  <si>
    <t>χ</t>
  </si>
  <si>
    <t>alignment</t>
  </si>
  <si>
    <t>unified</t>
  </si>
  <si>
    <t>master equation</t>
  </si>
  <si>
    <t>paper</t>
  </si>
  <si>
    <t>abstract</t>
  </si>
  <si>
    <t>introduction</t>
  </si>
  <si>
    <t>methodology</t>
  </si>
  <si>
    <t>conclusion</t>
  </si>
  <si>
    <t>references</t>
  </si>
  <si>
    <t>lemma</t>
  </si>
  <si>
    <t>article</t>
  </si>
  <si>
    <t>subscribe</t>
  </si>
  <si>
    <t>read more</t>
  </si>
  <si>
    <t>published</t>
  </si>
  <si>
    <t>blog</t>
  </si>
  <si>
    <t>series</t>
  </si>
  <si>
    <t>part \d</t>
  </si>
  <si>
    <t>note</t>
  </si>
  <si>
    <t>todo</t>
  </si>
  <si>
    <t>idea</t>
  </si>
  <si>
    <t>scratch</t>
  </si>
  <si>
    <t>draft</t>
  </si>
  <si>
    <t>rough</t>
  </si>
  <si>
    <t>\.csv</t>
  </si>
  <si>
    <t>\.json</t>
  </si>
  <si>
    <t>\.tsv</t>
  </si>
  <si>
    <t>table</t>
  </si>
  <si>
    <t>code</t>
  </si>
  <si>
    <t xml:space="preserve">def </t>
  </si>
  <si>
    <t>function</t>
  </si>
  <si>
    <t xml:space="preserve">import </t>
  </si>
  <si>
    <t xml:space="preserve">class </t>
  </si>
  <si>
    <t xml:space="preserve">const </t>
  </si>
  <si>
    <t>bucket</t>
  </si>
  <si>
    <t>subbucket</t>
  </si>
  <si>
    <t>polarity</t>
  </si>
  <si>
    <t>danger_level</t>
  </si>
  <si>
    <t>allowed_context</t>
  </si>
  <si>
    <t>forbidden_context</t>
  </si>
  <si>
    <t>recommended_action</t>
  </si>
  <si>
    <t>source_note</t>
  </si>
  <si>
    <t>example_safe_rewrite</t>
  </si>
  <si>
    <t>suggests</t>
  </si>
  <si>
    <t>CLAIM_STRENGTH</t>
  </si>
  <si>
    <t>weak_inference</t>
  </si>
  <si>
    <t>neutral</t>
  </si>
  <si>
    <t>low</t>
  </si>
  <si>
    <t>exploratory interpretation; preliminary evidence</t>
  </si>
  <si>
    <t>final proof language</t>
  </si>
  <si>
    <t>usually safe; may be too weak if formal proof exists</t>
  </si>
  <si>
    <t>added from requested synonym expansion</t>
  </si>
  <si>
    <t>This suggests a possible constraint rather than proving the full claim.</t>
  </si>
  <si>
    <t>may indicate</t>
  </si>
  <si>
    <t>is consistent with</t>
  </si>
  <si>
    <t>points toward</t>
  </si>
  <si>
    <t>raises the possibility</t>
  </si>
  <si>
    <t>appears to support</t>
  </si>
  <si>
    <t>is compatible with</t>
  </si>
  <si>
    <t>could imply</t>
  </si>
  <si>
    <t>supports</t>
  </si>
  <si>
    <t>moderate_claim</t>
  </si>
  <si>
    <t>medium</t>
  </si>
  <si>
    <t>model results; source-backed argument; structural mapping</t>
  </si>
  <si>
    <t>claiming formal proof without theorem/evidence</t>
  </si>
  <si>
    <t>require evidence marker or model/proof reference</t>
  </si>
  <si>
    <t>The model constrains the class of systems rather than deriving every domain equation.</t>
  </si>
  <si>
    <t>accounts for</t>
  </si>
  <si>
    <t>constrains</t>
  </si>
  <si>
    <t>models</t>
  </si>
  <si>
    <t>is evidence for</t>
  </si>
  <si>
    <t>fits</t>
  </si>
  <si>
    <t>tracks</t>
  </si>
  <si>
    <t>demonstrates</t>
  </si>
  <si>
    <t>strong_claim</t>
  </si>
  <si>
    <t>Lean theorem; formal derivation; directly cited proof</t>
  </si>
  <si>
    <t>empirical speculation; theological interpretation; analogy</t>
  </si>
  <si>
    <t>flag unless nearby theorem/citation/proof tag exists</t>
  </si>
  <si>
    <t>Lean verifies the encoded theorem under stated axioms.</t>
  </si>
  <si>
    <t>establishes</t>
  </si>
  <si>
    <t>verifies</t>
  </si>
  <si>
    <t>entails</t>
  </si>
  <si>
    <t>necessitates</t>
  </si>
  <si>
    <t>shows conclusively</t>
  </si>
  <si>
    <t>logically implies</t>
  </si>
  <si>
    <t>derives</t>
  </si>
  <si>
    <t>forbidden_unless_formal</t>
  </si>
  <si>
    <t>critical</t>
  </si>
  <si>
    <t>narrow formal proof with exact scope</t>
  </si>
  <si>
    <t>grant pitch; broad synthesis; Prism/capstone rhetoric</t>
  </si>
  <si>
    <t>downgrade to constrains/classifies unless exact proof exists</t>
  </si>
  <si>
    <t>Jim pivot enforcement</t>
  </si>
  <si>
    <t>The framework classifies and constrains this domain rather than deriving it.</t>
  </si>
  <si>
    <t>proves all</t>
  </si>
  <si>
    <t>logically entails</t>
  </si>
  <si>
    <t>exact</t>
  </si>
  <si>
    <t>universal</t>
  </si>
  <si>
    <t>unavoidable</t>
  </si>
  <si>
    <t>impossible otherwise</t>
  </si>
  <si>
    <t>exact algebraic derivation</t>
  </si>
  <si>
    <t>final theory</t>
  </si>
  <si>
    <t>underlying math of every field</t>
  </si>
  <si>
    <t>REDUCTION_QUALITY</t>
  </si>
  <si>
    <t>mathematical reduction with explicit variable map</t>
  </si>
  <si>
    <t>analogy or similarity only</t>
  </si>
  <si>
    <t>require variable restriction and mismatch ledger</t>
  </si>
  <si>
    <t>This is exact only under the stated restriction and theorem scope.</t>
  </si>
  <si>
    <t>literal special case</t>
  </si>
  <si>
    <t>derivable</t>
  </si>
  <si>
    <t>formally equivalent</t>
  </si>
  <si>
    <t>isomorphic under stated constraints</t>
  </si>
  <si>
    <t>approximate</t>
  </si>
  <si>
    <t>model approximation; empirical fit; coarse-grained mapping</t>
  </si>
  <si>
    <t>claiming exact derivation</t>
  </si>
  <si>
    <t>label mismatch and missing term</t>
  </si>
  <si>
    <t>This is an approximate reduction with known term mismatch.</t>
  </si>
  <si>
    <t>limiting case</t>
  </si>
  <si>
    <t>asymptotic</t>
  </si>
  <si>
    <t>coarse-grained</t>
  </si>
  <si>
    <t>partially maps</t>
  </si>
  <si>
    <t>near-equivalent</t>
  </si>
  <si>
    <t>reduced-form</t>
  </si>
  <si>
    <t>effective model</t>
  </si>
  <si>
    <t>analogy</t>
  </si>
  <si>
    <t>analogical</t>
  </si>
  <si>
    <t>teaching layer; interpretive bridge; exploratory mapping</t>
  </si>
  <si>
    <t>presenting as formal derivation</t>
  </si>
  <si>
    <t>keep but mark as analogy</t>
  </si>
  <si>
    <t>This is an analogy, not a derivation.</t>
  </si>
  <si>
    <t>resemblance</t>
  </si>
  <si>
    <t>structural similarity</t>
  </si>
  <si>
    <t>homology</t>
  </si>
  <si>
    <t>correspondence</t>
  </si>
  <si>
    <t>parallel</t>
  </si>
  <si>
    <t>maps onto</t>
  </si>
  <si>
    <t>echoes</t>
  </si>
  <si>
    <t>mismatch</t>
  </si>
  <si>
    <t>broken</t>
  </si>
  <si>
    <t>audit reports; kill conditions; gap ledger</t>
  </si>
  <si>
    <t>hidden inside positive pitch</t>
  </si>
  <si>
    <t>surface as break condition</t>
  </si>
  <si>
    <t>This mapping breaks because the target term has no LLC counterpart.</t>
  </si>
  <si>
    <t>non-isomorphic</t>
  </si>
  <si>
    <t>cannot derive</t>
  </si>
  <si>
    <t>term conflict</t>
  </si>
  <si>
    <t>breaks</t>
  </si>
  <si>
    <t>not equivalent</t>
  </si>
  <si>
    <t>no reduction path</t>
  </si>
  <si>
    <t>PREFERRED_REPLACEMENT</t>
  </si>
  <si>
    <t>constraint_classification</t>
  </si>
  <si>
    <t>Jim pivot language; grant-safe pitch</t>
  </si>
  <si>
    <t>none</t>
  </si>
  <si>
    <t>prefer over derives/proves in public claims</t>
  </si>
  <si>
    <t>The framework classifies coherence-domain behavior and exposes failure modes.</t>
  </si>
  <si>
    <t>classifies</t>
  </si>
  <si>
    <t>bounds</t>
  </si>
  <si>
    <t>filters</t>
  </si>
  <si>
    <t>organizes</t>
  </si>
  <si>
    <t>maps</t>
  </si>
  <si>
    <t>indexes</t>
  </si>
  <si>
    <t>predicts a shortfall</t>
  </si>
  <si>
    <t>identifies a failure mode</t>
  </si>
  <si>
    <t>exposes a dependency</t>
  </si>
  <si>
    <t>preserves structure</t>
  </si>
  <si>
    <t>detects drift</t>
  </si>
  <si>
    <t>separates claim status</t>
  </si>
  <si>
    <t>categorizes</t>
  </si>
  <si>
    <t>screens</t>
  </si>
  <si>
    <t>triages</t>
  </si>
  <si>
    <t>DANGER_LANGUAGE</t>
  </si>
  <si>
    <t>dead_language</t>
  </si>
  <si>
    <t>only if literally proven in a narrow formal note</t>
  </si>
  <si>
    <t>Templeton pitch; broad public language</t>
  </si>
  <si>
    <t>replace with constrains/classifies/maps</t>
  </si>
  <si>
    <t>Jim pivot kill-list language</t>
  </si>
  <si>
    <t>The Prism identifies structural isomorphisms; it does not derive domain equations.</t>
  </si>
  <si>
    <t>generates every domain</t>
  </si>
  <si>
    <t>is the underlying math</t>
  </si>
  <si>
    <t>universal Lagrangian</t>
  </si>
  <si>
    <t>Prism derives</t>
  </si>
  <si>
    <t>source-backed</t>
  </si>
  <si>
    <t>EVIDENCE_MATURITY</t>
  </si>
  <si>
    <t>status_label</t>
  </si>
  <si>
    <t>claim status labeling; evidence registry</t>
  </si>
  <si>
    <t>using high maturity label on low maturity claim</t>
  </si>
  <si>
    <t>force status tag near public claim</t>
  </si>
  <si>
    <t>Evidence Registry / claim discipline</t>
  </si>
  <si>
    <t>Status: source-backed for data; theological interpretation remains separate.</t>
  </si>
  <si>
    <t>machine-checked</t>
  </si>
  <si>
    <t>Lean-verified</t>
  </si>
  <si>
    <t>formally encoded</t>
  </si>
  <si>
    <t>mathematically modeled</t>
  </si>
  <si>
    <t>empirically fitted</t>
  </si>
  <si>
    <t>externally replicated</t>
  </si>
  <si>
    <t>internally synthesized</t>
  </si>
  <si>
    <t>asserted</t>
  </si>
  <si>
    <t>unverified</t>
  </si>
  <si>
    <t>needs audit</t>
  </si>
  <si>
    <t>open gap</t>
  </si>
  <si>
    <t>needs source</t>
  </si>
  <si>
    <t>provisional</t>
  </si>
  <si>
    <t>preliminary</t>
  </si>
  <si>
    <t>peer-reviewed</t>
  </si>
  <si>
    <t>counterexample tested</t>
  </si>
  <si>
    <t>FORMAL_PROOF</t>
  </si>
  <si>
    <t>lean_safe_terms</t>
  </si>
  <si>
    <t>Lean/proof documentation</t>
  </si>
  <si>
    <t>keep exact theorem scope visible</t>
  </si>
  <si>
    <t>Lean boundary enforcement</t>
  </si>
  <si>
    <t>The theorem is kernel-checked under the encoded axioms.</t>
  </si>
  <si>
    <t>definition</t>
  </si>
  <si>
    <t>instance</t>
  </si>
  <si>
    <t>namespace</t>
  </si>
  <si>
    <t>encoded</t>
  </si>
  <si>
    <t>model</t>
  </si>
  <si>
    <t>satisfiable</t>
  </si>
  <si>
    <t>no sorry</t>
  </si>
  <si>
    <t>kernel checked</t>
  </si>
  <si>
    <t>by decide</t>
  </si>
  <si>
    <t>formal consequence</t>
  </si>
  <si>
    <t>interpretation layer</t>
  </si>
  <si>
    <t>scope</t>
  </si>
  <si>
    <t>constructor</t>
  </si>
  <si>
    <t>inductive</t>
  </si>
  <si>
    <t>definitional equality</t>
  </si>
  <si>
    <t>Lean proves God</t>
  </si>
  <si>
    <t>lean_danger_phrases</t>
  </si>
  <si>
    <t>none; quote only as forbidden wording</t>
  </si>
  <si>
    <t>public claims; grant claims; abstract</t>
  </si>
  <si>
    <t>replace with formal-scope language</t>
  </si>
  <si>
    <t>Lean verifies the encoded resurrection operator, not the historical event itself.</t>
  </si>
  <si>
    <t>Lean proves Christianity</t>
  </si>
  <si>
    <t>Lean proves the Resurrection historically</t>
  </si>
  <si>
    <t>Lean proves the worldview</t>
  </si>
  <si>
    <t>Lean proves reality</t>
  </si>
  <si>
    <t>Lean proves the Bible</t>
  </si>
  <si>
    <t>Lean verifies the encoded structure</t>
  </si>
  <si>
    <t>lean_safe_replacements</t>
  </si>
  <si>
    <t>public proof-scope wording</t>
  </si>
  <si>
    <t>use in grant/paper language</t>
  </si>
  <si>
    <t>Lean checks the theorem under stated axioms.</t>
  </si>
  <si>
    <t>Lean checks the theorem under stated axioms</t>
  </si>
  <si>
    <t>Lean confirms the formal consequence</t>
  </si>
  <si>
    <t>machine-checkable theological formalization</t>
  </si>
  <si>
    <t>formal proof spine</t>
  </si>
  <si>
    <t>RELATION_TYPE</t>
  </si>
  <si>
    <t>identity</t>
  </si>
  <si>
    <t>strict definitional identity</t>
  </si>
  <si>
    <t>loose similarity; analogy</t>
  </si>
  <si>
    <t>flag if identity follows correlation/analogy</t>
  </si>
  <si>
    <t>relation-drift detection</t>
  </si>
  <si>
    <t>X corresponds to Y; it is not identical to Y.</t>
  </si>
  <si>
    <t>equals</t>
  </si>
  <si>
    <t>identical to</t>
  </si>
  <si>
    <t>same as</t>
  </si>
  <si>
    <t>causes</t>
  </si>
  <si>
    <t>causation</t>
  </si>
  <si>
    <t>causal model; intervention evidence; mechanism</t>
  </si>
  <si>
    <t>correlation-only evidence</t>
  </si>
  <si>
    <t>require mechanism/control language</t>
  </si>
  <si>
    <t>The data correlate with the model; causation remains unproven.</t>
  </si>
  <si>
    <t>produces</t>
  </si>
  <si>
    <t>drives</t>
  </si>
  <si>
    <t>generates</t>
  </si>
  <si>
    <t>leads to</t>
  </si>
  <si>
    <t>results in</t>
  </si>
  <si>
    <t>constraint</t>
  </si>
  <si>
    <t>structural models; formal mappings</t>
  </si>
  <si>
    <t>preferred for Jim pivot</t>
  </si>
  <si>
    <t>The equation constrains the possible behavior of the system.</t>
  </si>
  <si>
    <t>limits</t>
  </si>
  <si>
    <t>governs</t>
  </si>
  <si>
    <t>restricts</t>
  </si>
  <si>
    <t>correlation</t>
  </si>
  <si>
    <t>empirical fit; time series; proxy models</t>
  </si>
  <si>
    <t>causal proof language</t>
  </si>
  <si>
    <t>do not upgrade to cause without evidence</t>
  </si>
  <si>
    <t>The proxy tracks the modeled coherence curve.</t>
  </si>
  <si>
    <t>correlates with</t>
  </si>
  <si>
    <t>moves with</t>
  </si>
  <si>
    <t>covaries with</t>
  </si>
  <si>
    <t>aligns with</t>
  </si>
  <si>
    <t>resembles</t>
  </si>
  <si>
    <t>teaching layer; exploratory mapping</t>
  </si>
  <si>
    <t>formal proof claim</t>
  </si>
  <si>
    <t>label as analogy</t>
  </si>
  <si>
    <t>This parallels the formal structure but is not a derivation.</t>
  </si>
  <si>
    <t>mirrors</t>
  </si>
  <si>
    <t>parallels</t>
  </si>
  <si>
    <t>is analogous to</t>
  </si>
  <si>
    <t>dependency</t>
  </si>
  <si>
    <t>dependency chain; axiom/proof map</t>
  </si>
  <si>
    <t>unsupported necessity claims</t>
  </si>
  <si>
    <t>verify upstream support</t>
  </si>
  <si>
    <t>The claim depends on the upstream coherence definition.</t>
  </si>
  <si>
    <t>presupposes</t>
  </si>
  <si>
    <t>rests on</t>
  </si>
  <si>
    <t>needs</t>
  </si>
  <si>
    <t>implies</t>
  </si>
  <si>
    <t>entailment</t>
  </si>
  <si>
    <t>formal proof; theorem statement</t>
  </si>
  <si>
    <t>narrative inference; correlation</t>
  </si>
  <si>
    <t>require theorem/proof marker</t>
  </si>
  <si>
    <t>The theorem entails this only inside the formal system.</t>
  </si>
  <si>
    <t>logically forces</t>
  </si>
  <si>
    <t>follows from</t>
  </si>
  <si>
    <t>FALSIFICATION</t>
  </si>
  <si>
    <t>kill_condition_language</t>
  </si>
  <si>
    <t>counterarguments; methods; limitations; grant proposal</t>
  </si>
  <si>
    <t>reward presence in serious paper</t>
  </si>
  <si>
    <t>audit hardening</t>
  </si>
  <si>
    <t>The model breaks if the Amish control fails by more than the stated threshold.</t>
  </si>
  <si>
    <t>fails if</t>
  </si>
  <si>
    <t>falsified by</t>
  </si>
  <si>
    <t>disconfirmed by</t>
  </si>
  <si>
    <t>invalidated by</t>
  </si>
  <si>
    <t>kill condition</t>
  </si>
  <si>
    <t>failure condition</t>
  </si>
  <si>
    <t>counterexample</t>
  </si>
  <si>
    <t>boundary case</t>
  </si>
  <si>
    <t>exception</t>
  </si>
  <si>
    <t>residual</t>
  </si>
  <si>
    <t>omitted variable</t>
  </si>
  <si>
    <t>alternative explanation</t>
  </si>
  <si>
    <t>control group</t>
  </si>
  <si>
    <t>null model</t>
  </si>
  <si>
    <t>sensitivity analysis</t>
  </si>
  <si>
    <t>ablation</t>
  </si>
  <si>
    <t>negative case</t>
  </si>
  <si>
    <t>pre-registered failure</t>
  </si>
  <si>
    <t>out-of-sample test</t>
  </si>
  <si>
    <t>metaphor</t>
  </si>
  <si>
    <t>DRIFT_WARNING</t>
  </si>
  <si>
    <t>honest_boundary_language</t>
  </si>
  <si>
    <t>audit notes; limits; interpretation layers</t>
  </si>
  <si>
    <t>reward when controlling claim scope</t>
  </si>
  <si>
    <t>drift-control language</t>
  </si>
  <si>
    <t>This is an interpretive bridge, not a formal derivation.</t>
  </si>
  <si>
    <t>symbolic</t>
  </si>
  <si>
    <t>rhetorical</t>
  </si>
  <si>
    <t>interpretive</t>
  </si>
  <si>
    <t>suggestive</t>
  </si>
  <si>
    <t>illustrative</t>
  </si>
  <si>
    <t>not derivational</t>
  </si>
  <si>
    <t>not empirical</t>
  </si>
  <si>
    <t>not formal</t>
  </si>
  <si>
    <t>not proven</t>
  </si>
  <si>
    <t>category drift</t>
  </si>
  <si>
    <t>status drift</t>
  </si>
  <si>
    <t>claim drift</t>
  </si>
  <si>
    <t>semantic drift</t>
  </si>
  <si>
    <t>scope drift</t>
  </si>
  <si>
    <t>proof drift</t>
  </si>
  <si>
    <t>evidence drift</t>
  </si>
  <si>
    <t>doctrine</t>
  </si>
  <si>
    <t>THEOLOGICAL_STATUS</t>
  </si>
  <si>
    <t>status_terms</t>
  </si>
  <si>
    <t>status classification; theological layer</t>
  </si>
  <si>
    <t>proof-equivalence language</t>
  </si>
  <si>
    <t>separate from formal theorem status</t>
  </si>
  <si>
    <t>theology/formal boundary</t>
  </si>
  <si>
    <t>The doctrine is represented as a formal structure whose consequences can be audited.</t>
  </si>
  <si>
    <t>interpretation</t>
  </si>
  <si>
    <t>typology</t>
  </si>
  <si>
    <t>exegesis</t>
  </si>
  <si>
    <t>scriptural pattern</t>
  </si>
  <si>
    <t>theological claim</t>
  </si>
  <si>
    <t>metaphysical claim</t>
  </si>
  <si>
    <t>historical claim</t>
  </si>
  <si>
    <t>formal representation</t>
  </si>
  <si>
    <t>symbolic mapping</t>
  </si>
  <si>
    <t>confessional claim</t>
  </si>
  <si>
    <t>canonical reading</t>
  </si>
  <si>
    <t>hermeneutic</t>
  </si>
  <si>
    <t>narrative expression</t>
  </si>
  <si>
    <t>therefore theology is proven</t>
  </si>
  <si>
    <t>danger_phrase</t>
  </si>
  <si>
    <t>none; forbidden wording examples</t>
  </si>
  <si>
    <t>public claim</t>
  </si>
  <si>
    <t>replace with representation/audit wording</t>
  </si>
  <si>
    <t>The doctrine is formally represented; its encoded consequences are machine-checkable.</t>
  </si>
  <si>
    <t>therefore Christianity is proven</t>
  </si>
  <si>
    <t>the doctrine is mathematically proven</t>
  </si>
  <si>
    <t>revolutionary</t>
  </si>
  <si>
    <t>REVIEWER_RISK</t>
  </si>
  <si>
    <t>rhetorical_inflation</t>
  </si>
  <si>
    <t>rarely; only with specific support and toned context</t>
  </si>
  <si>
    <t>grant abstracts; external-facing claims</t>
  </si>
  <si>
    <t>flag and downgrade</t>
  </si>
  <si>
    <t>reviewer-risk language</t>
  </si>
  <si>
    <t>This is a proposed formal research architecture, not a final theory.</t>
  </si>
  <si>
    <t>final</t>
  </si>
  <si>
    <t>unified theory</t>
  </si>
  <si>
    <t>proves everything</t>
  </si>
  <si>
    <t>no one has ever</t>
  </si>
  <si>
    <t>world-changing</t>
  </si>
  <si>
    <t>impossible to refute</t>
  </si>
  <si>
    <t>game-changing</t>
  </si>
  <si>
    <t>paradigm-ending</t>
  </si>
  <si>
    <t>settles the debate</t>
  </si>
  <si>
    <t>irrefutable</t>
  </si>
  <si>
    <t>METHODS_PROVENANCE</t>
  </si>
  <si>
    <t>source_and_reproducibility</t>
  </si>
  <si>
    <t>methods, evidence registry, proposals</t>
  </si>
  <si>
    <t>reward; use as source-backbone terms</t>
  </si>
  <si>
    <t>grant/methods language</t>
  </si>
  <si>
    <t>The result is tied to a dataset, code path, and parameter table.</t>
  </si>
  <si>
    <t>citation</t>
  </si>
  <si>
    <t>DOI</t>
  </si>
  <si>
    <t>appendix</t>
  </si>
  <si>
    <t>repository</t>
  </si>
  <si>
    <t>hash</t>
  </si>
  <si>
    <t>version</t>
  </si>
  <si>
    <t>parameter table</t>
  </si>
  <si>
    <t>bootstrap</t>
  </si>
  <si>
    <t>confidence interval</t>
  </si>
  <si>
    <t>control</t>
  </si>
  <si>
    <t>replication</t>
  </si>
  <si>
    <t>pre-registration</t>
  </si>
  <si>
    <t>protocol</t>
  </si>
  <si>
    <t>manifest</t>
  </si>
  <si>
    <t>audit log</t>
  </si>
  <si>
    <t>source registry</t>
  </si>
  <si>
    <t>provenance</t>
  </si>
  <si>
    <t>raw data</t>
  </si>
  <si>
    <t>code path</t>
  </si>
  <si>
    <t>notebook</t>
  </si>
  <si>
    <t>reproducibility</t>
  </si>
  <si>
    <t>protects</t>
  </si>
  <si>
    <t>FRUIT_BEHAVIOR_EXPANSION</t>
  </si>
  <si>
    <t>fruit/character analysis; behavioral semantic layer</t>
  </si>
  <si>
    <t>add as positive fruit signal</t>
  </si>
  <si>
    <t>fruit semantic expansion</t>
  </si>
  <si>
    <t>The text shows restraint and ordered desire rather than compulsion.</t>
  </si>
  <si>
    <t>restores</t>
  </si>
  <si>
    <t>bears burden</t>
  </si>
  <si>
    <t>seeks good</t>
  </si>
  <si>
    <t>reconciles</t>
  </si>
  <si>
    <t>sacrifices</t>
  </si>
  <si>
    <t>covers rightly</t>
  </si>
  <si>
    <t>moves toward the other</t>
  </si>
  <si>
    <t>resilience</t>
  </si>
  <si>
    <t>gladness</t>
  </si>
  <si>
    <t>celebration</t>
  </si>
  <si>
    <t>durable gladness</t>
  </si>
  <si>
    <t>stability</t>
  </si>
  <si>
    <t>non-anxious</t>
  </si>
  <si>
    <t>settled</t>
  </si>
  <si>
    <t>reconciled</t>
  </si>
  <si>
    <t>quiet strength</t>
  </si>
  <si>
    <t>ordered calm</t>
  </si>
  <si>
    <t>restraint</t>
  </si>
  <si>
    <t>delayed reaction</t>
  </si>
  <si>
    <t>endurance</t>
  </si>
  <si>
    <t>slow to anger</t>
  </si>
  <si>
    <t>waits rightly</t>
  </si>
  <si>
    <t>regard</t>
  </si>
  <si>
    <t>mercy-in-action</t>
  </si>
  <si>
    <t>tenderness</t>
  </si>
  <si>
    <t>helpfulness</t>
  </si>
  <si>
    <t>non-cruel correction</t>
  </si>
  <si>
    <t>uprightness</t>
  </si>
  <si>
    <t>repair</t>
  </si>
  <si>
    <t>moral clarity</t>
  </si>
  <si>
    <t>right action</t>
  </si>
  <si>
    <t>ordered desire</t>
  </si>
  <si>
    <t>loyalty</t>
  </si>
  <si>
    <t>reliability</t>
  </si>
  <si>
    <t>steadfastness</t>
  </si>
  <si>
    <t>keeps trust</t>
  </si>
  <si>
    <t>non-coercive</t>
  </si>
  <si>
    <t>careful</t>
  </si>
  <si>
    <t>low force</t>
  </si>
  <si>
    <t>strength under control</t>
  </si>
  <si>
    <t>does not crush</t>
  </si>
  <si>
    <t>appetite governed</t>
  </si>
  <si>
    <t>delayed gratification</t>
  </si>
  <si>
    <t>non-compulsion</t>
  </si>
  <si>
    <t>domination</t>
  </si>
  <si>
    <t>ANTI_FRUIT_BEHAVIOR_EXPANSION</t>
  </si>
  <si>
    <t>anti_fruit</t>
  </si>
  <si>
    <t>anti-fruit detection; adversarial critique</t>
  </si>
  <si>
    <t>flag as anti-fruit signal; inspect context</t>
  </si>
  <si>
    <t>anti-fruit semantic expansion</t>
  </si>
  <si>
    <t>The language signals compulsion rather than self-control.</t>
  </si>
  <si>
    <t>compulsion</t>
  </si>
  <si>
    <t>rage</t>
  </si>
  <si>
    <t>fracture</t>
  </si>
  <si>
    <t>accusation</t>
  </si>
  <si>
    <t>exploitation</t>
  </si>
  <si>
    <t>dissipation</t>
  </si>
  <si>
    <t>appetite capture</t>
  </si>
  <si>
    <t>closed loop</t>
  </si>
  <si>
    <t>coercion</t>
  </si>
  <si>
    <t>disintegration</t>
  </si>
  <si>
    <t>resentment</t>
  </si>
  <si>
    <t>self-exaltation</t>
  </si>
  <si>
    <t>devouring</t>
  </si>
  <si>
    <t>false peace</t>
  </si>
  <si>
    <t>destructive certainty</t>
  </si>
  <si>
    <t>Section</t>
  </si>
  <si>
    <t>What changed</t>
  </si>
  <si>
    <t>How to use it</t>
  </si>
  <si>
    <t>Notes</t>
  </si>
  <si>
    <t>SEMANTIC_BUCKETS</t>
  </si>
  <si>
    <t>Added claim-strength, reduction-quality, relation-type, evidence-maturity, formal-proof, falsification, drift, theology-status, reviewer-risk, methods/provenance, fruit and anti-fruit expansions.</t>
  </si>
  <si>
    <t>Use this as the canonical weighted term table for the next auditor script.</t>
  </si>
  <si>
    <t>This does not overwrite the existing sheets.</t>
  </si>
  <si>
    <t>Weak/moderate/strong/forbidden language levels.</t>
  </si>
  <si>
    <t>Flag strong terms unless proof/evidence markers are nearby.</t>
  </si>
  <si>
    <t>Especially catches proof-language drift.</t>
  </si>
  <si>
    <t>Exact/approximate/analogical/broken reduction terms.</t>
  </si>
  <si>
    <t>Use to enforce the Jim pivot.</t>
  </si>
  <si>
    <t>Prevents Prism derivation drift.</t>
  </si>
  <si>
    <t>Identity, causation, constraint, correlation, analogy, dependency, entailment terms.</t>
  </si>
  <si>
    <t>Detect relation drift inside arguments.</t>
  </si>
  <si>
    <t>Most papers overreach by sliding relation type.</t>
  </si>
  <si>
    <t>Lean-safe terms and forbidden phrases.</t>
  </si>
  <si>
    <t>Require theorem scope for Lean claims.</t>
  </si>
  <si>
    <t>Lean verifies encoded structures, not historical/metaphysical reality by itself.</t>
  </si>
  <si>
    <t>FRUIT/ANTI-FRUIT</t>
  </si>
  <si>
    <t>Behavior-level synonyms for fruit and anti-fruit detection.</t>
  </si>
  <si>
    <t>Use for moral/character semantic scoring.</t>
  </si>
  <si>
    <t>These are behavioral signals, not automatic judgments.</t>
  </si>
  <si>
    <t>Metric</t>
  </si>
  <si>
    <t>Value</t>
  </si>
  <si>
    <t>Total added semantic rows</t>
  </si>
  <si>
    <t>Rows added to SEMANTIC_BUCKETS</t>
  </si>
  <si>
    <t>Bucket</t>
  </si>
  <si>
    <t>Count</t>
  </si>
  <si>
    <t>Danger Level</t>
  </si>
  <si>
    <t xml:space="preserve">Is it working Goodbye more when I go on there The last one I I don't know what I'm gonna do today </t>
  </si>
  <si>
    <t>NAMING TAXONOMY</t>
  </si>
  <si>
    <t>DOMAIN CODES (2–3 letters)</t>
  </si>
  <si>
    <t>Code</t>
  </si>
  <si>
    <t>Meaning</t>
  </si>
  <si>
    <t>PHY</t>
  </si>
  <si>
    <t>Physics</t>
  </si>
  <si>
    <t>THE</t>
  </si>
  <si>
    <t>Theology</t>
  </si>
  <si>
    <t>TPH</t>
  </si>
  <si>
    <t>Theophysics (cross-domain)</t>
  </si>
  <si>
    <t>MEQ</t>
  </si>
  <si>
    <t>Master Equation</t>
  </si>
  <si>
    <t>LAW</t>
  </si>
  <si>
    <t>Ten Laws (individual law work)</t>
  </si>
  <si>
    <t>CON</t>
  </si>
  <si>
    <t>Consciousness</t>
  </si>
  <si>
    <t>GRC</t>
  </si>
  <si>
    <t>Grace</t>
  </si>
  <si>
    <t>INF</t>
  </si>
  <si>
    <t>Information Theory</t>
  </si>
  <si>
    <t>FRM</t>
  </si>
  <si>
    <t>Formal / Lean / Proofs</t>
  </si>
  <si>
    <t>AXM</t>
  </si>
  <si>
    <t>Axioms</t>
  </si>
  <si>
    <t>ETH</t>
  </si>
  <si>
    <t>Ethics / Moral</t>
  </si>
  <si>
    <t>COS</t>
  </si>
  <si>
    <t>Cosmology</t>
  </si>
  <si>
    <t>ALN</t>
  </si>
  <si>
    <t>AI Alignment / Logos Code</t>
  </si>
  <si>
    <t>INF ⚠</t>
  </si>
  <si>
    <t>Infrastructure / Tools — NOTE: collides with INF (Information Theory). Suggest a distinct code (e.g. IFR or TLS).</t>
  </si>
  <si>
    <t>PUB</t>
  </si>
  <si>
    <t>Publication / Website</t>
  </si>
  <si>
    <t>TYPE TAGS (what the file IS)</t>
  </si>
  <si>
    <t>Tag</t>
  </si>
  <si>
    <t>ART</t>
  </si>
  <si>
    <t>Article (public-facing prose)</t>
  </si>
  <si>
    <t>PAP</t>
  </si>
  <si>
    <t>Paper (formal / academic)</t>
  </si>
  <si>
    <t>DRV</t>
  </si>
  <si>
    <t>Derivation (step-by-step chain)</t>
  </si>
  <si>
    <t>PRF</t>
  </si>
  <si>
    <t>Proof (Lean or formal)</t>
  </si>
  <si>
    <t>BRF</t>
  </si>
  <si>
    <t>Brief (precision correction)</t>
  </si>
  <si>
    <t>SPE</t>
  </si>
  <si>
    <t>Spec (build specification)</t>
  </si>
  <si>
    <t>AUD</t>
  </si>
  <si>
    <t>Audit (review / grading)</t>
  </si>
  <si>
    <t>SRC</t>
  </si>
  <si>
    <t>Source of Truth (canonical)</t>
  </si>
  <si>
    <t>DFT</t>
  </si>
  <si>
    <t>Draft (not final)</t>
  </si>
  <si>
    <t>NOD</t>
  </si>
  <si>
    <t>Node file (extracted claims)</t>
  </si>
  <si>
    <t>MAP</t>
  </si>
  <si>
    <t>Map / Index / Router</t>
  </si>
  <si>
    <t>TMP</t>
  </si>
  <si>
    <t>Template</t>
  </si>
  <si>
    <t>DAT</t>
  </si>
  <si>
    <t>Data (Excel, JSON, CSV)</t>
  </si>
  <si>
    <t>STY</t>
  </si>
  <si>
    <t>Story (narrative / testimony)</t>
  </si>
  <si>
    <t>VIZ</t>
  </si>
  <si>
    <t>Visualization</t>
  </si>
  <si>
    <t>LOG</t>
  </si>
  <si>
    <t>Session log / transcript</t>
  </si>
  <si>
    <t>NAMING PATTERN</t>
  </si>
  <si>
    <t>{DOMAIN}_{TYPE}_{title-slug}_{date}.{ext}</t>
  </si>
  <si>
    <t>EXAMPLES</t>
  </si>
  <si>
    <t>MEQ_SRC_master-equation-derivation-chain_20260814.html</t>
  </si>
  <si>
    <t>GRC_DRV_grace-canonical-v1-1_20260720.md</t>
  </si>
  <si>
    <t>LAW_PAP_fruits-of-spirit-yukawa_20260801.md</t>
  </si>
  <si>
    <t>TPH_ART_dear-stephen-ch01_20260814.md</t>
  </si>
  <si>
    <t>FRM_PRF_quantitative-structure-lean_20260214.lean</t>
  </si>
  <si>
    <t>CON_PAP_consciousness-paper-v2_20260809.md</t>
  </si>
  <si>
    <t>TPH_BRF_brief-09-free-energy_20260715.md</t>
  </si>
  <si>
    <t>TPH_MAP_consolidated-backbone_20260814.md</t>
  </si>
  <si>
    <t>TPH_STY_what-the-machine-sees_20260814.md</t>
  </si>
  <si>
    <t>AXM_DAT_axiom-spine-master_20260814.xlsx</t>
  </si>
  <si>
    <t>MEQ_SPE_lagrangian-of-life_20260814.md</t>
  </si>
  <si>
    <t>TPH_AUD_hawking-final-status_20260814.md</t>
  </si>
  <si>
    <t>ALN_PAP_logos-code-covenant_20260801.md</t>
  </si>
  <si>
    <t>PHY_DRV_ten-derivative-families_20260814.md</t>
  </si>
  <si>
    <t>INF_TMP_lowe-standard-template_20260814.md</t>
  </si>
  <si>
    <t>RULES</t>
  </si>
  <si>
    <t>Domain first — you can sort any folder by domain instantly</t>
  </si>
  <si>
    <t>Type second — you know what it IS before you open it</t>
  </si>
  <si>
    <t>Slug third — human-readable title</t>
  </si>
  <si>
    <t>Date last — you know when, and same-name files sort chronologically</t>
  </si>
  <si>
    <t>All lowercase except domain and type codes</t>
  </si>
  <si>
    <t>Hyphens in slug, underscores between fields</t>
  </si>
  <si>
    <t>No spaces ever</t>
  </si>
  <si>
    <t>Maps directly onto the .fisnote classification — the domain and type codes ARE the tags. The FIS can read the filename and know what it's dealing with before opening the file.</t>
  </si>
  <si>
    <t>BFP-DG APPLIED: THEOPHYSICS PRIMITIVE ANALYSIS</t>
  </si>
  <si>
    <t>Bidirectional First-Principles Discovery Grammar — Q0–Q14 forward, B0–B8 reverse, convergence, why-closure. Classifications emerge from analysis; not presupposed.</t>
  </si>
  <si>
    <t>RAW EXPRESSION →</t>
  </si>
  <si>
    <t>A separation can be made.</t>
  </si>
  <si>
    <t>number</t>
  </si>
  <si>
    <t>God</t>
  </si>
  <si>
    <t>scientific method</t>
  </si>
  <si>
    <t>GRAMMAR STEP</t>
  </si>
  <si>
    <t>THE MARK</t>
  </si>
  <si>
    <t>NUMBER</t>
  </si>
  <si>
    <t>GOD</t>
  </si>
  <si>
    <t>SCIENTIFIC METHOD</t>
  </si>
  <si>
    <t>Raw Expression</t>
  </si>
  <si>
    <t>RAW: A separation can be made.
SPEAKER-INTENDED QUESTION: What is the most primitive act from which all structure follows?
CONTEXT: Attempt to find a fixed point that cannot be denied without performing it.</t>
  </si>
  <si>
    <t>RAW: number
SPEAKER-INTENDED QUESTION: What is number, and does it drop out of the primitive?
CONTEXT: BFP-DG worked skeleton (section 9, document BFP-DG-0.1)</t>
  </si>
  <si>
    <t>RAW: God
SPEAKER-INTENDED QUESTION: Does God drop out of the primitive, and if so, in what form?
CONTEXT: BFP-DG worked skeleton; Theophysics framework.</t>
  </si>
  <si>
    <t>RAW: scientific method
SPEAKER-INTENDED QUESTION: Does the scientific method drop out of the primitive?
CONTEXT: BFP-DG worked skeleton (section 9, document BFP-DG-0.1)</t>
  </si>
  <si>
    <t>Forward Discovery (Q0–Q14)</t>
  </si>
  <si>
    <t>Q0 — Exact Expression</t>
  </si>
  <si>
    <t>"A separation can be made." Preserved verbatim. Not yet classified.</t>
  </si>
  <si>
    <t>"number"</t>
  </si>
  <si>
    <t>"God"</t>
  </si>
  <si>
    <t>"scientific method"</t>
  </si>
  <si>
    <t>Q1 — What is being picked out?</t>
  </si>
  <si>
    <t>REFERRED CONTENT: The act of making a distinction, not the things distinguished.
ONE OR MANY: One act.
SAME OR CHANGING: The act is repeatable; each performance is a new token of the same type.
REAL/POSSIBLE/IMAGINED/UNDECIDED: The act is performable. Its possibility is demonstrated by any utterance, thought, or perception.
Output candidate: Referent = the act of distinction (μ).</t>
  </si>
  <si>
    <t>REFERRED CONTENT: Something used to discriminate quantity, order, or position.
ONE OR MANY: Many numbers, but the concept is one.
SAME OR CHANGING: The concept is stable; individual numbers are immutable.
REAL/POSSIBLE/IMAGINED/UNDECIDED: Numbers are used as if real. Ontological status disputed (Platonist, nominalist, structuralist, formalist, fictionalist).</t>
  </si>
  <si>
    <t>REFERRED CONTENT: Proposed ultimate ground of all existence, consciousness, value, and intelligibility.
ONE OR MANY: One in essence; three in person (Trinitarian claim).
SAME OR CHANGING: Eternal, unchanging in essence; internally dynamic in relation.
REAL/POSSIBLE/IMAGINED/UNDECIDED: Claimed as real and necessary. Disputed by atheism, agnosticism, alternative theisms.</t>
  </si>
  <si>
    <t>REFERRED CONTENT: Proposed disciplined inquiry process for discovering patterns in nature.
ONE OR MANY: One method with many variations.
SAME OR CHANGING: Core structure stable; specific procedures evolve.
REAL/POSSIBLE/IMAGINED/UNDECIDED: Real and practiced. Philosophical foundations disputed.</t>
  </si>
  <si>
    <t>Q2 — What makes it this rather than not-this?</t>
  </si>
  <si>
    <t>IDENTITY: The act is identifiable as the same type across performances.
DISTINGUISHING: The act creates two sides where before there was one; result distinguishable from unmarked state.
SAME: Any performance that creates a boundary between "this" and "that."
DIFFERENT: The unmarked state; a different act (e.g., combination).
Output: Identity kernel = the act creates a boundary. Boundary is the invariant.</t>
  </si>
  <si>
    <t>IDENTITY: Equality criteria (a=b iff same successor structure).
DISTINGUISHING: Non-equality (a≠b iff different successor structure).
SAME: Same position in the successor sequence.
DIFFERENT: Different position in the successor sequence.</t>
  </si>
  <si>
    <t>IDENTITY: God is the necessary being, ground of all, one in essence, three in person.
DISTINGUISHING: God distinguished from creation (Creator/creature); from impersonal ground (personal); from non-Trinitarian monotheism (Trinity).
SAME: The same ground across all domains.
DIFFERENT: A created being; an impersonal force; a non-Trinitarian deity.</t>
  </si>
  <si>
    <t>IDENTITY: Public testing, error exposure, revisability, empirical grounding.
DISTINGUISHING: From pseudoscience (no testing), pure rationalism (no observation), revelation-only (no empirical check), radical skepticism (no knowledge).
SAME: The same error-correcting structure across disciplines.
DIFFERENT: Astrology, philosophy, theology (each missing a component).</t>
  </si>
  <si>
    <t>Q3 — What is required for the expression to have meaning?</t>
  </si>
  <si>
    <t>REQUIRES FOR FORMULATION: A speaker capable of performing the act (even silently, in thought).
REQUIRES FOR COHERENCE: The possibility of two states (marked/unmarked).
REQUIRES FOR EXISTENCE: The act does not claim existence of an object; it claims performability. The performance demonstrates the possibility.
Output: Dependency floor = the possibility of two states; a performer capable of marking.</t>
  </si>
  <si>
    <t>REQUIRES FOR FORMULATION: Repeatable identity and distinction; a successor operation; a starting point (0 or 1).
REQUIRES FOR COHERENCE: The successor must produce a new number, not loop back (unless modular).
REQUIRES FOR EXISTENCE: Depends on ontological commitment (Platonist/formalist/structuralist).
Critical dependency: Number requires repeatable distinction — the mark applied iteratively.</t>
  </si>
  <si>
    <t>REQUIRES FOR FORMULATION: Coherent use of being, unity, distinction, relation, knowledge, goodness, agency.
REQUIRES FOR COHERENCE: The concept must not be self-contradictory (though it may exceed full comprehension).
REQUIRES FOR EXISTENCE: The concept is not empty; the ground is not merely possible but necessary.</t>
  </si>
  <si>
    <t>REQUIRES FOR FORMULATION: Observation, distinction, logic, regularity, comparison.
REQUIRES FOR COHERENCE: The world must be patterned; the mind must recognize pattern; communication must be possible.
REQUIRES FOR EXISTENCE: The method exists as a practice. Its justification requires the primitives (mark, pattern, consciousness).</t>
  </si>
  <si>
    <t>Q4 — What can vary while it remains the same referent?</t>
  </si>
  <si>
    <t>MAY VARY: Medium (ink, sound, thought, physical boundary); content marked; scale.
MUST REMAIN: The creation of a boundary; two sides.
PRESERVES IDENTITY: Same act in a different medium.
DESTROYS IDENTITY: The act fails to create a boundary.
Output: State space = all possible boundaries; Invariant = two-sidedness.</t>
  </si>
  <si>
    <t>MAY VARY: Notation (1, I, uno, 一); base (binary, decimal); application.
MUST REMAIN: Successor structure; order; cardinality.
PRESERVES IDENTITY: Different notation for the same number.
DESTROYS IDENTITY: Changing the successor (2's successor is 4 not 3).</t>
  </si>
  <si>
    <t>MAY VARY: Names (God, Allah, Yahweh, Trinity); cultural expressions; theological formulations.
MUST REMAIN: Necessity; ultimacy; personhood (Trinitarian); love (Theophysics).
PRESERVES IDENTITY: Different theological language for the same God.
DESTROYS IDENTITY: Denial of necessity, personhood, or Trinity.</t>
  </si>
  <si>
    <t>MAY VARY: Instruments, procedures, statistical methods, specific hypotheses.
MUST REMAIN: Observation, hypothesis, prediction, testing, comparison, revision, replication.
PRESERVES IDENTITY: Different instruments testing the same hypothesis.
DESTROYS IDENTITY: Removing testing (speculation), observation (rationalism), or revision (dogma).</t>
  </si>
  <si>
    <t>Q5 — What can it do, undergo, or participate in?</t>
  </si>
  <si>
    <t>ACCEPTS: A medium, location, context.
PRODUCES: Two sides; a boundary; the possibility of counting.
ACTS UPON: The unmarked state (→ marked).
ACTED UPON BY: The performer; time (boundaries fade).
COMBINES WITH: Other marks (nesting, parallel, intersection).
FORBIDS: Being both marked and unmarked in the same respect.
Output: Operation signature = μ: unmarked → {marked, unmarked}.</t>
  </si>
  <si>
    <t>ACCEPTS: Operations (successor, addition, multiplication).
PRODUCES: New numbers; quantitative results.
ACTS UPON: Collections (counting); magnitudes (measuring); positions (ordering).
COMBINES WITH: Other numbers.
PRESERVES: Structure under isomorphism.
FORBIDS: Division by zero; contradiction.</t>
  </si>
  <si>
    <t>ACCEPTS: Nothing from outside (aseity). Receives love internally (Trinity).
PRODUCES: Creation; revelation; sustenance; redemption; love.
ACTS UPON: Creation (sustaining); history (providence); hearts (sanctification).
ACTED UPON BY: Nothing external; internally the Persons love one another.
PRESERVES: Being; truth; goodness; love.
FORBIDS: Contradiction in essence; evil as divine attribute; non-existence.</t>
  </si>
  <si>
    <t>ACCEPTS: Observations, hypotheses, theories, data.
PRODUCES: Confirmed/refuted hypotheses, refined theories, predictions, models.
ACTS UPON: Nature (observation/experiment); theories (testing).
ACTED UPON BY: Nature (unexpected results); logic; peer review.
COMBINES WITH: Mathematics; technology; philosophy.
FORBIDS: Data falsification; dogmatic adherence to falsified theories; untestable ad hoc hypotheses.</t>
  </si>
  <si>
    <t>Q6 — What connects one valid state to another?</t>
  </si>
  <si>
    <t>PRIOR: Unmarked (no boundary).
TRANSITION: The act of marking.
NEXT: Marked (boundary exists).
NECESSARY INPUT: A performer, a medium, the possibility of two states.
SUFFICIENT INPUT: The act itself.
REVERSIBLE?: Physical mark may be erased, but the logical possibility remains; the act is irreversible in that it demonstrates possibility.
Output: μ is a transition operator; Mechanism = performative demonstration.</t>
  </si>
  <si>
    <t>PRIOR: n
TRANSITION: Successor S(n)=n+1
NEXT: n+1
NECESSARY INPUT: n; the successor operation.
SUFFICIENT INPUT: n and S.
REVERSIBLE?: Reversible (predecessor exists for n&gt;0).</t>
  </si>
  <si>
    <t>PRIOR: God as pure act (actus purus); eternal self-knowledge and self-love.
TRANSITION: Creation (asymmetric: God→world); Incarnation; Redemption.
NEXT: Created order; Incarnate Christ; redeemed community.
NECESSARY INPUT: God's free will (creation not necessary); God's love.
REVERSIBLE?: Creation and redemption are irreversible.
Critical boundary: Creation is not divine self-production; God does not create out of need. The transition is asymmetric.</t>
  </si>
  <si>
    <t>PRIOR: Observation or anomaly.
TRANSITION: Hypothesis formation.
NEXT: Predicted consequence.
NECESSARY INPUT: Pattern recognition; logical inference; empirical access.
SUFFICIENT INPUT: Hypothesis + prediction + test.
REVERSIBLE?: Irreversible — once falsified, a theory cannot be un-falsified (may be revised/restricted).</t>
  </si>
  <si>
    <t>Q7 — What limits the possibilities?</t>
  </si>
  <si>
    <t>ADMISSIBLE: Unmarked; marked with boundary; multiply marked.
FORBIDDEN: Marked and unmarked in same respect (contradiction); a one-sided boundary.
INITIAL: The unmarked state must be possible.
TERMINAL: None — marking iterates indefinitely.
DOMAIN: Any context where distinction is possible.
Output: Constraint = two-sidedness mandatory; contradiction excluded.</t>
  </si>
  <si>
    <t>ADMISSIBLE: Natural numbers; integers; rationals; reals; complex (per axioms).
FORBIDDEN: Division by zero; contradiction; largest natural number.
INITIAL: 0 (or 1).
TERMINAL: None (infinite).
DOMAIN: Depends on number system (ℕ, ℤ, ℚ, ℝ, ℂ).
EXTERNAL: Physical reality may not instantiate all numbers (e.g., transfinite).</t>
  </si>
  <si>
    <t>ADMISSIBLE: God as necessary, personal, loving, triune.
FORBIDDEN: God as contingent, impersonal (Theophysics frame), non-loving, self-contradictory.
INITIAL/TERMINAL: None — God is eternal, uncaused.
DOMAIN: All domains (God is the ground of all).
IDENTITY LIMITS: God cannot deny Himself, be evil, or not exist.
EXTERNAL: None. Internal: cannot do the logically impossible (not a thing to do).</t>
  </si>
  <si>
    <t>ADMISSIBLE: Hypothesis testing; model refinement; theory development.
FORBIDDEN: Dogma without test; data fabrication; unfalsifiable claims (Popperian).
INITIAL: An observable, patterned world.
TERMINAL: None — science is open-ended.
DOMAIN: The physical world (methodologically); does not access the unconditioned ground directly.
EXTERNAL: Measurement precision; technology; ethical constraints.</t>
  </si>
  <si>
    <t>Q8 — What necessarily follows if the expression is granted?</t>
  </si>
  <si>
    <t>IMMEDIATE: Two sides exist; the bit is born (0/1); the possibility of counting (2&gt;1).
CONDITIONAL: Iteration → number; stability → logic; multiplicity → relation; consistency → pattern.
ADDED REQUIREMENTS: None beyond the act.
NON-CONSEQUENCE: The content of what is marked (act determines only that there are sides).</t>
  </si>
  <si>
    <t>IMMEDIATE: Arithmetic; order; comparison.
CONDITIONAL: If extended — algebra, analysis, geometry, topology, all of mathematics.
ADDED: Axioms (Peano, ZF) for full development.
NON-CONSEQUENCE: Physical existence (numbers need no physical instantiation).</t>
  </si>
  <si>
    <t>IMMEDIATE: Creation possible and actual; consciousness, love, morality have a ground; the universe is intelligible.
CONDITIONAL: If triune → love internal to God; if personal → relation internal; if creates freely → creation contingent.
ADDED: Revelation (Trinity); faith (relationship).
NON-CONSEQUENCE: 'Everything is God's will' (confuses permission/causation); 'God causes evil' (category error).</t>
  </si>
  <si>
    <t>IMMEDIATE: Knowledge of the physical world; technology; error correction.
CONDITIONAL: If successful → unified theories; if limited → compartmentalized knowledge.
ADDED: Peer review; replication; statistics.
NON-CONSEQUENCE: Scientism (science is the only knowledge / answers all questions / disproves God — category error).</t>
  </si>
  <si>
    <t>Q9 — In what forms can the structure be represented?</t>
  </si>
  <si>
    <t>PLAIN: 'A line can be drawn.'
LOGICAL: P → (A ∨ ¬A).
SET: μ: ∅ → {0,1}.
ALGEBRAIC: Boolean algebra on {0,1}, μ as generator.
DYNAMICAL: Phase transition symmetric → broken symmetry.
FORMALISM: Spencer-Brown, Laws of Form (1969).
MACHINE: The bit; any Turing machine presupposes μ.
LOSS: The experiential 'making' of the distinction (performative aspect).</t>
  </si>
  <si>
    <t>PLAIN: 'How many or how much.'
LOGICAL: ∃x(Number(x) ∧ (Countable ∨ Orderable ∨ Measurable)).
SET: Von Neumann ordinals 0=∅, 1={∅}, 2={∅,{∅}}...
ALGEBRAIC: Peano axioms; group/ring/field.
FORMALISM: Category theory (NNO); type theory.
MACHINE: Coq, Lean formalize arithmetic.
LOSS: The intuitive grasp of 'how many'.</t>
  </si>
  <si>
    <t>PLAIN: 'God is creator and sustainer, who loves us.'
LOGICAL: □∃G; ∀x(x exists → G sustains x); L(G,G).
SET/ALGEBRAIC/DYNAMICAL: Not applicable — God is not a set/structure/system.
FORMALISM: Not applicable — full divine reality not exhausted mathematically.
LOSS: Personal relationship; prayer; phenomenology of divine love.
Critical finding: Logic is partial. This is a boundary of mathematical representation, not a failure of the concept.</t>
  </si>
  <si>
    <t>PLAIN: 'Watching, guessing, checking.'
LOGICAL: If H predicts O and O observed → H supported (not proven).
SET: Hypotheses as prediction-sets; testing as intersection.
ALGEBRAIC: Bayesian P(H|O)=P(O|H)P(H)/P(O).
DYNAMICAL: Confidence levels change with evidence.
FORMALISM: Popper, Kuhn, Lakatos, Feyerabend.
LOSS: Creativity of hypothesis formation; judgment; social dimension.</t>
  </si>
  <si>
    <t>Q10 — What does each representation preserve and lose?</t>
  </si>
  <si>
    <t>PLAIN: +accessibility / −precision.
LOGICAL: +inferential structure / −the act itself.
SET: +extensionality / −intensionality.
ALGEBRAIC: +tractability / −ontological commitment.
DYNAMICAL: +physical analogy / −logical necessity.
MACHINE: +executability / −meaning entirely.
Output: No exact formalization; all partial. The mark is the fixed point all representations circle.</t>
  </si>
  <si>
    <t>PLAIN: +intuition / −precision.
GRAMMAR: +clarity / −rigor.
LOGICAL: +inference / −computational content.
SET: +foundation / −intuitive access.
ALGEBRAIC: +operations / −ontological commitment.
FORMALISM: +generality / −concreteness.
MACHINE: +certainty / −meaning.</t>
  </si>
  <si>
    <t>PLAIN: +relational accessibility / −precision.
GRAMMAR: +doctrinal content / −experiential depth.
LOGICAL: +inferential structure / −personhood.
SET/ALGEBRAIC/DYNAMICAL/FORMALISM/MACHINE: Not applicable.</t>
  </si>
  <si>
    <t>PLAIN: +accessibility / −rigor.
GRAMMAR: +clarity / −formal precision.
LOGICAL: +inference / −empirical content.
SET: +structure / −dynamics.
ALGEBRAIC: +quantification / −qualitative judgment.
DYNAMICAL: +change / −static truth.
MACHINE: +reproducibility / −discovery.</t>
  </si>
  <si>
    <t>Q11 — What would reality look like if it were true?</t>
  </si>
  <si>
    <t>LOGICAL: Two-valued logic; non-contradiction; excluded middle.
MATH: Number, arithmetic, set theory, all mathematics.
PHYSICAL: Symmetry breaking; phase transitions.
BIOLOGICAL: Cellular differentiation; organism/environment boundary.
CONSCIOUS: Perception (figure/ground); self-awareness (self/other).
MORAL: Distinguishing good/evil; choice.
THEOLOGICAL: God's self-differentiation (Father/Son); creation as distinction; the Logos.
OBSERVABLE: Every perception, utterance, thought demonstrates the mark; any denial performs it.</t>
  </si>
  <si>
    <t>LOGICAL: Arithmetic consistent (if axioms are); induction works.
MATH: All of mathematics.
PHYSICAL: Quantities measurable; laws mathematical.
BIOLOGICAL: Numerosity discrimination.
CONSCIOUS: Humans count and calculate.
MORAL: Justice requires proportion; fairness requires counting.
THEOLOGICAL: God counts the stars (Ps 147:4); creates by number (Wis 11:20).
OBSERVABLE: Counting ubiquitous; math effective in science.</t>
  </si>
  <si>
    <t>LOGICAL: Existence, reason, morality grounded.
MATH: Mathematics discovered, not invented (God thinks structures eternally).
PHYSICAL: Universe lawful, fine-tuned, intelligible.
BIOLOGICAL: Life purposeful, not merely mechanistic.
CONSCIOUS: Consciousness has a source; love real; meaning attainable.
MORAL: Good and evil real; moral law binding; love highest.
THEOLOGICAL: All Christian theology follows.
OBSERVABLE: Fine-tuning; moral law on the heart; historical revelation; transformed lives.</t>
  </si>
  <si>
    <t>LOGICAL: Empirical conclusions follow defeasibly, not deductively.
MATH: Statistics, probability, modeling.
PHYSICAL: Laws discoverable; technology possible.
BIOLOGICAL: Reducible to physics/chemistry or emergent.
CONSCIOUS: World intelligible; minds can understand it.
MORAL: Science informs but cannot determine ethics (Hume's guillotine).
THEOLOGICAL: Science studies God's faithful speech (book of nature).
OBSERVABLE: Technology, medicine, engineering, predictions.</t>
  </si>
  <si>
    <t>Q12 — What would reality look like if it were false?</t>
  </si>
  <si>
    <t>NEGATION: 'No separation can be made.'
ALTERNATIVES: Absolute monism; radical flux; pure nothingness.
WORLDVIEWS: Advaita (strong form); śūnyatā as ontological negation; eliminative materialism.
EXPECTED: Under monism — no language/thought/science/self. Under flux — no stable knowledge. Under eliminativism — no reason to trust the claim (it requires distinction).
Output: Countermodels monism/flux/eliminativism all performatively self-defeating.</t>
  </si>
  <si>
    <t>NEGATION: 'Numbers do not exist' (fictionalism); 'not what we think' (nominalism).
ALTERNATIVES: Nominalism; formalism; intuitionism; finitism.
EXPLANATIONS: Human inventions; features of language (Wittgenstein); useful fictions (Field).
EXPECTED: Under fictionalism math works but refers to nothing; under finitism transfinite math meaningless; under constructivism proof-by-contradiction invalid for existence.</t>
  </si>
  <si>
    <t>NEGATION: 'God does not exist' (atheism); 'cannot be known' (agnosticism).
ALTERNATIVES: Impersonal ground (pantheism, deism); non-Trinitarian monotheism; polytheism; brute fact; infinite regress.
WORLDVIEWS: Atheism, agnosticism, pantheism, deism, unitarianism, polytheism, naturalism, materialism, nihilism.
EXPECTED: Under naturalism — unplanned, purposeless, heat death. Under nihilism — nothing matters. Under pantheism — impersonal, no love. Under deism — no relation.</t>
  </si>
  <si>
    <t>NEGATION: 'No reliable method for discovering natural patterns.'
ALTERNATIVES: Pure rationalism; revelation-only; radical skepticism; postmodernism.
EXPLANATIONS: Social construct; power game (Foucault); imperialist project (postcolonial).
WORLDVIEWS: Fideism; radical skepticism; postmodern anti-science; scientism (a distortion, not a negation).
EXPECTED: Under skepticism — no predictions. Under fideism — no empirical checking. Under postmodernism — all explanations equally valid.</t>
  </si>
  <si>
    <t>Q13 — What evidence can discriminate among the possibilities?</t>
  </si>
  <si>
    <t>FORMAL: Denial of the mark requires performing it (performative contradiction).
EMPIRICAL: Every observation/utterance/thought demonstrates it.
HISTORICAL: No culture sustains absolute monism as lived practice.
PHENOMENOLOGICAL: Choice, figure/ground, understanding a word.
BRIDGE: Survives translation across logic, math, physics, biology, psychology, theology.
NEG CONTROL: Thinking without distinguishing fails immediately.
NON-DISCRIMINATING: 'The mark is useful' — utility ≠ truth.</t>
  </si>
  <si>
    <t>FORMAL: Peano consistency; Gödel (arithmetic can't prove own consistency).
EMPIRICAL: Unreasonable effectiveness of math (Wigner).
HISTORICAL: Discovered not invented (Newton/Leibniz independently).
PHENOMENOLOGICAL: Numerosity immediate, non-linguistic (infants).
BRIDGE: Numbers bridge logic/physics/theology.
NEG CONTROL: Invented → incompatible arithmetics across cultures. They aren't.
NON-DISCRIMINATING: 'Math is useful' — all views accept utility.</t>
  </si>
  <si>
    <t>FORMAL: Cosmological (regress), ontological (necessary being), teleological (fine-tuning), moral (binding law).
EMPIRICAL: Fine-tuning; origin of life; consciousness; moral experience; resurrection evidence.
HISTORICAL: Life/death/resurrection of Jesus; spread of Christianity; transformed lives.
PHENOMENOLOGICAL: Divine love; meaning; conviction of sin and forgiveness.
BRIDGE: Grounds logic, math, physics, consciousness, morality, theology in one source.
NEG CONTROL: Under naturalism fine-tuning surprising; consciousness anomalous; moral experience illusory.
NON-DISCRIMINATING: 'Belief makes people happy' — utility ≠ truth.</t>
  </si>
  <si>
    <t>FORMAL: Consistent, reproducible results.
EMPIRICAL: Technology works; predictions succeed; medicine cures.
HISTORICAL: Increasing predictive power and explanatory scope.
PHENOMENOLOGICAL: Discovery; satisfaction of understanding.
BRIDGE: Preserves links to math, technology, philosophy.
NEG CONTROL: Pure social construct → incompatible physics across cultures. It isn't.
NON-DISCRIMINATING: 'Science is successful' — success ≠ real discovery vs lucky fiction.</t>
  </si>
  <si>
    <t>Q14 — What role did the expression actually play?</t>
  </si>
  <si>
    <t>VOCABULARY: Yes — mark, separation, boundary.
FIXING MEANING: Yes — by performative demonstration.
ADMITTED W/O DERIVATION: Yes — demonstrated, not derived.
RESTRICTING STATES: Yes — excludes monism, flux, contradiction.
LICENSING INFERENCE: Yes — iteration→number, stability→logic, multiplicity→relation, consistency→pattern.
DERIVED?: No.
CONNECTING DOMAINS: Yes — logic, math, physics, theology at the primitive level.
UNRESOLVED?: No — demonstrated, not hypothesized.</t>
  </si>
  <si>
    <t>VOCABULARY: Yes — number, successor, cardinality, ordinality.
FIXING MEANING: Yes — by successor structure.
ADMITTED W/O DERIVATION: Partial — number derived from mark (iteration); Peano axioms admitted.
RESTRICTING STATES: Yes — excludes non-standard models.
LICENSING INFERENCE: Yes — quantitative inference.
DERIVED?: Yes — from the mark via iteration.
CONNECTING DOMAINS: Yes — logic, physics, biology, theology.
UNRESOLVED?: Partial — ontological status disputed (Platonism/nominalism/structuralism).</t>
  </si>
  <si>
    <t>VOCABULARY: Yes — God, Trinity, Creator, Sustainer.
FIXING MEANING: Yes — by content-rich declaration.
ADMITTED W/O DERIVATION: Partial — 'ground' derived from mark (regress termination); personal/loving/triune requires revelation.
RESTRICTING STATES: Yes — excludes atheism, pantheism, deism, unitarianism (Theophysics frame).
LICENSING INFERENCE: Yes — creation, incarnation, redemption, moral law.
DERIVED?: Partial — ground derived; personhood bridged; Trinity from love-logic but needs revelation.
PREDICTING: Yes — fine-tuning, moral law, transformed lives.
UNRESOLVED?: Partial — existence argued; Trinity revealed.</t>
  </si>
  <si>
    <t>VOCABULARY: Yes — hypothesis, prediction, test, replication.
FIXING MEANING: Yes — by error-correcting structure.
ADMITTED W/O DERIVATION: No — derived from mark (pattern) + consciousness (hypothesis) + logic (inference).
RESTRICTING STATES: Yes — excludes pseudoscience, dogma, untestable claims.
LICENSING INFERENCE: Yes — empirical inference.
DERIVED?: Yes — from the primitive structure.
CONNECTING DOMAINS: Yes — observation, theory, math, practice.
SPECIFYING A TEST: Yes.
UNRESOLVED?: Partial — philosophy of science ongoing (realism vs anti-realism).</t>
  </si>
  <si>
    <t>Reverse Reconstruction (B0–B8)</t>
  </si>
  <si>
    <t>B0 Every perception/thought/language use involves distinction.
B1 Distinction ubiquitous, invariant across domains.
B2 Creating a boundary is the same act everywhere.
B3 μ transforms unmarked → marked.
B4 Two states possible; act performable.
B5 A performer; a medium.
B6 The mark supplies its own conditions (performative).
B7 Mark as primitive act; performer as conscious agent.
B8 Rivals: monism, brute fact, infinite regress.
Inference: B0→1 inductive, 1→2 abductive, 2→5 deductive, 6→7 abductive, 7→8 comparative.</t>
  </si>
  <si>
    <t>B0 Counting, measuring, ordering, math reasoning.
B1 Successor invariant across number systems.
B2 Mark applied iteratively → naturals.
B3 S(n)=n+1.
B4 Mark repeatable; result distinguishable from input.
B5 The mark; possibility of iteration.
B6 Mark + iteration.
B7 Mark as generator of number.
B8 Rivals: pure invention, brute fact, divine thought.
Inference: B0→1 inductive, 1→2 abductive, 2→6 deductive, 6→7 abductive, 7→8 comparative.</t>
  </si>
  <si>
    <t>B0 Existence, consciousness, love, moral experience, fine-tuning, intelligibility, meaning.
B1 All point to a ground; none explain themselves.
B2 Need for a ground is invariant.
B3 Mark applied to the regress forces a terminal point.
B4 Mark repeatable; explanation possible; infinite regress unstable.
B5 Mark; explanation; impossibility of infinite regress.
B6 The unconditioned ground (G).
B7 Personal ground capable of love; vs impersonal; vs brute fact; vs regress.
B8 See Q12.
Inference: B0→1 abductive, 1→2 inductive, 2→5 deductive, 5→7 abductive, 7→8 comparative.</t>
  </si>
  <si>
    <t>B0 Successful predictions, working tech, reproducible experiments, cumulative knowledge.
B1 Observation→hypothesis→prediction→test→revision.
B2 Error-correcting structure invariant across sciences.
B3 Mark applied to nature: distinguishing hypothesis/observation, true/false.
B4 Pattern exists; consciousness recognizes it; logic connects hypothesis→prediction.
B5 Mark; consciousness; logic; patterned world.
B6 Primitive stack: Mark → Pattern → Consciousness.
B7 Scientific method = natural method of a conscious being in a patterned world.
B8 Rivals: rationalism, fideism, skepticism, postmodernism.
Inference: B0→2 inductive, 2→3 abductive, 3→6 deductive, 6→7 abductive, 7→8 comparative.</t>
  </si>
  <si>
    <t>Convergence Check</t>
  </si>
  <si>
    <t>Top-down (from the Mark) and bottom-up (from observation) signatures MATCH at every point — identities, distinctions, relations, operations, dependencies, constraints, invariants, collapse conditions, consequences.
Minimal convergence ✓ — the Mark survives reconstruction from its own signature: r ∈ R(D(r)).
Unique recovery: NO — the performer (consciousness) is co-recovered. Mark and performer are co-primitive. Underdetermination, not failure.</t>
  </si>
  <si>
    <t>Top-down: Mark → iteration → successor → naturals → all math. Bottom-up: math practice → successor → iteration → mark as generator.
Signature table matches on all 9 invariants (identities, distinctions, relations, operations, dependencies, constraints, invariants, collapse, consequences) ✓.
Minimal convergence ✓ — number survives reconstruction from the mark.
Unique recovery: PARTIAL — mark generates number, but number does not uniquely recover the mark (mark is more primitive).</t>
  </si>
  <si>
    <t>Top-down: Mark → Two-ness → Relation → Pattern → Consciousness → Unconditioned → Love → Trinity → God. Bottom-up: phenomena → need for ground → regress termination → personal ground (abductive) → love-capable → triune.
Signatures match at STRUCTURAL level (ground, necessity, personhood, love); PARTIAL at specific Trinitarian level — top-down forces triunity from love-logic; bottom-up recovers it only if love is granted, does not FORCE the Trinity without the love-bridge.
Minimal convergence ✓. Unique recovery ✗ — R(D(r)) contains impersonal ground, brute fact, regress. Personal ground is BEST (abductive), not ONLY. Underdetermination, not failure.</t>
  </si>
  <si>
    <t>Top-down: Mark → Pattern → Consciousness → Scientific Method. Bottom-up: practice → error-correction → pattern recognition → distinction → mark.
Signature table matches on all 9 invariants ✓.
Minimal convergence ✓ — scientific method survives reconstruction from the mark.
Unique recovery ✓ — uniquely recovered as the method of conscious pattern-recognition in a marked world. Rationalism/fideism do not match the invariant signature.</t>
  </si>
  <si>
    <t>Why-Closure Gate</t>
  </si>
  <si>
    <t>Focal question: Why does the mark work rather than fail or take a relevant alternative form?</t>
  </si>
  <si>
    <t>Focal question: Why does number drop out of the mark rather than fail or take an alternative form?</t>
  </si>
  <si>
    <t>Focal question: Why does the personal triune God emerge rather than an impersonal ground, brute fact, or infinite regress?</t>
  </si>
  <si>
    <t>Focal question: Why does the scientific method drop out of the primitive rather than fail or take an alternative form?</t>
  </si>
  <si>
    <t>Why-Ladder</t>
  </si>
  <si>
    <t>1 Descriptive: The mark creates a boundary.
2 Mechanistic: The performer acts; the act creates the boundary.
3 Structural: Two states possible; the act selects one; selection requires distinction; distinction requires the mark.
4 Boundary: Monism and flux excluded (performatively self-defeating). The mark is the only stable primitive.
5 Historical: N/A at primitive level.
6 Grounding: The mark is its own ground — demonstrated by performance, not derived.
7 Purposive: N/A.</t>
  </si>
  <si>
    <t>1 Descriptive: Number = iterated distinction.
2 Mechanistic: Performer marks, then marks again → sequence.
3 Structural: Repeatable mark + new side each time → order; order + iteration = number.
4 Boundary: Non-repeatability would prevent number, but is unstable (mark can always repeat).
5 Historical: N/A.
6 Grounding: The mark is the ground; number is a consequence.
7 Purposive: N/A.</t>
  </si>
  <si>
    <t>1 Descriptive: Mark forces a ground; ground must relate (relation is real); maximal relation is love; love requires three (lover, beloved, love) → triune.
2 Mechanistic: N/A — God is not a mechanism.
3 Structural: Impersonal ground → relation alien; but relation is real → ground capable of relation → love → triune.
4 Boundary: Regress excluded (not explanation); brute fact excluded (refusal); impersonal ground excluded (can't explain consciousness/love without borrowing).
5 Historical: Revelation of the Trinity confirms the structural inference.
6 Grounding: Mark grounds all structure; God grounds the mark; the mark is the image of God's self-differentiation.
7 Purposive: Creation directed toward communion; the eschaton completes it.</t>
  </si>
  <si>
    <t>1 Descriptive: Testing predictions against observations.
2 Mechanistic: Consciousness forms hypotheses; logic derives predictions; observation tests.
3 Structural: Patterned world + consciousness recognizing pattern + logic connecting states → hypothesis-testing is forced.
4 Boundary: No pattern / no recognition / no logic → science fails; but the mark forces all three → science forced.
5 Historical: Emerged when the Christian West combined Greek reason with Hebrew lawful creation.
6 Grounding: Mark grounds pattern and consciousness; science is a conscious being interacting with pattern.
7 Purposive: Serves understanding of creation — a means, not an end.</t>
  </si>
  <si>
    <t>Candidate explanation types</t>
  </si>
  <si>
    <t>LOGICAL NECESSITY: Yes — denial is self-defeating.
MATHEMATICAL NECESSITY: Yes — the bit founds mathematics.
SHARED CONSTRAINT: Yes — all domains presuppose distinction.
CAUSAL: No — performed, not caused.
DEFINITIONAL: Partial — performative, not merely definitional.
COMMON GROUND: Yes — all distinctions share the mark.
COINCIDENCE: No. UNKNOWN: No.</t>
  </si>
  <si>
    <t>LOGICAL NECESSITY: Yes — repeatable mark → number.
MATHEMATICAL NECESSITY: Yes — naturals = free monoid on one generator.
SHARED CONSTRAINT: Yes — counting presupposes distinction.
CAUSAL: No.
DEFINITIONAL: Partial — constructed from the mark.
COMMON GROUND: Yes — the mark.
COINCIDENCE: No. UNKNOWN: No.</t>
  </si>
  <si>
    <t>LOGICAL NECESSITY: Partial — ground necessary; personhood necessary if relation real; Trinity necessary if love is maximal relation.
MATHEMATICAL: No.
SHARED CONSTRAINT: Yes — all domains require a ground.
CAUSAL: No — not a cause among causes.
HISTORICAL DEVELOPMENT: Yes — revelation supplies content reason cannot force.
COMMON GROUND: Yes.
PURPOSIVE: Yes — creation toward communion.
UNKNOWN: Partial — full Trinity revealed, not derived.</t>
  </si>
  <si>
    <t>LOGICAL NECESSITY: Yes — pattern + consciousness + logic → science.
MATHEMATICAL: Partial — Bayesian updating rigorous.
SHARED CONSTRAINT: Yes — science presupposes the mark.
CAUSAL: No — a method, not a mechanism.
HISTORICAL DEVELOPMENT: Yes.
DEFINITIONAL: Partial — structure is forced.
COMMON GROUND: Yes.
PURPOSIVE: Yes — serves understanding.
UNKNOWN: No.</t>
  </si>
  <si>
    <t>Closure levels</t>
  </si>
  <si>
    <t>Performative ✓ (denial enacts what it denies)
Deductive ✓
Structural ✓ (required by two-sidedness, non-contradiction)
Causal N/A
Explanatory ✓ (rivals borrow the mark to deny it)
Empirical ✓ (every act demonstrates)
Open: No.</t>
  </si>
  <si>
    <t>Performative ✓ (denial requires counting denials)
Deductive ✓ (from iteration of the mark)
Structural ✓ (successor forced by iteration)
Causal N/A
Explanatory ✓ (no hidden borrowing)
Empirical ✓ (counting everywhere)
Open: No.</t>
  </si>
  <si>
    <t>Performative ✓ (denying God while using the mark borrows God's structure)
Deductive Partial (ground deductive; personhood abductive; Trinity structural given love, but love is phenomenological)
Structural ✓ (personal ground necessary if relation real)
Causal N/A
Explanatory ✓ (explains more with less borrowing than rivals)
Empirical Partial (fine-tuning, moral law, transformed lives support but don't prove)
Open: YES — at the specific Trinitarian level. 'Three' and the person-names require revelation.</t>
  </si>
  <si>
    <t>Performative ✓ (denying science while using evidence performs the method)
Deductive ✓ (from pattern + consciousness + logic)
Structural ✓ (error-correcting structure forced)
Causal N/A
Explanatory ✓ (no hidden borrowing)
Empirical ✓ (science works)
Open: No.</t>
  </si>
  <si>
    <t>Non-restatement test</t>
  </si>
  <si>
    <t>This result works because it creates a boundary.' Partially circular at descriptive level, NOT at structural level (two states possible, the act selects one). PASS.</t>
  </si>
  <si>
    <t>Number exists because number is iterated distinction.' Partially circular; structural answer (repeatability forces sequence) is not. PASS.</t>
  </si>
  <si>
    <t>God exists because God is the ground.' Circular. Structural answer (the mark forces a ground; the ground must be personal to explain personhood) is not. PASS at structural level; FAIL at definitional level.</t>
  </si>
  <si>
    <t>Science works because it is the method of pattern recognition.' Partially circular; structural answer (pattern + consciousness + logic forces hypothesis-testing) is not. PASS.</t>
  </si>
  <si>
    <t>Gate outcome</t>
  </si>
  <si>
    <t>WHY_CLOSED
Closure level: STRUCTURAL (strongest applicable)
Explanation type: LOGICAL NECESSITY + SHARED CONSTRAINT + COMMON GROUND</t>
  </si>
  <si>
    <t>WHY_CLOSED
Closure level: STRUCTURAL
Explanation type: LOGICAL NECESSITY + MATHEMATICAL NECESSITY + COMMON GROUND</t>
  </si>
  <si>
    <t>WHY_CLOSED at the structural level (personal ground capable of love).
WHY_OPEN at the full Trinitarian level (specific number of persons and their identities require revelation).
Closure: STRUCTURAL for personhood; EXPLANATORY for Trinity.
Type: SHARED CONSTRAINT + COMMON SOURCE + PURPOSIVE + HISTORICAL DEVELOPMENT.
Honest boundary: The step from 'personal ground' to 'Trinity' is the strongest inference in the chain — structurally compelling but not deductively closed. An adversary can accept the ground and deny the Trinity. This is the boundary between natural and revealed theology.</t>
  </si>
  <si>
    <t>WHY_CLOSED
Closure level: STRUCTURAL
Explanation type: LOGICAL NECESSITY + SHARED CONSTRAINT + COMMON GROUND + PURPOSIVE EXPLANATION</t>
  </si>
  <si>
    <t>BFP-DG GRAMMAR — THE ENGINE</t>
  </si>
  <si>
    <t>Bidirectional First-Principles Discovery Grammar. Run any raw expression through forward discovery (Q0–Q14), reverse reconstruction (B0–B8), convergence, and the Why-Closure Gate. Classifications emerge; they are not presupposed.</t>
  </si>
  <si>
    <t>Phase</t>
  </si>
  <si>
    <t>Step</t>
  </si>
  <si>
    <t>What it asks</t>
  </si>
  <si>
    <t>FORWARD</t>
  </si>
  <si>
    <t>Q0</t>
  </si>
  <si>
    <t>Exact expression — preserve verbatim, not yet classified</t>
  </si>
  <si>
    <t>Q1</t>
  </si>
  <si>
    <t>What is being picked out? (referent; one/many; same/changing; real/possible/imagined)</t>
  </si>
  <si>
    <t>Q2</t>
  </si>
  <si>
    <t>What makes it this rather than not-this? (identity &amp; distinguishing conditions)</t>
  </si>
  <si>
    <t>Q3</t>
  </si>
  <si>
    <t>What is required for the expression to have meaning? (dependency floor)</t>
  </si>
  <si>
    <t>Q4</t>
  </si>
  <si>
    <t>What can vary while it remains the same referent? (state space &amp; invariants)</t>
  </si>
  <si>
    <t>Q5</t>
  </si>
  <si>
    <t>What can it do, undergo, or participate in? (operation signature)</t>
  </si>
  <si>
    <t>Q6</t>
  </si>
  <si>
    <t>What connects one valid state to another? (transition rule &amp; mechanism)</t>
  </si>
  <si>
    <t>Q7</t>
  </si>
  <si>
    <t>What limits the possibilities? (admissible / forbidden states, domain of validity)</t>
  </si>
  <si>
    <t>Q8</t>
  </si>
  <si>
    <t>What necessarily follows if the expression is granted? (inference rules)</t>
  </si>
  <si>
    <t>Q9</t>
  </si>
  <si>
    <t>In what forms can the structure be represented? (representation ladder)</t>
  </si>
  <si>
    <t>Q10</t>
  </si>
  <si>
    <t>What does each representation preserve and lose?</t>
  </si>
  <si>
    <t>Q11</t>
  </si>
  <si>
    <t>What would reality look like if it were true? (consequences across domains)</t>
  </si>
  <si>
    <t>Q12</t>
  </si>
  <si>
    <t>What would reality look like if it were false? (countermodels &amp; rivals)</t>
  </si>
  <si>
    <t>Q13</t>
  </si>
  <si>
    <t>What evidence can discriminate among the possibilities? (tests &amp; protocols)</t>
  </si>
  <si>
    <t>Q14</t>
  </si>
  <si>
    <t>What role did the expression actually play? (vocabulary / meaning-fixing / derivation / bridge)</t>
  </si>
  <si>
    <t>REVERSE</t>
  </si>
  <si>
    <t>B0</t>
  </si>
  <si>
    <t>Observed or experienced content</t>
  </si>
  <si>
    <t>B1</t>
  </si>
  <si>
    <t>Repeated pattern</t>
  </si>
  <si>
    <t>B2</t>
  </si>
  <si>
    <t>Invariant across cases</t>
  </si>
  <si>
    <t>B3</t>
  </si>
  <si>
    <t>Transformation/operation that preserves it</t>
  </si>
  <si>
    <t>B4</t>
  </si>
  <si>
    <t>Constraints required for that operation</t>
  </si>
  <si>
    <t>B5</t>
  </si>
  <si>
    <t>Dependencies required by those constraints</t>
  </si>
  <si>
    <t>B6</t>
  </si>
  <si>
    <t>Minimal structure capable of supplying them</t>
  </si>
  <si>
    <t>B7</t>
  </si>
  <si>
    <t>Candidate ground class</t>
  </si>
  <si>
    <t>B8</t>
  </si>
  <si>
    <t>Competing ground classes</t>
  </si>
  <si>
    <t>CHECK</t>
  </si>
  <si>
    <t>Convergence</t>
  </si>
  <si>
    <t>Do top-down (from primitive) and bottom-up (from observations) signatures match? Minimal convergence: r ∈ R(D(r)). Unique recovery: R(D(r)) = {r}?</t>
  </si>
  <si>
    <t>GATE</t>
  </si>
  <si>
    <t>Descriptive / Mechanistic / Structural / Boundary / Historical / Grounding / Purposive why</t>
  </si>
  <si>
    <t>Explanation types</t>
  </si>
  <si>
    <t>Logical necessity, mathematical necessity, shared constraint, causal, historical, selection effect, definitional, artifact, common ground, purposive, coincidence, unknown</t>
  </si>
  <si>
    <t>Performative / Deductive / Structural / Causal / Explanatory / Empirical / Open</t>
  </si>
  <si>
    <t>Replace the term with 'this result' — is the answer still non-circular?</t>
  </si>
  <si>
    <t>WHY_CLOSED (with closure level) or WHY_OPEN (with honest boundary flagged)</t>
  </si>
  <si>
    <t>KEY FINDINGS</t>
  </si>
  <si>
    <t>Mark → Number</t>
  </si>
  <si>
    <t>WHY_CLOSED at the structural level.</t>
  </si>
  <si>
    <t>Mark → Scientific Method</t>
  </si>
  <si>
    <t>Mark → God</t>
  </si>
  <si>
    <t>Converges to a personal ground capable of love (WHY_CLOSED, structural). The specific Trinitarian structure requires a bridge that is WHY_OPEN at the full-closure level — the strongest inference in the chain and the most vulnerable to objection. Flagged, not hidden.</t>
  </si>
  <si>
    <t>PRESERVED CANON</t>
  </si>
  <si>
    <t>Prior rulings</t>
  </si>
  <si>
    <t>All rulings from Theophysics v5, Axiom Chain Defense Grid v1.1, and ZFC GOD MATH.md are preserved and integrated (see source Appendix D).</t>
  </si>
  <si>
    <t>Honest boundary</t>
  </si>
  <si>
    <t>The step from 'personal ground' to 'Trinity' is structurally compelling but not deductively closed: an adversary can accept the ground and deny the Trinity. This is the boundary between natural theology and revealed theology, not a failure of logic.</t>
  </si>
  <si>
    <t>SUPRA INFRAQUE — Radical Epistemic Storage Schema v1</t>
  </si>
  <si>
    <t>Ontology-first, question-driven epistemic graph for the full Theophysics corpus — without collapsing theology into physics, treating mathematics as empirical proof, or hiding assumptions inside classifications.</t>
  </si>
  <si>
    <t>THE REDESIGN IN ONE SENTENCE</t>
  </si>
  <si>
    <t>The file is no longer the unit of knowledge: the system stores independently identifiable questions, statements, axioms, constitutive disclosures, definitions, derivations, bridges, evidence units, countermodels, predictions, protocols, tests, results, and interpretations — while files remain immutable provenance containers that may hold any number of those objects.</t>
  </si>
  <si>
    <t>GOVERNING COMMITMENTS</t>
  </si>
  <si>
    <t>2.1 Ontology before classification</t>
  </si>
  <si>
    <t>First ask what kind of thing a record is and what it asserts. Do not begin by forcing it into a scientific, theological, mathematical, or philosophical verdict.</t>
  </si>
  <si>
    <t>2.2 Questions before inferred answers</t>
  </si>
  <si>
    <t>Neutral questions define the information slots. A question may specify a contrast, test, or required distinction; it may not presuppose the preferred conclusion.</t>
  </si>
  <si>
    <t>2.3 Classification is multidimensional</t>
  </si>
  <si>
    <t>No single label represents both what a statement does and what it is about. Logical role and ontological domain are independent axes, plus warrant, status, relation to A0, mode, testability.</t>
  </si>
  <si>
    <t>2.4 Unpacking is not addition</t>
  </si>
  <si>
    <t>A0 is one content-rich Triune axiom. Trinity, Being, Truth, Goodness, Love, relational distinction, positive fruits are constitutive disclosures/semantic unpackings — not independent axioms unless an argument explicitly posits another primitive.</t>
  </si>
  <si>
    <t>2.5 A bridge is a claim</t>
  </si>
  <si>
    <t>No cross-domain transition is automatic. Each must be stored as a bridge dossier with mapping, preserved structure, assumptions, loss, direction, and tests.</t>
  </si>
  <si>
    <t>2.6 Evidence is not interpretation</t>
  </si>
  <si>
    <t>Observations, measurements, quotations, datasets, and formal results are stored separately from what an author believes they mean. Competing interpretations may cite the same evidence unit.</t>
  </si>
  <si>
    <t>2.7 Good and privation are not forced into symmetry</t>
  </si>
  <si>
    <t>The schema can represent truth as prior to falsehood, life to death, good to corruption. Negative states may be privative/parasitic/corruptive/derivative rather than co-original positive substances. A representational capability, not a DB-imposed conclusion.</t>
  </si>
  <si>
    <t>2.8 Append, assess, supersede — do not silently overwrite</t>
  </si>
  <si>
    <t>Historical classifications and assessments remain visible. Corrections create new versions or superseding records so the development of the theory can be audited.</t>
  </si>
  <si>
    <t>THE SIX INTERLOCKING PLANES</t>
  </si>
  <si>
    <t>Stores</t>
  </si>
  <si>
    <t>Governing question</t>
  </si>
  <si>
    <t>Provenance</t>
  </si>
  <si>
    <t>artifacts, versions, spans, authors, dates, hashes</t>
  </si>
  <si>
    <t>Where exactly did this come from?</t>
  </si>
  <si>
    <t>Inquiry</t>
  </si>
  <si>
    <t>neutral questions, runs, responses, leakage checks</t>
  </si>
  <si>
    <t>What was asked, under what framing, and what appeared?</t>
  </si>
  <si>
    <t>Semantic</t>
  </si>
  <si>
    <t>statements and other epistemic objects</t>
  </si>
  <si>
    <t>What exactly is being said or represented?</t>
  </si>
  <si>
    <t>Inferential</t>
  </si>
  <si>
    <t>typed relationships and warrants</t>
  </si>
  <si>
    <t>How does one object depend on or affect another?</t>
  </si>
  <si>
    <t>Evaluation</t>
  </si>
  <si>
    <t>evidence, formalization, bridges, tests, objections</t>
  </si>
  <si>
    <t>What licenses, limits, tests, or defeats it?</t>
  </si>
  <si>
    <t>Governance</t>
  </si>
  <si>
    <t>versions, statuses, conflicts, decisions, audit trail</t>
  </si>
  <si>
    <t>Who changed what, why, and with what authority?</t>
  </si>
  <si>
    <t>Logical planes, not necessarily separate databases. PostgreSQL = authoritative store; a graph projection supports traversal; vector indexes assist retrieval but must never become the source of truth.</t>
  </si>
  <si>
    <t>THREE INQUIRY LEVELS — Methodus Veritatis Supra Infraque</t>
  </si>
  <si>
    <t>Supra-systemic</t>
  </si>
  <si>
    <t>Asks what must be true for the system, distinction, inquiry, or meaning to be possible.</t>
  </si>
  <si>
    <t>Intra-systemic</t>
  </si>
  <si>
    <t>Asks what the proposed system claims and how its parts relate.</t>
  </si>
  <si>
    <t>Infra-systemic</t>
  </si>
  <si>
    <t>Asks what observable, formal, experiential, or behavioral consequences occur within implementations.</t>
  </si>
  <si>
    <t>EPISTEMIC OBJECT — REQUIRED CORE FIELDS</t>
  </si>
  <si>
    <t>Field</t>
  </si>
  <si>
    <t>object_id</t>
  </si>
  <si>
    <t>Immutable machine identity, preferably UUID/ULID</t>
  </si>
  <si>
    <t>human_code</t>
  </si>
  <si>
    <t>Stable readable code such as A0, Q-014, CLM-208, BR-031</t>
  </si>
  <si>
    <t>object_type</t>
  </si>
  <si>
    <t>Primary logical object type</t>
  </si>
  <si>
    <t>canonical_text</t>
  </si>
  <si>
    <t>Smallest complete statement or definition</t>
  </si>
  <si>
    <t>Universe, framework, model, population, time, or conditions covered</t>
  </si>
  <si>
    <t>modality</t>
  </si>
  <si>
    <t>Necessary, possible, actual, probable, conditional, normative, interrogative</t>
  </si>
  <si>
    <t>Affirmed, denied, suspended, alternative</t>
  </si>
  <si>
    <t>owner_framework</t>
  </si>
  <si>
    <t>Framework in which the object is defined</t>
  </si>
  <si>
    <t>status</t>
  </si>
  <si>
    <t>Draft, proposed, active, contested, supported, defeated, superseded, retired</t>
  </si>
  <si>
    <t>created_by / created_at</t>
  </si>
  <si>
    <t>Authorship and time</t>
  </si>
  <si>
    <t>Semantic version of this object</t>
  </si>
  <si>
    <t>OBJECT TYPES — CONTROLLED VOCABULARY</t>
  </si>
  <si>
    <t>Family</t>
  </si>
  <si>
    <t>Types</t>
  </si>
  <si>
    <t>Foundations</t>
  </si>
  <si>
    <t>AXIOM, CONSTITUTIVE_DISCLOSURE, PRIMITIVE, DEFINITION, DISTINCTION</t>
  </si>
  <si>
    <t>QUESTION, QUESTION_FAMILY, RESPONSE, OBSERVATION</t>
  </si>
  <si>
    <t>Reasoning</t>
  </si>
  <si>
    <t>CLAIM, PREMISE, LEMMA, THEOREM, COROLLARY, DERIVATION, INFERENCE_RULE</t>
  </si>
  <si>
    <t>Representation</t>
  </si>
  <si>
    <t>MODEL, FORMAL_EXPRESSION, ANALOGY, METAPHOR, INTERPRETATION</t>
  </si>
  <si>
    <t>Connection</t>
  </si>
  <si>
    <t>BRIDGE, TRANSLATION, CORRESPONDENCE, IDENTITY_CLAIM</t>
  </si>
  <si>
    <t>EVIDENCE_UNIT, PREDICTION, PROTOCOL, TEST, RESULT, FALSIFIER, DEFEATER</t>
  </si>
  <si>
    <t>Critique</t>
  </si>
  <si>
    <t>OBJECTION, COUNTEREXAMPLE, COUNTERMODEL, ALTERNATIVE_EXPLANATION, LIMITATION</t>
  </si>
  <si>
    <t>Synthesis</t>
  </si>
  <si>
    <t>LAW, PRINCIPLE, SYNTHESIS, APPLICATION</t>
  </si>
  <si>
    <t>The primary type answers 'what does this record do?' Secondary logical-role tags are allowed, but one primary type is mandatory in each argument context.</t>
  </si>
  <si>
    <t>MULTIAXIAL CLASSIFICATION — INDEPENDENT AXES</t>
  </si>
  <si>
    <t>Classification is stored as assignments, not hard-coded columns. One object carries multiple domains and can be reassessed without mutation. Each assignment records classifier, date, confidence, rationale, source. Conflicting assignments may coexist until adjudicated.</t>
  </si>
  <si>
    <t>Axis</t>
  </si>
  <si>
    <t>Example terms</t>
  </si>
  <si>
    <t>Logical role</t>
  </si>
  <si>
    <t>definition, axiom, theorem, model, bridge, prediction, interpretation</t>
  </si>
  <si>
    <t>Ontological domain</t>
  </si>
  <si>
    <t>mathematical, physical, informational, theological, consciousness, moral, cosmological, relational, ontological, epistemic</t>
  </si>
  <si>
    <t>Relation to A0</t>
  </si>
  <si>
    <t>constitutive of, disclosed by, derived from, compatible with, independent of, opposed to, unassessed</t>
  </si>
  <si>
    <t>Ontological mode</t>
  </si>
  <si>
    <t>positive-prior, dependent-positive, relational, privative, corruptive, operational, representational, formal-only, empirical-candidate</t>
  </si>
  <si>
    <t>Warrant type</t>
  </si>
  <si>
    <t>axiomatic, deductive, abductive, inductive, testimonial, revelatory, phenomenological, empirical, pragmatic, analogical</t>
  </si>
  <si>
    <t>Formal status</t>
  </si>
  <si>
    <t>unformalized, notation-only, defined, derived, proven-relative-to-premises, simulated, dimensionally checked</t>
  </si>
  <si>
    <t>Empirical status</t>
  </si>
  <si>
    <t>non-empirical, operationalizable, predicted, protocol-ready, tested, replicated, disconfirmed, underdetermined</t>
  </si>
  <si>
    <t>Epistemic status</t>
  </si>
  <si>
    <t>stipulated, inferred, observed, interpreted, contested, provisionally accepted, rejected</t>
  </si>
  <si>
    <t>Bridge strength</t>
  </si>
  <si>
    <t>metaphorical, heuristic, structural analogy, homomorphism, isomorphism, causal proposal, identity claim</t>
  </si>
  <si>
    <t>PRIMARY + SECONDARY EXAMPLE (one object, many independent facts)</t>
  </si>
  <si>
    <t>primary logical role</t>
  </si>
  <si>
    <t>BRIDGE</t>
  </si>
  <si>
    <t>primary domain</t>
  </si>
  <si>
    <t>INFORMATIONAL</t>
  </si>
  <si>
    <t>secondary domains</t>
  </si>
  <si>
    <t>THEOLOGICAL, PHYSICAL</t>
  </si>
  <si>
    <t>warrant</t>
  </si>
  <si>
    <t>ABDUCTIVE</t>
  </si>
  <si>
    <t>empirical status</t>
  </si>
  <si>
    <t>OPERATIONALIZABLE</t>
  </si>
  <si>
    <t>bridge strength</t>
  </si>
  <si>
    <t>CAUSAL_PROPOSAL</t>
  </si>
  <si>
    <t>The system must never convert these independent facts into one opaque label.</t>
  </si>
  <si>
    <t>TYPED RELATIONS — THE INFERENCE GRAPH</t>
  </si>
  <si>
    <t>An edge is never 'just a link'; it states a relationship and requires its own provenance and warrant. The derivation subgraph must be acyclic — other relations may form cycles, but cycles cannot masquerade as proofs.</t>
  </si>
  <si>
    <t>Relation group</t>
  </si>
  <si>
    <t>Edge types</t>
  </si>
  <si>
    <t>Constitution</t>
  </si>
  <si>
    <t>CONSTITUTIVE_OF, DISCLOSES, DEFINES, HAS_PART, INSTANTIATES</t>
  </si>
  <si>
    <t>Inference</t>
  </si>
  <si>
    <t>DEPENDS_ON, DERIVED_FROM, ENTAILS, IMPLIES, COROLLARY_OF, USES_RULE</t>
  </si>
  <si>
    <t>Evidence</t>
  </si>
  <si>
    <t>SUPPORTS, WEAKENS, CONTRADICTS, UNDERDETERMINES, EXPLAINS, PREDICTS</t>
  </si>
  <si>
    <t>Testing</t>
  </si>
  <si>
    <t>TESTS, FALSIFIES_IF, CONFIRMS_IF, IMPLEMENTS_PROTOCOL, PRODUCES_RESULT</t>
  </si>
  <si>
    <t>Bridging</t>
  </si>
  <si>
    <t>MAPS_FROM, MAPS_TO, PRESERVES, LOSES, TRANSLATES, CORRESPONDS_TO</t>
  </si>
  <si>
    <t>OBJECTS_TO, COUNTEREXAMPLE_TO, COUNTERMODEL_TO, DEFEATS, LIMITS</t>
  </si>
  <si>
    <t>DUPLICATES, REFINES, SUPERSEDES, RETRACTS, CONFLICTS_WITH</t>
  </si>
  <si>
    <t>EVERY CONSEQUENTIAL EDGE RECORDS</t>
  </si>
  <si>
    <t>source and target object versions; direction; relation type; whether it claims necessity/sufficiency/probability/compatibility/analogy; stated warrant; supporting source spans; assumptions required; confidence and status; defeat conditions.</t>
  </si>
  <si>
    <t>A0 AND CONSTITUTIVE DISCLOSURE</t>
  </si>
  <si>
    <t>Object</t>
  </si>
  <si>
    <t>Type / Relation</t>
  </si>
  <si>
    <t>A0</t>
  </si>
  <si>
    <t>AXIOM — root declaration of the Triune God</t>
  </si>
  <si>
    <t>Trinity</t>
  </si>
  <si>
    <t>CONSTITUTIVE_DISCLOSURE — CONSTITUTIVE_OF A0</t>
  </si>
  <si>
    <t>Being / 'I AM'</t>
  </si>
  <si>
    <t>Truth</t>
  </si>
  <si>
    <t>Relational distinction without division</t>
  </si>
  <si>
    <t>Positive fruits / dispositional expressions</t>
  </si>
  <si>
    <t>CONSTITUTIVE_DISCLOSURE or DERIVED_EXPRESSION (as argued) — linked with explicit warrant</t>
  </si>
  <si>
    <t>A0 AUDIT — every proposed disclosure must answer</t>
  </si>
  <si>
    <t>Is this constitutive, definitional, entailed, inferred, analogical, or merely associated?</t>
  </si>
  <si>
    <t>Could A0 remain numerically the same axiom if this content were denied?</t>
  </si>
  <si>
    <t>Is the disclosure textually declared, logically required, traditionally received, or introduced by the present model?</t>
  </si>
  <si>
    <t>What later derivations depend on it?</t>
  </si>
  <si>
    <t>Does moving it into or out of A0 change the theory's conclusions?</t>
  </si>
  <si>
    <t>MINIMAL RELATIONAL IMPLEMENTATION</t>
  </si>
  <si>
    <t>Table</t>
  </si>
  <si>
    <t>Purpose</t>
  </si>
  <si>
    <t>Plane</t>
  </si>
  <si>
    <t>artifacts</t>
  </si>
  <si>
    <t>stable source identities</t>
  </si>
  <si>
    <t>artifact_versions</t>
  </si>
  <si>
    <t>immutable source versions and hashes</t>
  </si>
  <si>
    <t>source_spans</t>
  </si>
  <si>
    <t>precise source locators</t>
  </si>
  <si>
    <t>epistemic_objects</t>
  </si>
  <si>
    <t>universal typed object registry</t>
  </si>
  <si>
    <t>object_versions</t>
  </si>
  <si>
    <t>canonical text and scoped semantic versions</t>
  </si>
  <si>
    <t>object_occurrences</t>
  </si>
  <si>
    <t>object-to-source-span links</t>
  </si>
  <si>
    <t>relation_types</t>
  </si>
  <si>
    <t>controlled edge vocabulary</t>
  </si>
  <si>
    <t>relations</t>
  </si>
  <si>
    <t>versioned, warranted edges</t>
  </si>
  <si>
    <t>classification_axes</t>
  </si>
  <si>
    <t>independent dimensions</t>
  </si>
  <si>
    <t>classification_terms</t>
  </si>
  <si>
    <t>controlled values within axes</t>
  </si>
  <si>
    <t>classification_assignments</t>
  </si>
  <si>
    <t>multivalued, assessed classifications</t>
  </si>
  <si>
    <t>question_definitions</t>
  </si>
  <si>
    <t>neutral question specifications</t>
  </si>
  <si>
    <t>inquiry_runs</t>
  </si>
  <si>
    <t>exact contexts, respondents, settings, receipts</t>
  </si>
  <si>
    <t>question_responses</t>
  </si>
  <si>
    <t>verbatim answers and extracted candidates</t>
  </si>
  <si>
    <t>evidence_units</t>
  </si>
  <si>
    <t>atomic observations and evidentiary records</t>
  </si>
  <si>
    <t>evidence_links</t>
  </si>
  <si>
    <t>claim-direction-strength relationships</t>
  </si>
  <si>
    <t>formal_expressions</t>
  </si>
  <si>
    <t>math, types, units, premises, semantics</t>
  </si>
  <si>
    <t>proof_artifacts</t>
  </si>
  <si>
    <t>derivations, checks, countermodels</t>
  </si>
  <si>
    <t>bridge_dossiers</t>
  </si>
  <si>
    <t>cross-domain mappings and limitations</t>
  </si>
  <si>
    <t>bridge_tests</t>
  </si>
  <si>
    <t>invariance, discrimination, failure checks</t>
  </si>
  <si>
    <t>protocols</t>
  </si>
  <si>
    <t>reproducible test definitions</t>
  </si>
  <si>
    <t>test_runs</t>
  </si>
  <si>
    <t>execution circumstances and receipts</t>
  </si>
  <si>
    <t>test_results</t>
  </si>
  <si>
    <t>raw and processed outcomes</t>
  </si>
  <si>
    <t>assessments</t>
  </si>
  <si>
    <t>append-only judgments</t>
  </si>
  <si>
    <t>conflict_sets</t>
  </si>
  <si>
    <t>explicit incompatible alternatives</t>
  </si>
  <si>
    <t>change_events</t>
  </si>
  <si>
    <t>audit trail and supersession decisions</t>
  </si>
  <si>
    <t>Use JSONB only for genuinely extensible secondary metadata. Identities, types, relations, statuses, provenance, and critical evaluation fields must remain queryable and constrained.</t>
  </si>
  <si>
    <t>VALIDATION RULES — reject or flag</t>
  </si>
  <si>
    <t>a claim with no canonical text or scope</t>
  </si>
  <si>
    <t>an evidence citation with no retrievable source locator</t>
  </si>
  <si>
    <t>a derivation cycle</t>
  </si>
  <si>
    <t>a cross-domain edge lacking a bridge dossier</t>
  </si>
  <si>
    <t>a theorem lacking explicit premises</t>
  </si>
  <si>
    <t>an empirical conclusion supported only by notation</t>
  </si>
  <si>
    <t>a 'proven' status without a declared proof system or protocol</t>
  </si>
  <si>
    <t>a question whose wording contains its expected answer</t>
  </si>
  <si>
    <t>a result record that contains interpretation but no raw observation link</t>
  </si>
  <si>
    <t>a constitutive disclosure treated as an independent axiom without adjudication</t>
  </si>
  <si>
    <t>a new A0 disclosure with no semantic-addition audit</t>
  </si>
  <si>
    <t>a classification that combines logical role and domain into one untraceable label</t>
  </si>
  <si>
    <t>a negative ontological state assumed co-original merely because it has a positive noun</t>
  </si>
  <si>
    <t>an assessment that overwrites dissent or prior status</t>
  </si>
  <si>
    <t>a bridge based only on lexical similarity</t>
  </si>
  <si>
    <t>TEST CHAIN — each stage is a separate object</t>
  </si>
  <si>
    <t>CLAIM → PREDICTION → OPERATIONALIZATION → PROTOCOL → TEST RUN → RESULT → INTERPRETATION → ASSESSMENT</t>
  </si>
  <si>
    <t>DEFEAT CONDITIONS — every load-bearing object must declare relevant forms ('N/A' only with a reason)</t>
  </si>
  <si>
    <t>logical contradiction • countermodel • failed entailment • empirical falsifier • unsuccessful replication • superior alternative explanation • category error • bridge failure • source/provenance failure • scope violation • semantic equivocation</t>
  </si>
  <si>
    <t>MIGRATION FROM EXISTING CORPUS</t>
  </si>
  <si>
    <t>Phase 1 — Freeze &amp; register sources</t>
  </si>
  <si>
    <t>Hash every artifact version. Preserve filenames and existing codes as aliases. Do not reorganize content during registration.</t>
  </si>
  <si>
    <t>Phase 2 — Extract without adjudicating</t>
  </si>
  <si>
    <t>Segment into candidate questions, declarations, definitions, claims, equations, bridges, evidence units, predictions, objections, limitations. Retain verbatim spans.</t>
  </si>
  <si>
    <t>Phase 3 — Normalize objects</t>
  </si>
  <si>
    <t>Merge true duplicates preserving occurrences. Split compound claims. Assign stable readable codes independent of file order.</t>
  </si>
  <si>
    <t>Phase 4 — Reconstruct A0</t>
  </si>
  <si>
    <t>Register A0 once. Classify candidate content as constitutive disclosure, definition, entailment, inference, or later association. Record disagreements rather than resolving by import order.</t>
  </si>
  <si>
    <t>Phase 5 — Build dependency graph</t>
  </si>
  <si>
    <t>Add explicit edges, then identify unsupported transitions, circular derivations, hidden premises, load-bearing bridges.</t>
  </si>
  <si>
    <t>Phase 6 — Attach evaluation</t>
  </si>
  <si>
    <t>Connect evidence, formal expressions, tests, countermodels, limitations, defeat conditions.</t>
  </si>
  <si>
    <t>Phase 7 — Run neutral inquiry</t>
  </si>
  <si>
    <t>Only after slots and validation rules are frozen: finalize and execute the unbiased question canon. Prevents the desired answer from redesigning the questions after the fact.</t>
  </si>
  <si>
    <t>FIVE DECISIONS REQUIRED BEFORE V1 IS FROZEN (governance, not software defaults)</t>
  </si>
  <si>
    <t>1. A0 disclosure boundary</t>
  </si>
  <si>
    <t>Which properties are strictly constitutive, and which are derived expressions?</t>
  </si>
  <si>
    <t>2. Canonical codes</t>
  </si>
  <si>
    <t>Whether readable identifiers follow families such as AX, DSC, Q, CLM, BR, EVD, TST.</t>
  </si>
  <si>
    <t>3. Bridge threshold</t>
  </si>
  <si>
    <t>Which cross-domain relations require a full dossier vs a lighter translation record?</t>
  </si>
  <si>
    <t>4. Assessment vocabulary</t>
  </si>
  <si>
    <t>Whether 'supported', 'established', and 'proven' receive domain-specific definitions.</t>
  </si>
  <si>
    <t>5. Question freeze procedure</t>
  </si>
  <si>
    <t>How blind, adversarial, and repeated runs are versioned before results are reviewed.</t>
  </si>
  <si>
    <t>ACCEPTANCE CRITERIA — represent all of these without contradiction or loss</t>
  </si>
  <si>
    <t>one Triune A0 with many inseparable disclosures but no accidental axiom multiplication</t>
  </si>
  <si>
    <t>a question asked before a claim exists, and the later claim it reveals</t>
  </si>
  <si>
    <t>the same statement serving different logical roles in different arguments</t>
  </si>
  <si>
    <t>dual or multiple ontological domains</t>
  </si>
  <si>
    <t>a theological claim evaluated as theological without being dismissed for not being physics</t>
  </si>
  <si>
    <t>a physical claim denied empirical status until operationalized and tested</t>
  </si>
  <si>
    <t>a mathematical result valid relative to premises without metaphysical overreach</t>
  </si>
  <si>
    <t>good as positive-prior and evil as a proposed privation, while retaining room for rival models</t>
  </si>
  <si>
    <t>several interpretations of one evidence unit</t>
  </si>
  <si>
    <t>a bridge that succeeds structurally but fails as an identity claim</t>
  </si>
  <si>
    <t>uncertainty, objection, defeat, correction, and supersession without erasing history</t>
  </si>
  <si>
    <t>exact reconstruction of why any conclusion was reached</t>
  </si>
  <si>
    <t>FRUIT RETRIEVAL LEXICON V2 — retrieval hierarchy with semantic controls</t>
  </si>
  <si>
    <t>Retrieval class</t>
  </si>
  <si>
    <t>Meaning / scanner handling</t>
  </si>
  <si>
    <t>CANONICAL</t>
  </si>
  <si>
    <t>Exact named fruit — high-confidence hit</t>
  </si>
  <si>
    <t>DIRECT</t>
  </si>
  <si>
    <t>Near-synonym or grammatical form — high-confidence hit</t>
  </si>
  <si>
    <t>FUNCTIONAL</t>
  </si>
  <si>
    <t>Describes the fruit in action — medium-confidence; inspect context</t>
  </si>
  <si>
    <t>RELATIONAL</t>
  </si>
  <si>
    <t>Often co-occurs but can mean something else — low-confidence; context required</t>
  </si>
  <si>
    <t>AMBIGUOUS</t>
  </si>
  <si>
    <t>May indicate several fruits or none — do not assign automatically</t>
  </si>
  <si>
    <t>ANTI</t>
  </si>
  <si>
    <t>Counter-orientation or corruption — separate negative signal</t>
  </si>
  <si>
    <t>GOVERNING</t>
  </si>
  <si>
    <t>Truth terms — track globally; do not score as a ninth fruit</t>
  </si>
  <si>
    <t>fruit_key</t>
  </si>
  <si>
    <t>fruit_display</t>
  </si>
  <si>
    <t>greek_term</t>
  </si>
  <si>
    <t>normalized_term</t>
  </si>
  <si>
    <t>retrieval_class</t>
  </si>
  <si>
    <t>confidence</t>
  </si>
  <si>
    <t>core_semantic_center</t>
  </si>
  <si>
    <t>boundary_note</t>
  </si>
  <si>
    <t>agapē</t>
  </si>
  <si>
    <t>Willing, seeking, protecting, and participating in another's true good without reducing them to use, exchange, tribe, sentiment, or possession.</t>
  </si>
  <si>
    <t>Love is not identical to approval, permissiveness, emotional intensity, sexual desire, tribal loyalty, or nonjudgment. It must remain ordered to true good.</t>
  </si>
  <si>
    <t>affection</t>
  </si>
  <si>
    <t>benevolence</t>
  </si>
  <si>
    <t>devotion</t>
  </si>
  <si>
    <t>goodwill</t>
  </si>
  <si>
    <t>loving-kindness</t>
  </si>
  <si>
    <t>fondness</t>
  </si>
  <si>
    <t>warmth</t>
  </si>
  <si>
    <t>seeks the good of</t>
  </si>
  <si>
    <t>acts for the good of</t>
  </si>
  <si>
    <t>lays down one's life</t>
  </si>
  <si>
    <t>bears another's burden</t>
  </si>
  <si>
    <t>nurtures</t>
  </si>
  <si>
    <t>serves</t>
  </si>
  <si>
    <t>advocates for</t>
  </si>
  <si>
    <t>welcomes</t>
  </si>
  <si>
    <t>receives</t>
  </si>
  <si>
    <t>forgives</t>
  </si>
  <si>
    <t>gives freely</t>
  </si>
  <si>
    <t>shows hospitality</t>
  </si>
  <si>
    <t>stands with</t>
  </si>
  <si>
    <t>remains present</t>
  </si>
  <si>
    <t>puts another first</t>
  </si>
  <si>
    <t>solidarity</t>
  </si>
  <si>
    <t>communion</t>
  </si>
  <si>
    <t>fellowship</t>
  </si>
  <si>
    <t>attachment</t>
  </si>
  <si>
    <t>connection</t>
  </si>
  <si>
    <t>mutuality</t>
  </si>
  <si>
    <t>brotherhood</t>
  </si>
  <si>
    <t>sisterhood</t>
  </si>
  <si>
    <t>acceptance</t>
  </si>
  <si>
    <t>inclusion</t>
  </si>
  <si>
    <t>affirmation</t>
  </si>
  <si>
    <t>empathy</t>
  </si>
  <si>
    <t>tolerance</t>
  </si>
  <si>
    <t>support</t>
  </si>
  <si>
    <t>romance</t>
  </si>
  <si>
    <t>indifference</t>
  </si>
  <si>
    <t>apathy</t>
  </si>
  <si>
    <t>neglect</t>
  </si>
  <si>
    <t>objectification</t>
  </si>
  <si>
    <t>selfishness</t>
  </si>
  <si>
    <t>self-seeking</t>
  </si>
  <si>
    <t>envy</t>
  </si>
  <si>
    <t>spite</t>
  </si>
  <si>
    <t>dehumanization</t>
  </si>
  <si>
    <t>Glad recognition, celebration, and affirmation of genuine good—especially good received, restored, shared, or hoped for.</t>
  </si>
  <si>
    <t>Joy is not denial, mania, entertainment, triumphalism, forced positivity, or pleasure detached from goodness.</t>
  </si>
  <si>
    <t>joyful</t>
  </si>
  <si>
    <t>rejoicing</t>
  </si>
  <si>
    <t>happiness</t>
  </si>
  <si>
    <t>cheer</t>
  </si>
  <si>
    <t>cheerfulness</t>
  </si>
  <si>
    <t>glad-heartedness</t>
  </si>
  <si>
    <t>exultation</t>
  </si>
  <si>
    <t>jubilation</t>
  </si>
  <si>
    <t>elation</t>
  </si>
  <si>
    <t>pleasure</t>
  </si>
  <si>
    <t>satisfaction</t>
  </si>
  <si>
    <t>contentment</t>
  </si>
  <si>
    <t>thankfulness</t>
  </si>
  <si>
    <t>takes delight in</t>
  </si>
  <si>
    <t>celebrates the good</t>
  </si>
  <si>
    <t>gives thanks</t>
  </si>
  <si>
    <t>praises</t>
  </si>
  <si>
    <t>marvels at</t>
  </si>
  <si>
    <t>delights in another's flourishing</t>
  </si>
  <si>
    <t>rejoices with</t>
  </si>
  <si>
    <t>finds hope</t>
  </si>
  <si>
    <t>receives as gift</t>
  </si>
  <si>
    <t>affirms recovery</t>
  </si>
  <si>
    <t>delights in restoration</t>
  </si>
  <si>
    <t>wonder</t>
  </si>
  <si>
    <t>awe</t>
  </si>
  <si>
    <t>festivity</t>
  </si>
  <si>
    <t>song</t>
  </si>
  <si>
    <t>laughter</t>
  </si>
  <si>
    <t>praise</t>
  </si>
  <si>
    <t>encouragement</t>
  </si>
  <si>
    <t>enjoyment</t>
  </si>
  <si>
    <t>prosperity</t>
  </si>
  <si>
    <t>success</t>
  </si>
  <si>
    <t>amusement</t>
  </si>
  <si>
    <t>hopelessness</t>
  </si>
  <si>
    <t>joylessness</t>
  </si>
  <si>
    <t>cynicism</t>
  </si>
  <si>
    <t>bitterness</t>
  </si>
  <si>
    <t>melancholy</t>
  </si>
  <si>
    <t>despairing</t>
  </si>
  <si>
    <t>sullen</t>
  </si>
  <si>
    <t>begrudging</t>
  </si>
  <si>
    <t>refusal to celebrate another's good</t>
  </si>
  <si>
    <t>eirēnē</t>
  </si>
  <si>
    <t>Wholeness, rightly ordered relation, reconciliation, rest, integration, and non-destructive harmony—not merely silence or absence of visible conflict.</t>
  </si>
  <si>
    <t>Peace is not appeasement, conflict avoidance, suppression, silence imposed by power, or a false consensus purchased by abandoning goodness or truth.</t>
  </si>
  <si>
    <t>peaceful</t>
  </si>
  <si>
    <t>concord</t>
  </si>
  <si>
    <t>tranquility</t>
  </si>
  <si>
    <t>serenity</t>
  </si>
  <si>
    <t>stillness</t>
  </si>
  <si>
    <t>quietude</t>
  </si>
  <si>
    <t>repose</t>
  </si>
  <si>
    <t>ease</t>
  </si>
  <si>
    <t>composure</t>
  </si>
  <si>
    <t>equilibrium</t>
  </si>
  <si>
    <t>balance</t>
  </si>
  <si>
    <t>wholeness</t>
  </si>
  <si>
    <t>makes peace</t>
  </si>
  <si>
    <t>restores relationship</t>
  </si>
  <si>
    <t>de-escalates</t>
  </si>
  <si>
    <t>mediates</t>
  </si>
  <si>
    <t>heals division</t>
  </si>
  <si>
    <t>brings together</t>
  </si>
  <si>
    <t>bridges a divide</t>
  </si>
  <si>
    <t>settles conflict rightly</t>
  </si>
  <si>
    <t>seeks unity</t>
  </si>
  <si>
    <t>refuses retaliation</t>
  </si>
  <si>
    <t>turns enemies toward reconciliation</t>
  </si>
  <si>
    <t>unity</t>
  </si>
  <si>
    <t>accord</t>
  </si>
  <si>
    <t>cooperation</t>
  </si>
  <si>
    <t>mutual understanding</t>
  </si>
  <si>
    <t>reconciliation</t>
  </si>
  <si>
    <t>truce</t>
  </si>
  <si>
    <t>safety</t>
  </si>
  <si>
    <t>silence</t>
  </si>
  <si>
    <t>compliance</t>
  </si>
  <si>
    <t>neutrality</t>
  </si>
  <si>
    <t>nonviolence</t>
  </si>
  <si>
    <t>discord</t>
  </si>
  <si>
    <t>strife</t>
  </si>
  <si>
    <t>division</t>
  </si>
  <si>
    <t>dissension</t>
  </si>
  <si>
    <t>faction</t>
  </si>
  <si>
    <t>schism</t>
  </si>
  <si>
    <t>fragmentation</t>
  </si>
  <si>
    <t>antagonism</t>
  </si>
  <si>
    <t>agitation</t>
  </si>
  <si>
    <t>restlessness</t>
  </si>
  <si>
    <t>retaliation</t>
  </si>
  <si>
    <t>makrothymia</t>
  </si>
  <si>
    <t>Enduring delay, cost, provocation, and incompleteness without premature retaliation, abandonment, coercion, or loss of the good.</t>
  </si>
  <si>
    <t>Patience is not passivity, procrastination, tolerating evil indefinitely, fatalism, enabling, or refusal to act when action is required.</t>
  </si>
  <si>
    <t>patient</t>
  </si>
  <si>
    <t>forbearance</t>
  </si>
  <si>
    <t>perseverance</t>
  </si>
  <si>
    <t>constancy</t>
  </si>
  <si>
    <t>equanimity</t>
  </si>
  <si>
    <t>slowness to anger</t>
  </si>
  <si>
    <t>staying power</t>
  </si>
  <si>
    <t>waits</t>
  </si>
  <si>
    <t>bears with</t>
  </si>
  <si>
    <t>puts up with without contempt</t>
  </si>
  <si>
    <t>remains under pressure</t>
  </si>
  <si>
    <t>endures hardship</t>
  </si>
  <si>
    <t>persists</t>
  </si>
  <si>
    <t>keeps going</t>
  </si>
  <si>
    <t>gives time</t>
  </si>
  <si>
    <t>delays reaction</t>
  </si>
  <si>
    <t>withholds retaliation</t>
  </si>
  <si>
    <t>absorbs provocation</t>
  </si>
  <si>
    <t>suffers long</t>
  </si>
  <si>
    <t>stays present through difficulty</t>
  </si>
  <si>
    <t>process-respect</t>
  </si>
  <si>
    <t>trust in timing</t>
  </si>
  <si>
    <t>gradual restoration</t>
  </si>
  <si>
    <t>waiting faithfully</t>
  </si>
  <si>
    <t>endurance under cost</t>
  </si>
  <si>
    <t>passivity</t>
  </si>
  <si>
    <t>delay</t>
  </si>
  <si>
    <t>waiting</t>
  </si>
  <si>
    <t>persistence</t>
  </si>
  <si>
    <t>irritability</t>
  </si>
  <si>
    <t>rashness</t>
  </si>
  <si>
    <t>impulsiveness</t>
  </si>
  <si>
    <t>reactivity</t>
  </si>
  <si>
    <t>short-temperedness</t>
  </si>
  <si>
    <t>quick temper</t>
  </si>
  <si>
    <t>demand for immediacy</t>
  </si>
  <si>
    <t>forced timing</t>
  </si>
  <si>
    <t>precipitate action</t>
  </si>
  <si>
    <t>outburst</t>
  </si>
  <si>
    <t>chrēstotēs</t>
  </si>
  <si>
    <t>Benevolent, considerate, practically helpful engagement that attends to another's need without humiliation, coldness, or exploitation.</t>
  </si>
  <si>
    <t>Kindness is not mere niceness, avoidance of difficult truth, enabling, paternalism, sentimentality, or self-erasure.</t>
  </si>
  <si>
    <t>graciousness</t>
  </si>
  <si>
    <t>courtesy</t>
  </si>
  <si>
    <t>consideration</t>
  </si>
  <si>
    <t>thoughtfulness</t>
  </si>
  <si>
    <t>generosity</t>
  </si>
  <si>
    <t>clemency</t>
  </si>
  <si>
    <t>leniency</t>
  </si>
  <si>
    <t>gracious care</t>
  </si>
  <si>
    <t>helps</t>
  </si>
  <si>
    <t>gives aid</t>
  </si>
  <si>
    <t>comes alongside</t>
  </si>
  <si>
    <t>meets a need</t>
  </si>
  <si>
    <t>comforts</t>
  </si>
  <si>
    <t>encourages</t>
  </si>
  <si>
    <t>assists</t>
  </si>
  <si>
    <t>relieves suffering</t>
  </si>
  <si>
    <t>offers practical care</t>
  </si>
  <si>
    <t>treats gently</t>
  </si>
  <si>
    <t>speaks graciously</t>
  </si>
  <si>
    <t>gives without demanding return</t>
  </si>
  <si>
    <t>responds with mercy</t>
  </si>
  <si>
    <t>hospitality</t>
  </si>
  <si>
    <t>neighborliness</t>
  </si>
  <si>
    <t>attentiveness</t>
  </si>
  <si>
    <t>care-taking</t>
  </si>
  <si>
    <t>accompaniment</t>
  </si>
  <si>
    <t>niceness</t>
  </si>
  <si>
    <t>politeness</t>
  </si>
  <si>
    <t>accommodation</t>
  </si>
  <si>
    <t>sympathy</t>
  </si>
  <si>
    <t>validation</t>
  </si>
  <si>
    <t>softness</t>
  </si>
  <si>
    <t>meanness</t>
  </si>
  <si>
    <t>coldness</t>
  </si>
  <si>
    <t>callousness</t>
  </si>
  <si>
    <t>vindictiveness</t>
  </si>
  <si>
    <t>disregard</t>
  </si>
  <si>
    <t>brutality</t>
  </si>
  <si>
    <t>stinginess</t>
  </si>
  <si>
    <t>mockery</t>
  </si>
  <si>
    <t>humiliation</t>
  </si>
  <si>
    <t>mercilessness</t>
  </si>
  <si>
    <t>hard-heartedness</t>
  </si>
  <si>
    <t>agathōsynē</t>
  </si>
  <si>
    <t>Active moral rightness ordered toward the real good: integrity, justice, truthfulness, holiness, and courageous refusal of corruption.</t>
  </si>
  <si>
    <t>Goodness is not legalism, self-righteousness, moral superiority, punitive zeal, purity performance, or 'being right' without love, gentleness, and truth.</t>
  </si>
  <si>
    <t>rectitude</t>
  </si>
  <si>
    <t>probity</t>
  </si>
  <si>
    <t>decency</t>
  </si>
  <si>
    <t>honor</t>
  </si>
  <si>
    <t>moral excellence</t>
  </si>
  <si>
    <t>purity</t>
  </si>
  <si>
    <t>honesty</t>
  </si>
  <si>
    <t>fairness</t>
  </si>
  <si>
    <t>truthfulness</t>
  </si>
  <si>
    <t>moral courage</t>
  </si>
  <si>
    <t>does what is right</t>
  </si>
  <si>
    <t>acts justly</t>
  </si>
  <si>
    <t>tells the truth</t>
  </si>
  <si>
    <t>keeps integrity</t>
  </si>
  <si>
    <t>resists evil</t>
  </si>
  <si>
    <t>protects the vulnerable</t>
  </si>
  <si>
    <t>refuses corruption</t>
  </si>
  <si>
    <t>corrects wrongdoing</t>
  </si>
  <si>
    <t>acts with moral courage</t>
  </si>
  <si>
    <t>honors commitments</t>
  </si>
  <si>
    <t>chooses the right end</t>
  </si>
  <si>
    <t>seeks justice</t>
  </si>
  <si>
    <t>accountability</t>
  </si>
  <si>
    <t>responsibility</t>
  </si>
  <si>
    <t>principled action</t>
  </si>
  <si>
    <t>ethical conduct</t>
  </si>
  <si>
    <t>right ordering</t>
  </si>
  <si>
    <t>faithful stewardship</t>
  </si>
  <si>
    <t>values</t>
  </si>
  <si>
    <t>morality</t>
  </si>
  <si>
    <t>ethics</t>
  </si>
  <si>
    <t>lawfulness</t>
  </si>
  <si>
    <t>standards</t>
  </si>
  <si>
    <t>wickedness</t>
  </si>
  <si>
    <t>depravity</t>
  </si>
  <si>
    <t>dishonesty</t>
  </si>
  <si>
    <t>injustice</t>
  </si>
  <si>
    <t>immorality</t>
  </si>
  <si>
    <t>wrongdoing</t>
  </si>
  <si>
    <t>vice</t>
  </si>
  <si>
    <t>deceit</t>
  </si>
  <si>
    <t>fraud</t>
  </si>
  <si>
    <t>impurity</t>
  </si>
  <si>
    <t>perversion</t>
  </si>
  <si>
    <t>moral compromise</t>
  </si>
  <si>
    <t>evil</t>
  </si>
  <si>
    <t>rot</t>
  </si>
  <si>
    <t>Trustworthy, enduring, covenantal reliability—remaining committed to truth and the good through cost, time, and difficulty.</t>
  </si>
  <si>
    <t>Faithfulness is not blind loyalty, institutional idolatry, stubbornness, refusal to reassess, complicity, or commitment to a false objective.</t>
  </si>
  <si>
    <t>fidelity</t>
  </si>
  <si>
    <t>dependability</t>
  </si>
  <si>
    <t>trustworthiness</t>
  </si>
  <si>
    <t>commitment</t>
  </si>
  <si>
    <t>allegiance</t>
  </si>
  <si>
    <t>fealty</t>
  </si>
  <si>
    <t>covenant-keeping</t>
  </si>
  <si>
    <t>consistency</t>
  </si>
  <si>
    <t>keeps promises</t>
  </si>
  <si>
    <t>follows through</t>
  </si>
  <si>
    <t>shows up</t>
  </si>
  <si>
    <t>remains committed</t>
  </si>
  <si>
    <t>stays true</t>
  </si>
  <si>
    <t>honors covenant</t>
  </si>
  <si>
    <t>can be counted on</t>
  </si>
  <si>
    <t>does not abandon</t>
  </si>
  <si>
    <t>persists through cost</t>
  </si>
  <si>
    <t>keeps faith</t>
  </si>
  <si>
    <t>maintains trust</t>
  </si>
  <si>
    <t>proves reliable</t>
  </si>
  <si>
    <t>assurance</t>
  </si>
  <si>
    <t>durable commitment</t>
  </si>
  <si>
    <t>covenant loyalty</t>
  </si>
  <si>
    <t>secure attachment</t>
  </si>
  <si>
    <t>tradition</t>
  </si>
  <si>
    <t>obedience</t>
  </si>
  <si>
    <t>treachery</t>
  </si>
  <si>
    <t>perfidy</t>
  </si>
  <si>
    <t>infidelity</t>
  </si>
  <si>
    <t>disloyalty</t>
  </si>
  <si>
    <t>abandonment</t>
  </si>
  <si>
    <t>fickleness</t>
  </si>
  <si>
    <t>unreliability</t>
  </si>
  <si>
    <t>faithlessness</t>
  </si>
  <si>
    <t>broken promise</t>
  </si>
  <si>
    <t>breach of trust</t>
  </si>
  <si>
    <t>desertion</t>
  </si>
  <si>
    <t>double-dealing</t>
  </si>
  <si>
    <t>inconstancy</t>
  </si>
  <si>
    <t>prautēs</t>
  </si>
  <si>
    <t>Strength governed by proportion, humility, and care; power that refuses domination and uses only the force needed for restoration.</t>
  </si>
  <si>
    <t>Gentleness is not weakness, cowardice, passivity, evasiveness, incapacity to confront, or surrender of goodness and truth.</t>
  </si>
  <si>
    <t>meekness</t>
  </si>
  <si>
    <t>mildness</t>
  </si>
  <si>
    <t>lowliness</t>
  </si>
  <si>
    <t>non-coercion</t>
  </si>
  <si>
    <t>approachability</t>
  </si>
  <si>
    <t>tact</t>
  </si>
  <si>
    <t>diplomacy</t>
  </si>
  <si>
    <t>carefulness</t>
  </si>
  <si>
    <t>mild-temperedness</t>
  </si>
  <si>
    <t>handles carefully</t>
  </si>
  <si>
    <t>corrects gently</t>
  </si>
  <si>
    <t>persuades rather than coerces</t>
  </si>
  <si>
    <t>uses measured force</t>
  </si>
  <si>
    <t>listens</t>
  </si>
  <si>
    <t>speaks softly</t>
  </si>
  <si>
    <t>makes room</t>
  </si>
  <si>
    <t>treats vulnerability with care</t>
  </si>
  <si>
    <t>refuses domination</t>
  </si>
  <si>
    <t>restrains power</t>
  </si>
  <si>
    <t>responds proportionately</t>
  </si>
  <si>
    <t>careful handling</t>
  </si>
  <si>
    <t>gentle correction</t>
  </si>
  <si>
    <t>humble leadership</t>
  </si>
  <si>
    <t>power under control</t>
  </si>
  <si>
    <t>strength restrained</t>
  </si>
  <si>
    <t>non-threatening presence</t>
  </si>
  <si>
    <t>quietness</t>
  </si>
  <si>
    <t>submission</t>
  </si>
  <si>
    <t>severity</t>
  </si>
  <si>
    <t>abrasiveness</t>
  </si>
  <si>
    <t>roughness</t>
  </si>
  <si>
    <t>intimidation</t>
  </si>
  <si>
    <t>aggression</t>
  </si>
  <si>
    <t>forcefulness</t>
  </si>
  <si>
    <t>overbearingness</t>
  </si>
  <si>
    <t>contemptuous correction</t>
  </si>
  <si>
    <t>selfcontrol</t>
  </si>
  <si>
    <t>Self-control</t>
  </si>
  <si>
    <t>enkrateia</t>
  </si>
  <si>
    <t>Rightly ordered agency in which desire, emotion, appetite, and power are governed by the true good rather than immediate compulsion.</t>
  </si>
  <si>
    <t>Self-control is not repression, emotional numbness, rigid asceticism, domination of others, perfectionism, or self-harm.</t>
  </si>
  <si>
    <t>self control</t>
  </si>
  <si>
    <t>moderation</t>
  </si>
  <si>
    <t>mastery</t>
  </si>
  <si>
    <t>continence</t>
  </si>
  <si>
    <t>sobriety</t>
  </si>
  <si>
    <t>regulation</t>
  </si>
  <si>
    <t>impulse control</t>
  </si>
  <si>
    <t>willpower</t>
  </si>
  <si>
    <t>self-mastery</t>
  </si>
  <si>
    <t>boundary-keeping</t>
  </si>
  <si>
    <t>restrains oneself</t>
  </si>
  <si>
    <t>says no</t>
  </si>
  <si>
    <t>delays gratification</t>
  </si>
  <si>
    <t>regulates emotion</t>
  </si>
  <si>
    <t>controls anger</t>
  </si>
  <si>
    <t>sets boundaries</t>
  </si>
  <si>
    <t>governs appetite</t>
  </si>
  <si>
    <t>resists temptation</t>
  </si>
  <si>
    <t>moderates desire</t>
  </si>
  <si>
    <t>refuses compulsion</t>
  </si>
  <si>
    <t>pauses before acting</t>
  </si>
  <si>
    <t>chooses the long-term good</t>
  </si>
  <si>
    <t>measured response</t>
  </si>
  <si>
    <t>emotional regulation</t>
  </si>
  <si>
    <t>disciplined conduct</t>
  </si>
  <si>
    <t>habit formation</t>
  </si>
  <si>
    <t>governed desire</t>
  </si>
  <si>
    <t>ordered passion</t>
  </si>
  <si>
    <t>boundaries</t>
  </si>
  <si>
    <t>detachment</t>
  </si>
  <si>
    <t>impulsivity</t>
  </si>
  <si>
    <t>addiction</t>
  </si>
  <si>
    <t>excess</t>
  </si>
  <si>
    <t>intemperance</t>
  </si>
  <si>
    <t>recklessness</t>
  </si>
  <si>
    <t>lack of restraint</t>
  </si>
  <si>
    <t>drunkenness</t>
  </si>
  <si>
    <t>debauchery</t>
  </si>
  <si>
    <t>enslavement</t>
  </si>
  <si>
    <t>uncontrolled desire</t>
  </si>
  <si>
    <t>gluttony</t>
  </si>
  <si>
    <t>lust</t>
  </si>
  <si>
    <t>ungoverned appetite</t>
  </si>
  <si>
    <t>Truth (governing)</t>
  </si>
  <si>
    <t>alētheia</t>
  </si>
  <si>
    <t>Governing condition: names and applies what is real. Truth governs the recognition and application of the nine fruits; it is not itself a ninth fruit.</t>
  </si>
  <si>
    <t>Truth is necessary but not sufficient. A statement can be factually accurate and still be delivered cruelly, manipulatively, prematurely, or dominantly. An act styled as 'loving' that conceals or distorts reality fails the governing condition.</t>
  </si>
  <si>
    <t>candor</t>
  </si>
  <si>
    <t>sincerity</t>
  </si>
  <si>
    <t>accuracy</t>
  </si>
  <si>
    <t>veracity</t>
  </si>
  <si>
    <t>transparency</t>
  </si>
  <si>
    <t>fidelity to reality</t>
  </si>
  <si>
    <t>factuality</t>
  </si>
  <si>
    <t>correctness</t>
  </si>
  <si>
    <t>names what is real</t>
  </si>
  <si>
    <t>discloses</t>
  </si>
  <si>
    <t>reveals</t>
  </si>
  <si>
    <t>exposes deception</t>
  </si>
  <si>
    <t>distinguishes appearance from reality</t>
  </si>
  <si>
    <t>bears witness</t>
  </si>
  <si>
    <t>speaks plainly</t>
  </si>
  <si>
    <t>corrects falsehood</t>
  </si>
  <si>
    <t>accurately diagnoses</t>
  </si>
  <si>
    <t>EPISTEMIC</t>
  </si>
  <si>
    <t>justification</t>
  </si>
  <si>
    <t>validity</t>
  </si>
  <si>
    <t>soundness</t>
  </si>
  <si>
    <t>testimony</t>
  </si>
  <si>
    <t>verification</t>
  </si>
  <si>
    <t>falsehood</t>
  </si>
  <si>
    <t>lie</t>
  </si>
  <si>
    <t>distortion</t>
  </si>
  <si>
    <t>concealment</t>
  </si>
  <si>
    <t>manipulation</t>
  </si>
  <si>
    <t>equivocation</t>
  </si>
  <si>
    <t>propaganda</t>
  </si>
  <si>
    <t>pretense</t>
  </si>
  <si>
    <t>misrepresentation</t>
  </si>
  <si>
    <t>self-deception</t>
  </si>
  <si>
    <t>denial</t>
  </si>
  <si>
    <t>ANTI-FRUIT TAXONOMY BY TYPE</t>
  </si>
  <si>
    <t>Not every fruit-like word is a fruit: a term may be a deficiency, an excess/counterfeit, or a direct contrary. A = {privation, distortion, excess, deficiency, counterfeit}.</t>
  </si>
  <si>
    <t>Deficiency</t>
  </si>
  <si>
    <t>Excess / counterfeit</t>
  </si>
  <si>
    <t>Direct contrary</t>
  </si>
  <si>
    <t>Indifference</t>
  </si>
  <si>
    <t>Possessiveness, enabling</t>
  </si>
  <si>
    <t>Hatred, exploitation</t>
  </si>
  <si>
    <t>Denial, mania, triumphalism</t>
  </si>
  <si>
    <t>Resentment, envy</t>
  </si>
  <si>
    <t>Fragmentation</t>
  </si>
  <si>
    <t>Appeasement, false peace</t>
  </si>
  <si>
    <t>Hostility, violence</t>
  </si>
  <si>
    <t>Passivity, enabling delay</t>
  </si>
  <si>
    <t>Rage, forced timing</t>
  </si>
  <si>
    <t>Coldness</t>
  </si>
  <si>
    <t>People-pleasing</t>
  </si>
  <si>
    <t>Cruelty, contempt</t>
  </si>
  <si>
    <t>Moralism, legalism</t>
  </si>
  <si>
    <t>Wickedness, injustice</t>
  </si>
  <si>
    <t>Fickleness</t>
  </si>
  <si>
    <t>Blind loyalty</t>
  </si>
  <si>
    <t>Betrayal, abandonment</t>
  </si>
  <si>
    <t>Weakness, evasion</t>
  </si>
  <si>
    <t>Domination, brutality</t>
  </si>
  <si>
    <t>Compulsion</t>
  </si>
  <si>
    <t>Repression, rigidity</t>
  </si>
  <si>
    <t>Indulgence, recklessness</t>
  </si>
  <si>
    <t>Tier</t>
  </si>
  <si>
    <t>Subcategory</t>
  </si>
  <si>
    <t>Active</t>
  </si>
  <si>
    <t>Weight Note</t>
  </si>
  <si>
    <t>real talk</t>
  </si>
  <si>
    <t>Tier 1</t>
  </si>
  <si>
    <t>direct_truth</t>
  </si>
  <si>
    <t>Y</t>
  </si>
  <si>
    <t>2x weight (oath-level truth)</t>
  </si>
  <si>
    <t>no cap</t>
  </si>
  <si>
    <t>on God</t>
  </si>
  <si>
    <t>on my mama</t>
  </si>
  <si>
    <t>on everything</t>
  </si>
  <si>
    <t>on my life</t>
  </si>
  <si>
    <t>facts</t>
  </si>
  <si>
    <t>facts no printer</t>
  </si>
  <si>
    <t>for real</t>
  </si>
  <si>
    <t>for real for real</t>
  </si>
  <si>
    <t>fr fr</t>
  </si>
  <si>
    <t>deadass</t>
  </si>
  <si>
    <t>straight up</t>
  </si>
  <si>
    <t>word up</t>
  </si>
  <si>
    <t>word is bond</t>
  </si>
  <si>
    <t>swear to God</t>
  </si>
  <si>
    <t>I swear</t>
  </si>
  <si>
    <t>keep it 100</t>
  </si>
  <si>
    <t>keep it a buck</t>
  </si>
  <si>
    <t>keep it a stack</t>
  </si>
  <si>
    <t>keep it real</t>
  </si>
  <si>
    <t>keep it G</t>
  </si>
  <si>
    <t>periodt</t>
  </si>
  <si>
    <t>say that</t>
  </si>
  <si>
    <t>say it louder</t>
  </si>
  <si>
    <t>preach</t>
  </si>
  <si>
    <t>that's what I'm talkin' about</t>
  </si>
  <si>
    <t>that's what it is</t>
  </si>
  <si>
    <t>ain't no lie</t>
  </si>
  <si>
    <t>can't even lie</t>
  </si>
  <si>
    <t>not gon' lie</t>
  </si>
  <si>
    <t>I'm not gonna lie</t>
  </si>
  <si>
    <t>you feel me?</t>
  </si>
  <si>
    <t>you know what I'm sayin'?</t>
  </si>
  <si>
    <t>you heard me?</t>
  </si>
  <si>
    <t>you see what I'm sayin'?</t>
  </si>
  <si>
    <t>real recognize real</t>
  </si>
  <si>
    <t>real knows real</t>
  </si>
  <si>
    <t>the realest</t>
  </si>
  <si>
    <t>that's the realest thing</t>
  </si>
  <si>
    <t>true that</t>
  </si>
  <si>
    <t>that's true</t>
  </si>
  <si>
    <t>so true</t>
  </si>
  <si>
    <t>best believe</t>
  </si>
  <si>
    <t>better believe it</t>
  </si>
  <si>
    <t>I see you</t>
  </si>
  <si>
    <t>it is what it is</t>
  </si>
  <si>
    <t>that part</t>
  </si>
  <si>
    <t>solid</t>
  </si>
  <si>
    <t>Tier 2</t>
  </si>
  <si>
    <t>authenticity</t>
  </si>
  <si>
    <t>he solid</t>
  </si>
  <si>
    <t>she solid</t>
  </si>
  <si>
    <t>stand on business</t>
  </si>
  <si>
    <t>stand on it</t>
  </si>
  <si>
    <t>a real one</t>
  </si>
  <si>
    <t>real one right there</t>
  </si>
  <si>
    <t>down</t>
  </si>
  <si>
    <t>I'm down</t>
  </si>
  <si>
    <t>he down</t>
  </si>
  <si>
    <t>official</t>
  </si>
  <si>
    <t>he official</t>
  </si>
  <si>
    <t>certified</t>
  </si>
  <si>
    <t>she certified</t>
  </si>
  <si>
    <t>valid</t>
  </si>
  <si>
    <t>that's valid</t>
  </si>
  <si>
    <t>legit</t>
  </si>
  <si>
    <t>legitimate</t>
  </si>
  <si>
    <t>the real deal</t>
  </si>
  <si>
    <t>no frontin'</t>
  </si>
  <si>
    <t>no fakin'</t>
  </si>
  <si>
    <t>no cappin'</t>
  </si>
  <si>
    <t>genuine article</t>
  </si>
  <si>
    <t>ride or die</t>
  </si>
  <si>
    <t>day one</t>
  </si>
  <si>
    <t>been day one</t>
  </si>
  <si>
    <t>OG</t>
  </si>
  <si>
    <t>respect</t>
  </si>
  <si>
    <t>much respect</t>
  </si>
  <si>
    <t>I respect that</t>
  </si>
  <si>
    <t>let me tell you somethin'</t>
  </si>
  <si>
    <t>Tier 3</t>
  </si>
  <si>
    <t>grounding_evidence</t>
  </si>
  <si>
    <t>look here</t>
  </si>
  <si>
    <t>listen</t>
  </si>
  <si>
    <t>hear me out</t>
  </si>
  <si>
    <t>that's what happened</t>
  </si>
  <si>
    <t>that's how it went down</t>
  </si>
  <si>
    <t>I was there</t>
  </si>
  <si>
    <t>I seen it</t>
  </si>
  <si>
    <t>I witnessed it</t>
  </si>
  <si>
    <t>with my own eyes</t>
  </si>
  <si>
    <t>with these two eyes</t>
  </si>
  <si>
    <t>can confirm</t>
  </si>
  <si>
    <t>I can vouch for that</t>
  </si>
  <si>
    <t>firsthand</t>
  </si>
  <si>
    <t>I know firsthand</t>
  </si>
  <si>
    <t>been through it</t>
  </si>
  <si>
    <t>been there</t>
  </si>
  <si>
    <t>experience taught me</t>
  </si>
  <si>
    <t>lived experience</t>
  </si>
  <si>
    <t>the proof is</t>
  </si>
  <si>
    <t>the evidence is</t>
  </si>
  <si>
    <t>check the receipts</t>
  </si>
  <si>
    <t>show the work</t>
  </si>
  <si>
    <t>show and prove</t>
  </si>
  <si>
    <t>we good</t>
  </si>
  <si>
    <t>Tier 4</t>
  </si>
  <si>
    <t>we straight</t>
  </si>
  <si>
    <t>we cool</t>
  </si>
  <si>
    <t>my word is my bond</t>
  </si>
  <si>
    <t>honor code</t>
  </si>
  <si>
    <t>street code</t>
  </si>
  <si>
    <t>give props</t>
  </si>
  <si>
    <t>give credit</t>
  </si>
  <si>
    <t>give flowers</t>
  </si>
  <si>
    <t>salute</t>
  </si>
  <si>
    <t>I salute that</t>
  </si>
  <si>
    <t>blessing</t>
  </si>
  <si>
    <t>blessed</t>
  </si>
  <si>
    <t>stay blessed</t>
  </si>
  <si>
    <t>by grace</t>
  </si>
  <si>
    <t>God's grace</t>
  </si>
  <si>
    <t>keep the faith</t>
  </si>
  <si>
    <t>have faith</t>
  </si>
  <si>
    <t>keep hope alive</t>
  </si>
  <si>
    <t>never lose hope</t>
  </si>
  <si>
    <t>much love</t>
  </si>
  <si>
    <t>nothing but love</t>
  </si>
  <si>
    <t>spread love</t>
  </si>
  <si>
    <t>family</t>
  </si>
  <si>
    <t>that's family</t>
  </si>
  <si>
    <t>treat you like family</t>
  </si>
  <si>
    <t>for the community</t>
  </si>
  <si>
    <t>build community</t>
  </si>
  <si>
    <t>lift up</t>
  </si>
  <si>
    <t>uplift</t>
  </si>
  <si>
    <t>build each other up</t>
  </si>
  <si>
    <t>cap</t>
  </si>
  <si>
    <t>1.5x weight (culturally specific)</t>
  </si>
  <si>
    <t>cappin'</t>
  </si>
  <si>
    <t>you cappin'</t>
  </si>
  <si>
    <t>straight cappin'</t>
  </si>
  <si>
    <t>all cap</t>
  </si>
  <si>
    <t>lyin'</t>
  </si>
  <si>
    <t>he lyin'</t>
  </si>
  <si>
    <t>she lyin'</t>
  </si>
  <si>
    <t>straight lyin'</t>
  </si>
  <si>
    <t>fake</t>
  </si>
  <si>
    <t>fake as hell</t>
  </si>
  <si>
    <t>fake AF</t>
  </si>
  <si>
    <t>phony</t>
  </si>
  <si>
    <t>phony ass</t>
  </si>
  <si>
    <t>straight fraud</t>
  </si>
  <si>
    <t>fraudulent</t>
  </si>
  <si>
    <t>frontin'</t>
  </si>
  <si>
    <t>he frontin'</t>
  </si>
  <si>
    <t>she frontin'</t>
  </si>
  <si>
    <t>stuntin'</t>
  </si>
  <si>
    <t>fakin' the funk</t>
  </si>
  <si>
    <t>talkin' out the side of your neck</t>
  </si>
  <si>
    <t>talkin' shit</t>
  </si>
  <si>
    <t>talking out your ass</t>
  </si>
  <si>
    <t>runnin' game</t>
  </si>
  <si>
    <t>playing games</t>
  </si>
  <si>
    <t>game recognizes game</t>
  </si>
  <si>
    <t>scheming</t>
  </si>
  <si>
    <t>he scheming</t>
  </si>
  <si>
    <t>plotting</t>
  </si>
  <si>
    <t>two-faced</t>
  </si>
  <si>
    <t>snake</t>
  </si>
  <si>
    <t>snake in the grass</t>
  </si>
  <si>
    <t>serpent</t>
  </si>
  <si>
    <t>backstabber</t>
  </si>
  <si>
    <t>stabbed in the back</t>
  </si>
  <si>
    <t>sell out</t>
  </si>
  <si>
    <t>sold out</t>
  </si>
  <si>
    <t>sellout</t>
  </si>
  <si>
    <t>snitch</t>
  </si>
  <si>
    <t>snitchin'</t>
  </si>
  <si>
    <t>rat</t>
  </si>
  <si>
    <t>ratted out</t>
  </si>
  <si>
    <t>opp</t>
  </si>
  <si>
    <t>adversarial</t>
  </si>
  <si>
    <t>opps</t>
  </si>
  <si>
    <t>opposition</t>
  </si>
  <si>
    <t>hater</t>
  </si>
  <si>
    <t>hating</t>
  </si>
  <si>
    <t>straight hater</t>
  </si>
  <si>
    <t>shady</t>
  </si>
  <si>
    <t>shady AF</t>
  </si>
  <si>
    <t>shady business</t>
  </si>
  <si>
    <t>shade</t>
  </si>
  <si>
    <t>throwin' shade</t>
  </si>
  <si>
    <t>shady as hell</t>
  </si>
  <si>
    <t>gas you up</t>
  </si>
  <si>
    <t>gassed up</t>
  </si>
  <si>
    <t>playin' you</t>
  </si>
  <si>
    <t>gettin' played</t>
  </si>
  <si>
    <t>played out</t>
  </si>
  <si>
    <t>finesse</t>
  </si>
  <si>
    <t>finessin'</t>
  </si>
  <si>
    <t>scam</t>
  </si>
  <si>
    <t>scammin'</t>
  </si>
  <si>
    <t>scammer</t>
  </si>
  <si>
    <t>got scammed</t>
  </si>
  <si>
    <t>hustle</t>
  </si>
  <si>
    <t>con</t>
  </si>
  <si>
    <t>con artist</t>
  </si>
  <si>
    <t>con job</t>
  </si>
  <si>
    <t>slick</t>
  </si>
  <si>
    <t>too slick</t>
  </si>
  <si>
    <t>slick talkin'</t>
  </si>
  <si>
    <t>smooth talkin'</t>
  </si>
  <si>
    <t>smooth operator</t>
  </si>
  <si>
    <t>sweet talkin'</t>
  </si>
  <si>
    <t>sweet talk</t>
  </si>
  <si>
    <t>butter you up</t>
  </si>
  <si>
    <t>flip the script</t>
  </si>
  <si>
    <t>gaslight</t>
  </si>
  <si>
    <t>gaslightin'</t>
  </si>
  <si>
    <t>mind games</t>
  </si>
  <si>
    <t>head games</t>
  </si>
  <si>
    <t>playing mind games</t>
  </si>
  <si>
    <t>twisted</t>
  </si>
  <si>
    <t>moral_harm</t>
  </si>
  <si>
    <t>that's twisted</t>
  </si>
  <si>
    <t>crooked</t>
  </si>
  <si>
    <t>bent</t>
  </si>
  <si>
    <t>disrespect</t>
  </si>
  <si>
    <t>disrespectful</t>
  </si>
  <si>
    <t>straight disrespect</t>
  </si>
  <si>
    <t>violation</t>
  </si>
  <si>
    <t>that's a violation</t>
  </si>
  <si>
    <t>out of pocket</t>
  </si>
  <si>
    <t>outta pocket</t>
  </si>
  <si>
    <t>wildin'</t>
  </si>
  <si>
    <t>wildin' out</t>
  </si>
  <si>
    <t>buggin'</t>
  </si>
  <si>
    <t>buggin' out</t>
  </si>
  <si>
    <t>trippin'</t>
  </si>
  <si>
    <t>you trippin'</t>
  </si>
  <si>
    <t>messy</t>
  </si>
  <si>
    <t>messy AF</t>
  </si>
  <si>
    <t>messy behavior</t>
  </si>
  <si>
    <t>triflin'</t>
  </si>
  <si>
    <t>trifling</t>
  </si>
  <si>
    <t>ain't shit</t>
  </si>
  <si>
    <t>he ain't shit</t>
  </si>
  <si>
    <t>she ain't shit</t>
  </si>
  <si>
    <t>no good</t>
  </si>
  <si>
    <t>straight no good</t>
  </si>
  <si>
    <t>ratchet</t>
  </si>
  <si>
    <t>ratchet behavior</t>
  </si>
  <si>
    <t>rude</t>
  </si>
  <si>
    <t>rude AF</t>
  </si>
  <si>
    <t>so rude</t>
  </si>
  <si>
    <t>petty</t>
  </si>
  <si>
    <t>petty AF</t>
  </si>
  <si>
    <t>petty behavior</t>
  </si>
  <si>
    <t>scandalous</t>
  </si>
  <si>
    <t>straight scandalous</t>
  </si>
  <si>
    <t>dirty</t>
  </si>
  <si>
    <t>dirty AF</t>
  </si>
  <si>
    <t>dirty game</t>
  </si>
  <si>
    <t>playing dirty</t>
  </si>
  <si>
    <t>grimey</t>
  </si>
  <si>
    <t>grimy</t>
  </si>
  <si>
    <t>grimey behavior</t>
  </si>
  <si>
    <t>bitch-made</t>
  </si>
  <si>
    <t>punk</t>
  </si>
  <si>
    <t>punk ass</t>
  </si>
  <si>
    <t>punk move</t>
  </si>
  <si>
    <t>the system</t>
  </si>
  <si>
    <t>systemic</t>
  </si>
  <si>
    <t>the system is rigged</t>
  </si>
  <si>
    <t>they don't want us to win</t>
  </si>
  <si>
    <t>keep us down</t>
  </si>
  <si>
    <t>keepin' us down</t>
  </si>
  <si>
    <t>divide and conquer</t>
  </si>
  <si>
    <t>crabs in a barrel</t>
  </si>
  <si>
    <t>oppressor</t>
  </si>
  <si>
    <t>oppression</t>
  </si>
  <si>
    <t>oppressive</t>
  </si>
  <si>
    <t>exploiting</t>
  </si>
  <si>
    <t>exploited</t>
  </si>
  <si>
    <t>gentrification</t>
  </si>
  <si>
    <t>gentrified</t>
  </si>
  <si>
    <t>gettin' gentrified</t>
  </si>
  <si>
    <t>the man</t>
  </si>
  <si>
    <t>workin' for the man</t>
  </si>
  <si>
    <t>one time</t>
  </si>
  <si>
    <t>the boys</t>
  </si>
  <si>
    <t>the feds</t>
  </si>
  <si>
    <t>the police</t>
  </si>
  <si>
    <t>Uncle Tom</t>
  </si>
  <si>
    <t>coon</t>
  </si>
  <si>
    <t>house negro</t>
  </si>
  <si>
    <t>field negro</t>
  </si>
  <si>
    <t>token</t>
  </si>
  <si>
    <t>tokenism</t>
  </si>
  <si>
    <t>token Black person</t>
  </si>
  <si>
    <t>white-washed</t>
  </si>
  <si>
    <t>acting white</t>
  </si>
  <si>
    <t>not Black enough</t>
  </si>
  <si>
    <t>respectability politics</t>
  </si>
  <si>
    <t>the receipts</t>
  </si>
  <si>
    <t>Grounding</t>
  </si>
  <si>
    <t>1.5x weight (concrete evidence)</t>
  </si>
  <si>
    <t>show the receipts</t>
  </si>
  <si>
    <t>got proof</t>
  </si>
  <si>
    <t>show proof</t>
  </si>
  <si>
    <t>proof right here</t>
  </si>
  <si>
    <t>the facts</t>
  </si>
  <si>
    <t>check the facts</t>
  </si>
  <si>
    <t>hard evidence</t>
  </si>
  <si>
    <t>got evidence</t>
  </si>
  <si>
    <t>documented</t>
  </si>
  <si>
    <t>it's documented</t>
  </si>
  <si>
    <t>on record</t>
  </si>
  <si>
    <t>on camera</t>
  </si>
  <si>
    <t>caught on camera</t>
  </si>
  <si>
    <t>video proof</t>
  </si>
  <si>
    <t>screenshot</t>
  </si>
  <si>
    <t>got the screenshot</t>
  </si>
  <si>
    <t>I witnessed</t>
  </si>
  <si>
    <t>eyewitness</t>
  </si>
  <si>
    <t>I saw it</t>
  </si>
  <si>
    <t>I heard it</t>
  </si>
  <si>
    <t>confirmation</t>
  </si>
  <si>
    <t>verified</t>
  </si>
  <si>
    <t>verify that</t>
  </si>
  <si>
    <t>it's verified</t>
  </si>
  <si>
    <t>backed up</t>
  </si>
  <si>
    <t>that's backed up</t>
  </si>
  <si>
    <t>got backup</t>
  </si>
  <si>
    <t>corroborate</t>
  </si>
  <si>
    <t>corroborated</t>
  </si>
  <si>
    <t>can corroborate</t>
  </si>
  <si>
    <t>cross-check</t>
  </si>
  <si>
    <t>double-check</t>
  </si>
  <si>
    <t>triple-check</t>
  </si>
  <si>
    <t>look it up</t>
  </si>
  <si>
    <t>Google it</t>
  </si>
  <si>
    <t>search it</t>
  </si>
  <si>
    <t>do your research</t>
  </si>
  <si>
    <t>way back</t>
  </si>
  <si>
    <t>temporal</t>
  </si>
  <si>
    <t>way back when</t>
  </si>
  <si>
    <t>back in the day</t>
  </si>
  <si>
    <t>been</t>
  </si>
  <si>
    <t>been did that</t>
  </si>
  <si>
    <t>been knew that</t>
  </si>
  <si>
    <t>used to</t>
  </si>
  <si>
    <t>we used to</t>
  </si>
  <si>
    <t>I used to</t>
  </si>
  <si>
    <t>remember when</t>
  </si>
  <si>
    <t>you remember</t>
  </si>
  <si>
    <t>I remember</t>
  </si>
  <si>
    <t>that time</t>
  </si>
  <si>
    <t>that one time</t>
  </si>
  <si>
    <t>this one time</t>
  </si>
  <si>
    <t>right here</t>
  </si>
  <si>
    <t>spatial</t>
  </si>
  <si>
    <t>right there</t>
  </si>
  <si>
    <t>over here</t>
  </si>
  <si>
    <t>over there</t>
  </si>
  <si>
    <t>on the block</t>
  </si>
  <si>
    <t>on my block</t>
  </si>
  <si>
    <t>in my hood</t>
  </si>
  <si>
    <t>in the neighborhood</t>
  </si>
  <si>
    <t>grew up</t>
  </si>
  <si>
    <t>I grew up</t>
  </si>
  <si>
    <t>we grew up</t>
  </si>
  <si>
    <t>where I'm from</t>
  </si>
  <si>
    <t>from the jump</t>
  </si>
  <si>
    <t>from the start</t>
  </si>
  <si>
    <t>from the beginning</t>
  </si>
  <si>
    <t>since day one</t>
  </si>
  <si>
    <t>been since day one</t>
  </si>
  <si>
    <t>ask anybody</t>
  </si>
  <si>
    <t>authority</t>
  </si>
  <si>
    <t>ask around</t>
  </si>
  <si>
    <t>ask people</t>
  </si>
  <si>
    <t>everybody know</t>
  </si>
  <si>
    <t>everybody knows</t>
  </si>
  <si>
    <t>common knowledge</t>
  </si>
  <si>
    <t>word on the street</t>
  </si>
  <si>
    <t>streets is talkin'</t>
  </si>
  <si>
    <t>the word is</t>
  </si>
  <si>
    <t>they say</t>
  </si>
  <si>
    <t>people say</t>
  </si>
  <si>
    <t>folks say</t>
  </si>
  <si>
    <t>according to</t>
  </si>
  <si>
    <t>based on what</t>
  </si>
  <si>
    <t>from what I heard</t>
  </si>
  <si>
    <t>reliable source</t>
  </si>
  <si>
    <t>good source</t>
  </si>
  <si>
    <t>trusted source</t>
  </si>
  <si>
    <t>heard it from</t>
  </si>
  <si>
    <t>got it from</t>
  </si>
  <si>
    <t>came from</t>
  </si>
  <si>
    <t>straight from the source</t>
  </si>
  <si>
    <t>direct source</t>
  </si>
  <si>
    <t>OG told me</t>
  </si>
  <si>
    <t>elder said</t>
  </si>
  <si>
    <t>learned from</t>
  </si>
  <si>
    <t>mama said</t>
  </si>
  <si>
    <t>my mama told me</t>
  </si>
  <si>
    <t>grandmother taught me</t>
  </si>
  <si>
    <t>but wait</t>
  </si>
  <si>
    <t>Contradiction</t>
  </si>
  <si>
    <t>contradiction</t>
  </si>
  <si>
    <t>but wait though</t>
  </si>
  <si>
    <t>hold up</t>
  </si>
  <si>
    <t>hold on</t>
  </si>
  <si>
    <t>nah but</t>
  </si>
  <si>
    <t>yeah but</t>
  </si>
  <si>
    <t>okay but</t>
  </si>
  <si>
    <t>wait a minute</t>
  </si>
  <si>
    <t>wait wait wait</t>
  </si>
  <si>
    <t>wait one second</t>
  </si>
  <si>
    <t>that don't make sense</t>
  </si>
  <si>
    <t>that ain't addin' up</t>
  </si>
  <si>
    <t>the math ain't mathin'</t>
  </si>
  <si>
    <t>how though?</t>
  </si>
  <si>
    <t>how is that?</t>
  </si>
  <si>
    <t>explain that</t>
  </si>
  <si>
    <t>that's crazy</t>
  </si>
  <si>
    <t>disbelief</t>
  </si>
  <si>
    <t>that's wild</t>
  </si>
  <si>
    <t>that's insane</t>
  </si>
  <si>
    <t>you can't be serious</t>
  </si>
  <si>
    <t>are you serious?</t>
  </si>
  <si>
    <t>you serious right now?</t>
  </si>
  <si>
    <t>make it make sense</t>
  </si>
  <si>
    <t>which one is it?</t>
  </si>
  <si>
    <t>pick one</t>
  </si>
  <si>
    <t>can't be both</t>
  </si>
  <si>
    <t>you just said</t>
  </si>
  <si>
    <t>but you said</t>
  </si>
  <si>
    <t>didn't you say</t>
  </si>
  <si>
    <t>flip-floppin'</t>
  </si>
  <si>
    <t>you flip-flopped</t>
  </si>
  <si>
    <t>switch up</t>
  </si>
  <si>
    <t>you switched up</t>
  </si>
  <si>
    <t>moving the goalposts</t>
  </si>
  <si>
    <t>changed the rules</t>
  </si>
  <si>
    <t>contradicting yourself</t>
  </si>
  <si>
    <t>you contradicted</t>
  </si>
  <si>
    <t>hypocrite</t>
  </si>
  <si>
    <t>hypocrisy</t>
  </si>
  <si>
    <t>hypocritical</t>
  </si>
  <si>
    <t>straight hypocrite</t>
  </si>
  <si>
    <t>do as I say not as I do</t>
  </si>
  <si>
    <t>practice what you preach</t>
  </si>
  <si>
    <t>pot calling the kettle black</t>
  </si>
  <si>
    <t>talking out both sides of your mouth</t>
  </si>
  <si>
    <t>say one thing do another</t>
  </si>
  <si>
    <t>actions don't match words</t>
  </si>
  <si>
    <t>selective</t>
  </si>
  <si>
    <t>selective memory</t>
  </si>
  <si>
    <t>selective outrage</t>
  </si>
  <si>
    <t>convenient</t>
  </si>
  <si>
    <t>conveniently forgot</t>
  </si>
  <si>
    <t>how convenient</t>
  </si>
  <si>
    <t>rules for thee not for me</t>
  </si>
  <si>
    <t>I don't know about that</t>
  </si>
  <si>
    <t>skepticism</t>
  </si>
  <si>
    <t>I don't know about all that</t>
  </si>
  <si>
    <t>questionable</t>
  </si>
  <si>
    <t>that's questionable</t>
  </si>
  <si>
    <t>highly questionable</t>
  </si>
  <si>
    <t>sus</t>
  </si>
  <si>
    <t>suspicious</t>
  </si>
  <si>
    <t>that's sus</t>
  </si>
  <si>
    <t>sus AF</t>
  </si>
  <si>
    <t>I doubt it</t>
  </si>
  <si>
    <t>doubt that</t>
  </si>
  <si>
    <t>doubtful</t>
  </si>
  <si>
    <t>skeptical</t>
  </si>
  <si>
    <t>I'm skeptical</t>
  </si>
  <si>
    <t>skeptical of that</t>
  </si>
  <si>
    <t>iffy</t>
  </si>
  <si>
    <t>that's iffy</t>
  </si>
  <si>
    <t>iffy at best</t>
  </si>
  <si>
    <t>fishy</t>
  </si>
  <si>
    <t>that's fishy</t>
  </si>
  <si>
    <t>smells fishy</t>
  </si>
  <si>
    <t>something fishy</t>
  </si>
  <si>
    <t>don't add up</t>
  </si>
  <si>
    <t>the story don't add up</t>
  </si>
  <si>
    <t>none of this adds up</t>
  </si>
  <si>
    <t>something ain't right</t>
  </si>
  <si>
    <t>something off</t>
  </si>
  <si>
    <t>something wrong</t>
  </si>
  <si>
    <t>they want you to think</t>
  </si>
  <si>
    <t>Propaganda</t>
  </si>
  <si>
    <t>they trying to make you believe</t>
  </si>
  <si>
    <t>brainwash</t>
  </si>
  <si>
    <t>brainwashed</t>
  </si>
  <si>
    <t>brainwashing</t>
  </si>
  <si>
    <t>brain-dead</t>
  </si>
  <si>
    <t>control the narrative</t>
  </si>
  <si>
    <t>controlling the message</t>
  </si>
  <si>
    <t>straight propaganda</t>
  </si>
  <si>
    <t>feeding you propaganda</t>
  </si>
  <si>
    <t>lies</t>
  </si>
  <si>
    <t>all lies</t>
  </si>
  <si>
    <t>pack of lies</t>
  </si>
  <si>
    <t>web of lies</t>
  </si>
  <si>
    <t>mass deception</t>
  </si>
  <si>
    <t>deceiving the people</t>
  </si>
  <si>
    <t>distraction</t>
  </si>
  <si>
    <t>smoke and mirrors</t>
  </si>
  <si>
    <t>misdirection</t>
  </si>
  <si>
    <t>psyop</t>
  </si>
  <si>
    <t>psychological operation</t>
  </si>
  <si>
    <t>mind control</t>
  </si>
  <si>
    <t>programming</t>
  </si>
  <si>
    <t>programmed</t>
  </si>
  <si>
    <t>social programming</t>
  </si>
  <si>
    <t>indoctrination</t>
  </si>
  <si>
    <t>indoctrinated</t>
  </si>
  <si>
    <t>they indoctrinating</t>
  </si>
  <si>
    <t>mass manipulation</t>
  </si>
  <si>
    <t>manipulating minds</t>
  </si>
  <si>
    <t>don't believe the hype</t>
  </si>
  <si>
    <t>authority_skepticism</t>
  </si>
  <si>
    <t>question everything</t>
  </si>
  <si>
    <t>think for yourself</t>
  </si>
  <si>
    <t>wake up</t>
  </si>
  <si>
    <t>woke</t>
  </si>
  <si>
    <t>stay woke</t>
  </si>
  <si>
    <t>open your eyes</t>
  </si>
  <si>
    <t>see what's happening</t>
  </si>
  <si>
    <t>pay attention</t>
  </si>
  <si>
    <t>read between the lines</t>
  </si>
  <si>
    <t>see through it</t>
  </si>
  <si>
    <t>see past it</t>
  </si>
  <si>
    <t>don't be fooled</t>
  </si>
  <si>
    <t>don't fall for it</t>
  </si>
  <si>
    <t>don't buy it</t>
  </si>
  <si>
    <t>they lying to you</t>
  </si>
  <si>
    <t>they playing you</t>
  </si>
  <si>
    <t>they using you</t>
  </si>
  <si>
    <t>hidden agenda</t>
  </si>
  <si>
    <t>ulterior motive</t>
  </si>
  <si>
    <t>what's the real reason</t>
  </si>
  <si>
    <t>follow the money</t>
  </si>
  <si>
    <t>who benefits?</t>
  </si>
  <si>
    <t>cui bono?</t>
  </si>
  <si>
    <t>connect the dots</t>
  </si>
  <si>
    <t>put the pieces together</t>
  </si>
  <si>
    <t>see the pattern</t>
  </si>
  <si>
    <t>MORPHOLOGICAL VARIATIONS — Pattern matching for dialect-specific forms</t>
  </si>
  <si>
    <t>talkin'</t>
  </si>
  <si>
    <t>Morphological</t>
  </si>
  <si>
    <t>g-dropping</t>
  </si>
  <si>
    <t>Pattern matching variant</t>
  </si>
  <si>
    <t>finna</t>
  </si>
  <si>
    <t>phonological</t>
  </si>
  <si>
    <t>gon'</t>
  </si>
  <si>
    <t>tryna</t>
  </si>
  <si>
    <t>wanna</t>
  </si>
  <si>
    <t>gonna</t>
  </si>
  <si>
    <t>coulda</t>
  </si>
  <si>
    <t>shoulda</t>
  </si>
  <si>
    <t>woulda</t>
  </si>
  <si>
    <t>he be lyin'</t>
  </si>
  <si>
    <t>habitual_be</t>
  </si>
  <si>
    <t>been knew</t>
  </si>
  <si>
    <t>been_completive</t>
  </si>
  <si>
    <t>been told you</t>
  </si>
  <si>
    <t>he smart</t>
  </si>
  <si>
    <t>copula_deletion</t>
  </si>
  <si>
    <t>they wrong</t>
  </si>
  <si>
    <t>that crazy</t>
  </si>
  <si>
    <t>I need you to fill in the blank columns for every row in the MASTER_TERM_REGISTRY sheet. Each row is a term in a semantic classification lexicon. The filled columns are: term, category, fruit_mapping, tier, weight, dialect, active, subcategory, source_sheets. The blank columns that need filling are:</t>
  </si>
  <si>
    <t>COLUMN F — semantic_register: Choose one of: Full_1828 / Standard / Diluted_2025 / Inverted</t>
  </si>
  <si>
    <t>- Diluted_2025 = meaning has been weakened or bleached in contemporary usage</t>
  </si>
  <si>
    <t>- Inverted = meaning has flipped or been co-opted to serve the opposite function</t>
  </si>
  <si>
    <t>- Default: if the term is in the AAVE dialect, default to Standard. If it's a theological term (love, grace, faith, patience, faithfulness), lean toward Diluted_2025 unless the subcategory is direct_truth or oath-level.</t>
  </si>
  <si>
    <t>COLUMN H — belief_deriv_level: Choose one of: Reality / Distinction / Signal / Perception / Interpretation / Meaning / Belief / Identity / Action / World</t>
  </si>
  <si>
    <t>- Default: Grounding terms → Signal or Reality. Fruit terms → Meaning or Belief. Anti-Fruit terms → Perception or Interpretation. Propaganda terms → Meaning or Identity. Claim terms → Belief. Evidence terms → Signal. Hedge terms → Interpretation.</t>
  </si>
  <si>
    <t>COLUMN I — six_needs_served: Choose one of: Certainty / Variety / Significance / Connection / Growth / Contribution / Multiple / None</t>
  </si>
  <si>
    <t>- Certainty = safety, stability. Variety = change, stimulation. Significance = importance, recognition. Connection = bonds, belonging. Growth = learning, expansion. Contribution = giving, service.</t>
  </si>
  <si>
    <t>- Default: Most Fruit terms → Connection or Contribution. Most Anti-Fruit terms → Significance or Certainty. Grounding terms → Certainty. Propaganda terms → Significance. Bridge terms → None.</t>
  </si>
  <si>
    <t>COLUMN K — polarity_stability: Choose one of: Stable / Context-flip / Sarcasm-risk / Dialect-dependent</t>
  </si>
  <si>
    <t>- Default: Tier 1 terms → Stable. AAVE terms → check for dialect-dependency. Terms like "interesting," "fine," "sure," "nice" → Sarcasm-risk or Context-flip.</t>
  </si>
  <si>
    <t>COLUMN L — ai_detection: Y or N</t>
  </si>
  <si>
    <t>- Y = this term is characteristic of AI-generated text (e.g., delve, tapestry, nuanced, multifaceted, it's important to note, I'd be happy to, certainly, absolutely, in conclusion, comprehensive, robust, leverage, facilitate, utilize, albeit, furthermore, moreover, notable, noteworthy, underscores, underpin)</t>
  </si>
  <si>
    <t>- Default: N for most terms. Y only for known AI-speak markers.</t>
  </si>
  <si>
    <t>COLUMN M — danger_level: Choose one of: Low / Medium / High / Critical</t>
  </si>
  <si>
    <t>- Low = safe in most contexts. Medium = context-dependent. High = frequently overclaims. Critical = almost always overclaims or signals manipulation.</t>
  </si>
  <si>
    <t>- Default: Tier 1 Fruit → Low. Tier 4 peripheral → Low. Propaganda terms → High or Critical. Absolute terms (proves, always, never) → High. Hedge terms → Low. Claim-strength terms → Medium to High depending on subcategory.</t>
  </si>
  <si>
    <t>COLUMN N — shibboleth_cluster: Choose one of: Pastoral / Therapeutic / Academic / Legal / Medical / Military / Street / Tech / Trades / Finance / Political / AI / None</t>
  </si>
  <si>
    <t>- This is the profession/community fingerprint. Which community would immediately recognize this term as "one of theirs"?</t>
  </si>
  <si>
    <t>- Default: AAVE terms → Street. Terms from theophysics_scorer.py → Academic. Terms with theological subcategory → Pastoral. Terms like "boundaries," "hold space," "validate" → Therapeutic. Terms like "leverage," "utilize" → could be Tech, Finance, or AI.</t>
  </si>
  <si>
    <t>Work through every row. Where you're unsure, use the defaults above. Speed matters more than perfection here — this is a first pass that will be audited by a specialized classification model afterward.</t>
  </si>
  <si>
    <t>category</t>
  </si>
  <si>
    <t>fruit_mapping</t>
  </si>
  <si>
    <t>tier</t>
  </si>
  <si>
    <t>dialect</t>
  </si>
  <si>
    <t>active</t>
  </si>
  <si>
    <t>subcategory</t>
  </si>
  <si>
    <t>source_sheets</t>
  </si>
  <si>
    <t>semantic_register</t>
  </si>
  <si>
    <t>belief_deriv_level</t>
  </si>
  <si>
    <t>six_needs_served</t>
  </si>
  <si>
    <t>polarity_stability</t>
  </si>
  <si>
    <t>ai_detection</t>
  </si>
  <si>
    <t>shibboleth_cluster</t>
  </si>
  <si>
    <t>WISDOM</t>
  </si>
  <si>
    <t>Standard_English</t>
  </si>
  <si>
    <t>Diluted_2025</t>
  </si>
  <si>
    <t>Growth</t>
  </si>
  <si>
    <t>Stable</t>
  </si>
  <si>
    <t>N</t>
  </si>
  <si>
    <t>Low</t>
  </si>
  <si>
    <t>Pastoral</t>
  </si>
  <si>
    <t>KNOWLEDGE</t>
  </si>
  <si>
    <t>Standard</t>
  </si>
  <si>
    <t>Reality</t>
  </si>
  <si>
    <t>Certainty</t>
  </si>
  <si>
    <t>Academic</t>
  </si>
  <si>
    <t>CLAIM</t>
  </si>
  <si>
    <t>Belief</t>
  </si>
  <si>
    <t>Multiple</t>
  </si>
  <si>
    <t>Medium</t>
  </si>
  <si>
    <t>High</t>
  </si>
  <si>
    <t>EVIDENCE</t>
  </si>
  <si>
    <t>FALSIFY</t>
  </si>
  <si>
    <t>DEPENDENCY</t>
  </si>
  <si>
    <t>HEDGE</t>
  </si>
  <si>
    <t>None</t>
  </si>
  <si>
    <t>ABSOLUTE</t>
  </si>
  <si>
    <t>AI</t>
  </si>
  <si>
    <t>NEGATION</t>
  </si>
  <si>
    <t>Contribution</t>
  </si>
  <si>
    <t>Perception</t>
  </si>
  <si>
    <t>Significance</t>
  </si>
  <si>
    <t>Therapeutic</t>
  </si>
  <si>
    <t>def</t>
  </si>
  <si>
    <t>import</t>
  </si>
  <si>
    <t>class</t>
  </si>
  <si>
    <t>const</t>
  </si>
  <si>
    <t>AAVE</t>
  </si>
  <si>
    <t>direct_truth [RECOVERED]</t>
  </si>
  <si>
    <t>AAVE-Ebonics</t>
  </si>
  <si>
    <t>Dialect-dependent</t>
  </si>
  <si>
    <t>Street</t>
  </si>
  <si>
    <t>on my kids</t>
  </si>
  <si>
    <t>on the set</t>
  </si>
  <si>
    <t>on the gang</t>
  </si>
  <si>
    <t>dead ass</t>
  </si>
  <si>
    <t>word to mother</t>
  </si>
  <si>
    <t>on my soul</t>
  </si>
  <si>
    <t>on God's name</t>
  </si>
  <si>
    <t>I swear to God</t>
  </si>
  <si>
    <t>on my grandmother</t>
  </si>
  <si>
    <t>real shit</t>
  </si>
  <si>
    <t>no lie</t>
  </si>
  <si>
    <t>on my word</t>
  </si>
  <si>
    <t>on my honor</t>
  </si>
  <si>
    <t>truthfully</t>
  </si>
  <si>
    <t>Signal</t>
  </si>
  <si>
    <t>Identity</t>
  </si>
  <si>
    <t>Critical</t>
  </si>
  <si>
    <t>Distinction</t>
  </si>
  <si>
    <t>Fruit_Retrieval</t>
  </si>
  <si>
    <t>FRUIT_RETRIEVAL_LEXICON_V2</t>
  </si>
  <si>
    <t xml:space="preserve">This is the only part I don't like. I love that it leans back, but I wish I could stop it from leaning back. Oh. I pushed it. I know I would never stop it. Well, I guess not. Let's see, hold on. I like these, these. I've watched this one video and they're like this is the the backs that you need to get. But it's not this one. Hello. OK, then OK. Try now and then tell me when you wanna stop weather. Oh yeah, yeah. It's like a. Oh yeah, yeah. OK. Now I get it. I've been really debating to get this type. I watch this one guy that. Apparently he knows a lot about chairs and. He said that these are the best. Yeah, he said. Yeah, yeah, I didn't either. But yeah, it was to him. Do you want to try for a bit? Yeah. OK. It worked out OK. Perch on the edge of that one. I mean, it's just a bad habit. This one. Well, another thing I like about this one is my arms are above the table. On that, on the chair that you're taking. My arms are here, so it's always like that. Like my arms 3. Yeah, it is. Works. </t>
  </si>
  <si>
    <t>TEXT GRADER — Import &amp; Grade Sentence-by-Sentence</t>
  </si>
  <si>
    <t>Paste text into B10 (one block). Sentences auto-split below and are scored word-by-word against the chosen lexicon.</t>
  </si>
  <si>
    <t>CONFIG</t>
  </si>
  <si>
    <t>Lexicon sheet</t>
  </si>
  <si>
    <t>&lt;- name of the term table to grade against</t>
  </si>
  <si>
    <t>Lexicon range (term col)</t>
  </si>
  <si>
    <t>SEMANTIC_BUCKETS!$A$2:$A$348</t>
  </si>
  <si>
    <t>Weight col</t>
  </si>
  <si>
    <t>SEMANTIC_BUCKETS!$E$2:$E$348</t>
  </si>
  <si>
    <t>Bucket col</t>
  </si>
  <si>
    <t>SEMANTIC_BUCKETS!$B$2:$B$348</t>
  </si>
  <si>
    <t>Warn threshold (score ≥)</t>
  </si>
  <si>
    <t>&lt;- sentence flagged WARN at/above this matched-weight</t>
  </si>
  <si>
    <t>Fail threshold (score ≥)</t>
  </si>
  <si>
    <t>PASTE TEXT HERE →</t>
  </si>
  <si>
    <t>GRADED SENTENCES</t>
  </si>
  <si>
    <t>Sentence</t>
  </si>
  <si>
    <t>Words</t>
  </si>
  <si>
    <t>Matched terms</t>
  </si>
  <si>
    <t>Top bucket</t>
  </si>
  <si>
    <t>Grade</t>
  </si>
  <si>
    <t>Matched list</t>
  </si>
  <si>
    <t>&lt;- terms (edit formulas in row 14 if you change the lexicon)</t>
  </si>
  <si>
    <t>&lt;- weights (must align row-for-row with terms)</t>
  </si>
  <si>
    <t>&lt;- buckets (must align row-for-row with terms)</t>
  </si>
  <si>
    <t>RESULTS</t>
  </si>
  <si>
    <t>Sentences</t>
  </si>
  <si>
    <t>Total score</t>
  </si>
  <si>
    <t>Avg score/sentence</t>
  </si>
  <si>
    <t>PASS / WARN / FAIL</t>
  </si>
  <si>
    <t>BUCKET BREAKDOWN</t>
  </si>
  <si>
    <t>Sentences hit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</si>
</sst>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6" x14ac:knownFonts="1">
    <font>
      <sz val="11"/>
      <color theme="1"/>
      <name val="Calibri"/>
    </font>
    <font>
      <sz val="11"/>
      <color theme="1"/>
      <name val="Calibri"/>
      <family val="2"/>
      <scheme val="minor"/>
    </font>
    <font>
      <b/>
      <sz val="11"/>
      <color theme="1"/>
      <name val="Calibri"/>
      <family val="2"/>
    </font>
    <font>
      <b/>
      <sz val="16"/>
      <color rgb="FF1A237E"/>
      <name val="Calibri"/>
      <family val="2"/>
    </font>
    <font>
      <i/>
      <sz val="11"/>
      <color rgb="FF555555"/>
      <name val="Calibri"/>
      <family val="2"/>
    </font>
    <font>
      <b/>
      <sz val="13"/>
      <color rgb="FFFFFFFF"/>
      <name val="Calibri"/>
      <family val="2"/>
    </font>
    <font>
      <b/>
      <sz val="12"/>
      <color rgb="FF1A237E"/>
      <name val="Calibri"/>
      <family val="2"/>
    </font>
    <font>
      <b/>
      <i/>
      <sz val="11"/>
      <color theme="1"/>
      <name val="Calibri"/>
      <family val="2"/>
    </font>
    <font>
      <sz val="11"/>
      <color rgb="FF555555"/>
      <name val="Calibri"/>
      <family val="2"/>
    </font>
    <font>
      <b/>
      <sz val="11"/>
      <color rgb="FFB71C1C"/>
      <name val="Calibri"/>
      <family val="2"/>
    </font>
    <font>
      <i/>
      <sz val="11"/>
      <color theme="1"/>
      <name val="Calibri"/>
      <family val="2"/>
    </font>
    <font>
      <b/>
      <sz val="11"/>
      <color rgb="FF2E7D32"/>
      <name val="Calibri"/>
      <family val="2"/>
    </font>
    <font>
      <i/>
      <sz val="10"/>
      <color rgb="FF880E4F"/>
      <name val="Calibri"/>
      <family val="2"/>
    </font>
    <font>
      <b/>
      <sz val="11"/>
      <color rgb="FF880E4F"/>
      <name val="Calibri"/>
      <family val="2"/>
    </font>
    <font>
      <b/>
      <sz val="11"/>
      <color rgb="FF263238"/>
      <name val="Calibri"/>
      <family val="2"/>
    </font>
    <font>
      <i/>
      <sz val="10"/>
      <color rgb="FFB71C1C"/>
      <name val="Calibri"/>
      <family val="2"/>
    </font>
    <font>
      <b/>
      <i/>
      <sz val="11"/>
      <color rgb="FF1565C0"/>
      <name val="Calibri"/>
      <family val="2"/>
    </font>
    <font>
      <b/>
      <i/>
      <sz val="10"/>
      <color rgb="FFB71C1C"/>
      <name val="Calibri"/>
      <family val="2"/>
    </font>
    <font>
      <b/>
      <sz val="11"/>
      <color rgb="FFC62828"/>
      <name val="Calibri"/>
      <family val="2"/>
    </font>
    <font>
      <b/>
      <sz val="11"/>
      <color rgb="FF4A148C"/>
      <name val="Calibri"/>
      <family val="2"/>
    </font>
    <font>
      <i/>
      <sz val="11"/>
      <color rgb="FFB71C1C"/>
      <name val="Calibri"/>
      <family val="2"/>
    </font>
    <font>
      <b/>
      <sz val="11"/>
      <color rgb="FFFFFFFF"/>
      <name val="Calibri"/>
      <family val="2"/>
    </font>
    <font>
      <b/>
      <sz val="14"/>
      <color theme="1"/>
      <name val="Calibri"/>
      <family val="2"/>
    </font>
    <font>
      <sz val="11"/>
      <color rgb="FFC00000"/>
      <name val="Calibri"/>
      <family val="2"/>
    </font>
    <font>
      <sz val="11"/>
      <color theme="1"/>
      <name val="Consolas"/>
      <family val="3"/>
    </font>
    <font>
      <b/>
      <sz val="11"/>
      <color theme="1"/>
      <name val="Consolas"/>
      <family val="3"/>
    </font>
    <font>
      <b/>
      <sz val="12"/>
      <color rgb="FFFFFFFF"/>
      <name val="Calibri"/>
      <family val="2"/>
    </font>
    <font>
      <b/>
      <sz val="12"/>
      <color rgb="FFD4A017"/>
      <name val="Consolas"/>
      <family val="3"/>
    </font>
    <font>
      <sz val="9"/>
      <color rgb="FF4A4E62"/>
      <name val="Consolas"/>
      <family val="3"/>
    </font>
    <font>
      <b/>
      <sz val="9"/>
      <color rgb="FFD4A017"/>
      <name val="Consolas"/>
      <family val="3"/>
    </font>
    <font>
      <sz val="9"/>
      <color rgb="FF2ECC71"/>
      <name val="Consolas"/>
      <family val="3"/>
    </font>
    <font>
      <b/>
      <sz val="9"/>
      <color rgb="FF2ECC71"/>
      <name val="Consolas"/>
      <family val="3"/>
    </font>
    <font>
      <sz val="9"/>
      <color rgb="FFD8DBE8"/>
      <name val="Consolas"/>
      <family val="3"/>
    </font>
    <font>
      <sz val="9"/>
      <color rgb="FFDC143C"/>
      <name val="Consolas"/>
      <family val="3"/>
    </font>
    <font>
      <b/>
      <sz val="9"/>
      <color rgb="FFDC143C"/>
      <name val="Consolas"/>
      <family val="3"/>
    </font>
    <font>
      <sz val="9"/>
      <color rgb="FF3498DB"/>
      <name val="Consolas"/>
      <family val="3"/>
    </font>
    <font>
      <b/>
      <sz val="9"/>
      <color rgb="FF3498DB"/>
      <name val="Consolas"/>
      <family val="3"/>
    </font>
    <font>
      <sz val="9"/>
      <color rgb="FFE67E22"/>
      <name val="Consolas"/>
      <family val="3"/>
    </font>
    <font>
      <b/>
      <sz val="9"/>
      <color rgb="FFE67E22"/>
      <name val="Consolas"/>
      <family val="3"/>
    </font>
    <font>
      <sz val="9"/>
      <color rgb="FFE74C3C"/>
      <name val="Consolas"/>
      <family val="3"/>
    </font>
    <font>
      <b/>
      <sz val="9"/>
      <color rgb="FFE74C3C"/>
      <name val="Consolas"/>
      <family val="3"/>
    </font>
    <font>
      <b/>
      <sz val="9"/>
      <color rgb="FFD8DBE8"/>
      <name val="Consolas"/>
      <family val="3"/>
    </font>
    <font>
      <sz val="9"/>
      <color rgb="FF9B59B6"/>
      <name val="Consolas"/>
      <family val="3"/>
    </font>
    <font>
      <b/>
      <sz val="9"/>
      <color rgb="FF9B59B6"/>
      <name val="Consolas"/>
      <family val="3"/>
    </font>
    <font>
      <i/>
      <sz val="11"/>
      <color rgb="FF666666"/>
      <name val="Calibri"/>
      <family val="2"/>
    </font>
    <font>
      <sz val="11"/>
      <color rgb="FF0000FF"/>
      <name val="Calibri"/>
      <family val="2"/>
    </font>
  </fonts>
  <fills count="56">
    <fill>
      <patternFill patternType="none"/>
    </fill>
    <fill>
      <patternFill patternType="gray125"/>
    </fill>
    <fill>
      <patternFill patternType="solid">
        <fgColor rgb="FF1A237E"/>
      </patternFill>
    </fill>
    <fill>
      <patternFill patternType="solid">
        <fgColor rgb="FFF5F5F5"/>
      </patternFill>
    </fill>
    <fill>
      <patternFill patternType="solid">
        <fgColor rgb="FFE8EAF6"/>
      </patternFill>
    </fill>
    <fill>
      <patternFill patternType="solid">
        <fgColor rgb="FFFFF3E0"/>
      </patternFill>
    </fill>
    <fill>
      <patternFill patternType="solid">
        <fgColor rgb="FFFFFDE7"/>
      </patternFill>
    </fill>
    <fill>
      <patternFill patternType="solid">
        <fgColor rgb="FFE8F5E9"/>
      </patternFill>
    </fill>
    <fill>
      <patternFill patternType="solid">
        <fgColor rgb="FFE3F2FD"/>
      </patternFill>
    </fill>
    <fill>
      <patternFill patternType="solid">
        <fgColor rgb="FFFCE4EC"/>
      </patternFill>
    </fill>
    <fill>
      <patternFill patternType="solid">
        <fgColor rgb="FFF3E5F5"/>
      </patternFill>
    </fill>
    <fill>
      <patternFill patternType="solid">
        <fgColor rgb="FFE0F2F1"/>
      </patternFill>
    </fill>
    <fill>
      <patternFill patternType="solid">
        <fgColor rgb="FFEFEBE9"/>
      </patternFill>
    </fill>
    <fill>
      <patternFill patternType="solid">
        <fgColor rgb="FFECEFF1"/>
      </patternFill>
    </fill>
    <fill>
      <patternFill patternType="solid">
        <fgColor rgb="FFB71C1C"/>
      </patternFill>
    </fill>
    <fill>
      <patternFill patternType="solid">
        <fgColor rgb="FFFFCDD2"/>
      </patternFill>
    </fill>
    <fill>
      <patternFill patternType="solid">
        <fgColor rgb="FF4A148C"/>
      </patternFill>
    </fill>
    <fill>
      <patternFill patternType="solid">
        <fgColor rgb="FFE1BEE7"/>
      </patternFill>
    </fill>
    <fill>
      <patternFill patternType="solid">
        <fgColor rgb="FF00695C"/>
      </patternFill>
    </fill>
    <fill>
      <patternFill patternType="solid">
        <fgColor rgb="FFB2DFDB"/>
      </patternFill>
    </fill>
    <fill>
      <patternFill patternType="solid">
        <fgColor rgb="FFE65100"/>
      </patternFill>
    </fill>
    <fill>
      <patternFill patternType="solid">
        <fgColor rgb="FFFFE0B2"/>
      </patternFill>
    </fill>
    <fill>
      <patternFill patternType="solid">
        <fgColor rgb="FF37474F"/>
      </patternFill>
    </fill>
    <fill>
      <patternFill patternType="solid">
        <fgColor rgb="FFCFD8DC"/>
      </patternFill>
    </fill>
    <fill>
      <patternFill patternType="solid">
        <fgColor rgb="FF2E7D32"/>
      </patternFill>
    </fill>
    <fill>
      <patternFill patternType="solid">
        <fgColor rgb="FFC8E6C9"/>
      </patternFill>
    </fill>
    <fill>
      <patternFill patternType="solid">
        <fgColor rgb="FF0D47A1"/>
      </patternFill>
    </fill>
    <fill>
      <patternFill patternType="solid">
        <fgColor rgb="FFBBDEFB"/>
      </patternFill>
    </fill>
    <fill>
      <patternFill patternType="solid">
        <fgColor rgb="FF311B92"/>
      </patternFill>
    </fill>
    <fill>
      <patternFill patternType="solid">
        <fgColor rgb="FFD1C4E9"/>
      </patternFill>
    </fill>
    <fill>
      <patternFill patternType="solid">
        <fgColor rgb="FF880E4F"/>
      </patternFill>
    </fill>
    <fill>
      <patternFill patternType="solid">
        <fgColor rgb="FFF8BBD0"/>
      </patternFill>
    </fill>
    <fill>
      <patternFill patternType="solid">
        <fgColor rgb="FF263238"/>
      </patternFill>
    </fill>
    <fill>
      <patternFill patternType="solid">
        <fgColor rgb="FF1F4E79"/>
      </patternFill>
    </fill>
    <fill>
      <patternFill patternType="solid">
        <fgColor rgb="FF0F766E"/>
      </patternFill>
    </fill>
    <fill>
      <patternFill patternType="solid">
        <fgColor rgb="FF7030A0"/>
      </patternFill>
    </fill>
    <fill>
      <patternFill patternType="solid">
        <fgColor rgb="FFD9EAF7"/>
      </patternFill>
    </fill>
    <fill>
      <patternFill patternType="solid">
        <fgColor rgb="FFFCE4D6"/>
      </patternFill>
    </fill>
    <fill>
      <patternFill patternType="solid">
        <fgColor rgb="FFDDEBF7"/>
        <bgColor indexed="64"/>
      </patternFill>
    </fill>
    <fill>
      <patternFill patternType="solid">
        <fgColor rgb="FFE2EFDA"/>
        <bgColor indexed="64"/>
      </patternFill>
    </fill>
    <fill>
      <patternFill patternType="solid">
        <fgColor rgb="FFFCE4D6"/>
        <bgColor indexed="64"/>
      </patternFill>
    </fill>
    <fill>
      <patternFill patternType="solid">
        <fgColor rgb="FFFFF2CC"/>
        <bgColor indexed="64"/>
      </patternFill>
    </fill>
    <fill>
      <patternFill patternType="solid">
        <fgColor rgb="FF1F4E78"/>
        <bgColor indexed="64"/>
      </patternFill>
    </fill>
    <fill>
      <patternFill patternType="solid">
        <fgColor rgb="FFD9E1F2"/>
        <bgColor indexed="64"/>
      </patternFill>
    </fill>
    <fill>
      <patternFill patternType="solid">
        <fgColor rgb="FFF2DCDB"/>
        <bgColor indexed="64"/>
      </patternFill>
    </fill>
    <fill>
      <patternFill patternType="solid">
        <fgColor rgb="FFE4DFEC"/>
        <bgColor indexed="64"/>
      </patternFill>
    </fill>
    <fill>
      <patternFill patternType="solid">
        <fgColor rgb="FFC6E0B4"/>
        <bgColor indexed="64"/>
      </patternFill>
    </fill>
    <fill>
      <patternFill patternType="solid">
        <fgColor rgb="FFF8CBAD"/>
        <bgColor indexed="64"/>
      </patternFill>
    </fill>
    <fill>
      <patternFill patternType="solid">
        <fgColor rgb="FFF4B6B6"/>
        <bgColor indexed="64"/>
      </patternFill>
    </fill>
    <fill>
      <patternFill patternType="solid">
        <fgColor rgb="FFD9D2E9"/>
        <bgColor indexed="64"/>
      </patternFill>
    </fill>
    <fill>
      <patternFill patternType="solid">
        <fgColor rgb="FF12141F"/>
        <bgColor indexed="64"/>
      </patternFill>
    </fill>
    <fill>
      <patternFill patternType="solid">
        <fgColor rgb="FF0A0C10"/>
        <bgColor indexed="64"/>
      </patternFill>
    </fill>
    <fill>
      <patternFill patternType="solid">
        <fgColor rgb="FF1A1D2A"/>
        <bgColor indexed="64"/>
      </patternFill>
    </fill>
    <fill>
      <patternFill patternType="solid">
        <fgColor rgb="FF151720"/>
        <bgColor indexed="64"/>
      </patternFill>
    </fill>
    <fill>
      <patternFill patternType="solid">
        <fgColor rgb="FF1F3864"/>
        <bgColor indexed="64"/>
      </patternFill>
    </fill>
    <fill>
      <patternFill patternType="solid">
        <fgColor rgb="FFFFFF00"/>
        <bgColor indexed="64"/>
      </patternFill>
    </fill>
  </fills>
  <borders count="3">
    <border>
      <left/>
      <right/>
      <top/>
      <bottom/>
      <diagonal/>
    </border>
    <border>
      <left style="thin">
        <color rgb="FFD0D0D0"/>
      </left>
      <right style="thin">
        <color rgb="FFD0D0D0"/>
      </right>
      <top style="thin">
        <color rgb="FFD0D0D0"/>
      </top>
      <bottom style="thin">
        <color rgb="FFD0D0D0"/>
      </bottom>
      <diagonal/>
    </border>
    <border>
      <left/>
      <right/>
      <top/>
      <bottom style="thin">
        <color rgb="FF1E2235"/>
      </bottom>
      <diagonal/>
    </border>
  </borders>
  <cellStyleXfs count="2">
    <xf numFmtId="0" fontId="0" fillId="0" borderId="0"/>
    <xf numFmtId="0" fontId="1" fillId="0" borderId="0"/>
  </cellStyleXfs>
  <cellXfs count="203">
    <xf numFmtId="0" fontId="0" fillId="0" borderId="0" xfId="0"/>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5" fillId="2" borderId="1" xfId="0" applyFont="1" applyFill="1" applyBorder="1" applyAlignment="1">
      <alignment vertical="center" wrapText="1"/>
    </xf>
    <xf numFmtId="0" fontId="0" fillId="2" borderId="1" xfId="0" applyFill="1" applyBorder="1" applyAlignment="1">
      <alignment vertical="center" wrapText="1"/>
    </xf>
    <xf numFmtId="0" fontId="2" fillId="3"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5" fillId="2" borderId="0" xfId="0" applyFont="1" applyFill="1" applyAlignment="1">
      <alignment vertical="center" wrapText="1"/>
    </xf>
    <xf numFmtId="0" fontId="0" fillId="2" borderId="0" xfId="0" applyFill="1" applyAlignment="1">
      <alignment vertical="center" wrapText="1"/>
    </xf>
    <xf numFmtId="0" fontId="2" fillId="4" borderId="0" xfId="0" applyFont="1" applyFill="1" applyAlignment="1">
      <alignment vertical="top" wrapText="1"/>
    </xf>
    <xf numFmtId="0" fontId="0" fillId="4" borderId="0" xfId="0" applyFill="1" applyAlignment="1">
      <alignment vertical="top" wrapText="1"/>
    </xf>
    <xf numFmtId="0" fontId="2" fillId="5" borderId="1" xfId="0" applyFont="1" applyFill="1" applyBorder="1" applyAlignment="1">
      <alignment vertical="top" wrapText="1"/>
    </xf>
    <xf numFmtId="0" fontId="0" fillId="5" borderId="1" xfId="0" applyFill="1" applyBorder="1" applyAlignment="1">
      <alignment vertical="top" wrapText="1"/>
    </xf>
    <xf numFmtId="0" fontId="2" fillId="6" borderId="1" xfId="0" applyFont="1" applyFill="1" applyBorder="1" applyAlignment="1">
      <alignment vertical="top" wrapText="1"/>
    </xf>
    <xf numFmtId="0" fontId="0" fillId="6" borderId="1" xfId="0" applyFill="1" applyBorder="1" applyAlignment="1">
      <alignment vertical="top" wrapText="1"/>
    </xf>
    <xf numFmtId="0" fontId="2" fillId="7" borderId="1" xfId="0" applyFont="1" applyFill="1" applyBorder="1" applyAlignment="1">
      <alignment vertical="top" wrapText="1"/>
    </xf>
    <xf numFmtId="0" fontId="0" fillId="7" borderId="1" xfId="0" applyFill="1" applyBorder="1" applyAlignment="1">
      <alignment vertical="top" wrapText="1"/>
    </xf>
    <xf numFmtId="0" fontId="2" fillId="8" borderId="1" xfId="0" applyFont="1" applyFill="1" applyBorder="1" applyAlignment="1">
      <alignment vertical="top" wrapText="1"/>
    </xf>
    <xf numFmtId="0" fontId="0" fillId="8" borderId="1" xfId="0" applyFill="1" applyBorder="1" applyAlignment="1">
      <alignment vertical="top" wrapText="1"/>
    </xf>
    <xf numFmtId="0" fontId="2" fillId="9" borderId="1" xfId="0" applyFont="1" applyFill="1" applyBorder="1" applyAlignment="1">
      <alignment vertical="top" wrapText="1"/>
    </xf>
    <xf numFmtId="0" fontId="0" fillId="9" borderId="1" xfId="0" applyFill="1" applyBorder="1" applyAlignment="1">
      <alignment vertical="top" wrapText="1"/>
    </xf>
    <xf numFmtId="0" fontId="2" fillId="10" borderId="1" xfId="0" applyFont="1" applyFill="1" applyBorder="1" applyAlignment="1">
      <alignment vertical="top" wrapText="1"/>
    </xf>
    <xf numFmtId="0" fontId="0" fillId="10" borderId="1" xfId="0" applyFill="1" applyBorder="1" applyAlignment="1">
      <alignment vertical="top" wrapText="1"/>
    </xf>
    <xf numFmtId="0" fontId="2" fillId="11" borderId="1" xfId="0" applyFont="1" applyFill="1" applyBorder="1" applyAlignment="1">
      <alignment vertical="top" wrapText="1"/>
    </xf>
    <xf numFmtId="0" fontId="0" fillId="11" borderId="1" xfId="0" applyFill="1" applyBorder="1" applyAlignment="1">
      <alignment vertical="top" wrapText="1"/>
    </xf>
    <xf numFmtId="0" fontId="2" fillId="12" borderId="1" xfId="0" applyFont="1" applyFill="1" applyBorder="1" applyAlignment="1">
      <alignment vertical="top" wrapText="1"/>
    </xf>
    <xf numFmtId="0" fontId="0" fillId="12" borderId="1" xfId="0" applyFill="1" applyBorder="1" applyAlignment="1">
      <alignment vertical="top" wrapText="1"/>
    </xf>
    <xf numFmtId="0" fontId="2" fillId="13" borderId="1" xfId="0" applyFont="1" applyFill="1" applyBorder="1" applyAlignment="1">
      <alignment vertical="top" wrapText="1"/>
    </xf>
    <xf numFmtId="0" fontId="0" fillId="13" borderId="1" xfId="0" applyFill="1" applyBorder="1" applyAlignment="1">
      <alignment vertical="top" wrapText="1"/>
    </xf>
    <xf numFmtId="0" fontId="5" fillId="14" borderId="0" xfId="0" applyFont="1" applyFill="1" applyAlignment="1">
      <alignment vertical="center" wrapText="1"/>
    </xf>
    <xf numFmtId="0" fontId="0" fillId="14" borderId="0" xfId="0" applyFill="1" applyAlignment="1">
      <alignment vertical="center" wrapText="1"/>
    </xf>
    <xf numFmtId="0" fontId="2" fillId="15" borderId="1" xfId="0" applyFont="1" applyFill="1" applyBorder="1" applyAlignment="1">
      <alignment vertical="top" wrapText="1"/>
    </xf>
    <xf numFmtId="0" fontId="0" fillId="15" borderId="1" xfId="0" applyFill="1" applyBorder="1" applyAlignment="1">
      <alignment vertical="top" wrapText="1"/>
    </xf>
    <xf numFmtId="0" fontId="5" fillId="16" borderId="0" xfId="0" applyFont="1" applyFill="1" applyAlignment="1">
      <alignment vertical="center" wrapText="1"/>
    </xf>
    <xf numFmtId="0" fontId="0" fillId="16" borderId="0" xfId="0" applyFill="1" applyAlignment="1">
      <alignment vertical="center" wrapText="1"/>
    </xf>
    <xf numFmtId="0" fontId="2" fillId="17" borderId="1" xfId="0" applyFont="1" applyFill="1" applyBorder="1" applyAlignment="1">
      <alignment vertical="top" wrapText="1"/>
    </xf>
    <xf numFmtId="0" fontId="0" fillId="17" borderId="1" xfId="0" applyFill="1" applyBorder="1" applyAlignment="1">
      <alignment vertical="top" wrapText="1"/>
    </xf>
    <xf numFmtId="0" fontId="5" fillId="18" borderId="0" xfId="0" applyFont="1" applyFill="1" applyAlignment="1">
      <alignment vertical="center" wrapText="1"/>
    </xf>
    <xf numFmtId="0" fontId="0" fillId="18" borderId="0" xfId="0" applyFill="1" applyAlignment="1">
      <alignment vertical="center" wrapText="1"/>
    </xf>
    <xf numFmtId="0" fontId="2" fillId="19" borderId="1" xfId="0" applyFont="1" applyFill="1" applyBorder="1" applyAlignment="1">
      <alignment vertical="top" wrapText="1"/>
    </xf>
    <xf numFmtId="0" fontId="0" fillId="19" borderId="1" xfId="0" applyFill="1" applyBorder="1" applyAlignment="1">
      <alignment vertical="top" wrapText="1"/>
    </xf>
    <xf numFmtId="0" fontId="5" fillId="20" borderId="0" xfId="0" applyFont="1" applyFill="1" applyAlignment="1">
      <alignment vertical="center" wrapText="1"/>
    </xf>
    <xf numFmtId="0" fontId="0" fillId="20" borderId="0" xfId="0" applyFill="1" applyAlignment="1">
      <alignment vertical="center" wrapText="1"/>
    </xf>
    <xf numFmtId="0" fontId="2" fillId="21" borderId="1" xfId="0" applyFont="1" applyFill="1" applyBorder="1" applyAlignment="1">
      <alignment vertical="top" wrapText="1"/>
    </xf>
    <xf numFmtId="0" fontId="0" fillId="21" borderId="1" xfId="0" applyFill="1" applyBorder="1" applyAlignment="1">
      <alignment vertical="top" wrapText="1"/>
    </xf>
    <xf numFmtId="0" fontId="5" fillId="22" borderId="0" xfId="0" applyFont="1" applyFill="1" applyAlignment="1">
      <alignment vertical="center" wrapText="1"/>
    </xf>
    <xf numFmtId="0" fontId="0" fillId="22" borderId="0" xfId="0" applyFill="1" applyAlignment="1">
      <alignment vertical="center" wrapText="1"/>
    </xf>
    <xf numFmtId="0" fontId="2" fillId="23" borderId="1" xfId="0" applyFont="1" applyFill="1" applyBorder="1" applyAlignment="1">
      <alignment vertical="top" wrapText="1"/>
    </xf>
    <xf numFmtId="0" fontId="0" fillId="23" borderId="1" xfId="0"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4" fillId="0" borderId="1" xfId="0" applyFont="1" applyBorder="1" applyAlignment="1">
      <alignment vertical="top" wrapText="1"/>
    </xf>
    <xf numFmtId="0" fontId="10" fillId="0" borderId="1" xfId="0" applyFont="1" applyBorder="1" applyAlignment="1">
      <alignment vertical="top" wrapText="1"/>
    </xf>
    <xf numFmtId="0" fontId="0" fillId="0" borderId="0" xfId="0" applyAlignment="1">
      <alignment wrapText="1"/>
    </xf>
    <xf numFmtId="0" fontId="5" fillId="24" borderId="0" xfId="0" applyFont="1" applyFill="1" applyAlignment="1">
      <alignment wrapText="1"/>
    </xf>
    <xf numFmtId="0" fontId="0" fillId="24" borderId="0" xfId="0" applyFill="1" applyAlignment="1">
      <alignment wrapText="1"/>
    </xf>
    <xf numFmtId="0" fontId="2" fillId="25" borderId="1" xfId="0" applyFont="1" applyFill="1" applyBorder="1" applyAlignment="1">
      <alignment wrapText="1"/>
    </xf>
    <xf numFmtId="0" fontId="0" fillId="25" borderId="1" xfId="0" applyFill="1" applyBorder="1" applyAlignment="1">
      <alignment wrapText="1"/>
    </xf>
    <xf numFmtId="0" fontId="0" fillId="25" borderId="0" xfId="0" applyFill="1" applyAlignment="1">
      <alignment wrapText="1"/>
    </xf>
    <xf numFmtId="0" fontId="0" fillId="0" borderId="1" xfId="0" applyBorder="1" applyAlignment="1">
      <alignment wrapText="1"/>
    </xf>
    <xf numFmtId="0" fontId="0" fillId="3" borderId="1" xfId="0" applyFill="1" applyBorder="1" applyAlignment="1">
      <alignment wrapText="1"/>
    </xf>
    <xf numFmtId="0" fontId="0" fillId="3" borderId="0" xfId="0" applyFill="1" applyAlignment="1">
      <alignment wrapText="1"/>
    </xf>
    <xf numFmtId="0" fontId="11" fillId="3" borderId="1" xfId="0" applyFont="1" applyFill="1" applyBorder="1" applyAlignment="1">
      <alignment wrapText="1"/>
    </xf>
    <xf numFmtId="0" fontId="11" fillId="0" borderId="1" xfId="0" applyFont="1" applyBorder="1" applyAlignment="1">
      <alignment wrapText="1"/>
    </xf>
    <xf numFmtId="0" fontId="5" fillId="26" borderId="0" xfId="0" applyFont="1" applyFill="1" applyAlignment="1">
      <alignment wrapText="1"/>
    </xf>
    <xf numFmtId="0" fontId="0" fillId="26" borderId="0" xfId="0" applyFill="1" applyAlignment="1">
      <alignment wrapText="1"/>
    </xf>
    <xf numFmtId="0" fontId="2" fillId="27" borderId="1" xfId="0" applyFont="1" applyFill="1" applyBorder="1" applyAlignment="1">
      <alignment wrapText="1"/>
    </xf>
    <xf numFmtId="0" fontId="11" fillId="27" borderId="1" xfId="0" applyFont="1" applyFill="1" applyBorder="1" applyAlignment="1">
      <alignment wrapText="1"/>
    </xf>
    <xf numFmtId="0" fontId="0" fillId="27" borderId="1" xfId="0" applyFill="1" applyBorder="1" applyAlignment="1">
      <alignment wrapText="1"/>
    </xf>
    <xf numFmtId="0" fontId="0" fillId="27" borderId="0" xfId="0" applyFill="1" applyAlignment="1">
      <alignment wrapText="1"/>
    </xf>
    <xf numFmtId="0" fontId="5" fillId="28" borderId="0" xfId="0" applyFont="1" applyFill="1" applyAlignment="1">
      <alignment wrapText="1"/>
    </xf>
    <xf numFmtId="0" fontId="0" fillId="28" borderId="0" xfId="0" applyFill="1" applyAlignment="1">
      <alignment wrapText="1"/>
    </xf>
    <xf numFmtId="0" fontId="2" fillId="29" borderId="1" xfId="0" applyFont="1" applyFill="1" applyBorder="1" applyAlignment="1">
      <alignment wrapText="1"/>
    </xf>
    <xf numFmtId="0" fontId="0" fillId="29" borderId="1" xfId="0" applyFill="1" applyBorder="1" applyAlignment="1">
      <alignment wrapText="1"/>
    </xf>
    <xf numFmtId="0" fontId="0" fillId="29" borderId="0" xfId="0" applyFill="1" applyAlignment="1">
      <alignment wrapText="1"/>
    </xf>
    <xf numFmtId="0" fontId="5" fillId="30" borderId="0" xfId="0" applyFont="1" applyFill="1" applyAlignment="1">
      <alignment wrapText="1"/>
    </xf>
    <xf numFmtId="0" fontId="0" fillId="30" borderId="0" xfId="0" applyFill="1" applyAlignment="1">
      <alignment wrapText="1"/>
    </xf>
    <xf numFmtId="0" fontId="12" fillId="0" borderId="0" xfId="0" applyFont="1" applyAlignment="1">
      <alignment wrapText="1"/>
    </xf>
    <xf numFmtId="0" fontId="2" fillId="31" borderId="1" xfId="0" applyFont="1" applyFill="1" applyBorder="1" applyAlignment="1">
      <alignment wrapText="1"/>
    </xf>
    <xf numFmtId="0" fontId="0" fillId="31" borderId="1" xfId="0" applyFill="1" applyBorder="1" applyAlignment="1">
      <alignment wrapText="1"/>
    </xf>
    <xf numFmtId="0" fontId="13" fillId="0" borderId="0" xfId="0" applyFont="1" applyAlignment="1">
      <alignment wrapText="1"/>
    </xf>
    <xf numFmtId="0" fontId="5" fillId="32" borderId="0" xfId="0" applyFont="1" applyFill="1" applyAlignment="1">
      <alignment wrapText="1"/>
    </xf>
    <xf numFmtId="0" fontId="0" fillId="32" borderId="0" xfId="0" applyFill="1" applyAlignment="1">
      <alignment wrapText="1"/>
    </xf>
    <xf numFmtId="0" fontId="2" fillId="23" borderId="1" xfId="0" applyFont="1" applyFill="1" applyBorder="1" applyAlignment="1">
      <alignment wrapText="1"/>
    </xf>
    <xf numFmtId="0" fontId="0" fillId="23" borderId="1" xfId="0" applyFill="1" applyBorder="1" applyAlignment="1">
      <alignment wrapText="1"/>
    </xf>
    <xf numFmtId="0" fontId="0" fillId="23" borderId="0" xfId="0" applyFill="1" applyAlignment="1">
      <alignment wrapText="1"/>
    </xf>
    <xf numFmtId="0" fontId="14" fillId="0" borderId="0" xfId="0" applyFont="1" applyAlignment="1">
      <alignment wrapText="1"/>
    </xf>
    <xf numFmtId="0" fontId="5" fillId="14" borderId="0" xfId="0" applyFont="1" applyFill="1" applyAlignment="1">
      <alignment wrapText="1"/>
    </xf>
    <xf numFmtId="0" fontId="0" fillId="14" borderId="0" xfId="0" applyFill="1" applyAlignment="1">
      <alignment wrapText="1"/>
    </xf>
    <xf numFmtId="0" fontId="15" fillId="0" borderId="0" xfId="0" applyFont="1" applyAlignment="1">
      <alignment wrapText="1"/>
    </xf>
    <xf numFmtId="0" fontId="16" fillId="0" borderId="0" xfId="0" applyFont="1" applyAlignment="1">
      <alignment wrapText="1"/>
    </xf>
    <xf numFmtId="0" fontId="17" fillId="27" borderId="1" xfId="0" applyFont="1" applyFill="1" applyBorder="1" applyAlignment="1">
      <alignment wrapText="1"/>
    </xf>
    <xf numFmtId="0" fontId="18" fillId="0" borderId="0" xfId="0" applyFont="1" applyAlignment="1">
      <alignment wrapText="1"/>
    </xf>
    <xf numFmtId="0" fontId="2" fillId="15" borderId="1" xfId="0" applyFont="1" applyFill="1" applyBorder="1" applyAlignment="1">
      <alignment wrapText="1"/>
    </xf>
    <xf numFmtId="0" fontId="0" fillId="15" borderId="1" xfId="0" applyFill="1" applyBorder="1" applyAlignment="1">
      <alignment wrapText="1"/>
    </xf>
    <xf numFmtId="0" fontId="19" fillId="0" borderId="0" xfId="0" applyFont="1" applyAlignment="1">
      <alignment wrapText="1"/>
    </xf>
    <xf numFmtId="0" fontId="2" fillId="17" borderId="1" xfId="0" applyFont="1" applyFill="1" applyBorder="1" applyAlignment="1">
      <alignment wrapText="1"/>
    </xf>
    <xf numFmtId="0" fontId="0" fillId="17" borderId="1" xfId="0" applyFill="1" applyBorder="1" applyAlignment="1">
      <alignment wrapText="1"/>
    </xf>
    <xf numFmtId="0" fontId="0" fillId="17" borderId="0" xfId="0" applyFill="1" applyAlignment="1">
      <alignment wrapText="1"/>
    </xf>
    <xf numFmtId="0" fontId="9" fillId="0" borderId="0" xfId="0" applyFont="1" applyAlignment="1">
      <alignment wrapText="1"/>
    </xf>
    <xf numFmtId="0" fontId="0" fillId="15" borderId="0" xfId="0" applyFill="1" applyAlignment="1">
      <alignment wrapText="1"/>
    </xf>
    <xf numFmtId="0" fontId="20" fillId="0" borderId="0" xfId="0" applyFont="1" applyAlignment="1">
      <alignment wrapText="1"/>
    </xf>
    <xf numFmtId="0" fontId="21" fillId="33" borderId="0" xfId="0" applyFont="1" applyFill="1" applyAlignment="1">
      <alignment horizontal="center" vertical="center" wrapText="1"/>
    </xf>
    <xf numFmtId="0" fontId="21" fillId="34" borderId="0" xfId="0" applyFont="1" applyFill="1" applyAlignment="1">
      <alignment horizontal="center" wrapText="1"/>
    </xf>
    <xf numFmtId="0" fontId="21" fillId="35" borderId="0" xfId="0" applyFont="1" applyFill="1" applyAlignment="1">
      <alignment horizontal="center"/>
    </xf>
    <xf numFmtId="0" fontId="2" fillId="36" borderId="0" xfId="0" applyFont="1" applyFill="1" applyAlignment="1">
      <alignment horizontal="center"/>
    </xf>
    <xf numFmtId="0" fontId="2" fillId="37" borderId="0" xfId="0" applyFont="1" applyFill="1" applyAlignment="1">
      <alignment horizontal="center"/>
    </xf>
    <xf numFmtId="0" fontId="22" fillId="0" borderId="0" xfId="0" applyFont="1"/>
    <xf numFmtId="0" fontId="2" fillId="0" borderId="0" xfId="0" applyFont="1"/>
    <xf numFmtId="0" fontId="2" fillId="38" borderId="0" xfId="0" applyFont="1" applyFill="1"/>
    <xf numFmtId="0" fontId="0" fillId="38" borderId="0" xfId="0" applyFill="1"/>
    <xf numFmtId="0" fontId="23" fillId="0" borderId="0" xfId="0" applyFont="1"/>
    <xf numFmtId="0" fontId="2" fillId="39" borderId="0" xfId="0" applyFont="1" applyFill="1"/>
    <xf numFmtId="0" fontId="0" fillId="39" borderId="0" xfId="0" applyFill="1"/>
    <xf numFmtId="0" fontId="2" fillId="40" borderId="0" xfId="0" applyFont="1" applyFill="1"/>
    <xf numFmtId="0" fontId="0" fillId="40" borderId="0" xfId="0" applyFill="1"/>
    <xf numFmtId="0" fontId="24" fillId="0" borderId="0" xfId="0" applyFont="1"/>
    <xf numFmtId="0" fontId="25" fillId="0" borderId="0" xfId="0" applyFont="1"/>
    <xf numFmtId="0" fontId="25" fillId="41" borderId="0" xfId="0" applyFont="1" applyFill="1"/>
    <xf numFmtId="0" fontId="0" fillId="41" borderId="0" xfId="0" applyFill="1"/>
    <xf numFmtId="0" fontId="10" fillId="0" borderId="0" xfId="0" applyFont="1"/>
    <xf numFmtId="0" fontId="21" fillId="42" borderId="0" xfId="0" applyFont="1" applyFill="1"/>
    <xf numFmtId="0" fontId="2" fillId="43" borderId="0" xfId="0" applyFont="1" applyFill="1"/>
    <xf numFmtId="0" fontId="2" fillId="41" borderId="0" xfId="0" applyFont="1" applyFill="1" applyAlignment="1">
      <alignment vertical="top" wrapText="1"/>
    </xf>
    <xf numFmtId="0" fontId="21" fillId="42" borderId="0" xfId="0" applyFont="1" applyFill="1" applyAlignment="1">
      <alignment vertical="top" wrapText="1"/>
    </xf>
    <xf numFmtId="0" fontId="2" fillId="43" borderId="0" xfId="0" applyFont="1" applyFill="1" applyAlignment="1">
      <alignment vertical="top" wrapText="1"/>
    </xf>
    <xf numFmtId="0" fontId="0" fillId="0" borderId="0" xfId="0" quotePrefix="1" applyAlignment="1">
      <alignment vertical="top" wrapText="1"/>
    </xf>
    <xf numFmtId="0" fontId="2" fillId="0" borderId="0" xfId="0" applyFont="1" applyAlignment="1">
      <alignment vertical="top" wrapText="1"/>
    </xf>
    <xf numFmtId="0" fontId="2" fillId="39" borderId="0" xfId="0" applyFont="1" applyFill="1" applyAlignment="1">
      <alignment vertical="top" wrapText="1"/>
    </xf>
    <xf numFmtId="0" fontId="2" fillId="40" borderId="0" xfId="0" applyFont="1" applyFill="1" applyAlignment="1">
      <alignment vertical="top" wrapText="1"/>
    </xf>
    <xf numFmtId="0" fontId="0" fillId="38" borderId="0" xfId="0" applyFill="1" applyAlignment="1">
      <alignment vertical="top" wrapText="1"/>
    </xf>
    <xf numFmtId="0" fontId="2" fillId="38" borderId="0" xfId="0" applyFont="1" applyFill="1" applyAlignment="1">
      <alignment vertical="top" wrapText="1"/>
    </xf>
    <xf numFmtId="0" fontId="0" fillId="39" borderId="0" xfId="0" applyFill="1" applyAlignment="1">
      <alignment vertical="top" wrapText="1"/>
    </xf>
    <xf numFmtId="0" fontId="0" fillId="41" borderId="0" xfId="0" applyFill="1" applyAlignment="1">
      <alignment vertical="top" wrapText="1"/>
    </xf>
    <xf numFmtId="0" fontId="0" fillId="40" borderId="0" xfId="0" applyFill="1" applyAlignment="1">
      <alignment vertical="top" wrapText="1"/>
    </xf>
    <xf numFmtId="0" fontId="26" fillId="42" borderId="0" xfId="0" applyFont="1" applyFill="1" applyAlignment="1">
      <alignment vertical="top" wrapText="1"/>
    </xf>
    <xf numFmtId="0" fontId="0" fillId="42" borderId="0" xfId="0" applyFill="1" applyAlignment="1">
      <alignment vertical="top" wrapText="1"/>
    </xf>
    <xf numFmtId="0" fontId="0" fillId="44" borderId="0" xfId="0" applyFill="1" applyAlignment="1">
      <alignment vertical="top" wrapText="1"/>
    </xf>
    <xf numFmtId="0" fontId="0" fillId="45" borderId="0" xfId="0" applyFill="1" applyAlignment="1">
      <alignment vertical="top" wrapText="1"/>
    </xf>
    <xf numFmtId="0" fontId="0" fillId="48" borderId="0" xfId="0" applyFill="1"/>
    <xf numFmtId="0" fontId="0" fillId="0" borderId="0" xfId="0" applyAlignment="1">
      <alignment vertical="top"/>
    </xf>
    <xf numFmtId="0" fontId="0" fillId="46" borderId="0" xfId="0" applyFill="1" applyAlignment="1">
      <alignment vertical="top"/>
    </xf>
    <xf numFmtId="0" fontId="0" fillId="39" borderId="0" xfId="0" applyFill="1" applyAlignment="1">
      <alignment vertical="top"/>
    </xf>
    <xf numFmtId="0" fontId="0" fillId="41" borderId="0" xfId="0" applyFill="1" applyAlignment="1">
      <alignment vertical="top"/>
    </xf>
    <xf numFmtId="0" fontId="0" fillId="40" borderId="0" xfId="0" applyFill="1" applyAlignment="1">
      <alignment vertical="top"/>
    </xf>
    <xf numFmtId="0" fontId="0" fillId="47" borderId="0" xfId="0" applyFill="1" applyAlignment="1">
      <alignment vertical="top"/>
    </xf>
    <xf numFmtId="0" fontId="0" fillId="48" borderId="0" xfId="0" applyFill="1" applyAlignment="1">
      <alignment vertical="top"/>
    </xf>
    <xf numFmtId="0" fontId="0" fillId="49" borderId="0" xfId="0" applyFill="1" applyAlignment="1">
      <alignment vertical="top"/>
    </xf>
    <xf numFmtId="0" fontId="27" fillId="50" borderId="0" xfId="1" applyFont="1" applyFill="1"/>
    <xf numFmtId="0" fontId="1" fillId="50" borderId="0" xfId="1" applyFill="1"/>
    <xf numFmtId="0" fontId="1" fillId="0" borderId="0" xfId="1"/>
    <xf numFmtId="0" fontId="28" fillId="50" borderId="0" xfId="1" applyFont="1" applyFill="1"/>
    <xf numFmtId="0" fontId="1" fillId="51" borderId="0" xfId="1" applyFill="1"/>
    <xf numFmtId="0" fontId="29" fillId="52" borderId="2" xfId="1" applyFont="1" applyFill="1" applyBorder="1"/>
    <xf numFmtId="0" fontId="30" fillId="51" borderId="0" xfId="1" applyFont="1" applyFill="1"/>
    <xf numFmtId="0" fontId="31" fillId="51" borderId="0" xfId="1" applyFont="1" applyFill="1"/>
    <xf numFmtId="0" fontId="32" fillId="51" borderId="0" xfId="1" applyFont="1" applyFill="1"/>
    <xf numFmtId="0" fontId="30" fillId="53" borderId="0" xfId="1" applyFont="1" applyFill="1"/>
    <xf numFmtId="0" fontId="31" fillId="53" borderId="0" xfId="1" applyFont="1" applyFill="1"/>
    <xf numFmtId="0" fontId="32" fillId="53" borderId="0" xfId="1" applyFont="1" applyFill="1"/>
    <xf numFmtId="0" fontId="33" fillId="51" borderId="0" xfId="1" applyFont="1" applyFill="1"/>
    <xf numFmtId="0" fontId="34" fillId="51" borderId="0" xfId="1" applyFont="1" applyFill="1"/>
    <xf numFmtId="0" fontId="33" fillId="53" borderId="0" xfId="1" applyFont="1" applyFill="1"/>
    <xf numFmtId="0" fontId="34" fillId="53" borderId="0" xfId="1" applyFont="1" applyFill="1"/>
    <xf numFmtId="0" fontId="35" fillId="51" borderId="0" xfId="1" applyFont="1" applyFill="1"/>
    <xf numFmtId="0" fontId="36" fillId="51" borderId="0" xfId="1" applyFont="1" applyFill="1"/>
    <xf numFmtId="0" fontId="35" fillId="53" borderId="0" xfId="1" applyFont="1" applyFill="1"/>
    <xf numFmtId="0" fontId="36" fillId="53" borderId="0" xfId="1" applyFont="1" applyFill="1"/>
    <xf numFmtId="0" fontId="37" fillId="51" borderId="0" xfId="1" applyFont="1" applyFill="1"/>
    <xf numFmtId="0" fontId="38" fillId="51" borderId="0" xfId="1" applyFont="1" applyFill="1"/>
    <xf numFmtId="0" fontId="37" fillId="53" borderId="0" xfId="1" applyFont="1" applyFill="1"/>
    <xf numFmtId="0" fontId="38" fillId="53" borderId="0" xfId="1" applyFont="1" applyFill="1"/>
    <xf numFmtId="0" fontId="39" fillId="53" borderId="0" xfId="1" applyFont="1" applyFill="1"/>
    <xf numFmtId="0" fontId="40" fillId="53" borderId="0" xfId="1" applyFont="1" applyFill="1"/>
    <xf numFmtId="0" fontId="39" fillId="51" borderId="0" xfId="1" applyFont="1" applyFill="1"/>
    <xf numFmtId="0" fontId="40" fillId="51" borderId="0" xfId="1" applyFont="1" applyFill="1"/>
    <xf numFmtId="0" fontId="41" fillId="51" borderId="0" xfId="1" applyFont="1" applyFill="1"/>
    <xf numFmtId="0" fontId="42" fillId="53" borderId="0" xfId="1" applyFont="1" applyFill="1"/>
    <xf numFmtId="0" fontId="43" fillId="53" borderId="0" xfId="1" applyFont="1" applyFill="1"/>
    <xf numFmtId="0" fontId="42" fillId="51" borderId="0" xfId="1" applyFont="1" applyFill="1"/>
    <xf numFmtId="0" fontId="43" fillId="51" borderId="0" xfId="1" applyFont="1" applyFill="1"/>
    <xf numFmtId="0" fontId="22" fillId="0" borderId="0" xfId="0" applyFont="1" applyAlignment="1">
      <alignment vertical="top" wrapText="1"/>
    </xf>
    <xf numFmtId="0" fontId="10" fillId="0" borderId="0" xfId="0" applyFont="1" applyAlignment="1">
      <alignment vertical="top" wrapText="1"/>
    </xf>
    <xf numFmtId="0" fontId="0" fillId="0" borderId="0" xfId="0" applyAlignment="1">
      <alignment vertical="top" wrapText="1"/>
    </xf>
    <xf numFmtId="0" fontId="7" fillId="38" borderId="0" xfId="0" applyFont="1" applyFill="1" applyAlignment="1">
      <alignment vertical="top" wrapText="1"/>
    </xf>
    <xf numFmtId="0" fontId="21" fillId="42" borderId="0" xfId="0" applyFont="1" applyFill="1" applyAlignment="1">
      <alignment vertical="top" wrapText="1"/>
    </xf>
    <xf numFmtId="0" fontId="21" fillId="42" borderId="0" xfId="0" applyFont="1" applyFill="1"/>
    <xf numFmtId="0" fontId="10" fillId="0" borderId="0" xfId="0" applyFont="1"/>
    <xf numFmtId="0" fontId="0" fillId="39" borderId="0" xfId="0" applyFill="1" applyAlignment="1">
      <alignment vertical="top" wrapText="1"/>
    </xf>
    <xf numFmtId="0" fontId="2" fillId="41" borderId="0" xfId="0" applyFont="1" applyFill="1" applyAlignment="1">
      <alignment vertical="top" wrapText="1"/>
    </xf>
    <xf numFmtId="0" fontId="0" fillId="44" borderId="0" xfId="0" applyFill="1" applyAlignment="1">
      <alignment vertical="top" wrapText="1"/>
    </xf>
    <xf numFmtId="0" fontId="22" fillId="0" borderId="0" xfId="0" applyFont="1"/>
    <xf numFmtId="0" fontId="0" fillId="0" borderId="0" xfId="0"/>
    <xf numFmtId="0" fontId="44" fillId="0" borderId="0" xfId="0" applyFont="1"/>
    <xf numFmtId="0" fontId="21" fillId="54" borderId="0" xfId="0" applyFont="1" applyFill="1"/>
    <xf numFmtId="0" fontId="45" fillId="55" borderId="0" xfId="0" applyFont="1" applyFill="1"/>
    <xf numFmtId="164" fontId="45" fillId="55" borderId="0" xfId="0" applyNumberFormat="1" applyFont="1" applyFill="1"/>
    <xf numFmtId="164" fontId="2" fillId="0" borderId="0" xfId="0" applyNumberFormat="1" applyFont="1"/>
    <xf numFmtId="2" fontId="2" fillId="0" borderId="0" xfId="0" applyNumberFormat="1" applyFont="1"/>
  </cellXfs>
  <cellStyles count="2">
    <cellStyle name="Normal" xfId="0" builtinId="0"/>
    <cellStyle name="Normal 2" xfId="1" xr:uid="{4EA4EBCE-7A64-4189-8DF4-5B39895C52BD}"/>
  </cellStyles>
  <dxfs count="3">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manticBucketsTable" displayName="SemanticBucketsTable" ref="A1:K348">
  <tableColumns count="11">
    <tableColumn id="1" xr3:uid="{00000000-0010-0000-0000-000001000000}" name="term"/>
    <tableColumn id="2" xr3:uid="{00000000-0010-0000-0000-000002000000}" name="bucket"/>
    <tableColumn id="3" xr3:uid="{00000000-0010-0000-0000-000003000000}" name="subbucket"/>
    <tableColumn id="4" xr3:uid="{00000000-0010-0000-0000-000004000000}" name="polarity"/>
    <tableColumn id="5" xr3:uid="{00000000-0010-0000-0000-000005000000}" name="weight"/>
    <tableColumn id="6" xr3:uid="{00000000-0010-0000-0000-000006000000}" name="danger_level"/>
    <tableColumn id="7" xr3:uid="{00000000-0010-0000-0000-000007000000}" name="allowed_context"/>
    <tableColumn id="8" xr3:uid="{00000000-0010-0000-0000-000008000000}" name="forbidden_context"/>
    <tableColumn id="9" xr3:uid="{00000000-0010-0000-0000-000009000000}" name="recommended_action"/>
    <tableColumn id="10" xr3:uid="{00000000-0010-0000-0000-00000A000000}" name="source_note"/>
    <tableColumn id="11" xr3:uid="{00000000-0010-0000-0000-00000B000000}" name="example_safe_rewri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xiconAdditionsReadmeTable" displayName="LexiconAdditionsReadmeTable" ref="A1:D7">
  <tableColumns count="4">
    <tableColumn id="1" xr3:uid="{00000000-0010-0000-0100-000001000000}" name="Section"/>
    <tableColumn id="2" xr3:uid="{00000000-0010-0000-0100-000002000000}" name="What changed"/>
    <tableColumn id="3" xr3:uid="{00000000-0010-0000-0100-000003000000}" name="How to use it"/>
    <tableColumn id="4" xr3:uid="{00000000-0010-0000-0100-000004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emanticBucketCountsTable" displayName="SemanticBucketCountsTable" ref="A4:C18">
  <tableColumns count="3">
    <tableColumn id="1" xr3:uid="{00000000-0010-0000-0200-000001000000}" name="Bucket"/>
    <tableColumn id="2" xr3:uid="{00000000-0010-0000-0200-000002000000}" name="Count"/>
    <tableColumn id="3" xr3:uid="{00000000-0010-0000-0200-000003000000}" name="Note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 dockstate="right" visibility="0" width="438"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FF8AFE4-3DD8-4410-BDDC-2411490651F7}">
  <we:reference id="wa200009404" version="1.0.0.8" store="en-US" storeType="OMEX"/>
  <we:alternateReferences>
    <we:reference id="wa200009404" version="1.0.0.8" store="wa200009404" storeType="OMEX"/>
  </we:alternateReferences>
  <we:properties>
    <we:property name="claude.fileId" value="&quot;e0dd581f-28d2-489f-91b8-34ed91917530&quot;"/>
  </we:properties>
  <we:bindings/>
  <we:snapshot xmlns:r="http://schemas.openxmlformats.org/officeDocument/2006/relationships"/>
</we:webextension>
</file>

<file path=xl/webextensions/webextension2.xml><?xml version="1.0" encoding="utf-8"?>
<we:webextension xmlns:we="http://schemas.microsoft.com/office/webextensions/webextension/2010/11" id="{F01152D6-4308-4C1C-99E5-9C55FC53FC37}">
  <we:reference id="wa200010725" version="1.0.0.1" store="en-US" storeType="OMEX"/>
  <we:alternateReferences>
    <we:reference id="wa200010725" version="1.0.0.1" store="" storeType="OMEX"/>
  </we:alternateReferences>
  <we:properties>
    <we:property name="claude.fileId" value="&quot;6ed79f14-580a-42e5-aa9e-a1f64a90d3ff&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6D828-F606-4130-9AC6-A4ECA5C4FA93}">
  <dimension ref="A1:P2235"/>
  <sheetViews>
    <sheetView workbookViewId="0"/>
  </sheetViews>
  <sheetFormatPr defaultRowHeight="14.4" x14ac:dyDescent="0.3"/>
  <sheetData>
    <row r="1" spans="1:16" x14ac:dyDescent="0.3">
      <c r="A1" t="s">
        <v>3419</v>
      </c>
      <c r="B1" t="s">
        <v>3347</v>
      </c>
      <c r="C1" t="s">
        <v>3348</v>
      </c>
      <c r="D1" t="s">
        <v>3349</v>
      </c>
      <c r="E1" t="s">
        <v>1061</v>
      </c>
      <c r="F1" t="s">
        <v>3350</v>
      </c>
      <c r="G1" t="s">
        <v>3351</v>
      </c>
      <c r="H1" t="s">
        <v>3352</v>
      </c>
      <c r="I1" t="s">
        <v>3353</v>
      </c>
      <c r="J1" t="s">
        <v>3354</v>
      </c>
      <c r="K1" t="s">
        <v>3355</v>
      </c>
      <c r="L1" t="s">
        <v>3356</v>
      </c>
      <c r="M1" t="s">
        <v>3357</v>
      </c>
      <c r="N1" t="s">
        <v>3358</v>
      </c>
      <c r="O1" t="s">
        <v>1163</v>
      </c>
      <c r="P1" t="s">
        <v>3359</v>
      </c>
    </row>
    <row r="2" spans="1:16" x14ac:dyDescent="0.3">
      <c r="A2" t="s">
        <v>621</v>
      </c>
      <c r="B2" t="s">
        <v>3360</v>
      </c>
      <c r="F2" t="s">
        <v>3361</v>
      </c>
      <c r="G2" t="s">
        <v>2746</v>
      </c>
      <c r="I2" t="s">
        <v>10</v>
      </c>
      <c r="J2" t="s">
        <v>3362</v>
      </c>
      <c r="K2" t="s">
        <v>1661</v>
      </c>
      <c r="L2" t="s">
        <v>3363</v>
      </c>
      <c r="M2" t="s">
        <v>3364</v>
      </c>
      <c r="N2" t="s">
        <v>3365</v>
      </c>
      <c r="O2" t="s">
        <v>3366</v>
      </c>
      <c r="P2" t="s">
        <v>3367</v>
      </c>
    </row>
    <row r="3" spans="1:16" x14ac:dyDescent="0.3">
      <c r="A3" t="s">
        <v>622</v>
      </c>
      <c r="B3" t="s">
        <v>3360</v>
      </c>
      <c r="F3" t="s">
        <v>3361</v>
      </c>
      <c r="G3" t="s">
        <v>2746</v>
      </c>
      <c r="I3" t="s">
        <v>10</v>
      </c>
      <c r="J3" t="s">
        <v>3362</v>
      </c>
      <c r="K3" t="s">
        <v>1661</v>
      </c>
      <c r="L3" t="s">
        <v>3363</v>
      </c>
      <c r="M3" t="s">
        <v>3364</v>
      </c>
      <c r="N3" t="s">
        <v>3365</v>
      </c>
      <c r="O3" t="s">
        <v>3366</v>
      </c>
      <c r="P3" t="s">
        <v>3367</v>
      </c>
    </row>
    <row r="4" spans="1:16" x14ac:dyDescent="0.3">
      <c r="A4" t="s">
        <v>623</v>
      </c>
      <c r="B4" t="s">
        <v>3360</v>
      </c>
      <c r="F4" t="s">
        <v>3361</v>
      </c>
      <c r="G4" t="s">
        <v>2746</v>
      </c>
      <c r="I4" t="s">
        <v>10</v>
      </c>
      <c r="J4" t="s">
        <v>3362</v>
      </c>
      <c r="K4" t="s">
        <v>1661</v>
      </c>
      <c r="L4" t="s">
        <v>3363</v>
      </c>
      <c r="M4" t="s">
        <v>3364</v>
      </c>
      <c r="N4" t="s">
        <v>3365</v>
      </c>
      <c r="O4" t="s">
        <v>3366</v>
      </c>
      <c r="P4" t="s">
        <v>3367</v>
      </c>
    </row>
    <row r="5" spans="1:16" x14ac:dyDescent="0.3">
      <c r="A5" t="s">
        <v>624</v>
      </c>
      <c r="B5" t="s">
        <v>3360</v>
      </c>
      <c r="F5" t="s">
        <v>3361</v>
      </c>
      <c r="G5" t="s">
        <v>2746</v>
      </c>
      <c r="I5" t="s">
        <v>10</v>
      </c>
      <c r="J5" t="s">
        <v>3362</v>
      </c>
      <c r="K5" t="s">
        <v>1661</v>
      </c>
      <c r="L5" t="s">
        <v>3363</v>
      </c>
      <c r="M5" t="s">
        <v>3364</v>
      </c>
      <c r="N5" t="s">
        <v>3365</v>
      </c>
      <c r="O5" t="s">
        <v>3366</v>
      </c>
      <c r="P5" t="s">
        <v>3367</v>
      </c>
    </row>
    <row r="6" spans="1:16" x14ac:dyDescent="0.3">
      <c r="A6" t="s">
        <v>625</v>
      </c>
      <c r="B6" t="s">
        <v>3360</v>
      </c>
      <c r="F6" t="s">
        <v>3361</v>
      </c>
      <c r="G6" t="s">
        <v>2746</v>
      </c>
      <c r="I6" t="s">
        <v>10</v>
      </c>
      <c r="J6" t="s">
        <v>3362</v>
      </c>
      <c r="K6" t="s">
        <v>1661</v>
      </c>
      <c r="L6" t="s">
        <v>3363</v>
      </c>
      <c r="M6" t="s">
        <v>3364</v>
      </c>
      <c r="N6" t="s">
        <v>3365</v>
      </c>
      <c r="O6" t="s">
        <v>3366</v>
      </c>
      <c r="P6" t="s">
        <v>3367</v>
      </c>
    </row>
    <row r="7" spans="1:16" x14ac:dyDescent="0.3">
      <c r="A7" t="s">
        <v>626</v>
      </c>
      <c r="B7" t="s">
        <v>3360</v>
      </c>
      <c r="F7" t="s">
        <v>3361</v>
      </c>
      <c r="G7" t="s">
        <v>2746</v>
      </c>
      <c r="I7" t="s">
        <v>10</v>
      </c>
      <c r="J7" t="s">
        <v>3362</v>
      </c>
      <c r="K7" t="s">
        <v>1661</v>
      </c>
      <c r="L7" t="s">
        <v>3363</v>
      </c>
      <c r="M7" t="s">
        <v>3364</v>
      </c>
      <c r="N7" t="s">
        <v>3365</v>
      </c>
      <c r="O7" t="s">
        <v>3366</v>
      </c>
      <c r="P7" t="s">
        <v>3367</v>
      </c>
    </row>
    <row r="8" spans="1:16" x14ac:dyDescent="0.3">
      <c r="A8" t="s">
        <v>357</v>
      </c>
      <c r="B8" t="s">
        <v>3360</v>
      </c>
      <c r="F8" t="s">
        <v>3361</v>
      </c>
      <c r="G8" t="s">
        <v>2746</v>
      </c>
      <c r="I8" t="s">
        <v>10</v>
      </c>
      <c r="J8" t="s">
        <v>3362</v>
      </c>
      <c r="K8" t="s">
        <v>1661</v>
      </c>
      <c r="L8" t="s">
        <v>3363</v>
      </c>
      <c r="M8" t="s">
        <v>3364</v>
      </c>
      <c r="N8" t="s">
        <v>3365</v>
      </c>
      <c r="O8" t="s">
        <v>3366</v>
      </c>
      <c r="P8" t="s">
        <v>3367</v>
      </c>
    </row>
    <row r="9" spans="1:16" x14ac:dyDescent="0.3">
      <c r="A9" t="s">
        <v>627</v>
      </c>
      <c r="B9" t="s">
        <v>3360</v>
      </c>
      <c r="F9" t="s">
        <v>3361</v>
      </c>
      <c r="G9" t="s">
        <v>2746</v>
      </c>
      <c r="I9" t="s">
        <v>10</v>
      </c>
      <c r="J9" t="s">
        <v>3362</v>
      </c>
      <c r="K9" t="s">
        <v>1661</v>
      </c>
      <c r="L9" t="s">
        <v>3363</v>
      </c>
      <c r="M9" t="s">
        <v>3364</v>
      </c>
      <c r="N9" t="s">
        <v>3365</v>
      </c>
      <c r="O9" t="s">
        <v>3366</v>
      </c>
      <c r="P9" t="s">
        <v>3367</v>
      </c>
    </row>
    <row r="10" spans="1:16" x14ac:dyDescent="0.3">
      <c r="A10" t="s">
        <v>628</v>
      </c>
      <c r="B10" t="s">
        <v>3360</v>
      </c>
      <c r="F10" t="s">
        <v>3361</v>
      </c>
      <c r="G10" t="s">
        <v>2746</v>
      </c>
      <c r="I10" t="s">
        <v>10</v>
      </c>
      <c r="J10" t="s">
        <v>3362</v>
      </c>
      <c r="K10" t="s">
        <v>1661</v>
      </c>
      <c r="L10" t="s">
        <v>3363</v>
      </c>
      <c r="M10" t="s">
        <v>3364</v>
      </c>
      <c r="N10" t="s">
        <v>3365</v>
      </c>
      <c r="O10" t="s">
        <v>3366</v>
      </c>
      <c r="P10" t="s">
        <v>3367</v>
      </c>
    </row>
    <row r="11" spans="1:16" x14ac:dyDescent="0.3">
      <c r="A11" t="s">
        <v>629</v>
      </c>
      <c r="B11" t="s">
        <v>3360</v>
      </c>
      <c r="F11" t="s">
        <v>3361</v>
      </c>
      <c r="G11" t="s">
        <v>2746</v>
      </c>
      <c r="I11" t="s">
        <v>10</v>
      </c>
      <c r="J11" t="s">
        <v>3362</v>
      </c>
      <c r="K11" t="s">
        <v>1661</v>
      </c>
      <c r="L11" t="s">
        <v>3363</v>
      </c>
      <c r="M11" t="s">
        <v>3364</v>
      </c>
      <c r="N11" t="s">
        <v>3365</v>
      </c>
      <c r="O11" t="s">
        <v>3366</v>
      </c>
      <c r="P11" t="s">
        <v>3367</v>
      </c>
    </row>
    <row r="12" spans="1:16" x14ac:dyDescent="0.3">
      <c r="A12" t="s">
        <v>630</v>
      </c>
      <c r="B12" t="s">
        <v>3360</v>
      </c>
      <c r="F12" t="s">
        <v>3361</v>
      </c>
      <c r="G12" t="s">
        <v>2746</v>
      </c>
      <c r="I12" t="s">
        <v>10</v>
      </c>
      <c r="J12" t="s">
        <v>3362</v>
      </c>
      <c r="K12" t="s">
        <v>1661</v>
      </c>
      <c r="L12" t="s">
        <v>3363</v>
      </c>
      <c r="M12" t="s">
        <v>3364</v>
      </c>
      <c r="N12" t="s">
        <v>3365</v>
      </c>
      <c r="O12" t="s">
        <v>3366</v>
      </c>
      <c r="P12" t="s">
        <v>3367</v>
      </c>
    </row>
    <row r="13" spans="1:16" x14ac:dyDescent="0.3">
      <c r="A13" t="s">
        <v>631</v>
      </c>
      <c r="B13" t="s">
        <v>3360</v>
      </c>
      <c r="F13" t="s">
        <v>3361</v>
      </c>
      <c r="G13" t="s">
        <v>2746</v>
      </c>
      <c r="I13" t="s">
        <v>10</v>
      </c>
      <c r="J13" t="s">
        <v>3362</v>
      </c>
      <c r="K13" t="s">
        <v>1661</v>
      </c>
      <c r="L13" t="s">
        <v>3363</v>
      </c>
      <c r="M13" t="s">
        <v>3364</v>
      </c>
      <c r="N13" t="s">
        <v>3365</v>
      </c>
      <c r="O13" t="s">
        <v>3366</v>
      </c>
      <c r="P13" t="s">
        <v>3367</v>
      </c>
    </row>
    <row r="14" spans="1:16" x14ac:dyDescent="0.3">
      <c r="A14" t="s">
        <v>632</v>
      </c>
      <c r="B14" t="s">
        <v>3360</v>
      </c>
      <c r="F14" t="s">
        <v>3361</v>
      </c>
      <c r="G14" t="s">
        <v>2746</v>
      </c>
      <c r="I14" t="s">
        <v>10</v>
      </c>
      <c r="J14" t="s">
        <v>3362</v>
      </c>
      <c r="K14" t="s">
        <v>1661</v>
      </c>
      <c r="L14" t="s">
        <v>3363</v>
      </c>
      <c r="M14" t="s">
        <v>3364</v>
      </c>
      <c r="N14" t="s">
        <v>3365</v>
      </c>
      <c r="O14" t="s">
        <v>3366</v>
      </c>
      <c r="P14" t="s">
        <v>3367</v>
      </c>
    </row>
    <row r="15" spans="1:16" x14ac:dyDescent="0.3">
      <c r="A15" t="s">
        <v>633</v>
      </c>
      <c r="B15" t="s">
        <v>3360</v>
      </c>
      <c r="F15" t="s">
        <v>3361</v>
      </c>
      <c r="G15" t="s">
        <v>2746</v>
      </c>
      <c r="I15" t="s">
        <v>10</v>
      </c>
      <c r="J15" t="s">
        <v>3362</v>
      </c>
      <c r="K15" t="s">
        <v>1661</v>
      </c>
      <c r="L15" t="s">
        <v>3363</v>
      </c>
      <c r="M15" t="s">
        <v>3364</v>
      </c>
      <c r="N15" t="s">
        <v>3365</v>
      </c>
      <c r="O15" t="s">
        <v>3366</v>
      </c>
      <c r="P15" t="s">
        <v>3367</v>
      </c>
    </row>
    <row r="16" spans="1:16" x14ac:dyDescent="0.3">
      <c r="A16" t="s">
        <v>634</v>
      </c>
      <c r="B16" t="s">
        <v>3360</v>
      </c>
      <c r="F16" t="s">
        <v>3361</v>
      </c>
      <c r="G16" t="s">
        <v>2746</v>
      </c>
      <c r="I16" t="s">
        <v>10</v>
      </c>
      <c r="J16" t="s">
        <v>3362</v>
      </c>
      <c r="K16" t="s">
        <v>1661</v>
      </c>
      <c r="L16" t="s">
        <v>3363</v>
      </c>
      <c r="M16" t="s">
        <v>3364</v>
      </c>
      <c r="N16" t="s">
        <v>3365</v>
      </c>
      <c r="O16" t="s">
        <v>3366</v>
      </c>
      <c r="P16" t="s">
        <v>3367</v>
      </c>
    </row>
    <row r="17" spans="1:16" x14ac:dyDescent="0.3">
      <c r="A17" t="s">
        <v>635</v>
      </c>
      <c r="B17" t="s">
        <v>3360</v>
      </c>
      <c r="F17" t="s">
        <v>3361</v>
      </c>
      <c r="G17" t="s">
        <v>2746</v>
      </c>
      <c r="I17" t="s">
        <v>10</v>
      </c>
      <c r="J17" t="s">
        <v>3362</v>
      </c>
      <c r="K17" t="s">
        <v>1661</v>
      </c>
      <c r="L17" t="s">
        <v>3363</v>
      </c>
      <c r="M17" t="s">
        <v>3364</v>
      </c>
      <c r="N17" t="s">
        <v>3365</v>
      </c>
      <c r="O17" t="s">
        <v>3366</v>
      </c>
      <c r="P17" t="s">
        <v>3367</v>
      </c>
    </row>
    <row r="18" spans="1:16" x14ac:dyDescent="0.3">
      <c r="A18" t="s">
        <v>636</v>
      </c>
      <c r="B18" t="s">
        <v>3360</v>
      </c>
      <c r="F18" t="s">
        <v>3361</v>
      </c>
      <c r="G18" t="s">
        <v>2746</v>
      </c>
      <c r="I18" t="s">
        <v>10</v>
      </c>
      <c r="J18" t="s">
        <v>3362</v>
      </c>
      <c r="K18" t="s">
        <v>1661</v>
      </c>
      <c r="L18" t="s">
        <v>3363</v>
      </c>
      <c r="M18" t="s">
        <v>3364</v>
      </c>
      <c r="N18" t="s">
        <v>3365</v>
      </c>
      <c r="O18" t="s">
        <v>3366</v>
      </c>
      <c r="P18" t="s">
        <v>3367</v>
      </c>
    </row>
    <row r="19" spans="1:16" x14ac:dyDescent="0.3">
      <c r="A19" t="s">
        <v>637</v>
      </c>
      <c r="B19" t="s">
        <v>3360</v>
      </c>
      <c r="F19" t="s">
        <v>3361</v>
      </c>
      <c r="G19" t="s">
        <v>2746</v>
      </c>
      <c r="I19" t="s">
        <v>10</v>
      </c>
      <c r="J19" t="s">
        <v>3362</v>
      </c>
      <c r="K19" t="s">
        <v>1661</v>
      </c>
      <c r="L19" t="s">
        <v>3363</v>
      </c>
      <c r="M19" t="s">
        <v>3364</v>
      </c>
      <c r="N19" t="s">
        <v>3365</v>
      </c>
      <c r="O19" t="s">
        <v>3366</v>
      </c>
      <c r="P19" t="s">
        <v>3367</v>
      </c>
    </row>
    <row r="20" spans="1:16" x14ac:dyDescent="0.3">
      <c r="A20" t="s">
        <v>638</v>
      </c>
      <c r="B20" t="s">
        <v>3360</v>
      </c>
      <c r="F20" t="s">
        <v>3361</v>
      </c>
      <c r="G20" t="s">
        <v>2746</v>
      </c>
      <c r="I20" t="s">
        <v>10</v>
      </c>
      <c r="J20" t="s">
        <v>3362</v>
      </c>
      <c r="K20" t="s">
        <v>1661</v>
      </c>
      <c r="L20" t="s">
        <v>3363</v>
      </c>
      <c r="M20" t="s">
        <v>3364</v>
      </c>
      <c r="N20" t="s">
        <v>3365</v>
      </c>
      <c r="O20" t="s">
        <v>3366</v>
      </c>
      <c r="P20" t="s">
        <v>3367</v>
      </c>
    </row>
    <row r="21" spans="1:16" x14ac:dyDescent="0.3">
      <c r="A21" t="s">
        <v>337</v>
      </c>
      <c r="B21" t="s">
        <v>3360</v>
      </c>
      <c r="F21" t="s">
        <v>3361</v>
      </c>
      <c r="G21" t="s">
        <v>2746</v>
      </c>
      <c r="I21" t="s">
        <v>10</v>
      </c>
      <c r="J21" t="s">
        <v>3362</v>
      </c>
      <c r="K21" t="s">
        <v>1661</v>
      </c>
      <c r="L21" t="s">
        <v>3363</v>
      </c>
      <c r="M21" t="s">
        <v>3364</v>
      </c>
      <c r="N21" t="s">
        <v>3365</v>
      </c>
      <c r="O21" t="s">
        <v>3366</v>
      </c>
      <c r="P21" t="s">
        <v>3367</v>
      </c>
    </row>
    <row r="22" spans="1:16" x14ac:dyDescent="0.3">
      <c r="A22" t="s">
        <v>360</v>
      </c>
      <c r="B22" t="s">
        <v>3360</v>
      </c>
      <c r="F22" t="s">
        <v>3361</v>
      </c>
      <c r="G22" t="s">
        <v>2746</v>
      </c>
      <c r="I22" t="s">
        <v>10</v>
      </c>
      <c r="J22" t="s">
        <v>3362</v>
      </c>
      <c r="K22" t="s">
        <v>1661</v>
      </c>
      <c r="L22" t="s">
        <v>3363</v>
      </c>
      <c r="M22" t="s">
        <v>3364</v>
      </c>
      <c r="N22" t="s">
        <v>3365</v>
      </c>
      <c r="O22" t="s">
        <v>3366</v>
      </c>
      <c r="P22" t="s">
        <v>3367</v>
      </c>
    </row>
    <row r="23" spans="1:16" x14ac:dyDescent="0.3">
      <c r="A23" t="s">
        <v>639</v>
      </c>
      <c r="B23" t="s">
        <v>3360</v>
      </c>
      <c r="F23" t="s">
        <v>3361</v>
      </c>
      <c r="G23" t="s">
        <v>2746</v>
      </c>
      <c r="I23" t="s">
        <v>10</v>
      </c>
      <c r="J23" t="s">
        <v>3362</v>
      </c>
      <c r="K23" t="s">
        <v>1661</v>
      </c>
      <c r="L23" t="s">
        <v>3363</v>
      </c>
      <c r="M23" t="s">
        <v>3364</v>
      </c>
      <c r="N23" t="s">
        <v>3365</v>
      </c>
      <c r="O23" t="s">
        <v>3366</v>
      </c>
      <c r="P23" t="s">
        <v>3367</v>
      </c>
    </row>
    <row r="24" spans="1:16" x14ac:dyDescent="0.3">
      <c r="A24" t="s">
        <v>640</v>
      </c>
      <c r="B24" t="s">
        <v>3360</v>
      </c>
      <c r="F24" t="s">
        <v>3361</v>
      </c>
      <c r="G24" t="s">
        <v>2746</v>
      </c>
      <c r="I24" t="s">
        <v>10</v>
      </c>
      <c r="J24" t="s">
        <v>3362</v>
      </c>
      <c r="K24" t="s">
        <v>1661</v>
      </c>
      <c r="L24" t="s">
        <v>3363</v>
      </c>
      <c r="M24" t="s">
        <v>3364</v>
      </c>
      <c r="N24" t="s">
        <v>3365</v>
      </c>
      <c r="O24" t="s">
        <v>3366</v>
      </c>
      <c r="P24" t="s">
        <v>3367</v>
      </c>
    </row>
    <row r="25" spans="1:16" x14ac:dyDescent="0.3">
      <c r="A25" t="s">
        <v>641</v>
      </c>
      <c r="B25" t="s">
        <v>3360</v>
      </c>
      <c r="F25" t="s">
        <v>3361</v>
      </c>
      <c r="G25" t="s">
        <v>2746</v>
      </c>
      <c r="I25" t="s">
        <v>10</v>
      </c>
      <c r="J25" t="s">
        <v>3362</v>
      </c>
      <c r="K25" t="s">
        <v>1661</v>
      </c>
      <c r="L25" t="s">
        <v>3363</v>
      </c>
      <c r="M25" t="s">
        <v>3364</v>
      </c>
      <c r="N25" t="s">
        <v>3365</v>
      </c>
      <c r="O25" t="s">
        <v>3366</v>
      </c>
      <c r="P25" t="s">
        <v>3367</v>
      </c>
    </row>
    <row r="26" spans="1:16" x14ac:dyDescent="0.3">
      <c r="A26" t="s">
        <v>642</v>
      </c>
      <c r="B26" t="s">
        <v>3360</v>
      </c>
      <c r="F26" t="s">
        <v>3361</v>
      </c>
      <c r="G26" t="s">
        <v>2746</v>
      </c>
      <c r="I26" t="s">
        <v>10</v>
      </c>
      <c r="J26" t="s">
        <v>3362</v>
      </c>
      <c r="K26" t="s">
        <v>1661</v>
      </c>
      <c r="L26" t="s">
        <v>3363</v>
      </c>
      <c r="M26" t="s">
        <v>3364</v>
      </c>
      <c r="N26" t="s">
        <v>3365</v>
      </c>
      <c r="O26" t="s">
        <v>3366</v>
      </c>
      <c r="P26" t="s">
        <v>3367</v>
      </c>
    </row>
    <row r="27" spans="1:16" x14ac:dyDescent="0.3">
      <c r="A27" t="s">
        <v>627</v>
      </c>
      <c r="B27" t="s">
        <v>3360</v>
      </c>
      <c r="F27" t="s">
        <v>3361</v>
      </c>
      <c r="G27" t="s">
        <v>2746</v>
      </c>
      <c r="I27" t="s">
        <v>10</v>
      </c>
      <c r="J27" t="s">
        <v>3362</v>
      </c>
      <c r="K27" t="s">
        <v>1661</v>
      </c>
      <c r="L27" t="s">
        <v>3363</v>
      </c>
      <c r="M27" t="s">
        <v>3364</v>
      </c>
      <c r="N27" t="s">
        <v>3365</v>
      </c>
      <c r="O27" t="s">
        <v>3366</v>
      </c>
      <c r="P27" t="s">
        <v>3367</v>
      </c>
    </row>
    <row r="28" spans="1:16" x14ac:dyDescent="0.3">
      <c r="A28" t="s">
        <v>643</v>
      </c>
      <c r="B28" t="s">
        <v>3368</v>
      </c>
      <c r="F28" t="s">
        <v>3361</v>
      </c>
      <c r="G28" t="s">
        <v>2746</v>
      </c>
      <c r="I28" t="s">
        <v>12</v>
      </c>
      <c r="J28" t="s">
        <v>3369</v>
      </c>
      <c r="K28" t="s">
        <v>3370</v>
      </c>
      <c r="L28" t="s">
        <v>3371</v>
      </c>
      <c r="M28" t="s">
        <v>3364</v>
      </c>
      <c r="N28" t="s">
        <v>3365</v>
      </c>
      <c r="O28" t="s">
        <v>3366</v>
      </c>
      <c r="P28" t="s">
        <v>3372</v>
      </c>
    </row>
    <row r="29" spans="1:16" x14ac:dyDescent="0.3">
      <c r="A29" t="s">
        <v>644</v>
      </c>
      <c r="B29" t="s">
        <v>3368</v>
      </c>
      <c r="F29" t="s">
        <v>3361</v>
      </c>
      <c r="G29" t="s">
        <v>2746</v>
      </c>
      <c r="I29" t="s">
        <v>12</v>
      </c>
      <c r="J29" t="s">
        <v>3369</v>
      </c>
      <c r="K29" t="s">
        <v>3370</v>
      </c>
      <c r="L29" t="s">
        <v>3371</v>
      </c>
      <c r="M29" t="s">
        <v>3364</v>
      </c>
      <c r="N29" t="s">
        <v>3365</v>
      </c>
      <c r="O29" t="s">
        <v>3366</v>
      </c>
      <c r="P29" t="s">
        <v>3372</v>
      </c>
    </row>
    <row r="30" spans="1:16" x14ac:dyDescent="0.3">
      <c r="A30" t="s">
        <v>645</v>
      </c>
      <c r="B30" t="s">
        <v>3368</v>
      </c>
      <c r="F30" t="s">
        <v>3361</v>
      </c>
      <c r="G30" t="s">
        <v>2746</v>
      </c>
      <c r="I30" t="s">
        <v>12</v>
      </c>
      <c r="J30" t="s">
        <v>3369</v>
      </c>
      <c r="K30" t="s">
        <v>3370</v>
      </c>
      <c r="L30" t="s">
        <v>3371</v>
      </c>
      <c r="M30" t="s">
        <v>3364</v>
      </c>
      <c r="N30" t="s">
        <v>3365</v>
      </c>
      <c r="O30" t="s">
        <v>3366</v>
      </c>
      <c r="P30" t="s">
        <v>3372</v>
      </c>
    </row>
    <row r="31" spans="1:16" x14ac:dyDescent="0.3">
      <c r="A31" t="s">
        <v>646</v>
      </c>
      <c r="B31" t="s">
        <v>3368</v>
      </c>
      <c r="F31" t="s">
        <v>3361</v>
      </c>
      <c r="G31" t="s">
        <v>2746</v>
      </c>
      <c r="I31" t="s">
        <v>12</v>
      </c>
      <c r="J31" t="s">
        <v>3369</v>
      </c>
      <c r="K31" t="s">
        <v>3370</v>
      </c>
      <c r="L31" t="s">
        <v>3371</v>
      </c>
      <c r="M31" t="s">
        <v>3364</v>
      </c>
      <c r="N31" t="s">
        <v>3365</v>
      </c>
      <c r="O31" t="s">
        <v>3366</v>
      </c>
      <c r="P31" t="s">
        <v>3372</v>
      </c>
    </row>
    <row r="32" spans="1:16" x14ac:dyDescent="0.3">
      <c r="A32" t="s">
        <v>647</v>
      </c>
      <c r="B32" t="s">
        <v>3368</v>
      </c>
      <c r="F32" t="s">
        <v>3361</v>
      </c>
      <c r="G32" t="s">
        <v>2746</v>
      </c>
      <c r="I32" t="s">
        <v>12</v>
      </c>
      <c r="J32" t="s">
        <v>3369</v>
      </c>
      <c r="K32" t="s">
        <v>3370</v>
      </c>
      <c r="L32" t="s">
        <v>3371</v>
      </c>
      <c r="M32" t="s">
        <v>3364</v>
      </c>
      <c r="N32" t="s">
        <v>3365</v>
      </c>
      <c r="O32" t="s">
        <v>3366</v>
      </c>
      <c r="P32" t="s">
        <v>3372</v>
      </c>
    </row>
    <row r="33" spans="1:16" x14ac:dyDescent="0.3">
      <c r="A33" t="s">
        <v>648</v>
      </c>
      <c r="B33" t="s">
        <v>3368</v>
      </c>
      <c r="F33" t="s">
        <v>3361</v>
      </c>
      <c r="G33" t="s">
        <v>2746</v>
      </c>
      <c r="I33" t="s">
        <v>12</v>
      </c>
      <c r="J33" t="s">
        <v>3369</v>
      </c>
      <c r="K33" t="s">
        <v>3370</v>
      </c>
      <c r="L33" t="s">
        <v>3371</v>
      </c>
      <c r="M33" t="s">
        <v>3364</v>
      </c>
      <c r="N33" t="s">
        <v>3365</v>
      </c>
      <c r="O33" t="s">
        <v>3366</v>
      </c>
      <c r="P33" t="s">
        <v>3372</v>
      </c>
    </row>
    <row r="34" spans="1:16" x14ac:dyDescent="0.3">
      <c r="A34" t="s">
        <v>649</v>
      </c>
      <c r="B34" t="s">
        <v>3368</v>
      </c>
      <c r="F34" t="s">
        <v>3361</v>
      </c>
      <c r="G34" t="s">
        <v>2746</v>
      </c>
      <c r="I34" t="s">
        <v>12</v>
      </c>
      <c r="J34" t="s">
        <v>3369</v>
      </c>
      <c r="K34" t="s">
        <v>3370</v>
      </c>
      <c r="L34" t="s">
        <v>3371</v>
      </c>
      <c r="M34" t="s">
        <v>3364</v>
      </c>
      <c r="N34" t="s">
        <v>3365</v>
      </c>
      <c r="O34" t="s">
        <v>3366</v>
      </c>
      <c r="P34" t="s">
        <v>3372</v>
      </c>
    </row>
    <row r="35" spans="1:16" x14ac:dyDescent="0.3">
      <c r="A35" t="s">
        <v>650</v>
      </c>
      <c r="B35" t="s">
        <v>3368</v>
      </c>
      <c r="F35" t="s">
        <v>3361</v>
      </c>
      <c r="G35" t="s">
        <v>2746</v>
      </c>
      <c r="I35" t="s">
        <v>12</v>
      </c>
      <c r="J35" t="s">
        <v>3369</v>
      </c>
      <c r="K35" t="s">
        <v>3370</v>
      </c>
      <c r="L35" t="s">
        <v>3371</v>
      </c>
      <c r="M35" t="s">
        <v>3364</v>
      </c>
      <c r="N35" t="s">
        <v>3365</v>
      </c>
      <c r="O35" t="s">
        <v>3366</v>
      </c>
      <c r="P35" t="s">
        <v>3372</v>
      </c>
    </row>
    <row r="36" spans="1:16" x14ac:dyDescent="0.3">
      <c r="A36" t="s">
        <v>651</v>
      </c>
      <c r="B36" t="s">
        <v>3368</v>
      </c>
      <c r="F36" t="s">
        <v>3361</v>
      </c>
      <c r="G36" t="s">
        <v>2746</v>
      </c>
      <c r="I36" t="s">
        <v>12</v>
      </c>
      <c r="J36" t="s">
        <v>3369</v>
      </c>
      <c r="K36" t="s">
        <v>3370</v>
      </c>
      <c r="L36" t="s">
        <v>3371</v>
      </c>
      <c r="M36" t="s">
        <v>3364</v>
      </c>
      <c r="N36" t="s">
        <v>3365</v>
      </c>
      <c r="O36" t="s">
        <v>3366</v>
      </c>
      <c r="P36" t="s">
        <v>3372</v>
      </c>
    </row>
    <row r="37" spans="1:16" x14ac:dyDescent="0.3">
      <c r="A37" t="s">
        <v>652</v>
      </c>
      <c r="B37" t="s">
        <v>3368</v>
      </c>
      <c r="F37" t="s">
        <v>3361</v>
      </c>
      <c r="G37" t="s">
        <v>2746</v>
      </c>
      <c r="I37" t="s">
        <v>12</v>
      </c>
      <c r="J37" t="s">
        <v>3369</v>
      </c>
      <c r="K37" t="s">
        <v>3370</v>
      </c>
      <c r="L37" t="s">
        <v>3371</v>
      </c>
      <c r="M37" t="s">
        <v>3364</v>
      </c>
      <c r="N37" t="s">
        <v>3365</v>
      </c>
      <c r="O37" t="s">
        <v>3366</v>
      </c>
      <c r="P37" t="s">
        <v>3372</v>
      </c>
    </row>
    <row r="38" spans="1:16" x14ac:dyDescent="0.3">
      <c r="A38" t="s">
        <v>653</v>
      </c>
      <c r="B38" t="s">
        <v>3368</v>
      </c>
      <c r="F38" t="s">
        <v>3361</v>
      </c>
      <c r="G38" t="s">
        <v>2746</v>
      </c>
      <c r="I38" t="s">
        <v>12</v>
      </c>
      <c r="J38" t="s">
        <v>3369</v>
      </c>
      <c r="K38" t="s">
        <v>3370</v>
      </c>
      <c r="L38" t="s">
        <v>3371</v>
      </c>
      <c r="M38" t="s">
        <v>3364</v>
      </c>
      <c r="N38" t="s">
        <v>3365</v>
      </c>
      <c r="O38" t="s">
        <v>3366</v>
      </c>
      <c r="P38" t="s">
        <v>3372</v>
      </c>
    </row>
    <row r="39" spans="1:16" x14ac:dyDescent="0.3">
      <c r="A39" t="s">
        <v>654</v>
      </c>
      <c r="B39" t="s">
        <v>3368</v>
      </c>
      <c r="F39" t="s">
        <v>3361</v>
      </c>
      <c r="G39" t="s">
        <v>2746</v>
      </c>
      <c r="I39" t="s">
        <v>12</v>
      </c>
      <c r="J39" t="s">
        <v>3369</v>
      </c>
      <c r="K39" t="s">
        <v>3370</v>
      </c>
      <c r="L39" t="s">
        <v>3371</v>
      </c>
      <c r="M39" t="s">
        <v>3364</v>
      </c>
      <c r="N39" t="s">
        <v>3365</v>
      </c>
      <c r="O39" t="s">
        <v>3366</v>
      </c>
      <c r="P39" t="s">
        <v>3372</v>
      </c>
    </row>
    <row r="40" spans="1:16" x14ac:dyDescent="0.3">
      <c r="A40" t="s">
        <v>655</v>
      </c>
      <c r="B40" t="s">
        <v>3368</v>
      </c>
      <c r="F40" t="s">
        <v>3361</v>
      </c>
      <c r="G40" t="s">
        <v>2746</v>
      </c>
      <c r="I40" t="s">
        <v>12</v>
      </c>
      <c r="J40" t="s">
        <v>3369</v>
      </c>
      <c r="K40" t="s">
        <v>3370</v>
      </c>
      <c r="L40" t="s">
        <v>3371</v>
      </c>
      <c r="M40" t="s">
        <v>3364</v>
      </c>
      <c r="N40" t="s">
        <v>3365</v>
      </c>
      <c r="O40" t="s">
        <v>3366</v>
      </c>
      <c r="P40" t="s">
        <v>3372</v>
      </c>
    </row>
    <row r="41" spans="1:16" x14ac:dyDescent="0.3">
      <c r="A41" t="s">
        <v>656</v>
      </c>
      <c r="B41" t="s">
        <v>3368</v>
      </c>
      <c r="F41" t="s">
        <v>3361</v>
      </c>
      <c r="G41" t="s">
        <v>2746</v>
      </c>
      <c r="I41" t="s">
        <v>12</v>
      </c>
      <c r="J41" t="s">
        <v>3369</v>
      </c>
      <c r="K41" t="s">
        <v>3370</v>
      </c>
      <c r="L41" t="s">
        <v>3371</v>
      </c>
      <c r="M41" t="s">
        <v>3364</v>
      </c>
      <c r="N41" t="s">
        <v>3365</v>
      </c>
      <c r="O41" t="s">
        <v>3366</v>
      </c>
      <c r="P41" t="s">
        <v>3372</v>
      </c>
    </row>
    <row r="42" spans="1:16" x14ac:dyDescent="0.3">
      <c r="A42" t="s">
        <v>657</v>
      </c>
      <c r="B42" t="s">
        <v>3368</v>
      </c>
      <c r="F42" t="s">
        <v>3361</v>
      </c>
      <c r="G42" t="s">
        <v>2746</v>
      </c>
      <c r="I42" t="s">
        <v>12</v>
      </c>
      <c r="J42" t="s">
        <v>3369</v>
      </c>
      <c r="K42" t="s">
        <v>3370</v>
      </c>
      <c r="L42" t="s">
        <v>3371</v>
      </c>
      <c r="M42" t="s">
        <v>3364</v>
      </c>
      <c r="N42" t="s">
        <v>3365</v>
      </c>
      <c r="O42" t="s">
        <v>3366</v>
      </c>
      <c r="P42" t="s">
        <v>3372</v>
      </c>
    </row>
    <row r="43" spans="1:16" x14ac:dyDescent="0.3">
      <c r="A43" t="s">
        <v>658</v>
      </c>
      <c r="B43" t="s">
        <v>3368</v>
      </c>
      <c r="F43" t="s">
        <v>3361</v>
      </c>
      <c r="G43" t="s">
        <v>2746</v>
      </c>
      <c r="I43" t="s">
        <v>12</v>
      </c>
      <c r="J43" t="s">
        <v>3369</v>
      </c>
      <c r="K43" t="s">
        <v>3370</v>
      </c>
      <c r="L43" t="s">
        <v>3371</v>
      </c>
      <c r="M43" t="s">
        <v>3364</v>
      </c>
      <c r="N43" t="s">
        <v>3365</v>
      </c>
      <c r="O43" t="s">
        <v>3366</v>
      </c>
      <c r="P43" t="s">
        <v>3372</v>
      </c>
    </row>
    <row r="44" spans="1:16" x14ac:dyDescent="0.3">
      <c r="A44" t="s">
        <v>659</v>
      </c>
      <c r="B44" t="s">
        <v>3368</v>
      </c>
      <c r="F44" t="s">
        <v>3361</v>
      </c>
      <c r="G44" t="s">
        <v>2746</v>
      </c>
      <c r="I44" t="s">
        <v>12</v>
      </c>
      <c r="J44" t="s">
        <v>3369</v>
      </c>
      <c r="K44" t="s">
        <v>3370</v>
      </c>
      <c r="L44" t="s">
        <v>3371</v>
      </c>
      <c r="M44" t="s">
        <v>3364</v>
      </c>
      <c r="N44" t="s">
        <v>3365</v>
      </c>
      <c r="O44" t="s">
        <v>3366</v>
      </c>
      <c r="P44" t="s">
        <v>3372</v>
      </c>
    </row>
    <row r="45" spans="1:16" x14ac:dyDescent="0.3">
      <c r="A45" t="s">
        <v>660</v>
      </c>
      <c r="B45" t="s">
        <v>3368</v>
      </c>
      <c r="F45" t="s">
        <v>3361</v>
      </c>
      <c r="G45" t="s">
        <v>2746</v>
      </c>
      <c r="I45" t="s">
        <v>12</v>
      </c>
      <c r="J45" t="s">
        <v>3369</v>
      </c>
      <c r="K45" t="s">
        <v>3370</v>
      </c>
      <c r="L45" t="s">
        <v>3371</v>
      </c>
      <c r="M45" t="s">
        <v>3364</v>
      </c>
      <c r="N45" t="s">
        <v>3365</v>
      </c>
      <c r="O45" t="s">
        <v>3366</v>
      </c>
      <c r="P45" t="s">
        <v>3372</v>
      </c>
    </row>
    <row r="46" spans="1:16" x14ac:dyDescent="0.3">
      <c r="A46" t="s">
        <v>661</v>
      </c>
      <c r="B46" t="s">
        <v>3368</v>
      </c>
      <c r="F46" t="s">
        <v>3361</v>
      </c>
      <c r="G46" t="s">
        <v>2746</v>
      </c>
      <c r="I46" t="s">
        <v>12</v>
      </c>
      <c r="J46" t="s">
        <v>3369</v>
      </c>
      <c r="K46" t="s">
        <v>3370</v>
      </c>
      <c r="L46" t="s">
        <v>3371</v>
      </c>
      <c r="M46" t="s">
        <v>3364</v>
      </c>
      <c r="N46" t="s">
        <v>3365</v>
      </c>
      <c r="O46" t="s">
        <v>3366</v>
      </c>
      <c r="P46" t="s">
        <v>3372</v>
      </c>
    </row>
    <row r="47" spans="1:16" x14ac:dyDescent="0.3">
      <c r="A47" t="s">
        <v>662</v>
      </c>
      <c r="B47" t="s">
        <v>3368</v>
      </c>
      <c r="F47" t="s">
        <v>3361</v>
      </c>
      <c r="G47" t="s">
        <v>2746</v>
      </c>
      <c r="I47" t="s">
        <v>12</v>
      </c>
      <c r="J47" t="s">
        <v>3369</v>
      </c>
      <c r="K47" t="s">
        <v>3370</v>
      </c>
      <c r="L47" t="s">
        <v>3371</v>
      </c>
      <c r="M47" t="s">
        <v>3364</v>
      </c>
      <c r="N47" t="s">
        <v>3365</v>
      </c>
      <c r="O47" t="s">
        <v>3366</v>
      </c>
      <c r="P47" t="s">
        <v>3372</v>
      </c>
    </row>
    <row r="48" spans="1:16" x14ac:dyDescent="0.3">
      <c r="A48" t="s">
        <v>663</v>
      </c>
      <c r="B48" t="s">
        <v>3368</v>
      </c>
      <c r="F48" t="s">
        <v>3361</v>
      </c>
      <c r="G48" t="s">
        <v>2746</v>
      </c>
      <c r="I48" t="s">
        <v>12</v>
      </c>
      <c r="J48" t="s">
        <v>3369</v>
      </c>
      <c r="K48" t="s">
        <v>3370</v>
      </c>
      <c r="L48" t="s">
        <v>3371</v>
      </c>
      <c r="M48" t="s">
        <v>3364</v>
      </c>
      <c r="N48" t="s">
        <v>3365</v>
      </c>
      <c r="O48" t="s">
        <v>3366</v>
      </c>
      <c r="P48" t="s">
        <v>3372</v>
      </c>
    </row>
    <row r="49" spans="1:16" x14ac:dyDescent="0.3">
      <c r="A49" t="s">
        <v>664</v>
      </c>
      <c r="B49" t="s">
        <v>3368</v>
      </c>
      <c r="F49" t="s">
        <v>3361</v>
      </c>
      <c r="G49" t="s">
        <v>2746</v>
      </c>
      <c r="I49" t="s">
        <v>12</v>
      </c>
      <c r="J49" t="s">
        <v>3369</v>
      </c>
      <c r="K49" t="s">
        <v>3370</v>
      </c>
      <c r="L49" t="s">
        <v>3371</v>
      </c>
      <c r="M49" t="s">
        <v>3364</v>
      </c>
      <c r="N49" t="s">
        <v>3365</v>
      </c>
      <c r="O49" t="s">
        <v>3366</v>
      </c>
      <c r="P49" t="s">
        <v>3372</v>
      </c>
    </row>
    <row r="50" spans="1:16" x14ac:dyDescent="0.3">
      <c r="A50" t="s">
        <v>665</v>
      </c>
      <c r="B50" t="s">
        <v>3368</v>
      </c>
      <c r="F50" t="s">
        <v>3361</v>
      </c>
      <c r="G50" t="s">
        <v>2746</v>
      </c>
      <c r="I50" t="s">
        <v>12</v>
      </c>
      <c r="J50" t="s">
        <v>3369</v>
      </c>
      <c r="K50" t="s">
        <v>3370</v>
      </c>
      <c r="L50" t="s">
        <v>3371</v>
      </c>
      <c r="M50" t="s">
        <v>3364</v>
      </c>
      <c r="N50" t="s">
        <v>3365</v>
      </c>
      <c r="O50" t="s">
        <v>3366</v>
      </c>
      <c r="P50" t="s">
        <v>3372</v>
      </c>
    </row>
    <row r="51" spans="1:16" x14ac:dyDescent="0.3">
      <c r="A51" t="s">
        <v>666</v>
      </c>
      <c r="B51" t="s">
        <v>3368</v>
      </c>
      <c r="F51" t="s">
        <v>3361</v>
      </c>
      <c r="G51" t="s">
        <v>2746</v>
      </c>
      <c r="I51" t="s">
        <v>12</v>
      </c>
      <c r="J51" t="s">
        <v>3369</v>
      </c>
      <c r="K51" t="s">
        <v>3370</v>
      </c>
      <c r="L51" t="s">
        <v>3371</v>
      </c>
      <c r="M51" t="s">
        <v>3364</v>
      </c>
      <c r="N51" t="s">
        <v>3365</v>
      </c>
      <c r="O51" t="s">
        <v>3366</v>
      </c>
      <c r="P51" t="s">
        <v>3372</v>
      </c>
    </row>
    <row r="52" spans="1:16" x14ac:dyDescent="0.3">
      <c r="A52" t="s">
        <v>667</v>
      </c>
      <c r="B52" t="s">
        <v>3368</v>
      </c>
      <c r="F52" t="s">
        <v>3361</v>
      </c>
      <c r="G52" t="s">
        <v>2746</v>
      </c>
      <c r="I52" t="s">
        <v>12</v>
      </c>
      <c r="J52" t="s">
        <v>3369</v>
      </c>
      <c r="K52" t="s">
        <v>3370</v>
      </c>
      <c r="L52" t="s">
        <v>3371</v>
      </c>
      <c r="M52" t="s">
        <v>3364</v>
      </c>
      <c r="N52" t="s">
        <v>3365</v>
      </c>
      <c r="O52" t="s">
        <v>3366</v>
      </c>
      <c r="P52" t="s">
        <v>3372</v>
      </c>
    </row>
    <row r="53" spans="1:16" x14ac:dyDescent="0.3">
      <c r="A53" t="s">
        <v>668</v>
      </c>
      <c r="B53" t="s">
        <v>3368</v>
      </c>
      <c r="F53" t="s">
        <v>3361</v>
      </c>
      <c r="G53" t="s">
        <v>2746</v>
      </c>
      <c r="I53" t="s">
        <v>12</v>
      </c>
      <c r="J53" t="s">
        <v>3369</v>
      </c>
      <c r="K53" t="s">
        <v>3370</v>
      </c>
      <c r="L53" t="s">
        <v>3371</v>
      </c>
      <c r="M53" t="s">
        <v>3364</v>
      </c>
      <c r="N53" t="s">
        <v>3365</v>
      </c>
      <c r="O53" t="s">
        <v>3366</v>
      </c>
      <c r="P53" t="s">
        <v>3372</v>
      </c>
    </row>
    <row r="54" spans="1:16" x14ac:dyDescent="0.3">
      <c r="A54" t="s">
        <v>795</v>
      </c>
      <c r="B54" t="s">
        <v>3373</v>
      </c>
      <c r="F54" t="s">
        <v>3361</v>
      </c>
      <c r="G54" t="s">
        <v>2746</v>
      </c>
      <c r="I54" t="s">
        <v>16</v>
      </c>
      <c r="J54" t="s">
        <v>3369</v>
      </c>
      <c r="K54" t="s">
        <v>3374</v>
      </c>
      <c r="L54" t="s">
        <v>3375</v>
      </c>
      <c r="M54" t="s">
        <v>3364</v>
      </c>
      <c r="N54" t="s">
        <v>3365</v>
      </c>
      <c r="O54" t="s">
        <v>3376</v>
      </c>
      <c r="P54" t="s">
        <v>3372</v>
      </c>
    </row>
    <row r="55" spans="1:16" x14ac:dyDescent="0.3">
      <c r="A55" t="s">
        <v>796</v>
      </c>
      <c r="B55" t="s">
        <v>3373</v>
      </c>
      <c r="F55" t="s">
        <v>3361</v>
      </c>
      <c r="G55" t="s">
        <v>2746</v>
      </c>
      <c r="I55" t="s">
        <v>16</v>
      </c>
      <c r="J55" t="s">
        <v>3369</v>
      </c>
      <c r="K55" t="s">
        <v>3374</v>
      </c>
      <c r="L55" t="s">
        <v>3375</v>
      </c>
      <c r="M55" t="s">
        <v>3364</v>
      </c>
      <c r="N55" t="s">
        <v>3365</v>
      </c>
      <c r="O55" t="s">
        <v>3376</v>
      </c>
      <c r="P55" t="s">
        <v>3372</v>
      </c>
    </row>
    <row r="56" spans="1:16" x14ac:dyDescent="0.3">
      <c r="A56" t="s">
        <v>797</v>
      </c>
      <c r="B56" t="s">
        <v>3373</v>
      </c>
      <c r="F56" t="s">
        <v>3361</v>
      </c>
      <c r="G56" t="s">
        <v>2746</v>
      </c>
      <c r="I56" t="s">
        <v>16</v>
      </c>
      <c r="J56" t="s">
        <v>3369</v>
      </c>
      <c r="K56" t="s">
        <v>3374</v>
      </c>
      <c r="L56" t="s">
        <v>3375</v>
      </c>
      <c r="M56" t="s">
        <v>3364</v>
      </c>
      <c r="N56" t="s">
        <v>3365</v>
      </c>
      <c r="O56" t="s">
        <v>3377</v>
      </c>
      <c r="P56" t="s">
        <v>3372</v>
      </c>
    </row>
    <row r="57" spans="1:16" x14ac:dyDescent="0.3">
      <c r="A57" t="s">
        <v>798</v>
      </c>
      <c r="B57" t="s">
        <v>3373</v>
      </c>
      <c r="F57" t="s">
        <v>3361</v>
      </c>
      <c r="G57" t="s">
        <v>2746</v>
      </c>
      <c r="I57" t="s">
        <v>16</v>
      </c>
      <c r="J57" t="s">
        <v>3369</v>
      </c>
      <c r="K57" t="s">
        <v>3374</v>
      </c>
      <c r="L57" t="s">
        <v>3375</v>
      </c>
      <c r="M57" t="s">
        <v>3364</v>
      </c>
      <c r="N57" t="s">
        <v>3365</v>
      </c>
      <c r="O57" t="s">
        <v>3376</v>
      </c>
      <c r="P57" t="s">
        <v>3372</v>
      </c>
    </row>
    <row r="58" spans="1:16" x14ac:dyDescent="0.3">
      <c r="A58" t="s">
        <v>799</v>
      </c>
      <c r="B58" t="s">
        <v>3373</v>
      </c>
      <c r="F58" t="s">
        <v>3361</v>
      </c>
      <c r="G58" t="s">
        <v>2746</v>
      </c>
      <c r="I58" t="s">
        <v>16</v>
      </c>
      <c r="J58" t="s">
        <v>3369</v>
      </c>
      <c r="K58" t="s">
        <v>3374</v>
      </c>
      <c r="L58" t="s">
        <v>3375</v>
      </c>
      <c r="M58" t="s">
        <v>3364</v>
      </c>
      <c r="N58" t="s">
        <v>3365</v>
      </c>
      <c r="O58" t="s">
        <v>3376</v>
      </c>
      <c r="P58" t="s">
        <v>3372</v>
      </c>
    </row>
    <row r="59" spans="1:16" x14ac:dyDescent="0.3">
      <c r="A59" t="s">
        <v>800</v>
      </c>
      <c r="B59" t="s">
        <v>3373</v>
      </c>
      <c r="F59" t="s">
        <v>3361</v>
      </c>
      <c r="G59" t="s">
        <v>2746</v>
      </c>
      <c r="I59" t="s">
        <v>16</v>
      </c>
      <c r="J59" t="s">
        <v>3369</v>
      </c>
      <c r="K59" t="s">
        <v>3374</v>
      </c>
      <c r="L59" t="s">
        <v>3375</v>
      </c>
      <c r="M59" t="s">
        <v>3364</v>
      </c>
      <c r="N59" t="s">
        <v>3365</v>
      </c>
      <c r="O59" t="s">
        <v>3376</v>
      </c>
      <c r="P59" t="s">
        <v>3372</v>
      </c>
    </row>
    <row r="60" spans="1:16" x14ac:dyDescent="0.3">
      <c r="A60" t="s">
        <v>801</v>
      </c>
      <c r="B60" t="s">
        <v>3373</v>
      </c>
      <c r="F60" t="s">
        <v>3361</v>
      </c>
      <c r="G60" t="s">
        <v>2746</v>
      </c>
      <c r="I60" t="s">
        <v>16</v>
      </c>
      <c r="J60" t="s">
        <v>3369</v>
      </c>
      <c r="K60" t="s">
        <v>3374</v>
      </c>
      <c r="L60" t="s">
        <v>3375</v>
      </c>
      <c r="M60" t="s">
        <v>3364</v>
      </c>
      <c r="N60" t="s">
        <v>3365</v>
      </c>
      <c r="O60" t="s">
        <v>3376</v>
      </c>
      <c r="P60" t="s">
        <v>3372</v>
      </c>
    </row>
    <row r="61" spans="1:16" x14ac:dyDescent="0.3">
      <c r="A61" t="s">
        <v>802</v>
      </c>
      <c r="B61" t="s">
        <v>3373</v>
      </c>
      <c r="F61" t="s">
        <v>3361</v>
      </c>
      <c r="G61" t="s">
        <v>2746</v>
      </c>
      <c r="I61" t="s">
        <v>16</v>
      </c>
      <c r="J61" t="s">
        <v>3369</v>
      </c>
      <c r="K61" t="s">
        <v>3374</v>
      </c>
      <c r="L61" t="s">
        <v>3375</v>
      </c>
      <c r="M61" t="s">
        <v>3364</v>
      </c>
      <c r="N61" t="s">
        <v>3365</v>
      </c>
      <c r="O61" t="s">
        <v>3376</v>
      </c>
      <c r="P61" t="s">
        <v>3372</v>
      </c>
    </row>
    <row r="62" spans="1:16" x14ac:dyDescent="0.3">
      <c r="A62" t="s">
        <v>803</v>
      </c>
      <c r="B62" t="s">
        <v>3373</v>
      </c>
      <c r="F62" t="s">
        <v>3361</v>
      </c>
      <c r="G62" t="s">
        <v>2746</v>
      </c>
      <c r="I62" t="s">
        <v>16</v>
      </c>
      <c r="J62" t="s">
        <v>3369</v>
      </c>
      <c r="K62" t="s">
        <v>3374</v>
      </c>
      <c r="L62" t="s">
        <v>3375</v>
      </c>
      <c r="M62" t="s">
        <v>3364</v>
      </c>
      <c r="N62" t="s">
        <v>3365</v>
      </c>
      <c r="O62" t="s">
        <v>3376</v>
      </c>
      <c r="P62" t="s">
        <v>3372</v>
      </c>
    </row>
    <row r="63" spans="1:16" x14ac:dyDescent="0.3">
      <c r="A63" t="s">
        <v>804</v>
      </c>
      <c r="B63" t="s">
        <v>3373</v>
      </c>
      <c r="F63" t="s">
        <v>3361</v>
      </c>
      <c r="G63" t="s">
        <v>2746</v>
      </c>
      <c r="I63" t="s">
        <v>16</v>
      </c>
      <c r="J63" t="s">
        <v>3369</v>
      </c>
      <c r="K63" t="s">
        <v>3374</v>
      </c>
      <c r="L63" t="s">
        <v>3375</v>
      </c>
      <c r="M63" t="s">
        <v>3364</v>
      </c>
      <c r="N63" t="s">
        <v>3365</v>
      </c>
      <c r="O63" t="s">
        <v>3376</v>
      </c>
      <c r="P63" t="s">
        <v>3372</v>
      </c>
    </row>
    <row r="64" spans="1:16" x14ac:dyDescent="0.3">
      <c r="A64" t="s">
        <v>805</v>
      </c>
      <c r="B64" t="s">
        <v>3373</v>
      </c>
      <c r="F64" t="s">
        <v>3361</v>
      </c>
      <c r="G64" t="s">
        <v>2746</v>
      </c>
      <c r="I64" t="s">
        <v>16</v>
      </c>
      <c r="J64" t="s">
        <v>3369</v>
      </c>
      <c r="K64" t="s">
        <v>3374</v>
      </c>
      <c r="L64" t="s">
        <v>3375</v>
      </c>
      <c r="M64" t="s">
        <v>3364</v>
      </c>
      <c r="N64" t="s">
        <v>3365</v>
      </c>
      <c r="O64" t="s">
        <v>3376</v>
      </c>
      <c r="P64" t="s">
        <v>3372</v>
      </c>
    </row>
    <row r="65" spans="1:16" x14ac:dyDescent="0.3">
      <c r="A65" t="s">
        <v>806</v>
      </c>
      <c r="B65" t="s">
        <v>3373</v>
      </c>
      <c r="F65" t="s">
        <v>3361</v>
      </c>
      <c r="G65" t="s">
        <v>2746</v>
      </c>
      <c r="I65" t="s">
        <v>16</v>
      </c>
      <c r="J65" t="s">
        <v>3369</v>
      </c>
      <c r="K65" t="s">
        <v>3374</v>
      </c>
      <c r="L65" t="s">
        <v>3375</v>
      </c>
      <c r="M65" t="s">
        <v>3364</v>
      </c>
      <c r="N65" t="s">
        <v>3365</v>
      </c>
      <c r="O65" t="s">
        <v>3376</v>
      </c>
      <c r="P65" t="s">
        <v>3372</v>
      </c>
    </row>
    <row r="66" spans="1:16" x14ac:dyDescent="0.3">
      <c r="A66" t="s">
        <v>807</v>
      </c>
      <c r="B66" t="s">
        <v>3373</v>
      </c>
      <c r="F66" t="s">
        <v>3361</v>
      </c>
      <c r="G66" t="s">
        <v>2746</v>
      </c>
      <c r="I66" t="s">
        <v>16</v>
      </c>
      <c r="J66" t="s">
        <v>3369</v>
      </c>
      <c r="K66" t="s">
        <v>3374</v>
      </c>
      <c r="L66" t="s">
        <v>3375</v>
      </c>
      <c r="M66" t="s">
        <v>3364</v>
      </c>
      <c r="N66" t="s">
        <v>3365</v>
      </c>
      <c r="O66" t="s">
        <v>3376</v>
      </c>
      <c r="P66" t="s">
        <v>3372</v>
      </c>
    </row>
    <row r="67" spans="1:16" x14ac:dyDescent="0.3">
      <c r="A67" t="s">
        <v>808</v>
      </c>
      <c r="B67" t="s">
        <v>3378</v>
      </c>
      <c r="F67" t="s">
        <v>3361</v>
      </c>
      <c r="G67" t="s">
        <v>2746</v>
      </c>
      <c r="I67" t="s">
        <v>17</v>
      </c>
      <c r="J67" t="s">
        <v>3369</v>
      </c>
      <c r="K67" t="s">
        <v>3370</v>
      </c>
      <c r="L67" t="s">
        <v>3371</v>
      </c>
      <c r="M67" t="s">
        <v>3364</v>
      </c>
      <c r="N67" t="s">
        <v>3365</v>
      </c>
      <c r="O67" t="s">
        <v>3366</v>
      </c>
      <c r="P67" t="s">
        <v>3372</v>
      </c>
    </row>
    <row r="68" spans="1:16" x14ac:dyDescent="0.3">
      <c r="A68" t="s">
        <v>644</v>
      </c>
      <c r="B68" t="s">
        <v>3378</v>
      </c>
      <c r="F68" t="s">
        <v>3361</v>
      </c>
      <c r="G68" t="s">
        <v>2746</v>
      </c>
      <c r="I68" t="s">
        <v>17</v>
      </c>
      <c r="J68" t="s">
        <v>3369</v>
      </c>
      <c r="K68" t="s">
        <v>3370</v>
      </c>
      <c r="L68" t="s">
        <v>3371</v>
      </c>
      <c r="M68" t="s">
        <v>3364</v>
      </c>
      <c r="N68" t="s">
        <v>3365</v>
      </c>
      <c r="O68" t="s">
        <v>3366</v>
      </c>
      <c r="P68" t="s">
        <v>3372</v>
      </c>
    </row>
    <row r="69" spans="1:16" x14ac:dyDescent="0.3">
      <c r="A69" t="s">
        <v>651</v>
      </c>
      <c r="B69" t="s">
        <v>3378</v>
      </c>
      <c r="F69" t="s">
        <v>3361</v>
      </c>
      <c r="G69" t="s">
        <v>2746</v>
      </c>
      <c r="I69" t="s">
        <v>17</v>
      </c>
      <c r="J69" t="s">
        <v>3369</v>
      </c>
      <c r="K69" t="s">
        <v>3370</v>
      </c>
      <c r="L69" t="s">
        <v>3371</v>
      </c>
      <c r="M69" t="s">
        <v>3364</v>
      </c>
      <c r="N69" t="s">
        <v>3365</v>
      </c>
      <c r="O69" t="s">
        <v>3366</v>
      </c>
      <c r="P69" t="s">
        <v>3372</v>
      </c>
    </row>
    <row r="70" spans="1:16" x14ac:dyDescent="0.3">
      <c r="A70" t="s">
        <v>809</v>
      </c>
      <c r="B70" t="s">
        <v>3378</v>
      </c>
      <c r="F70" t="s">
        <v>3361</v>
      </c>
      <c r="G70" t="s">
        <v>2746</v>
      </c>
      <c r="I70" t="s">
        <v>17</v>
      </c>
      <c r="J70" t="s">
        <v>3369</v>
      </c>
      <c r="K70" t="s">
        <v>3370</v>
      </c>
      <c r="L70" t="s">
        <v>3371</v>
      </c>
      <c r="M70" t="s">
        <v>3364</v>
      </c>
      <c r="N70" t="s">
        <v>3365</v>
      </c>
      <c r="O70" t="s">
        <v>3366</v>
      </c>
      <c r="P70" t="s">
        <v>3372</v>
      </c>
    </row>
    <row r="71" spans="1:16" x14ac:dyDescent="0.3">
      <c r="A71" t="s">
        <v>645</v>
      </c>
      <c r="B71" t="s">
        <v>3378</v>
      </c>
      <c r="F71" t="s">
        <v>3361</v>
      </c>
      <c r="G71" t="s">
        <v>2746</v>
      </c>
      <c r="I71" t="s">
        <v>17</v>
      </c>
      <c r="J71" t="s">
        <v>3369</v>
      </c>
      <c r="K71" t="s">
        <v>3370</v>
      </c>
      <c r="L71" t="s">
        <v>3371</v>
      </c>
      <c r="M71" t="s">
        <v>3364</v>
      </c>
      <c r="N71" t="s">
        <v>3365</v>
      </c>
      <c r="O71" t="s">
        <v>3366</v>
      </c>
      <c r="P71" t="s">
        <v>3372</v>
      </c>
    </row>
    <row r="72" spans="1:16" x14ac:dyDescent="0.3">
      <c r="A72" t="s">
        <v>810</v>
      </c>
      <c r="B72" t="s">
        <v>3378</v>
      </c>
      <c r="F72" t="s">
        <v>3361</v>
      </c>
      <c r="G72" t="s">
        <v>2746</v>
      </c>
      <c r="I72" t="s">
        <v>17</v>
      </c>
      <c r="J72" t="s">
        <v>3369</v>
      </c>
      <c r="K72" t="s">
        <v>3370</v>
      </c>
      <c r="L72" t="s">
        <v>3371</v>
      </c>
      <c r="M72" t="s">
        <v>3364</v>
      </c>
      <c r="N72" t="s">
        <v>3365</v>
      </c>
      <c r="O72" t="s">
        <v>3366</v>
      </c>
      <c r="P72" t="s">
        <v>3372</v>
      </c>
    </row>
    <row r="73" spans="1:16" x14ac:dyDescent="0.3">
      <c r="A73" t="s">
        <v>643</v>
      </c>
      <c r="B73" t="s">
        <v>3378</v>
      </c>
      <c r="F73" t="s">
        <v>3361</v>
      </c>
      <c r="G73" t="s">
        <v>2746</v>
      </c>
      <c r="I73" t="s">
        <v>17</v>
      </c>
      <c r="J73" t="s">
        <v>3369</v>
      </c>
      <c r="K73" t="s">
        <v>3370</v>
      </c>
      <c r="L73" t="s">
        <v>3371</v>
      </c>
      <c r="M73" t="s">
        <v>3364</v>
      </c>
      <c r="N73" t="s">
        <v>3365</v>
      </c>
      <c r="O73" t="s">
        <v>3366</v>
      </c>
      <c r="P73" t="s">
        <v>3372</v>
      </c>
    </row>
    <row r="74" spans="1:16" x14ac:dyDescent="0.3">
      <c r="A74" t="s">
        <v>811</v>
      </c>
      <c r="B74" t="s">
        <v>3378</v>
      </c>
      <c r="F74" t="s">
        <v>3361</v>
      </c>
      <c r="G74" t="s">
        <v>2746</v>
      </c>
      <c r="I74" t="s">
        <v>17</v>
      </c>
      <c r="J74" t="s">
        <v>3369</v>
      </c>
      <c r="K74" t="s">
        <v>3370</v>
      </c>
      <c r="L74" t="s">
        <v>3371</v>
      </c>
      <c r="M74" t="s">
        <v>3364</v>
      </c>
      <c r="N74" t="s">
        <v>3365</v>
      </c>
      <c r="O74" t="s">
        <v>3366</v>
      </c>
      <c r="P74" t="s">
        <v>3372</v>
      </c>
    </row>
    <row r="75" spans="1:16" x14ac:dyDescent="0.3">
      <c r="A75" t="s">
        <v>812</v>
      </c>
      <c r="B75" t="s">
        <v>3378</v>
      </c>
      <c r="F75" t="s">
        <v>3361</v>
      </c>
      <c r="G75" t="s">
        <v>2746</v>
      </c>
      <c r="I75" t="s">
        <v>17</v>
      </c>
      <c r="J75" t="s">
        <v>3369</v>
      </c>
      <c r="K75" t="s">
        <v>3370</v>
      </c>
      <c r="L75" t="s">
        <v>3371</v>
      </c>
      <c r="M75" t="s">
        <v>3364</v>
      </c>
      <c r="N75" t="s">
        <v>3365</v>
      </c>
      <c r="O75" t="s">
        <v>3366</v>
      </c>
      <c r="P75" t="s">
        <v>3372</v>
      </c>
    </row>
    <row r="76" spans="1:16" x14ac:dyDescent="0.3">
      <c r="A76" t="s">
        <v>813</v>
      </c>
      <c r="B76" t="s">
        <v>3378</v>
      </c>
      <c r="F76" t="s">
        <v>3361</v>
      </c>
      <c r="G76" t="s">
        <v>2746</v>
      </c>
      <c r="I76" t="s">
        <v>17</v>
      </c>
      <c r="J76" t="s">
        <v>3369</v>
      </c>
      <c r="K76" t="s">
        <v>3370</v>
      </c>
      <c r="L76" t="s">
        <v>3371</v>
      </c>
      <c r="M76" t="s">
        <v>3364</v>
      </c>
      <c r="N76" t="s">
        <v>3365</v>
      </c>
      <c r="O76" t="s">
        <v>3366</v>
      </c>
      <c r="P76" t="s">
        <v>3372</v>
      </c>
    </row>
    <row r="77" spans="1:16" x14ac:dyDescent="0.3">
      <c r="A77" t="s">
        <v>814</v>
      </c>
      <c r="B77" t="s">
        <v>3378</v>
      </c>
      <c r="F77" t="s">
        <v>3361</v>
      </c>
      <c r="G77" t="s">
        <v>2746</v>
      </c>
      <c r="I77" t="s">
        <v>17</v>
      </c>
      <c r="J77" t="s">
        <v>3369</v>
      </c>
      <c r="K77" t="s">
        <v>3370</v>
      </c>
      <c r="L77" t="s">
        <v>3371</v>
      </c>
      <c r="M77" t="s">
        <v>3364</v>
      </c>
      <c r="N77" t="s">
        <v>3365</v>
      </c>
      <c r="O77" t="s">
        <v>3366</v>
      </c>
      <c r="P77" t="s">
        <v>3372</v>
      </c>
    </row>
    <row r="78" spans="1:16" x14ac:dyDescent="0.3">
      <c r="A78" t="s">
        <v>648</v>
      </c>
      <c r="B78" t="s">
        <v>3378</v>
      </c>
      <c r="F78" t="s">
        <v>3361</v>
      </c>
      <c r="G78" t="s">
        <v>2746</v>
      </c>
      <c r="I78" t="s">
        <v>17</v>
      </c>
      <c r="J78" t="s">
        <v>3369</v>
      </c>
      <c r="K78" t="s">
        <v>3370</v>
      </c>
      <c r="L78" t="s">
        <v>3371</v>
      </c>
      <c r="M78" t="s">
        <v>3364</v>
      </c>
      <c r="N78" t="s">
        <v>3365</v>
      </c>
      <c r="O78" t="s">
        <v>3366</v>
      </c>
      <c r="P78" t="s">
        <v>3372</v>
      </c>
    </row>
    <row r="79" spans="1:16" x14ac:dyDescent="0.3">
      <c r="A79" t="s">
        <v>815</v>
      </c>
      <c r="B79" t="s">
        <v>3378</v>
      </c>
      <c r="F79" t="s">
        <v>3361</v>
      </c>
      <c r="G79" t="s">
        <v>2746</v>
      </c>
      <c r="I79" t="s">
        <v>17</v>
      </c>
      <c r="J79" t="s">
        <v>3369</v>
      </c>
      <c r="K79" t="s">
        <v>3370</v>
      </c>
      <c r="L79" t="s">
        <v>3371</v>
      </c>
      <c r="M79" t="s">
        <v>3364</v>
      </c>
      <c r="N79" t="s">
        <v>3365</v>
      </c>
      <c r="O79" t="s">
        <v>3366</v>
      </c>
      <c r="P79" t="s">
        <v>3372</v>
      </c>
    </row>
    <row r="80" spans="1:16" x14ac:dyDescent="0.3">
      <c r="A80" t="s">
        <v>816</v>
      </c>
      <c r="B80" t="s">
        <v>3379</v>
      </c>
      <c r="F80" t="s">
        <v>3361</v>
      </c>
      <c r="G80" t="s">
        <v>2746</v>
      </c>
      <c r="I80" t="s">
        <v>18</v>
      </c>
      <c r="J80" t="s">
        <v>3369</v>
      </c>
      <c r="K80" t="s">
        <v>605</v>
      </c>
      <c r="L80" t="s">
        <v>3375</v>
      </c>
      <c r="M80" t="s">
        <v>3364</v>
      </c>
      <c r="N80" t="s">
        <v>3365</v>
      </c>
      <c r="O80" t="s">
        <v>3366</v>
      </c>
      <c r="P80" t="s">
        <v>3372</v>
      </c>
    </row>
    <row r="81" spans="1:16" x14ac:dyDescent="0.3">
      <c r="A81" t="s">
        <v>817</v>
      </c>
      <c r="B81" t="s">
        <v>3379</v>
      </c>
      <c r="F81" t="s">
        <v>3361</v>
      </c>
      <c r="G81" t="s">
        <v>2746</v>
      </c>
      <c r="I81" t="s">
        <v>18</v>
      </c>
      <c r="J81" t="s">
        <v>3369</v>
      </c>
      <c r="K81" t="s">
        <v>605</v>
      </c>
      <c r="L81" t="s">
        <v>3375</v>
      </c>
      <c r="M81" t="s">
        <v>3364</v>
      </c>
      <c r="N81" t="s">
        <v>3365</v>
      </c>
      <c r="O81" t="s">
        <v>3366</v>
      </c>
      <c r="P81" t="s">
        <v>3372</v>
      </c>
    </row>
    <row r="82" spans="1:16" x14ac:dyDescent="0.3">
      <c r="A82" t="s">
        <v>818</v>
      </c>
      <c r="B82" t="s">
        <v>3379</v>
      </c>
      <c r="F82" t="s">
        <v>3361</v>
      </c>
      <c r="G82" t="s">
        <v>2746</v>
      </c>
      <c r="I82" t="s">
        <v>18</v>
      </c>
      <c r="J82" t="s">
        <v>3369</v>
      </c>
      <c r="K82" t="s">
        <v>605</v>
      </c>
      <c r="L82" t="s">
        <v>3375</v>
      </c>
      <c r="M82" t="s">
        <v>3364</v>
      </c>
      <c r="N82" t="s">
        <v>3365</v>
      </c>
      <c r="O82" t="s">
        <v>3366</v>
      </c>
      <c r="P82" t="s">
        <v>3372</v>
      </c>
    </row>
    <row r="83" spans="1:16" x14ac:dyDescent="0.3">
      <c r="A83" t="s">
        <v>819</v>
      </c>
      <c r="B83" t="s">
        <v>3379</v>
      </c>
      <c r="F83" t="s">
        <v>3361</v>
      </c>
      <c r="G83" t="s">
        <v>2746</v>
      </c>
      <c r="I83" t="s">
        <v>18</v>
      </c>
      <c r="J83" t="s">
        <v>3369</v>
      </c>
      <c r="K83" t="s">
        <v>605</v>
      </c>
      <c r="L83" t="s">
        <v>3375</v>
      </c>
      <c r="M83" t="s">
        <v>3364</v>
      </c>
      <c r="N83" t="s">
        <v>3365</v>
      </c>
      <c r="O83" t="s">
        <v>3366</v>
      </c>
      <c r="P83" t="s">
        <v>3372</v>
      </c>
    </row>
    <row r="84" spans="1:16" x14ac:dyDescent="0.3">
      <c r="A84" t="s">
        <v>820</v>
      </c>
      <c r="B84" t="s">
        <v>3379</v>
      </c>
      <c r="F84" t="s">
        <v>3361</v>
      </c>
      <c r="G84" t="s">
        <v>2746</v>
      </c>
      <c r="I84" t="s">
        <v>18</v>
      </c>
      <c r="J84" t="s">
        <v>3369</v>
      </c>
      <c r="K84" t="s">
        <v>605</v>
      </c>
      <c r="L84" t="s">
        <v>3375</v>
      </c>
      <c r="M84" t="s">
        <v>3364</v>
      </c>
      <c r="N84" t="s">
        <v>3365</v>
      </c>
      <c r="O84" t="s">
        <v>3366</v>
      </c>
      <c r="P84" t="s">
        <v>3372</v>
      </c>
    </row>
    <row r="85" spans="1:16" x14ac:dyDescent="0.3">
      <c r="A85" t="s">
        <v>821</v>
      </c>
      <c r="B85" t="s">
        <v>3379</v>
      </c>
      <c r="F85" t="s">
        <v>3361</v>
      </c>
      <c r="G85" t="s">
        <v>2746</v>
      </c>
      <c r="I85" t="s">
        <v>18</v>
      </c>
      <c r="J85" t="s">
        <v>3369</v>
      </c>
      <c r="K85" t="s">
        <v>605</v>
      </c>
      <c r="L85" t="s">
        <v>3375</v>
      </c>
      <c r="M85" t="s">
        <v>3364</v>
      </c>
      <c r="N85" t="s">
        <v>3365</v>
      </c>
      <c r="O85" t="s">
        <v>3366</v>
      </c>
      <c r="P85" t="s">
        <v>3372</v>
      </c>
    </row>
    <row r="86" spans="1:16" x14ac:dyDescent="0.3">
      <c r="A86" t="s">
        <v>822</v>
      </c>
      <c r="B86" t="s">
        <v>3379</v>
      </c>
      <c r="F86" t="s">
        <v>3361</v>
      </c>
      <c r="G86" t="s">
        <v>2746</v>
      </c>
      <c r="I86" t="s">
        <v>18</v>
      </c>
      <c r="J86" t="s">
        <v>3369</v>
      </c>
      <c r="K86" t="s">
        <v>605</v>
      </c>
      <c r="L86" t="s">
        <v>3375</v>
      </c>
      <c r="M86" t="s">
        <v>3364</v>
      </c>
      <c r="N86" t="s">
        <v>3365</v>
      </c>
      <c r="O86" t="s">
        <v>3366</v>
      </c>
      <c r="P86" t="s">
        <v>3372</v>
      </c>
    </row>
    <row r="87" spans="1:16" x14ac:dyDescent="0.3">
      <c r="A87" t="s">
        <v>823</v>
      </c>
      <c r="B87" t="s">
        <v>3379</v>
      </c>
      <c r="F87" t="s">
        <v>3361</v>
      </c>
      <c r="G87" t="s">
        <v>2746</v>
      </c>
      <c r="I87" t="s">
        <v>18</v>
      </c>
      <c r="J87" t="s">
        <v>3369</v>
      </c>
      <c r="K87" t="s">
        <v>605</v>
      </c>
      <c r="L87" t="s">
        <v>3375</v>
      </c>
      <c r="M87" t="s">
        <v>3364</v>
      </c>
      <c r="N87" t="s">
        <v>3365</v>
      </c>
      <c r="O87" t="s">
        <v>3366</v>
      </c>
      <c r="P87" t="s">
        <v>3372</v>
      </c>
    </row>
    <row r="88" spans="1:16" x14ac:dyDescent="0.3">
      <c r="A88" t="s">
        <v>824</v>
      </c>
      <c r="B88" t="s">
        <v>3379</v>
      </c>
      <c r="F88" t="s">
        <v>3361</v>
      </c>
      <c r="G88" t="s">
        <v>2746</v>
      </c>
      <c r="I88" t="s">
        <v>18</v>
      </c>
      <c r="J88" t="s">
        <v>3369</v>
      </c>
      <c r="K88" t="s">
        <v>605</v>
      </c>
      <c r="L88" t="s">
        <v>3375</v>
      </c>
      <c r="M88" t="s">
        <v>3364</v>
      </c>
      <c r="N88" t="s">
        <v>3365</v>
      </c>
      <c r="O88" t="s">
        <v>3366</v>
      </c>
      <c r="P88" t="s">
        <v>3372</v>
      </c>
    </row>
    <row r="89" spans="1:16" x14ac:dyDescent="0.3">
      <c r="A89" t="s">
        <v>825</v>
      </c>
      <c r="B89" t="s">
        <v>3379</v>
      </c>
      <c r="F89" t="s">
        <v>3361</v>
      </c>
      <c r="G89" t="s">
        <v>2746</v>
      </c>
      <c r="I89" t="s">
        <v>18</v>
      </c>
      <c r="J89" t="s">
        <v>3369</v>
      </c>
      <c r="K89" t="s">
        <v>605</v>
      </c>
      <c r="L89" t="s">
        <v>3375</v>
      </c>
      <c r="M89" t="s">
        <v>3364</v>
      </c>
      <c r="N89" t="s">
        <v>3365</v>
      </c>
      <c r="O89" t="s">
        <v>3366</v>
      </c>
      <c r="P89" t="s">
        <v>3372</v>
      </c>
    </row>
    <row r="90" spans="1:16" x14ac:dyDescent="0.3">
      <c r="A90" t="s">
        <v>826</v>
      </c>
      <c r="B90" t="s">
        <v>3380</v>
      </c>
      <c r="F90" t="s">
        <v>3361</v>
      </c>
      <c r="G90" t="s">
        <v>2746</v>
      </c>
      <c r="I90" t="s">
        <v>19</v>
      </c>
      <c r="J90" t="s">
        <v>3369</v>
      </c>
      <c r="K90" t="s">
        <v>605</v>
      </c>
      <c r="L90" t="s">
        <v>3375</v>
      </c>
      <c r="M90" t="s">
        <v>3364</v>
      </c>
      <c r="N90" t="s">
        <v>3365</v>
      </c>
      <c r="O90" t="s">
        <v>3366</v>
      </c>
      <c r="P90" t="s">
        <v>3372</v>
      </c>
    </row>
    <row r="91" spans="1:16" x14ac:dyDescent="0.3">
      <c r="A91" t="s">
        <v>827</v>
      </c>
      <c r="B91" t="s">
        <v>3380</v>
      </c>
      <c r="F91" t="s">
        <v>3361</v>
      </c>
      <c r="G91" t="s">
        <v>2746</v>
      </c>
      <c r="I91" t="s">
        <v>19</v>
      </c>
      <c r="J91" t="s">
        <v>3369</v>
      </c>
      <c r="K91" t="s">
        <v>605</v>
      </c>
      <c r="L91" t="s">
        <v>3375</v>
      </c>
      <c r="M91" t="s">
        <v>3364</v>
      </c>
      <c r="N91" t="s">
        <v>3365</v>
      </c>
      <c r="O91" t="s">
        <v>3366</v>
      </c>
      <c r="P91" t="s">
        <v>3372</v>
      </c>
    </row>
    <row r="92" spans="1:16" x14ac:dyDescent="0.3">
      <c r="A92" t="s">
        <v>828</v>
      </c>
      <c r="B92" t="s">
        <v>3380</v>
      </c>
      <c r="F92" t="s">
        <v>3361</v>
      </c>
      <c r="G92" t="s">
        <v>2746</v>
      </c>
      <c r="I92" t="s">
        <v>19</v>
      </c>
      <c r="J92" t="s">
        <v>3369</v>
      </c>
      <c r="K92" t="s">
        <v>605</v>
      </c>
      <c r="L92" t="s">
        <v>3375</v>
      </c>
      <c r="M92" t="s">
        <v>3364</v>
      </c>
      <c r="N92" t="s">
        <v>3365</v>
      </c>
      <c r="O92" t="s">
        <v>3366</v>
      </c>
      <c r="P92" t="s">
        <v>3372</v>
      </c>
    </row>
    <row r="93" spans="1:16" x14ac:dyDescent="0.3">
      <c r="A93" t="s">
        <v>829</v>
      </c>
      <c r="B93" t="s">
        <v>3380</v>
      </c>
      <c r="F93" t="s">
        <v>3361</v>
      </c>
      <c r="G93" t="s">
        <v>2746</v>
      </c>
      <c r="I93" t="s">
        <v>19</v>
      </c>
      <c r="J93" t="s">
        <v>3369</v>
      </c>
      <c r="K93" t="s">
        <v>605</v>
      </c>
      <c r="L93" t="s">
        <v>3375</v>
      </c>
      <c r="M93" t="s">
        <v>3364</v>
      </c>
      <c r="N93" t="s">
        <v>3365</v>
      </c>
      <c r="O93" t="s">
        <v>3366</v>
      </c>
      <c r="P93" t="s">
        <v>3372</v>
      </c>
    </row>
    <row r="94" spans="1:16" x14ac:dyDescent="0.3">
      <c r="A94" t="s">
        <v>830</v>
      </c>
      <c r="B94" t="s">
        <v>3380</v>
      </c>
      <c r="F94" t="s">
        <v>3361</v>
      </c>
      <c r="G94" t="s">
        <v>2746</v>
      </c>
      <c r="I94" t="s">
        <v>19</v>
      </c>
      <c r="J94" t="s">
        <v>3369</v>
      </c>
      <c r="K94" t="s">
        <v>605</v>
      </c>
      <c r="L94" t="s">
        <v>3375</v>
      </c>
      <c r="M94" t="s">
        <v>3364</v>
      </c>
      <c r="N94" t="s">
        <v>3365</v>
      </c>
      <c r="O94" t="s">
        <v>3366</v>
      </c>
      <c r="P94" t="s">
        <v>3372</v>
      </c>
    </row>
    <row r="95" spans="1:16" x14ac:dyDescent="0.3">
      <c r="A95" t="s">
        <v>831</v>
      </c>
      <c r="B95" t="s">
        <v>3380</v>
      </c>
      <c r="F95" t="s">
        <v>3361</v>
      </c>
      <c r="G95" t="s">
        <v>2746</v>
      </c>
      <c r="I95" t="s">
        <v>19</v>
      </c>
      <c r="J95" t="s">
        <v>3369</v>
      </c>
      <c r="K95" t="s">
        <v>605</v>
      </c>
      <c r="L95" t="s">
        <v>3375</v>
      </c>
      <c r="M95" t="s">
        <v>3364</v>
      </c>
      <c r="N95" t="s">
        <v>3365</v>
      </c>
      <c r="O95" t="s">
        <v>3366</v>
      </c>
      <c r="P95" t="s">
        <v>3372</v>
      </c>
    </row>
    <row r="96" spans="1:16" x14ac:dyDescent="0.3">
      <c r="A96" t="s">
        <v>800</v>
      </c>
      <c r="B96" t="s">
        <v>3380</v>
      </c>
      <c r="F96" t="s">
        <v>3361</v>
      </c>
      <c r="G96" t="s">
        <v>2746</v>
      </c>
      <c r="I96" t="s">
        <v>19</v>
      </c>
      <c r="J96" t="s">
        <v>3369</v>
      </c>
      <c r="K96" t="s">
        <v>605</v>
      </c>
      <c r="L96" t="s">
        <v>3375</v>
      </c>
      <c r="M96" t="s">
        <v>3364</v>
      </c>
      <c r="N96" t="s">
        <v>3365</v>
      </c>
      <c r="O96" t="s">
        <v>3366</v>
      </c>
      <c r="P96" t="s">
        <v>3372</v>
      </c>
    </row>
    <row r="97" spans="1:16" x14ac:dyDescent="0.3">
      <c r="A97" t="s">
        <v>832</v>
      </c>
      <c r="B97" t="s">
        <v>3380</v>
      </c>
      <c r="F97" t="s">
        <v>3361</v>
      </c>
      <c r="G97" t="s">
        <v>2746</v>
      </c>
      <c r="I97" t="s">
        <v>19</v>
      </c>
      <c r="J97" t="s">
        <v>3369</v>
      </c>
      <c r="K97" t="s">
        <v>605</v>
      </c>
      <c r="L97" t="s">
        <v>3375</v>
      </c>
      <c r="M97" t="s">
        <v>3364</v>
      </c>
      <c r="N97" t="s">
        <v>3365</v>
      </c>
      <c r="O97" t="s">
        <v>3366</v>
      </c>
      <c r="P97" t="s">
        <v>3372</v>
      </c>
    </row>
    <row r="98" spans="1:16" x14ac:dyDescent="0.3">
      <c r="A98" t="s">
        <v>833</v>
      </c>
      <c r="B98" t="s">
        <v>3380</v>
      </c>
      <c r="F98" t="s">
        <v>3361</v>
      </c>
      <c r="G98" t="s">
        <v>2746</v>
      </c>
      <c r="I98" t="s">
        <v>19</v>
      </c>
      <c r="J98" t="s">
        <v>3369</v>
      </c>
      <c r="K98" t="s">
        <v>605</v>
      </c>
      <c r="L98" t="s">
        <v>3375</v>
      </c>
      <c r="M98" t="s">
        <v>3364</v>
      </c>
      <c r="N98" t="s">
        <v>3365</v>
      </c>
      <c r="O98" t="s">
        <v>3366</v>
      </c>
      <c r="P98" t="s">
        <v>3372</v>
      </c>
    </row>
    <row r="99" spans="1:16" x14ac:dyDescent="0.3">
      <c r="A99" t="s">
        <v>834</v>
      </c>
      <c r="B99" t="s">
        <v>3381</v>
      </c>
      <c r="F99" t="s">
        <v>3361</v>
      </c>
      <c r="G99" t="s">
        <v>2746</v>
      </c>
      <c r="I99" t="s">
        <v>20</v>
      </c>
      <c r="J99" t="s">
        <v>3369</v>
      </c>
      <c r="K99" t="s">
        <v>605</v>
      </c>
      <c r="L99" t="s">
        <v>3375</v>
      </c>
      <c r="M99" t="s">
        <v>3364</v>
      </c>
      <c r="N99" t="s">
        <v>3365</v>
      </c>
      <c r="O99" t="s">
        <v>3366</v>
      </c>
      <c r="P99" t="s">
        <v>3382</v>
      </c>
    </row>
    <row r="100" spans="1:16" x14ac:dyDescent="0.3">
      <c r="A100" t="s">
        <v>835</v>
      </c>
      <c r="B100" t="s">
        <v>3381</v>
      </c>
      <c r="F100" t="s">
        <v>3361</v>
      </c>
      <c r="G100" t="s">
        <v>2746</v>
      </c>
      <c r="I100" t="s">
        <v>20</v>
      </c>
      <c r="J100" t="s">
        <v>3369</v>
      </c>
      <c r="K100" t="s">
        <v>605</v>
      </c>
      <c r="L100" t="s">
        <v>3375</v>
      </c>
      <c r="M100" t="s">
        <v>3364</v>
      </c>
      <c r="N100" t="s">
        <v>3365</v>
      </c>
      <c r="O100" t="s">
        <v>3366</v>
      </c>
      <c r="P100" t="s">
        <v>3382</v>
      </c>
    </row>
    <row r="101" spans="1:16" x14ac:dyDescent="0.3">
      <c r="A101" t="s">
        <v>836</v>
      </c>
      <c r="B101" t="s">
        <v>3381</v>
      </c>
      <c r="F101" t="s">
        <v>3361</v>
      </c>
      <c r="G101" t="s">
        <v>2746</v>
      </c>
      <c r="I101" t="s">
        <v>20</v>
      </c>
      <c r="J101" t="s">
        <v>3369</v>
      </c>
      <c r="K101" t="s">
        <v>605</v>
      </c>
      <c r="L101" t="s">
        <v>3375</v>
      </c>
      <c r="M101" t="s">
        <v>3364</v>
      </c>
      <c r="N101" t="s">
        <v>3365</v>
      </c>
      <c r="O101" t="s">
        <v>3366</v>
      </c>
      <c r="P101" t="s">
        <v>3382</v>
      </c>
    </row>
    <row r="102" spans="1:16" x14ac:dyDescent="0.3">
      <c r="A102" t="s">
        <v>837</v>
      </c>
      <c r="B102" t="s">
        <v>3381</v>
      </c>
      <c r="F102" t="s">
        <v>3361</v>
      </c>
      <c r="G102" t="s">
        <v>2746</v>
      </c>
      <c r="I102" t="s">
        <v>20</v>
      </c>
      <c r="J102" t="s">
        <v>3369</v>
      </c>
      <c r="K102" t="s">
        <v>605</v>
      </c>
      <c r="L102" t="s">
        <v>3375</v>
      </c>
      <c r="M102" t="s">
        <v>3364</v>
      </c>
      <c r="N102" t="s">
        <v>3365</v>
      </c>
      <c r="O102" t="s">
        <v>3366</v>
      </c>
      <c r="P102" t="s">
        <v>3382</v>
      </c>
    </row>
    <row r="103" spans="1:16" x14ac:dyDescent="0.3">
      <c r="A103" t="s">
        <v>838</v>
      </c>
      <c r="B103" t="s">
        <v>3381</v>
      </c>
      <c r="F103" t="s">
        <v>3361</v>
      </c>
      <c r="G103" t="s">
        <v>2746</v>
      </c>
      <c r="I103" t="s">
        <v>20</v>
      </c>
      <c r="J103" t="s">
        <v>3369</v>
      </c>
      <c r="K103" t="s">
        <v>605</v>
      </c>
      <c r="L103" t="s">
        <v>3375</v>
      </c>
      <c r="M103" t="s">
        <v>3364</v>
      </c>
      <c r="N103" t="s">
        <v>3365</v>
      </c>
      <c r="O103" t="s">
        <v>3366</v>
      </c>
      <c r="P103" t="s">
        <v>3382</v>
      </c>
    </row>
    <row r="104" spans="1:16" x14ac:dyDescent="0.3">
      <c r="A104" t="s">
        <v>839</v>
      </c>
      <c r="B104" t="s">
        <v>3381</v>
      </c>
      <c r="F104" t="s">
        <v>3361</v>
      </c>
      <c r="G104" t="s">
        <v>2746</v>
      </c>
      <c r="I104" t="s">
        <v>20</v>
      </c>
      <c r="J104" t="s">
        <v>3369</v>
      </c>
      <c r="K104" t="s">
        <v>605</v>
      </c>
      <c r="L104" t="s">
        <v>3375</v>
      </c>
      <c r="M104" t="s">
        <v>3364</v>
      </c>
      <c r="N104" t="s">
        <v>3365</v>
      </c>
      <c r="O104" t="s">
        <v>3366</v>
      </c>
      <c r="P104" t="s">
        <v>3382</v>
      </c>
    </row>
    <row r="105" spans="1:16" x14ac:dyDescent="0.3">
      <c r="A105" t="s">
        <v>840</v>
      </c>
      <c r="B105" t="s">
        <v>3381</v>
      </c>
      <c r="F105" t="s">
        <v>3361</v>
      </c>
      <c r="G105" t="s">
        <v>2746</v>
      </c>
      <c r="I105" t="s">
        <v>20</v>
      </c>
      <c r="J105" t="s">
        <v>3369</v>
      </c>
      <c r="K105" t="s">
        <v>605</v>
      </c>
      <c r="L105" t="s">
        <v>3375</v>
      </c>
      <c r="M105" t="s">
        <v>3364</v>
      </c>
      <c r="N105" t="s">
        <v>3365</v>
      </c>
      <c r="O105" t="s">
        <v>3366</v>
      </c>
      <c r="P105" t="s">
        <v>3382</v>
      </c>
    </row>
    <row r="106" spans="1:16" x14ac:dyDescent="0.3">
      <c r="A106" t="s">
        <v>841</v>
      </c>
      <c r="B106" t="s">
        <v>3381</v>
      </c>
      <c r="F106" t="s">
        <v>3361</v>
      </c>
      <c r="G106" t="s">
        <v>2746</v>
      </c>
      <c r="I106" t="s">
        <v>20</v>
      </c>
      <c r="J106" t="s">
        <v>3369</v>
      </c>
      <c r="K106" t="s">
        <v>605</v>
      </c>
      <c r="L106" t="s">
        <v>3375</v>
      </c>
      <c r="M106" t="s">
        <v>3364</v>
      </c>
      <c r="N106" t="s">
        <v>3365</v>
      </c>
      <c r="O106" t="s">
        <v>3366</v>
      </c>
      <c r="P106" t="s">
        <v>3382</v>
      </c>
    </row>
    <row r="107" spans="1:16" x14ac:dyDescent="0.3">
      <c r="A107" t="s">
        <v>842</v>
      </c>
      <c r="B107" t="s">
        <v>3381</v>
      </c>
      <c r="F107" t="s">
        <v>3361</v>
      </c>
      <c r="G107" t="s">
        <v>2746</v>
      </c>
      <c r="I107" t="s">
        <v>20</v>
      </c>
      <c r="J107" t="s">
        <v>3369</v>
      </c>
      <c r="K107" t="s">
        <v>605</v>
      </c>
      <c r="L107" t="s">
        <v>3375</v>
      </c>
      <c r="M107" t="s">
        <v>3364</v>
      </c>
      <c r="N107" t="s">
        <v>3365</v>
      </c>
      <c r="O107" t="s">
        <v>3366</v>
      </c>
      <c r="P107" t="s">
        <v>3382</v>
      </c>
    </row>
    <row r="108" spans="1:16" x14ac:dyDescent="0.3">
      <c r="A108" t="s">
        <v>843</v>
      </c>
      <c r="B108" t="s">
        <v>3381</v>
      </c>
      <c r="F108" t="s">
        <v>3361</v>
      </c>
      <c r="G108" t="s">
        <v>2746</v>
      </c>
      <c r="I108" t="s">
        <v>20</v>
      </c>
      <c r="J108" t="s">
        <v>3369</v>
      </c>
      <c r="K108" t="s">
        <v>605</v>
      </c>
      <c r="L108" t="s">
        <v>3375</v>
      </c>
      <c r="M108" t="s">
        <v>3364</v>
      </c>
      <c r="N108" t="s">
        <v>3365</v>
      </c>
      <c r="O108" t="s">
        <v>3366</v>
      </c>
      <c r="P108" t="s">
        <v>3382</v>
      </c>
    </row>
    <row r="109" spans="1:16" x14ac:dyDescent="0.3">
      <c r="A109" t="s">
        <v>844</v>
      </c>
      <c r="B109" t="s">
        <v>3381</v>
      </c>
      <c r="F109" t="s">
        <v>3361</v>
      </c>
      <c r="G109" t="s">
        <v>2746</v>
      </c>
      <c r="I109" t="s">
        <v>20</v>
      </c>
      <c r="J109" t="s">
        <v>3369</v>
      </c>
      <c r="K109" t="s">
        <v>605</v>
      </c>
      <c r="L109" t="s">
        <v>3375</v>
      </c>
      <c r="M109" t="s">
        <v>3364</v>
      </c>
      <c r="N109" t="s">
        <v>3365</v>
      </c>
      <c r="O109" t="s">
        <v>3366</v>
      </c>
      <c r="P109" t="s">
        <v>3382</v>
      </c>
    </row>
    <row r="110" spans="1:16" x14ac:dyDescent="0.3">
      <c r="A110" t="s">
        <v>845</v>
      </c>
      <c r="B110" t="s">
        <v>3381</v>
      </c>
      <c r="F110" t="s">
        <v>3361</v>
      </c>
      <c r="G110" t="s">
        <v>2746</v>
      </c>
      <c r="I110" t="s">
        <v>20</v>
      </c>
      <c r="J110" t="s">
        <v>3369</v>
      </c>
      <c r="K110" t="s">
        <v>605</v>
      </c>
      <c r="L110" t="s">
        <v>3375</v>
      </c>
      <c r="M110" t="s">
        <v>3364</v>
      </c>
      <c r="N110" t="s">
        <v>3365</v>
      </c>
      <c r="O110" t="s">
        <v>3366</v>
      </c>
      <c r="P110" t="s">
        <v>3382</v>
      </c>
    </row>
    <row r="111" spans="1:16" x14ac:dyDescent="0.3">
      <c r="A111" t="s">
        <v>797</v>
      </c>
      <c r="B111" t="s">
        <v>3383</v>
      </c>
      <c r="F111" t="s">
        <v>3361</v>
      </c>
      <c r="G111" t="s">
        <v>2746</v>
      </c>
      <c r="I111" t="s">
        <v>21</v>
      </c>
      <c r="J111" t="s">
        <v>3369</v>
      </c>
      <c r="K111" t="s">
        <v>605</v>
      </c>
      <c r="L111" t="s">
        <v>3375</v>
      </c>
      <c r="M111" t="s">
        <v>3364</v>
      </c>
      <c r="N111" t="s">
        <v>3365</v>
      </c>
      <c r="O111" t="s">
        <v>3377</v>
      </c>
      <c r="P111" t="s">
        <v>3382</v>
      </c>
    </row>
    <row r="112" spans="1:16" x14ac:dyDescent="0.3">
      <c r="A112" t="s">
        <v>846</v>
      </c>
      <c r="B112" t="s">
        <v>3383</v>
      </c>
      <c r="F112" t="s">
        <v>3361</v>
      </c>
      <c r="G112" t="s">
        <v>2746</v>
      </c>
      <c r="I112" t="s">
        <v>21</v>
      </c>
      <c r="J112" t="s">
        <v>3369</v>
      </c>
      <c r="K112" t="s">
        <v>605</v>
      </c>
      <c r="L112" t="s">
        <v>3375</v>
      </c>
      <c r="M112" t="s">
        <v>3364</v>
      </c>
      <c r="N112" t="s">
        <v>3365</v>
      </c>
      <c r="O112" t="s">
        <v>3377</v>
      </c>
      <c r="P112" t="s">
        <v>3382</v>
      </c>
    </row>
    <row r="113" spans="1:16" x14ac:dyDescent="0.3">
      <c r="A113" t="s">
        <v>847</v>
      </c>
      <c r="B113" t="s">
        <v>3383</v>
      </c>
      <c r="F113" t="s">
        <v>3361</v>
      </c>
      <c r="G113" t="s">
        <v>2746</v>
      </c>
      <c r="I113" t="s">
        <v>21</v>
      </c>
      <c r="J113" t="s">
        <v>3369</v>
      </c>
      <c r="K113" t="s">
        <v>605</v>
      </c>
      <c r="L113" t="s">
        <v>3375</v>
      </c>
      <c r="M113" t="s">
        <v>3364</v>
      </c>
      <c r="N113" t="s">
        <v>3365</v>
      </c>
      <c r="O113" t="s">
        <v>3377</v>
      </c>
      <c r="P113" t="s">
        <v>3382</v>
      </c>
    </row>
    <row r="114" spans="1:16" x14ac:dyDescent="0.3">
      <c r="A114" t="s">
        <v>848</v>
      </c>
      <c r="B114" t="s">
        <v>3383</v>
      </c>
      <c r="F114" t="s">
        <v>3361</v>
      </c>
      <c r="G114" t="s">
        <v>2746</v>
      </c>
      <c r="I114" t="s">
        <v>21</v>
      </c>
      <c r="J114" t="s">
        <v>3369</v>
      </c>
      <c r="K114" t="s">
        <v>605</v>
      </c>
      <c r="L114" t="s">
        <v>3375</v>
      </c>
      <c r="M114" t="s">
        <v>3364</v>
      </c>
      <c r="N114" t="s">
        <v>2746</v>
      </c>
      <c r="O114" t="s">
        <v>3377</v>
      </c>
      <c r="P114" t="s">
        <v>3384</v>
      </c>
    </row>
    <row r="115" spans="1:16" x14ac:dyDescent="0.3">
      <c r="A115" t="s">
        <v>849</v>
      </c>
      <c r="B115" t="s">
        <v>3383</v>
      </c>
      <c r="F115" t="s">
        <v>3361</v>
      </c>
      <c r="G115" t="s">
        <v>2746</v>
      </c>
      <c r="I115" t="s">
        <v>21</v>
      </c>
      <c r="J115" t="s">
        <v>3369</v>
      </c>
      <c r="K115" t="s">
        <v>605</v>
      </c>
      <c r="L115" t="s">
        <v>3375</v>
      </c>
      <c r="M115" t="s">
        <v>3364</v>
      </c>
      <c r="N115" t="s">
        <v>3365</v>
      </c>
      <c r="O115" t="s">
        <v>3366</v>
      </c>
      <c r="P115" t="s">
        <v>3382</v>
      </c>
    </row>
    <row r="116" spans="1:16" x14ac:dyDescent="0.3">
      <c r="A116" t="s">
        <v>850</v>
      </c>
      <c r="B116" t="s">
        <v>3383</v>
      </c>
      <c r="F116" t="s">
        <v>3361</v>
      </c>
      <c r="G116" t="s">
        <v>2746</v>
      </c>
      <c r="I116" t="s">
        <v>21</v>
      </c>
      <c r="J116" t="s">
        <v>3369</v>
      </c>
      <c r="K116" t="s">
        <v>605</v>
      </c>
      <c r="L116" t="s">
        <v>3375</v>
      </c>
      <c r="M116" t="s">
        <v>3364</v>
      </c>
      <c r="N116" t="s">
        <v>3365</v>
      </c>
      <c r="O116" t="s">
        <v>3377</v>
      </c>
      <c r="P116" t="s">
        <v>3382</v>
      </c>
    </row>
    <row r="117" spans="1:16" x14ac:dyDescent="0.3">
      <c r="A117" t="s">
        <v>851</v>
      </c>
      <c r="B117" t="s">
        <v>3383</v>
      </c>
      <c r="F117" t="s">
        <v>3361</v>
      </c>
      <c r="G117" t="s">
        <v>2746</v>
      </c>
      <c r="I117" t="s">
        <v>21</v>
      </c>
      <c r="J117" t="s">
        <v>3369</v>
      </c>
      <c r="K117" t="s">
        <v>605</v>
      </c>
      <c r="L117" t="s">
        <v>3375</v>
      </c>
      <c r="M117" t="s">
        <v>3364</v>
      </c>
      <c r="N117" t="s">
        <v>3365</v>
      </c>
      <c r="O117" t="s">
        <v>3377</v>
      </c>
      <c r="P117" t="s">
        <v>3382</v>
      </c>
    </row>
    <row r="118" spans="1:16" x14ac:dyDescent="0.3">
      <c r="A118" t="s">
        <v>852</v>
      </c>
      <c r="B118" t="s">
        <v>2075</v>
      </c>
      <c r="F118" t="s">
        <v>3361</v>
      </c>
      <c r="G118" t="s">
        <v>2746</v>
      </c>
      <c r="I118" t="s">
        <v>22</v>
      </c>
      <c r="J118" t="s">
        <v>3369</v>
      </c>
      <c r="K118" t="s">
        <v>605</v>
      </c>
      <c r="L118" t="s">
        <v>3382</v>
      </c>
      <c r="M118" t="s">
        <v>3364</v>
      </c>
      <c r="N118" t="s">
        <v>3365</v>
      </c>
      <c r="O118" t="s">
        <v>3366</v>
      </c>
      <c r="P118" t="s">
        <v>3382</v>
      </c>
    </row>
    <row r="119" spans="1:16" x14ac:dyDescent="0.3">
      <c r="A119" t="s">
        <v>853</v>
      </c>
      <c r="B119" t="s">
        <v>2075</v>
      </c>
      <c r="F119" t="s">
        <v>3361</v>
      </c>
      <c r="G119" t="s">
        <v>2746</v>
      </c>
      <c r="I119" t="s">
        <v>22</v>
      </c>
      <c r="J119" t="s">
        <v>3369</v>
      </c>
      <c r="K119" t="s">
        <v>605</v>
      </c>
      <c r="L119" t="s">
        <v>3382</v>
      </c>
      <c r="M119" t="s">
        <v>3364</v>
      </c>
      <c r="N119" t="s">
        <v>3365</v>
      </c>
      <c r="O119" t="s">
        <v>3366</v>
      </c>
      <c r="P119" t="s">
        <v>3382</v>
      </c>
    </row>
    <row r="120" spans="1:16" x14ac:dyDescent="0.3">
      <c r="A120" t="s">
        <v>854</v>
      </c>
      <c r="B120" t="s">
        <v>2075</v>
      </c>
      <c r="F120" t="s">
        <v>3361</v>
      </c>
      <c r="G120" t="s">
        <v>2746</v>
      </c>
      <c r="I120" t="s">
        <v>22</v>
      </c>
      <c r="J120" t="s">
        <v>3369</v>
      </c>
      <c r="K120" t="s">
        <v>605</v>
      </c>
      <c r="L120" t="s">
        <v>3382</v>
      </c>
      <c r="M120" t="s">
        <v>3364</v>
      </c>
      <c r="N120" t="s">
        <v>3365</v>
      </c>
      <c r="O120" t="s">
        <v>3366</v>
      </c>
      <c r="P120" t="s">
        <v>3382</v>
      </c>
    </row>
    <row r="121" spans="1:16" x14ac:dyDescent="0.3">
      <c r="A121" t="s">
        <v>855</v>
      </c>
      <c r="B121" t="s">
        <v>2075</v>
      </c>
      <c r="F121" t="s">
        <v>3361</v>
      </c>
      <c r="G121" t="s">
        <v>2746</v>
      </c>
      <c r="I121" t="s">
        <v>22</v>
      </c>
      <c r="J121" t="s">
        <v>3369</v>
      </c>
      <c r="K121" t="s">
        <v>605</v>
      </c>
      <c r="L121" t="s">
        <v>3382</v>
      </c>
      <c r="M121" t="s">
        <v>3364</v>
      </c>
      <c r="N121" t="s">
        <v>3365</v>
      </c>
      <c r="O121" t="s">
        <v>3366</v>
      </c>
      <c r="P121" t="s">
        <v>3382</v>
      </c>
    </row>
    <row r="122" spans="1:16" x14ac:dyDescent="0.3">
      <c r="A122" t="s">
        <v>829</v>
      </c>
      <c r="B122" t="s">
        <v>2075</v>
      </c>
      <c r="F122" t="s">
        <v>3361</v>
      </c>
      <c r="G122" t="s">
        <v>2746</v>
      </c>
      <c r="I122" t="s">
        <v>22</v>
      </c>
      <c r="J122" t="s">
        <v>3369</v>
      </c>
      <c r="K122" t="s">
        <v>605</v>
      </c>
      <c r="L122" t="s">
        <v>3382</v>
      </c>
      <c r="M122" t="s">
        <v>3364</v>
      </c>
      <c r="N122" t="s">
        <v>3365</v>
      </c>
      <c r="O122" t="s">
        <v>3366</v>
      </c>
      <c r="P122" t="s">
        <v>3382</v>
      </c>
    </row>
    <row r="123" spans="1:16" x14ac:dyDescent="0.3">
      <c r="A123" t="s">
        <v>856</v>
      </c>
      <c r="B123" t="s">
        <v>2075</v>
      </c>
      <c r="F123" t="s">
        <v>3361</v>
      </c>
      <c r="G123" t="s">
        <v>2746</v>
      </c>
      <c r="I123" t="s">
        <v>22</v>
      </c>
      <c r="J123" t="s">
        <v>3369</v>
      </c>
      <c r="K123" t="s">
        <v>605</v>
      </c>
      <c r="L123" t="s">
        <v>3382</v>
      </c>
      <c r="M123" t="s">
        <v>3364</v>
      </c>
      <c r="N123" t="s">
        <v>3365</v>
      </c>
      <c r="O123" t="s">
        <v>3366</v>
      </c>
      <c r="P123" t="s">
        <v>3382</v>
      </c>
    </row>
    <row r="124" spans="1:16" x14ac:dyDescent="0.3">
      <c r="A124" t="s">
        <v>857</v>
      </c>
      <c r="B124" t="s">
        <v>2075</v>
      </c>
      <c r="F124" t="s">
        <v>3361</v>
      </c>
      <c r="G124" t="s">
        <v>2746</v>
      </c>
      <c r="I124" t="s">
        <v>22</v>
      </c>
      <c r="J124" t="s">
        <v>3369</v>
      </c>
      <c r="K124" t="s">
        <v>605</v>
      </c>
      <c r="L124" t="s">
        <v>3382</v>
      </c>
      <c r="M124" t="s">
        <v>3364</v>
      </c>
      <c r="N124" t="s">
        <v>3365</v>
      </c>
      <c r="O124" t="s">
        <v>3366</v>
      </c>
      <c r="P124" t="s">
        <v>3382</v>
      </c>
    </row>
    <row r="125" spans="1:16" x14ac:dyDescent="0.3">
      <c r="A125" t="s">
        <v>858</v>
      </c>
      <c r="B125" t="s">
        <v>2075</v>
      </c>
      <c r="F125" t="s">
        <v>3361</v>
      </c>
      <c r="G125" t="s">
        <v>2746</v>
      </c>
      <c r="I125" t="s">
        <v>22</v>
      </c>
      <c r="J125" t="s">
        <v>3369</v>
      </c>
      <c r="K125" t="s">
        <v>605</v>
      </c>
      <c r="L125" t="s">
        <v>3382</v>
      </c>
      <c r="M125" t="s">
        <v>3364</v>
      </c>
      <c r="N125" t="s">
        <v>3365</v>
      </c>
      <c r="O125" t="s">
        <v>3366</v>
      </c>
      <c r="P125" t="s">
        <v>3382</v>
      </c>
    </row>
    <row r="126" spans="1:16" x14ac:dyDescent="0.3">
      <c r="A126" t="s">
        <v>859</v>
      </c>
      <c r="B126" t="s">
        <v>2075</v>
      </c>
      <c r="F126" t="s">
        <v>3361</v>
      </c>
      <c r="G126" t="s">
        <v>2746</v>
      </c>
      <c r="I126" t="s">
        <v>22</v>
      </c>
      <c r="J126" t="s">
        <v>3369</v>
      </c>
      <c r="K126" t="s">
        <v>605</v>
      </c>
      <c r="L126" t="s">
        <v>3382</v>
      </c>
      <c r="M126" t="s">
        <v>3364</v>
      </c>
      <c r="N126" t="s">
        <v>3365</v>
      </c>
      <c r="O126" t="s">
        <v>3366</v>
      </c>
      <c r="P126" t="s">
        <v>3382</v>
      </c>
    </row>
    <row r="127" spans="1:16" x14ac:dyDescent="0.3">
      <c r="A127" t="s">
        <v>860</v>
      </c>
      <c r="B127" t="s">
        <v>2075</v>
      </c>
      <c r="F127" t="s">
        <v>3361</v>
      </c>
      <c r="G127" t="s">
        <v>2746</v>
      </c>
      <c r="I127" t="s">
        <v>22</v>
      </c>
      <c r="J127" t="s">
        <v>3369</v>
      </c>
      <c r="K127" t="s">
        <v>605</v>
      </c>
      <c r="L127" t="s">
        <v>3382</v>
      </c>
      <c r="M127" t="s">
        <v>3364</v>
      </c>
      <c r="N127" t="s">
        <v>3365</v>
      </c>
      <c r="O127" t="s">
        <v>3366</v>
      </c>
      <c r="P127" t="s">
        <v>3382</v>
      </c>
    </row>
    <row r="128" spans="1:16" x14ac:dyDescent="0.3">
      <c r="A128" t="s">
        <v>861</v>
      </c>
      <c r="B128" t="s">
        <v>2075</v>
      </c>
      <c r="F128" t="s">
        <v>3361</v>
      </c>
      <c r="G128" t="s">
        <v>2746</v>
      </c>
      <c r="I128" t="s">
        <v>22</v>
      </c>
      <c r="J128" t="s">
        <v>3369</v>
      </c>
      <c r="K128" t="s">
        <v>605</v>
      </c>
      <c r="L128" t="s">
        <v>3382</v>
      </c>
      <c r="M128" t="s">
        <v>3364</v>
      </c>
      <c r="N128" t="s">
        <v>3365</v>
      </c>
      <c r="O128" t="s">
        <v>3366</v>
      </c>
      <c r="P128" t="s">
        <v>3382</v>
      </c>
    </row>
    <row r="129" spans="1:16" x14ac:dyDescent="0.3">
      <c r="A129" t="b">
        <v>0</v>
      </c>
      <c r="B129" t="s">
        <v>3385</v>
      </c>
      <c r="F129" t="s">
        <v>3361</v>
      </c>
      <c r="G129" t="s">
        <v>2746</v>
      </c>
      <c r="I129" t="s">
        <v>23</v>
      </c>
      <c r="J129" t="s">
        <v>3369</v>
      </c>
      <c r="K129" t="s">
        <v>605</v>
      </c>
      <c r="L129" t="s">
        <v>3375</v>
      </c>
      <c r="M129" t="s">
        <v>3364</v>
      </c>
      <c r="N129" t="s">
        <v>3365</v>
      </c>
      <c r="O129" t="s">
        <v>3366</v>
      </c>
      <c r="P129" t="s">
        <v>3382</v>
      </c>
    </row>
    <row r="130" spans="1:16" x14ac:dyDescent="0.3">
      <c r="A130" t="s">
        <v>863</v>
      </c>
      <c r="B130" t="s">
        <v>3385</v>
      </c>
      <c r="F130" t="s">
        <v>3361</v>
      </c>
      <c r="G130" t="s">
        <v>2746</v>
      </c>
      <c r="I130" t="s">
        <v>23</v>
      </c>
      <c r="J130" t="s">
        <v>3369</v>
      </c>
      <c r="K130" t="s">
        <v>605</v>
      </c>
      <c r="L130" t="s">
        <v>3375</v>
      </c>
      <c r="M130" t="s">
        <v>3364</v>
      </c>
      <c r="N130" t="s">
        <v>3365</v>
      </c>
      <c r="O130" t="s">
        <v>3366</v>
      </c>
      <c r="P130" t="s">
        <v>3382</v>
      </c>
    </row>
    <row r="131" spans="1:16" x14ac:dyDescent="0.3">
      <c r="A131" t="s">
        <v>847</v>
      </c>
      <c r="B131" t="s">
        <v>3385</v>
      </c>
      <c r="F131" t="s">
        <v>3361</v>
      </c>
      <c r="G131" t="s">
        <v>2746</v>
      </c>
      <c r="I131" t="s">
        <v>23</v>
      </c>
      <c r="J131" t="s">
        <v>3369</v>
      </c>
      <c r="K131" t="s">
        <v>605</v>
      </c>
      <c r="L131" t="s">
        <v>3375</v>
      </c>
      <c r="M131" t="s">
        <v>3364</v>
      </c>
      <c r="N131" t="s">
        <v>3365</v>
      </c>
      <c r="O131" t="s">
        <v>3377</v>
      </c>
      <c r="P131" t="s">
        <v>3382</v>
      </c>
    </row>
    <row r="132" spans="1:16" x14ac:dyDescent="0.3">
      <c r="A132" t="s">
        <v>864</v>
      </c>
      <c r="B132" t="s">
        <v>3385</v>
      </c>
      <c r="F132" t="s">
        <v>3361</v>
      </c>
      <c r="G132" t="s">
        <v>2746</v>
      </c>
      <c r="I132" t="s">
        <v>23</v>
      </c>
      <c r="J132" t="s">
        <v>3369</v>
      </c>
      <c r="K132" t="s">
        <v>605</v>
      </c>
      <c r="L132" t="s">
        <v>3375</v>
      </c>
      <c r="M132" t="s">
        <v>3364</v>
      </c>
      <c r="N132" t="s">
        <v>3365</v>
      </c>
      <c r="O132" t="s">
        <v>3366</v>
      </c>
      <c r="P132" t="s">
        <v>3382</v>
      </c>
    </row>
    <row r="133" spans="1:16" x14ac:dyDescent="0.3">
      <c r="A133" t="s">
        <v>865</v>
      </c>
      <c r="B133" t="s">
        <v>3385</v>
      </c>
      <c r="F133" t="s">
        <v>3361</v>
      </c>
      <c r="G133" t="s">
        <v>2746</v>
      </c>
      <c r="I133" t="s">
        <v>23</v>
      </c>
      <c r="J133" t="s">
        <v>3369</v>
      </c>
      <c r="K133" t="s">
        <v>605</v>
      </c>
      <c r="L133" t="s">
        <v>3375</v>
      </c>
      <c r="M133" t="s">
        <v>3364</v>
      </c>
      <c r="N133" t="s">
        <v>3365</v>
      </c>
      <c r="O133" t="s">
        <v>3366</v>
      </c>
      <c r="P133" t="s">
        <v>3382</v>
      </c>
    </row>
    <row r="134" spans="1:16" x14ac:dyDescent="0.3">
      <c r="A134" t="s">
        <v>866</v>
      </c>
      <c r="B134" t="s">
        <v>3385</v>
      </c>
      <c r="F134" t="s">
        <v>3361</v>
      </c>
      <c r="G134" t="s">
        <v>2746</v>
      </c>
      <c r="I134" t="s">
        <v>23</v>
      </c>
      <c r="J134" t="s">
        <v>3369</v>
      </c>
      <c r="K134" t="s">
        <v>605</v>
      </c>
      <c r="L134" t="s">
        <v>3375</v>
      </c>
      <c r="M134" t="s">
        <v>3364</v>
      </c>
      <c r="N134" t="s">
        <v>3365</v>
      </c>
      <c r="O134" t="s">
        <v>3366</v>
      </c>
      <c r="P134" t="s">
        <v>3382</v>
      </c>
    </row>
    <row r="135" spans="1:16" x14ac:dyDescent="0.3">
      <c r="A135" t="s">
        <v>867</v>
      </c>
      <c r="B135" t="s">
        <v>3385</v>
      </c>
      <c r="F135" t="s">
        <v>3361</v>
      </c>
      <c r="G135" t="s">
        <v>2746</v>
      </c>
      <c r="I135" t="s">
        <v>23</v>
      </c>
      <c r="J135" t="s">
        <v>3369</v>
      </c>
      <c r="K135" t="s">
        <v>605</v>
      </c>
      <c r="L135" t="s">
        <v>3375</v>
      </c>
      <c r="M135" t="s">
        <v>3364</v>
      </c>
      <c r="N135" t="s">
        <v>3365</v>
      </c>
      <c r="O135" t="s">
        <v>3366</v>
      </c>
      <c r="P135" t="s">
        <v>3382</v>
      </c>
    </row>
    <row r="136" spans="1:16" x14ac:dyDescent="0.3">
      <c r="A136">
        <v>3</v>
      </c>
      <c r="B136" t="s">
        <v>13</v>
      </c>
      <c r="C136" t="s">
        <v>672</v>
      </c>
      <c r="F136" t="s">
        <v>3361</v>
      </c>
      <c r="G136" t="s">
        <v>2746</v>
      </c>
      <c r="I136" t="s">
        <v>13</v>
      </c>
      <c r="J136" t="s">
        <v>3369</v>
      </c>
      <c r="K136" t="s">
        <v>605</v>
      </c>
      <c r="L136" t="s">
        <v>3375</v>
      </c>
      <c r="M136" t="s">
        <v>3364</v>
      </c>
      <c r="N136" t="s">
        <v>3365</v>
      </c>
      <c r="O136" t="s">
        <v>3366</v>
      </c>
      <c r="P136" t="s">
        <v>3372</v>
      </c>
    </row>
    <row r="137" spans="1:16" x14ac:dyDescent="0.3">
      <c r="A137">
        <v>3</v>
      </c>
      <c r="B137" t="s">
        <v>13</v>
      </c>
      <c r="C137" t="s">
        <v>674</v>
      </c>
      <c r="F137" t="s">
        <v>3361</v>
      </c>
      <c r="G137" t="s">
        <v>2746</v>
      </c>
      <c r="I137" t="s">
        <v>13</v>
      </c>
      <c r="J137" t="s">
        <v>3369</v>
      </c>
      <c r="K137" t="s">
        <v>605</v>
      </c>
      <c r="L137" t="s">
        <v>3375</v>
      </c>
      <c r="M137" t="s">
        <v>3364</v>
      </c>
      <c r="N137" t="s">
        <v>3365</v>
      </c>
      <c r="O137" t="s">
        <v>3366</v>
      </c>
      <c r="P137" t="s">
        <v>3372</v>
      </c>
    </row>
    <row r="138" spans="1:16" x14ac:dyDescent="0.3">
      <c r="A138">
        <v>3</v>
      </c>
      <c r="B138" t="s">
        <v>13</v>
      </c>
      <c r="C138" t="s">
        <v>629</v>
      </c>
      <c r="F138" t="s">
        <v>3361</v>
      </c>
      <c r="G138" t="s">
        <v>2746</v>
      </c>
      <c r="I138" t="s">
        <v>13</v>
      </c>
      <c r="J138" t="s">
        <v>3369</v>
      </c>
      <c r="K138" t="s">
        <v>605</v>
      </c>
      <c r="L138" t="s">
        <v>3375</v>
      </c>
      <c r="M138" t="s">
        <v>3364</v>
      </c>
      <c r="N138" t="s">
        <v>3365</v>
      </c>
      <c r="O138" t="s">
        <v>3366</v>
      </c>
      <c r="P138" t="s">
        <v>3372</v>
      </c>
    </row>
    <row r="139" spans="1:16" x14ac:dyDescent="0.3">
      <c r="A139">
        <v>3</v>
      </c>
      <c r="B139" t="s">
        <v>13</v>
      </c>
      <c r="C139" t="s">
        <v>653</v>
      </c>
      <c r="F139" t="s">
        <v>3361</v>
      </c>
      <c r="G139" t="s">
        <v>2746</v>
      </c>
      <c r="I139" t="s">
        <v>13</v>
      </c>
      <c r="J139" t="s">
        <v>3369</v>
      </c>
      <c r="K139" t="s">
        <v>605</v>
      </c>
      <c r="L139" t="s">
        <v>3375</v>
      </c>
      <c r="M139" t="s">
        <v>3364</v>
      </c>
      <c r="N139" t="s">
        <v>3365</v>
      </c>
      <c r="O139" t="s">
        <v>3366</v>
      </c>
      <c r="P139" t="s">
        <v>3372</v>
      </c>
    </row>
    <row r="140" spans="1:16" x14ac:dyDescent="0.3">
      <c r="A140">
        <v>3</v>
      </c>
      <c r="B140" t="s">
        <v>13</v>
      </c>
      <c r="C140" t="s">
        <v>663</v>
      </c>
      <c r="F140" t="s">
        <v>3361</v>
      </c>
      <c r="G140" t="s">
        <v>2746</v>
      </c>
      <c r="I140" t="s">
        <v>13</v>
      </c>
      <c r="J140" t="s">
        <v>3369</v>
      </c>
      <c r="K140" t="s">
        <v>605</v>
      </c>
      <c r="L140" t="s">
        <v>3375</v>
      </c>
      <c r="M140" t="s">
        <v>3364</v>
      </c>
      <c r="N140" t="s">
        <v>3365</v>
      </c>
      <c r="O140" t="s">
        <v>3366</v>
      </c>
      <c r="P140" t="s">
        <v>3372</v>
      </c>
    </row>
    <row r="141" spans="1:16" x14ac:dyDescent="0.3">
      <c r="A141">
        <v>3</v>
      </c>
      <c r="B141" t="s">
        <v>13</v>
      </c>
      <c r="C141" t="s">
        <v>664</v>
      </c>
      <c r="F141" t="s">
        <v>3361</v>
      </c>
      <c r="G141" t="s">
        <v>2746</v>
      </c>
      <c r="I141" t="s">
        <v>13</v>
      </c>
      <c r="J141" t="s">
        <v>3369</v>
      </c>
      <c r="K141" t="s">
        <v>605</v>
      </c>
      <c r="L141" t="s">
        <v>3375</v>
      </c>
      <c r="M141" t="s">
        <v>3364</v>
      </c>
      <c r="N141" t="s">
        <v>3365</v>
      </c>
      <c r="O141" t="s">
        <v>3366</v>
      </c>
      <c r="P141" t="s">
        <v>3372</v>
      </c>
    </row>
    <row r="142" spans="1:16" x14ac:dyDescent="0.3">
      <c r="A142">
        <v>2</v>
      </c>
      <c r="B142" t="s">
        <v>13</v>
      </c>
      <c r="C142" t="s">
        <v>655</v>
      </c>
      <c r="F142" t="s">
        <v>3361</v>
      </c>
      <c r="G142" t="s">
        <v>2746</v>
      </c>
      <c r="I142" t="s">
        <v>13</v>
      </c>
      <c r="J142" t="s">
        <v>3369</v>
      </c>
      <c r="K142" t="s">
        <v>605</v>
      </c>
      <c r="L142" t="s">
        <v>3375</v>
      </c>
      <c r="M142" t="s">
        <v>3364</v>
      </c>
      <c r="N142" t="s">
        <v>3365</v>
      </c>
      <c r="O142" t="s">
        <v>3366</v>
      </c>
      <c r="P142" t="s">
        <v>3372</v>
      </c>
    </row>
    <row r="143" spans="1:16" x14ac:dyDescent="0.3">
      <c r="A143">
        <v>2</v>
      </c>
      <c r="B143" t="s">
        <v>13</v>
      </c>
      <c r="C143" t="s">
        <v>676</v>
      </c>
      <c r="F143" t="s">
        <v>3361</v>
      </c>
      <c r="G143" t="s">
        <v>2746</v>
      </c>
      <c r="I143" t="s">
        <v>13</v>
      </c>
      <c r="J143" t="s">
        <v>3369</v>
      </c>
      <c r="K143" t="s">
        <v>605</v>
      </c>
      <c r="L143" t="s">
        <v>3375</v>
      </c>
      <c r="M143" t="s">
        <v>3364</v>
      </c>
      <c r="N143" t="s">
        <v>3365</v>
      </c>
      <c r="O143" t="s">
        <v>3366</v>
      </c>
      <c r="P143" t="s">
        <v>3372</v>
      </c>
    </row>
    <row r="144" spans="1:16" x14ac:dyDescent="0.3">
      <c r="A144">
        <v>2</v>
      </c>
      <c r="B144" t="s">
        <v>13</v>
      </c>
      <c r="C144" t="s">
        <v>677</v>
      </c>
      <c r="F144" t="s">
        <v>3361</v>
      </c>
      <c r="G144" t="s">
        <v>2746</v>
      </c>
      <c r="I144" t="s">
        <v>13</v>
      </c>
      <c r="J144" t="s">
        <v>3369</v>
      </c>
      <c r="K144" t="s">
        <v>605</v>
      </c>
      <c r="L144" t="s">
        <v>3375</v>
      </c>
      <c r="M144" t="s">
        <v>3364</v>
      </c>
      <c r="N144" t="s">
        <v>3365</v>
      </c>
      <c r="O144" t="s">
        <v>3366</v>
      </c>
      <c r="P144" t="s">
        <v>3372</v>
      </c>
    </row>
    <row r="145" spans="1:16" x14ac:dyDescent="0.3">
      <c r="A145">
        <v>2</v>
      </c>
      <c r="B145" t="s">
        <v>13</v>
      </c>
      <c r="C145" t="s">
        <v>678</v>
      </c>
      <c r="F145" t="s">
        <v>3361</v>
      </c>
      <c r="G145" t="s">
        <v>2746</v>
      </c>
      <c r="I145" t="s">
        <v>13</v>
      </c>
      <c r="J145" t="s">
        <v>3369</v>
      </c>
      <c r="K145" t="s">
        <v>605</v>
      </c>
      <c r="L145" t="s">
        <v>3375</v>
      </c>
      <c r="M145" t="s">
        <v>3364</v>
      </c>
      <c r="N145" t="s">
        <v>3365</v>
      </c>
      <c r="O145" t="s">
        <v>3366</v>
      </c>
      <c r="P145" t="s">
        <v>3372</v>
      </c>
    </row>
    <row r="146" spans="1:16" x14ac:dyDescent="0.3">
      <c r="A146">
        <v>2</v>
      </c>
      <c r="B146" t="s">
        <v>13</v>
      </c>
      <c r="C146" t="s">
        <v>679</v>
      </c>
      <c r="F146" t="s">
        <v>3361</v>
      </c>
      <c r="G146" t="s">
        <v>2746</v>
      </c>
      <c r="I146" t="s">
        <v>13</v>
      </c>
      <c r="J146" t="s">
        <v>3369</v>
      </c>
      <c r="K146" t="s">
        <v>605</v>
      </c>
      <c r="L146" t="s">
        <v>3375</v>
      </c>
      <c r="M146" t="s">
        <v>3364</v>
      </c>
      <c r="N146" t="s">
        <v>3365</v>
      </c>
      <c r="O146" t="s">
        <v>3366</v>
      </c>
      <c r="P146" t="s">
        <v>3372</v>
      </c>
    </row>
    <row r="147" spans="1:16" x14ac:dyDescent="0.3">
      <c r="A147">
        <v>2</v>
      </c>
      <c r="B147" t="s">
        <v>13</v>
      </c>
      <c r="C147" t="s">
        <v>680</v>
      </c>
      <c r="F147" t="s">
        <v>3361</v>
      </c>
      <c r="G147" t="s">
        <v>2746</v>
      </c>
      <c r="I147" t="s">
        <v>13</v>
      </c>
      <c r="J147" t="s">
        <v>3369</v>
      </c>
      <c r="K147" t="s">
        <v>605</v>
      </c>
      <c r="L147" t="s">
        <v>3375</v>
      </c>
      <c r="M147" t="s">
        <v>3364</v>
      </c>
      <c r="N147" t="s">
        <v>3365</v>
      </c>
      <c r="O147" t="s">
        <v>3366</v>
      </c>
      <c r="P147" t="s">
        <v>3372</v>
      </c>
    </row>
    <row r="148" spans="1:16" x14ac:dyDescent="0.3">
      <c r="A148">
        <v>2</v>
      </c>
      <c r="B148" t="s">
        <v>13</v>
      </c>
      <c r="C148" t="s">
        <v>628</v>
      </c>
      <c r="F148" t="s">
        <v>3361</v>
      </c>
      <c r="G148" t="s">
        <v>2746</v>
      </c>
      <c r="I148" t="s">
        <v>13</v>
      </c>
      <c r="J148" t="s">
        <v>3369</v>
      </c>
      <c r="K148" t="s">
        <v>605</v>
      </c>
      <c r="L148" t="s">
        <v>3375</v>
      </c>
      <c r="M148" t="s">
        <v>3364</v>
      </c>
      <c r="N148" t="s">
        <v>3365</v>
      </c>
      <c r="O148" t="s">
        <v>3366</v>
      </c>
      <c r="P148" t="s">
        <v>3372</v>
      </c>
    </row>
    <row r="149" spans="1:16" x14ac:dyDescent="0.3">
      <c r="A149">
        <v>2</v>
      </c>
      <c r="B149" t="s">
        <v>13</v>
      </c>
      <c r="C149" t="s">
        <v>631</v>
      </c>
      <c r="F149" t="s">
        <v>3361</v>
      </c>
      <c r="G149" t="s">
        <v>2746</v>
      </c>
      <c r="I149" t="s">
        <v>13</v>
      </c>
      <c r="J149" t="s">
        <v>3369</v>
      </c>
      <c r="K149" t="s">
        <v>605</v>
      </c>
      <c r="L149" t="s">
        <v>3375</v>
      </c>
      <c r="M149" t="s">
        <v>3364</v>
      </c>
      <c r="N149" t="s">
        <v>3365</v>
      </c>
      <c r="O149" t="s">
        <v>3366</v>
      </c>
      <c r="P149" t="s">
        <v>3372</v>
      </c>
    </row>
    <row r="150" spans="1:16" x14ac:dyDescent="0.3">
      <c r="A150">
        <v>2</v>
      </c>
      <c r="B150" t="s">
        <v>13</v>
      </c>
      <c r="C150" t="s">
        <v>640</v>
      </c>
      <c r="F150" t="s">
        <v>3361</v>
      </c>
      <c r="G150" t="s">
        <v>2746</v>
      </c>
      <c r="I150" t="s">
        <v>13</v>
      </c>
      <c r="J150" t="s">
        <v>3369</v>
      </c>
      <c r="K150" t="s">
        <v>605</v>
      </c>
      <c r="L150" t="s">
        <v>3375</v>
      </c>
      <c r="M150" t="s">
        <v>3364</v>
      </c>
      <c r="N150" t="s">
        <v>3365</v>
      </c>
      <c r="O150" t="s">
        <v>3366</v>
      </c>
      <c r="P150" t="s">
        <v>3372</v>
      </c>
    </row>
    <row r="151" spans="1:16" x14ac:dyDescent="0.3">
      <c r="A151">
        <v>2</v>
      </c>
      <c r="B151" t="s">
        <v>13</v>
      </c>
      <c r="C151" t="s">
        <v>641</v>
      </c>
      <c r="F151" t="s">
        <v>3361</v>
      </c>
      <c r="G151" t="s">
        <v>2746</v>
      </c>
      <c r="I151" t="s">
        <v>13</v>
      </c>
      <c r="J151" t="s">
        <v>3369</v>
      </c>
      <c r="K151" t="s">
        <v>605</v>
      </c>
      <c r="L151" t="s">
        <v>3375</v>
      </c>
      <c r="M151" t="s">
        <v>3364</v>
      </c>
      <c r="N151" t="s">
        <v>3365</v>
      </c>
      <c r="O151" t="s">
        <v>3366</v>
      </c>
      <c r="P151" t="s">
        <v>3372</v>
      </c>
    </row>
    <row r="152" spans="1:16" x14ac:dyDescent="0.3">
      <c r="A152">
        <v>2</v>
      </c>
      <c r="B152" t="s">
        <v>13</v>
      </c>
      <c r="C152" t="s">
        <v>681</v>
      </c>
      <c r="F152" t="s">
        <v>3361</v>
      </c>
      <c r="G152" t="s">
        <v>2746</v>
      </c>
      <c r="I152" t="s">
        <v>13</v>
      </c>
      <c r="J152" t="s">
        <v>3369</v>
      </c>
      <c r="K152" t="s">
        <v>605</v>
      </c>
      <c r="L152" t="s">
        <v>3375</v>
      </c>
      <c r="M152" t="s">
        <v>3364</v>
      </c>
      <c r="N152" t="s">
        <v>3365</v>
      </c>
      <c r="O152" t="s">
        <v>3366</v>
      </c>
      <c r="P152" t="s">
        <v>3372</v>
      </c>
    </row>
    <row r="153" spans="1:16" x14ac:dyDescent="0.3">
      <c r="A153">
        <v>2</v>
      </c>
      <c r="B153" t="s">
        <v>13</v>
      </c>
      <c r="C153" t="s">
        <v>682</v>
      </c>
      <c r="F153" t="s">
        <v>3361</v>
      </c>
      <c r="G153" t="s">
        <v>2746</v>
      </c>
      <c r="I153" t="s">
        <v>13</v>
      </c>
      <c r="J153" t="s">
        <v>3369</v>
      </c>
      <c r="K153" t="s">
        <v>605</v>
      </c>
      <c r="L153" t="s">
        <v>3375</v>
      </c>
      <c r="M153" t="s">
        <v>3364</v>
      </c>
      <c r="N153" t="s">
        <v>3365</v>
      </c>
      <c r="O153" t="s">
        <v>3366</v>
      </c>
      <c r="P153" t="s">
        <v>3372</v>
      </c>
    </row>
    <row r="154" spans="1:16" x14ac:dyDescent="0.3">
      <c r="A154">
        <v>2</v>
      </c>
      <c r="B154" t="s">
        <v>13</v>
      </c>
      <c r="C154" t="s">
        <v>650</v>
      </c>
      <c r="F154" t="s">
        <v>3361</v>
      </c>
      <c r="G154" t="s">
        <v>2746</v>
      </c>
      <c r="I154" t="s">
        <v>13</v>
      </c>
      <c r="J154" t="s">
        <v>3369</v>
      </c>
      <c r="K154" t="s">
        <v>605</v>
      </c>
      <c r="L154" t="s">
        <v>3375</v>
      </c>
      <c r="M154" t="s">
        <v>3364</v>
      </c>
      <c r="N154" t="s">
        <v>3365</v>
      </c>
      <c r="O154" t="s">
        <v>3366</v>
      </c>
      <c r="P154" t="s">
        <v>3372</v>
      </c>
    </row>
    <row r="155" spans="1:16" x14ac:dyDescent="0.3">
      <c r="A155">
        <v>2</v>
      </c>
      <c r="B155" t="s">
        <v>13</v>
      </c>
      <c r="C155" t="s">
        <v>683</v>
      </c>
      <c r="F155" t="s">
        <v>3361</v>
      </c>
      <c r="G155" t="s">
        <v>2746</v>
      </c>
      <c r="I155" t="s">
        <v>13</v>
      </c>
      <c r="J155" t="s">
        <v>3369</v>
      </c>
      <c r="K155" t="s">
        <v>605</v>
      </c>
      <c r="L155" t="s">
        <v>3375</v>
      </c>
      <c r="M155" t="s">
        <v>3364</v>
      </c>
      <c r="N155" t="s">
        <v>3365</v>
      </c>
      <c r="O155" t="s">
        <v>3366</v>
      </c>
      <c r="P155" t="s">
        <v>3372</v>
      </c>
    </row>
    <row r="156" spans="1:16" x14ac:dyDescent="0.3">
      <c r="A156">
        <v>2</v>
      </c>
      <c r="B156" t="s">
        <v>13</v>
      </c>
      <c r="C156" t="s">
        <v>684</v>
      </c>
      <c r="F156" t="s">
        <v>3361</v>
      </c>
      <c r="G156" t="s">
        <v>2746</v>
      </c>
      <c r="I156" t="s">
        <v>13</v>
      </c>
      <c r="J156" t="s">
        <v>3369</v>
      </c>
      <c r="K156" t="s">
        <v>605</v>
      </c>
      <c r="L156" t="s">
        <v>3375</v>
      </c>
      <c r="M156" t="s">
        <v>3364</v>
      </c>
      <c r="N156" t="s">
        <v>3365</v>
      </c>
      <c r="O156" t="s">
        <v>3366</v>
      </c>
      <c r="P156" t="s">
        <v>3372</v>
      </c>
    </row>
    <row r="157" spans="1:16" x14ac:dyDescent="0.3">
      <c r="A157">
        <v>2</v>
      </c>
      <c r="B157" t="s">
        <v>13</v>
      </c>
      <c r="C157" t="s">
        <v>685</v>
      </c>
      <c r="F157" t="s">
        <v>3361</v>
      </c>
      <c r="G157" t="s">
        <v>2746</v>
      </c>
      <c r="I157" t="s">
        <v>13</v>
      </c>
      <c r="J157" t="s">
        <v>3369</v>
      </c>
      <c r="K157" t="s">
        <v>605</v>
      </c>
      <c r="L157" t="s">
        <v>3375</v>
      </c>
      <c r="M157" t="s">
        <v>3364</v>
      </c>
      <c r="N157" t="s">
        <v>3365</v>
      </c>
      <c r="O157" t="s">
        <v>3366</v>
      </c>
      <c r="P157" t="s">
        <v>3372</v>
      </c>
    </row>
    <row r="158" spans="1:16" x14ac:dyDescent="0.3">
      <c r="A158">
        <v>2</v>
      </c>
      <c r="B158" t="s">
        <v>13</v>
      </c>
      <c r="C158" t="s">
        <v>668</v>
      </c>
      <c r="F158" t="s">
        <v>3361</v>
      </c>
      <c r="G158" t="s">
        <v>2746</v>
      </c>
      <c r="I158" t="s">
        <v>13</v>
      </c>
      <c r="J158" t="s">
        <v>3369</v>
      </c>
      <c r="K158" t="s">
        <v>605</v>
      </c>
      <c r="L158" t="s">
        <v>3375</v>
      </c>
      <c r="M158" t="s">
        <v>3364</v>
      </c>
      <c r="N158" t="s">
        <v>3365</v>
      </c>
      <c r="O158" t="s">
        <v>3366</v>
      </c>
      <c r="P158" t="s">
        <v>3372</v>
      </c>
    </row>
    <row r="159" spans="1:16" x14ac:dyDescent="0.3">
      <c r="A159">
        <v>2</v>
      </c>
      <c r="B159" t="s">
        <v>13</v>
      </c>
      <c r="C159" t="s">
        <v>686</v>
      </c>
      <c r="F159" t="s">
        <v>3361</v>
      </c>
      <c r="G159" t="s">
        <v>2746</v>
      </c>
      <c r="I159" t="s">
        <v>13</v>
      </c>
      <c r="J159" t="s">
        <v>3369</v>
      </c>
      <c r="K159" t="s">
        <v>605</v>
      </c>
      <c r="L159" t="s">
        <v>3375</v>
      </c>
      <c r="M159" t="s">
        <v>3364</v>
      </c>
      <c r="N159" t="s">
        <v>3365</v>
      </c>
      <c r="O159" t="s">
        <v>3366</v>
      </c>
      <c r="P159" t="s">
        <v>3372</v>
      </c>
    </row>
    <row r="160" spans="1:16" x14ac:dyDescent="0.3">
      <c r="A160">
        <v>2</v>
      </c>
      <c r="B160" t="s">
        <v>13</v>
      </c>
      <c r="C160" t="s">
        <v>357</v>
      </c>
      <c r="F160" t="s">
        <v>3361</v>
      </c>
      <c r="G160" t="s">
        <v>2746</v>
      </c>
      <c r="I160" t="s">
        <v>13</v>
      </c>
      <c r="J160" t="s">
        <v>3369</v>
      </c>
      <c r="K160" t="s">
        <v>605</v>
      </c>
      <c r="L160" t="s">
        <v>3375</v>
      </c>
      <c r="M160" t="s">
        <v>3364</v>
      </c>
      <c r="N160" t="s">
        <v>3365</v>
      </c>
      <c r="O160" t="s">
        <v>3366</v>
      </c>
      <c r="P160" t="s">
        <v>3372</v>
      </c>
    </row>
    <row r="161" spans="1:16" x14ac:dyDescent="0.3">
      <c r="A161">
        <v>1.5</v>
      </c>
      <c r="B161" t="s">
        <v>13</v>
      </c>
      <c r="C161" t="s">
        <v>687</v>
      </c>
      <c r="F161" t="s">
        <v>3361</v>
      </c>
      <c r="G161" t="s">
        <v>2746</v>
      </c>
      <c r="I161" t="s">
        <v>13</v>
      </c>
      <c r="J161" t="s">
        <v>3369</v>
      </c>
      <c r="K161" t="s">
        <v>605</v>
      </c>
      <c r="L161" t="s">
        <v>3375</v>
      </c>
      <c r="M161" t="s">
        <v>3364</v>
      </c>
      <c r="N161" t="s">
        <v>3365</v>
      </c>
      <c r="O161" t="s">
        <v>3366</v>
      </c>
      <c r="P161" t="s">
        <v>3372</v>
      </c>
    </row>
    <row r="162" spans="1:16" x14ac:dyDescent="0.3">
      <c r="A162">
        <v>1.5</v>
      </c>
      <c r="B162" t="s">
        <v>13</v>
      </c>
      <c r="C162" t="s">
        <v>689</v>
      </c>
      <c r="F162" t="s">
        <v>3361</v>
      </c>
      <c r="G162" t="s">
        <v>2746</v>
      </c>
      <c r="I162" t="s">
        <v>13</v>
      </c>
      <c r="J162" t="s">
        <v>3369</v>
      </c>
      <c r="K162" t="s">
        <v>605</v>
      </c>
      <c r="L162" t="s">
        <v>3375</v>
      </c>
      <c r="M162" t="s">
        <v>3364</v>
      </c>
      <c r="N162" t="s">
        <v>3365</v>
      </c>
      <c r="O162" t="s">
        <v>3366</v>
      </c>
      <c r="P162" t="s">
        <v>3372</v>
      </c>
    </row>
    <row r="163" spans="1:16" x14ac:dyDescent="0.3">
      <c r="A163">
        <v>1.5</v>
      </c>
      <c r="B163" t="s">
        <v>13</v>
      </c>
      <c r="C163" t="s">
        <v>690</v>
      </c>
      <c r="F163" t="s">
        <v>3361</v>
      </c>
      <c r="G163" t="s">
        <v>2746</v>
      </c>
      <c r="I163" t="s">
        <v>13</v>
      </c>
      <c r="J163" t="s">
        <v>3369</v>
      </c>
      <c r="K163" t="s">
        <v>605</v>
      </c>
      <c r="L163" t="s">
        <v>3375</v>
      </c>
      <c r="M163" t="s">
        <v>3364</v>
      </c>
      <c r="N163" t="s">
        <v>3365</v>
      </c>
      <c r="O163" t="s">
        <v>3366</v>
      </c>
      <c r="P163" t="s">
        <v>3372</v>
      </c>
    </row>
    <row r="164" spans="1:16" x14ac:dyDescent="0.3">
      <c r="A164">
        <v>1.5</v>
      </c>
      <c r="B164" t="s">
        <v>13</v>
      </c>
      <c r="C164" t="s">
        <v>691</v>
      </c>
      <c r="F164" t="s">
        <v>3361</v>
      </c>
      <c r="G164" t="s">
        <v>2746</v>
      </c>
      <c r="I164" t="s">
        <v>13</v>
      </c>
      <c r="J164" t="s">
        <v>3369</v>
      </c>
      <c r="K164" t="s">
        <v>605</v>
      </c>
      <c r="L164" t="s">
        <v>3375</v>
      </c>
      <c r="M164" t="s">
        <v>3364</v>
      </c>
      <c r="N164" t="s">
        <v>3365</v>
      </c>
      <c r="O164" t="s">
        <v>3366</v>
      </c>
      <c r="P164" t="s">
        <v>3372</v>
      </c>
    </row>
    <row r="165" spans="1:16" x14ac:dyDescent="0.3">
      <c r="A165">
        <v>2</v>
      </c>
      <c r="B165" t="s">
        <v>13</v>
      </c>
      <c r="C165" t="s">
        <v>692</v>
      </c>
      <c r="F165" t="s">
        <v>3361</v>
      </c>
      <c r="G165" t="s">
        <v>2746</v>
      </c>
      <c r="I165" t="s">
        <v>13</v>
      </c>
      <c r="J165" t="s">
        <v>3369</v>
      </c>
      <c r="K165" t="s">
        <v>605</v>
      </c>
      <c r="L165" t="s">
        <v>3375</v>
      </c>
      <c r="M165" t="s">
        <v>3364</v>
      </c>
      <c r="N165" t="s">
        <v>3365</v>
      </c>
      <c r="O165" t="s">
        <v>3366</v>
      </c>
      <c r="P165" t="s">
        <v>3372</v>
      </c>
    </row>
    <row r="166" spans="1:16" x14ac:dyDescent="0.3">
      <c r="A166" t="s">
        <v>738</v>
      </c>
      <c r="B166" t="s">
        <v>15</v>
      </c>
      <c r="C166" t="s">
        <v>737</v>
      </c>
      <c r="F166" t="s">
        <v>3361</v>
      </c>
      <c r="G166" t="s">
        <v>2746</v>
      </c>
      <c r="I166" t="s">
        <v>15</v>
      </c>
      <c r="J166" t="s">
        <v>3369</v>
      </c>
      <c r="K166" t="s">
        <v>605</v>
      </c>
      <c r="L166" t="s">
        <v>3375</v>
      </c>
      <c r="M166" t="s">
        <v>3364</v>
      </c>
      <c r="N166" t="s">
        <v>3365</v>
      </c>
      <c r="O166" t="s">
        <v>3366</v>
      </c>
      <c r="P166" t="s">
        <v>3372</v>
      </c>
    </row>
    <row r="167" spans="1:16" x14ac:dyDescent="0.3">
      <c r="A167" t="s">
        <v>739</v>
      </c>
      <c r="B167" t="s">
        <v>15</v>
      </c>
      <c r="C167" t="s">
        <v>737</v>
      </c>
      <c r="F167" t="s">
        <v>3361</v>
      </c>
      <c r="G167" t="s">
        <v>2746</v>
      </c>
      <c r="I167" t="s">
        <v>15</v>
      </c>
      <c r="J167" t="s">
        <v>3369</v>
      </c>
      <c r="K167" t="s">
        <v>605</v>
      </c>
      <c r="L167" t="s">
        <v>3375</v>
      </c>
      <c r="M167" t="s">
        <v>3364</v>
      </c>
      <c r="N167" t="s">
        <v>3365</v>
      </c>
      <c r="O167" t="s">
        <v>3366</v>
      </c>
      <c r="P167" t="s">
        <v>3372</v>
      </c>
    </row>
    <row r="168" spans="1:16" x14ac:dyDescent="0.3">
      <c r="A168" t="s">
        <v>740</v>
      </c>
      <c r="B168" t="s">
        <v>15</v>
      </c>
      <c r="C168" t="s">
        <v>737</v>
      </c>
      <c r="F168" t="s">
        <v>3361</v>
      </c>
      <c r="G168" t="s">
        <v>2746</v>
      </c>
      <c r="I168" t="s">
        <v>15</v>
      </c>
      <c r="J168" t="s">
        <v>3369</v>
      </c>
      <c r="K168" t="s">
        <v>605</v>
      </c>
      <c r="L168" t="s">
        <v>3375</v>
      </c>
      <c r="M168" t="s">
        <v>3364</v>
      </c>
      <c r="N168" t="s">
        <v>3365</v>
      </c>
      <c r="O168" t="s">
        <v>3366</v>
      </c>
      <c r="P168" t="s">
        <v>3372</v>
      </c>
    </row>
    <row r="169" spans="1:16" x14ac:dyDescent="0.3">
      <c r="A169" t="s">
        <v>741</v>
      </c>
      <c r="B169" t="s">
        <v>15</v>
      </c>
      <c r="C169" t="s">
        <v>737</v>
      </c>
      <c r="F169" t="s">
        <v>3361</v>
      </c>
      <c r="G169" t="s">
        <v>2746</v>
      </c>
      <c r="I169" t="s">
        <v>15</v>
      </c>
      <c r="J169" t="s">
        <v>3369</v>
      </c>
      <c r="K169" t="s">
        <v>605</v>
      </c>
      <c r="L169" t="s">
        <v>3375</v>
      </c>
      <c r="M169" t="s">
        <v>3364</v>
      </c>
      <c r="N169" t="s">
        <v>3365</v>
      </c>
      <c r="O169" t="s">
        <v>3366</v>
      </c>
      <c r="P169" t="s">
        <v>3372</v>
      </c>
    </row>
    <row r="170" spans="1:16" x14ac:dyDescent="0.3">
      <c r="A170" t="s">
        <v>337</v>
      </c>
      <c r="B170" t="s">
        <v>15</v>
      </c>
      <c r="C170" t="s">
        <v>737</v>
      </c>
      <c r="F170" t="s">
        <v>3361</v>
      </c>
      <c r="G170" t="s">
        <v>2746</v>
      </c>
      <c r="I170" t="s">
        <v>15</v>
      </c>
      <c r="J170" t="s">
        <v>3362</v>
      </c>
      <c r="K170" t="s">
        <v>605</v>
      </c>
      <c r="L170" t="s">
        <v>3375</v>
      </c>
      <c r="M170" t="s">
        <v>3364</v>
      </c>
      <c r="N170" t="s">
        <v>3365</v>
      </c>
      <c r="O170" t="s">
        <v>3366</v>
      </c>
      <c r="P170" t="s">
        <v>3367</v>
      </c>
    </row>
    <row r="171" spans="1:16" x14ac:dyDescent="0.3">
      <c r="A171" t="s">
        <v>742</v>
      </c>
      <c r="B171" t="s">
        <v>15</v>
      </c>
      <c r="C171" t="s">
        <v>737</v>
      </c>
      <c r="F171" t="s">
        <v>3361</v>
      </c>
      <c r="G171" t="s">
        <v>2746</v>
      </c>
      <c r="I171" t="s">
        <v>15</v>
      </c>
      <c r="J171" t="s">
        <v>3369</v>
      </c>
      <c r="K171" t="s">
        <v>605</v>
      </c>
      <c r="L171" t="s">
        <v>3375</v>
      </c>
      <c r="M171" t="s">
        <v>3364</v>
      </c>
      <c r="N171" t="s">
        <v>3365</v>
      </c>
      <c r="O171" t="s">
        <v>3366</v>
      </c>
      <c r="P171" t="s">
        <v>3372</v>
      </c>
    </row>
    <row r="172" spans="1:16" x14ac:dyDescent="0.3">
      <c r="A172" t="s">
        <v>743</v>
      </c>
      <c r="B172" t="s">
        <v>15</v>
      </c>
      <c r="C172" t="s">
        <v>737</v>
      </c>
      <c r="F172" t="s">
        <v>3361</v>
      </c>
      <c r="G172" t="s">
        <v>2746</v>
      </c>
      <c r="I172" t="s">
        <v>15</v>
      </c>
      <c r="J172" t="s">
        <v>3369</v>
      </c>
      <c r="K172" t="s">
        <v>605</v>
      </c>
      <c r="L172" t="s">
        <v>3375</v>
      </c>
      <c r="M172" t="s">
        <v>3364</v>
      </c>
      <c r="N172" t="s">
        <v>3365</v>
      </c>
      <c r="O172" t="s">
        <v>3366</v>
      </c>
      <c r="P172" t="s">
        <v>3372</v>
      </c>
    </row>
    <row r="173" spans="1:16" x14ac:dyDescent="0.3">
      <c r="A173" t="s">
        <v>745</v>
      </c>
      <c r="B173" t="s">
        <v>15</v>
      </c>
      <c r="C173" t="s">
        <v>744</v>
      </c>
      <c r="F173" t="s">
        <v>3361</v>
      </c>
      <c r="G173" t="s">
        <v>2746</v>
      </c>
      <c r="I173" t="s">
        <v>15</v>
      </c>
      <c r="J173" t="s">
        <v>3369</v>
      </c>
      <c r="K173" t="s">
        <v>605</v>
      </c>
      <c r="L173" t="s">
        <v>3375</v>
      </c>
      <c r="M173" t="s">
        <v>3364</v>
      </c>
      <c r="N173" t="s">
        <v>3365</v>
      </c>
      <c r="O173" t="s">
        <v>3366</v>
      </c>
      <c r="P173" t="s">
        <v>3372</v>
      </c>
    </row>
    <row r="174" spans="1:16" x14ac:dyDescent="0.3">
      <c r="A174" t="s">
        <v>746</v>
      </c>
      <c r="B174" t="s">
        <v>15</v>
      </c>
      <c r="C174" t="s">
        <v>744</v>
      </c>
      <c r="F174" t="s">
        <v>3361</v>
      </c>
      <c r="G174" t="s">
        <v>2746</v>
      </c>
      <c r="I174" t="s">
        <v>15</v>
      </c>
      <c r="J174" t="s">
        <v>3369</v>
      </c>
      <c r="K174" t="s">
        <v>605</v>
      </c>
      <c r="L174" t="s">
        <v>3375</v>
      </c>
      <c r="M174" t="s">
        <v>3364</v>
      </c>
      <c r="N174" t="s">
        <v>3365</v>
      </c>
      <c r="O174" t="s">
        <v>3366</v>
      </c>
      <c r="P174" t="s">
        <v>3372</v>
      </c>
    </row>
    <row r="175" spans="1:16" x14ac:dyDescent="0.3">
      <c r="A175" t="s">
        <v>747</v>
      </c>
      <c r="B175" t="s">
        <v>15</v>
      </c>
      <c r="C175" t="s">
        <v>744</v>
      </c>
      <c r="F175" t="s">
        <v>3361</v>
      </c>
      <c r="G175" t="s">
        <v>2746</v>
      </c>
      <c r="I175" t="s">
        <v>15</v>
      </c>
      <c r="J175" t="s">
        <v>3369</v>
      </c>
      <c r="K175" t="s">
        <v>605</v>
      </c>
      <c r="L175" t="s">
        <v>3375</v>
      </c>
      <c r="M175" t="s">
        <v>3364</v>
      </c>
      <c r="N175" t="s">
        <v>3365</v>
      </c>
      <c r="O175" t="s">
        <v>3366</v>
      </c>
      <c r="P175" t="s">
        <v>3372</v>
      </c>
    </row>
    <row r="176" spans="1:16" x14ac:dyDescent="0.3">
      <c r="A176" t="s">
        <v>748</v>
      </c>
      <c r="B176" t="s">
        <v>15</v>
      </c>
      <c r="C176" t="s">
        <v>744</v>
      </c>
      <c r="F176" t="s">
        <v>3361</v>
      </c>
      <c r="G176" t="s">
        <v>2746</v>
      </c>
      <c r="I176" t="s">
        <v>15</v>
      </c>
      <c r="J176" t="s">
        <v>3369</v>
      </c>
      <c r="K176" t="s">
        <v>605</v>
      </c>
      <c r="L176" t="s">
        <v>3375</v>
      </c>
      <c r="M176" t="s">
        <v>3364</v>
      </c>
      <c r="N176" t="s">
        <v>3365</v>
      </c>
      <c r="O176" t="s">
        <v>3366</v>
      </c>
      <c r="P176" t="s">
        <v>3372</v>
      </c>
    </row>
    <row r="177" spans="1:16" x14ac:dyDescent="0.3">
      <c r="A177" t="s">
        <v>749</v>
      </c>
      <c r="B177" t="s">
        <v>15</v>
      </c>
      <c r="C177" t="s">
        <v>744</v>
      </c>
      <c r="F177" t="s">
        <v>3361</v>
      </c>
      <c r="G177" t="s">
        <v>2746</v>
      </c>
      <c r="I177" t="s">
        <v>15</v>
      </c>
      <c r="J177" t="s">
        <v>3369</v>
      </c>
      <c r="K177" t="s">
        <v>605</v>
      </c>
      <c r="L177" t="s">
        <v>3375</v>
      </c>
      <c r="M177" t="s">
        <v>3364</v>
      </c>
      <c r="N177" t="s">
        <v>3365</v>
      </c>
      <c r="O177" t="s">
        <v>3366</v>
      </c>
      <c r="P177" t="s">
        <v>3372</v>
      </c>
    </row>
    <row r="178" spans="1:16" x14ac:dyDescent="0.3">
      <c r="A178" t="s">
        <v>627</v>
      </c>
      <c r="B178" t="s">
        <v>15</v>
      </c>
      <c r="C178" t="s">
        <v>744</v>
      </c>
      <c r="F178" t="s">
        <v>3361</v>
      </c>
      <c r="G178" t="s">
        <v>2746</v>
      </c>
      <c r="I178" t="s">
        <v>15</v>
      </c>
      <c r="J178" t="s">
        <v>3362</v>
      </c>
      <c r="K178" t="s">
        <v>605</v>
      </c>
      <c r="L178" t="s">
        <v>3375</v>
      </c>
      <c r="M178" t="s">
        <v>3364</v>
      </c>
      <c r="N178" t="s">
        <v>3365</v>
      </c>
      <c r="O178" t="s">
        <v>3366</v>
      </c>
      <c r="P178" t="s">
        <v>3367</v>
      </c>
    </row>
    <row r="179" spans="1:16" x14ac:dyDescent="0.3">
      <c r="A179" t="s">
        <v>750</v>
      </c>
      <c r="B179" t="s">
        <v>15</v>
      </c>
      <c r="C179" t="s">
        <v>744</v>
      </c>
      <c r="F179" t="s">
        <v>3361</v>
      </c>
      <c r="G179" t="s">
        <v>2746</v>
      </c>
      <c r="I179" t="s">
        <v>15</v>
      </c>
      <c r="J179" t="s">
        <v>3369</v>
      </c>
      <c r="K179" t="s">
        <v>605</v>
      </c>
      <c r="L179" t="s">
        <v>3375</v>
      </c>
      <c r="M179" t="s">
        <v>3364</v>
      </c>
      <c r="N179" t="s">
        <v>3365</v>
      </c>
      <c r="O179" t="s">
        <v>3366</v>
      </c>
      <c r="P179" t="s">
        <v>3372</v>
      </c>
    </row>
    <row r="180" spans="1:16" x14ac:dyDescent="0.3">
      <c r="A180" t="s">
        <v>655</v>
      </c>
      <c r="B180" t="s">
        <v>15</v>
      </c>
      <c r="C180" t="s">
        <v>751</v>
      </c>
      <c r="F180" t="s">
        <v>3361</v>
      </c>
      <c r="G180" t="s">
        <v>2746</v>
      </c>
      <c r="I180" t="s">
        <v>15</v>
      </c>
      <c r="J180" t="s">
        <v>3369</v>
      </c>
      <c r="K180" t="s">
        <v>605</v>
      </c>
      <c r="L180" t="s">
        <v>3375</v>
      </c>
      <c r="M180" t="s">
        <v>3364</v>
      </c>
      <c r="N180" t="s">
        <v>3365</v>
      </c>
      <c r="O180" t="s">
        <v>3366</v>
      </c>
      <c r="P180" t="s">
        <v>3372</v>
      </c>
    </row>
    <row r="181" spans="1:16" x14ac:dyDescent="0.3">
      <c r="A181" t="s">
        <v>752</v>
      </c>
      <c r="B181" t="s">
        <v>15</v>
      </c>
      <c r="C181" t="s">
        <v>751</v>
      </c>
      <c r="F181" t="s">
        <v>3361</v>
      </c>
      <c r="G181" t="s">
        <v>2746</v>
      </c>
      <c r="I181" t="s">
        <v>15</v>
      </c>
      <c r="J181" t="s">
        <v>3369</v>
      </c>
      <c r="K181" t="s">
        <v>605</v>
      </c>
      <c r="L181" t="s">
        <v>3375</v>
      </c>
      <c r="M181" t="s">
        <v>3364</v>
      </c>
      <c r="N181" t="s">
        <v>3365</v>
      </c>
      <c r="O181" t="s">
        <v>3366</v>
      </c>
      <c r="P181" t="s">
        <v>3372</v>
      </c>
    </row>
    <row r="182" spans="1:16" x14ac:dyDescent="0.3">
      <c r="A182" t="s">
        <v>753</v>
      </c>
      <c r="B182" t="s">
        <v>15</v>
      </c>
      <c r="C182" t="s">
        <v>751</v>
      </c>
      <c r="F182" t="s">
        <v>3361</v>
      </c>
      <c r="G182" t="s">
        <v>2746</v>
      </c>
      <c r="I182" t="s">
        <v>15</v>
      </c>
      <c r="J182" t="s">
        <v>3369</v>
      </c>
      <c r="K182" t="s">
        <v>605</v>
      </c>
      <c r="L182" t="s">
        <v>3375</v>
      </c>
      <c r="M182" t="s">
        <v>3364</v>
      </c>
      <c r="N182" t="s">
        <v>3365</v>
      </c>
      <c r="O182" t="s">
        <v>3366</v>
      </c>
      <c r="P182" t="s">
        <v>3372</v>
      </c>
    </row>
    <row r="183" spans="1:16" x14ac:dyDescent="0.3">
      <c r="A183" t="s">
        <v>754</v>
      </c>
      <c r="B183" t="s">
        <v>15</v>
      </c>
      <c r="C183" t="s">
        <v>751</v>
      </c>
      <c r="F183" t="s">
        <v>3361</v>
      </c>
      <c r="G183" t="s">
        <v>2746</v>
      </c>
      <c r="I183" t="s">
        <v>15</v>
      </c>
      <c r="J183" t="s">
        <v>3369</v>
      </c>
      <c r="K183" t="s">
        <v>605</v>
      </c>
      <c r="L183" t="s">
        <v>3375</v>
      </c>
      <c r="M183" t="s">
        <v>3364</v>
      </c>
      <c r="N183" t="s">
        <v>3365</v>
      </c>
      <c r="O183" t="s">
        <v>3366</v>
      </c>
      <c r="P183" t="s">
        <v>3372</v>
      </c>
    </row>
    <row r="184" spans="1:16" x14ac:dyDescent="0.3">
      <c r="A184" t="s">
        <v>755</v>
      </c>
      <c r="B184" t="s">
        <v>15</v>
      </c>
      <c r="C184" t="s">
        <v>751</v>
      </c>
      <c r="F184" t="s">
        <v>3361</v>
      </c>
      <c r="G184" t="s">
        <v>2746</v>
      </c>
      <c r="I184" t="s">
        <v>15</v>
      </c>
      <c r="J184" t="s">
        <v>3369</v>
      </c>
      <c r="K184" t="s">
        <v>605</v>
      </c>
      <c r="L184" t="s">
        <v>3375</v>
      </c>
      <c r="M184" t="s">
        <v>3364</v>
      </c>
      <c r="N184" t="s">
        <v>3365</v>
      </c>
      <c r="O184" t="s">
        <v>3366</v>
      </c>
      <c r="P184" t="s">
        <v>3372</v>
      </c>
    </row>
    <row r="185" spans="1:16" x14ac:dyDescent="0.3">
      <c r="A185" t="s">
        <v>756</v>
      </c>
      <c r="B185" t="s">
        <v>15</v>
      </c>
      <c r="C185" t="s">
        <v>751</v>
      </c>
      <c r="F185" t="s">
        <v>3361</v>
      </c>
      <c r="G185" t="s">
        <v>2746</v>
      </c>
      <c r="I185" t="s">
        <v>15</v>
      </c>
      <c r="J185" t="s">
        <v>3369</v>
      </c>
      <c r="K185" t="s">
        <v>605</v>
      </c>
      <c r="L185" t="s">
        <v>3375</v>
      </c>
      <c r="M185" t="s">
        <v>3364</v>
      </c>
      <c r="N185" t="s">
        <v>3365</v>
      </c>
      <c r="O185" t="s">
        <v>3366</v>
      </c>
      <c r="P185" t="s">
        <v>3372</v>
      </c>
    </row>
    <row r="186" spans="1:16" x14ac:dyDescent="0.3">
      <c r="A186" t="s">
        <v>757</v>
      </c>
      <c r="B186" t="s">
        <v>15</v>
      </c>
      <c r="C186" t="s">
        <v>751</v>
      </c>
      <c r="F186" t="s">
        <v>3361</v>
      </c>
      <c r="G186" t="s">
        <v>2746</v>
      </c>
      <c r="I186" t="s">
        <v>15</v>
      </c>
      <c r="J186" t="s">
        <v>3369</v>
      </c>
      <c r="K186" t="s">
        <v>605</v>
      </c>
      <c r="L186" t="s">
        <v>3375</v>
      </c>
      <c r="M186" t="s">
        <v>3364</v>
      </c>
      <c r="N186" t="s">
        <v>3365</v>
      </c>
      <c r="O186" t="s">
        <v>3366</v>
      </c>
      <c r="P186" t="s">
        <v>3372</v>
      </c>
    </row>
    <row r="187" spans="1:16" x14ac:dyDescent="0.3">
      <c r="A187" t="s">
        <v>667</v>
      </c>
      <c r="B187" t="s">
        <v>15</v>
      </c>
      <c r="C187" t="s">
        <v>758</v>
      </c>
      <c r="F187" t="s">
        <v>3361</v>
      </c>
      <c r="G187" t="s">
        <v>2746</v>
      </c>
      <c r="I187" t="s">
        <v>15</v>
      </c>
      <c r="J187" t="s">
        <v>3369</v>
      </c>
      <c r="K187" t="s">
        <v>605</v>
      </c>
      <c r="L187" t="s">
        <v>3375</v>
      </c>
      <c r="M187" t="s">
        <v>3364</v>
      </c>
      <c r="N187" t="s">
        <v>3365</v>
      </c>
      <c r="O187" t="s">
        <v>3366</v>
      </c>
      <c r="P187" t="s">
        <v>3372</v>
      </c>
    </row>
    <row r="188" spans="1:16" x14ac:dyDescent="0.3">
      <c r="A188" t="s">
        <v>678</v>
      </c>
      <c r="B188" t="s">
        <v>15</v>
      </c>
      <c r="C188" t="s">
        <v>758</v>
      </c>
      <c r="F188" t="s">
        <v>3361</v>
      </c>
      <c r="G188" t="s">
        <v>2746</v>
      </c>
      <c r="I188" t="s">
        <v>15</v>
      </c>
      <c r="J188" t="s">
        <v>3369</v>
      </c>
      <c r="K188" t="s">
        <v>605</v>
      </c>
      <c r="L188" t="s">
        <v>3375</v>
      </c>
      <c r="M188" t="s">
        <v>3364</v>
      </c>
      <c r="N188" t="s">
        <v>3365</v>
      </c>
      <c r="O188" t="s">
        <v>3366</v>
      </c>
      <c r="P188" t="s">
        <v>3372</v>
      </c>
    </row>
    <row r="189" spans="1:16" x14ac:dyDescent="0.3">
      <c r="A189" t="s">
        <v>759</v>
      </c>
      <c r="B189" t="s">
        <v>15</v>
      </c>
      <c r="C189" t="s">
        <v>758</v>
      </c>
      <c r="F189" t="s">
        <v>3361</v>
      </c>
      <c r="G189" t="s">
        <v>2746</v>
      </c>
      <c r="I189" t="s">
        <v>15</v>
      </c>
      <c r="J189" t="s">
        <v>3369</v>
      </c>
      <c r="K189" t="s">
        <v>605</v>
      </c>
      <c r="L189" t="s">
        <v>3375</v>
      </c>
      <c r="M189" t="s">
        <v>3364</v>
      </c>
      <c r="N189" t="s">
        <v>3365</v>
      </c>
      <c r="O189" t="s">
        <v>3366</v>
      </c>
      <c r="P189" t="s">
        <v>3372</v>
      </c>
    </row>
    <row r="190" spans="1:16" x14ac:dyDescent="0.3">
      <c r="A190" t="s">
        <v>760</v>
      </c>
      <c r="B190" t="s">
        <v>15</v>
      </c>
      <c r="C190" t="s">
        <v>758</v>
      </c>
      <c r="F190" t="s">
        <v>3361</v>
      </c>
      <c r="G190" t="s">
        <v>2746</v>
      </c>
      <c r="I190" t="s">
        <v>15</v>
      </c>
      <c r="J190" t="s">
        <v>3369</v>
      </c>
      <c r="K190" t="s">
        <v>605</v>
      </c>
      <c r="L190" t="s">
        <v>3375</v>
      </c>
      <c r="M190" t="s">
        <v>3364</v>
      </c>
      <c r="N190" t="s">
        <v>3365</v>
      </c>
      <c r="O190" t="s">
        <v>3366</v>
      </c>
      <c r="P190" t="s">
        <v>3372</v>
      </c>
    </row>
    <row r="191" spans="1:16" x14ac:dyDescent="0.3">
      <c r="A191" t="s">
        <v>761</v>
      </c>
      <c r="B191" t="s">
        <v>15</v>
      </c>
      <c r="C191" t="s">
        <v>758</v>
      </c>
      <c r="F191" t="s">
        <v>3361</v>
      </c>
      <c r="G191" t="s">
        <v>2746</v>
      </c>
      <c r="I191" t="s">
        <v>15</v>
      </c>
      <c r="J191" t="s">
        <v>3369</v>
      </c>
      <c r="K191" t="s">
        <v>605</v>
      </c>
      <c r="L191" t="s">
        <v>3375</v>
      </c>
      <c r="M191" t="s">
        <v>3364</v>
      </c>
      <c r="N191" t="s">
        <v>3365</v>
      </c>
      <c r="O191" t="s">
        <v>3366</v>
      </c>
      <c r="P191" t="s">
        <v>3372</v>
      </c>
    </row>
    <row r="192" spans="1:16" x14ac:dyDescent="0.3">
      <c r="A192" t="s">
        <v>762</v>
      </c>
      <c r="B192" t="s">
        <v>15</v>
      </c>
      <c r="C192" t="s">
        <v>758</v>
      </c>
      <c r="F192" t="s">
        <v>3361</v>
      </c>
      <c r="G192" t="s">
        <v>2746</v>
      </c>
      <c r="I192" t="s">
        <v>15</v>
      </c>
      <c r="J192" t="s">
        <v>3369</v>
      </c>
      <c r="K192" t="s">
        <v>605</v>
      </c>
      <c r="L192" t="s">
        <v>3375</v>
      </c>
      <c r="M192" t="s">
        <v>3364</v>
      </c>
      <c r="N192" t="s">
        <v>3365</v>
      </c>
      <c r="O192" t="s">
        <v>3366</v>
      </c>
      <c r="P192" t="s">
        <v>3372</v>
      </c>
    </row>
    <row r="193" spans="1:16" x14ac:dyDescent="0.3">
      <c r="A193" t="s">
        <v>762</v>
      </c>
      <c r="B193" t="s">
        <v>15</v>
      </c>
      <c r="C193" t="s">
        <v>763</v>
      </c>
      <c r="F193" t="s">
        <v>3361</v>
      </c>
      <c r="G193" t="s">
        <v>2746</v>
      </c>
      <c r="I193" t="s">
        <v>15</v>
      </c>
      <c r="J193" t="s">
        <v>3369</v>
      </c>
      <c r="K193" t="s">
        <v>605</v>
      </c>
      <c r="L193" t="s">
        <v>3375</v>
      </c>
      <c r="M193" t="s">
        <v>3364</v>
      </c>
      <c r="N193" t="s">
        <v>3365</v>
      </c>
      <c r="O193" t="s">
        <v>3366</v>
      </c>
      <c r="P193" t="s">
        <v>3372</v>
      </c>
    </row>
    <row r="194" spans="1:16" x14ac:dyDescent="0.3">
      <c r="A194" t="s">
        <v>623</v>
      </c>
      <c r="B194" t="s">
        <v>15</v>
      </c>
      <c r="C194" t="s">
        <v>763</v>
      </c>
      <c r="F194" t="s">
        <v>3361</v>
      </c>
      <c r="G194" t="s">
        <v>2746</v>
      </c>
      <c r="I194" t="s">
        <v>15</v>
      </c>
      <c r="J194" t="s">
        <v>3369</v>
      </c>
      <c r="K194" t="s">
        <v>605</v>
      </c>
      <c r="L194" t="s">
        <v>3375</v>
      </c>
      <c r="M194" t="s">
        <v>3364</v>
      </c>
      <c r="N194" t="s">
        <v>3365</v>
      </c>
      <c r="O194" t="s">
        <v>3366</v>
      </c>
      <c r="P194" t="s">
        <v>3372</v>
      </c>
    </row>
    <row r="195" spans="1:16" x14ac:dyDescent="0.3">
      <c r="A195" t="s">
        <v>764</v>
      </c>
      <c r="B195" t="s">
        <v>15</v>
      </c>
      <c r="C195" t="s">
        <v>763</v>
      </c>
      <c r="F195" t="s">
        <v>3361</v>
      </c>
      <c r="G195" t="s">
        <v>2746</v>
      </c>
      <c r="I195" t="s">
        <v>15</v>
      </c>
      <c r="J195" t="s">
        <v>3369</v>
      </c>
      <c r="K195" t="s">
        <v>605</v>
      </c>
      <c r="L195" t="s">
        <v>3375</v>
      </c>
      <c r="M195" t="s">
        <v>3364</v>
      </c>
      <c r="N195" t="s">
        <v>3365</v>
      </c>
      <c r="O195" t="s">
        <v>3366</v>
      </c>
      <c r="P195" t="s">
        <v>3372</v>
      </c>
    </row>
    <row r="196" spans="1:16" x14ac:dyDescent="0.3">
      <c r="A196" t="s">
        <v>765</v>
      </c>
      <c r="B196" t="s">
        <v>15</v>
      </c>
      <c r="C196" t="s">
        <v>763</v>
      </c>
      <c r="F196" t="s">
        <v>3361</v>
      </c>
      <c r="G196" t="s">
        <v>2746</v>
      </c>
      <c r="I196" t="s">
        <v>15</v>
      </c>
      <c r="J196" t="s">
        <v>3369</v>
      </c>
      <c r="K196" t="s">
        <v>605</v>
      </c>
      <c r="L196" t="s">
        <v>3375</v>
      </c>
      <c r="M196" t="s">
        <v>3364</v>
      </c>
      <c r="N196" t="s">
        <v>3365</v>
      </c>
      <c r="O196" t="s">
        <v>3366</v>
      </c>
      <c r="P196" t="s">
        <v>3372</v>
      </c>
    </row>
    <row r="197" spans="1:16" x14ac:dyDescent="0.3">
      <c r="A197" t="s">
        <v>766</v>
      </c>
      <c r="B197" t="s">
        <v>15</v>
      </c>
      <c r="C197" t="s">
        <v>763</v>
      </c>
      <c r="F197" t="s">
        <v>3361</v>
      </c>
      <c r="G197" t="s">
        <v>2746</v>
      </c>
      <c r="I197" t="s">
        <v>15</v>
      </c>
      <c r="J197" t="s">
        <v>3369</v>
      </c>
      <c r="K197" t="s">
        <v>605</v>
      </c>
      <c r="L197" t="s">
        <v>3375</v>
      </c>
      <c r="M197" t="s">
        <v>3364</v>
      </c>
      <c r="N197" t="s">
        <v>3365</v>
      </c>
      <c r="O197" t="s">
        <v>3366</v>
      </c>
      <c r="P197" t="s">
        <v>3372</v>
      </c>
    </row>
    <row r="198" spans="1:16" x14ac:dyDescent="0.3">
      <c r="A198" t="s">
        <v>767</v>
      </c>
      <c r="B198" t="s">
        <v>15</v>
      </c>
      <c r="C198" t="s">
        <v>763</v>
      </c>
      <c r="F198" t="s">
        <v>3361</v>
      </c>
      <c r="G198" t="s">
        <v>2746</v>
      </c>
      <c r="I198" t="s">
        <v>15</v>
      </c>
      <c r="J198" t="s">
        <v>3369</v>
      </c>
      <c r="K198" t="s">
        <v>605</v>
      </c>
      <c r="L198" t="s">
        <v>3375</v>
      </c>
      <c r="M198" t="s">
        <v>3364</v>
      </c>
      <c r="N198" t="s">
        <v>3365</v>
      </c>
      <c r="O198" t="s">
        <v>3366</v>
      </c>
      <c r="P198" t="s">
        <v>3372</v>
      </c>
    </row>
    <row r="199" spans="1:16" x14ac:dyDescent="0.3">
      <c r="A199" t="s">
        <v>768</v>
      </c>
      <c r="B199" t="s">
        <v>15</v>
      </c>
      <c r="C199" t="s">
        <v>763</v>
      </c>
      <c r="F199" t="s">
        <v>3361</v>
      </c>
      <c r="G199" t="s">
        <v>2746</v>
      </c>
      <c r="I199" t="s">
        <v>15</v>
      </c>
      <c r="J199" t="s">
        <v>3369</v>
      </c>
      <c r="K199" t="s">
        <v>605</v>
      </c>
      <c r="L199" t="s">
        <v>3375</v>
      </c>
      <c r="M199" t="s">
        <v>3364</v>
      </c>
      <c r="N199" t="s">
        <v>3365</v>
      </c>
      <c r="O199" t="s">
        <v>3366</v>
      </c>
      <c r="P199" t="s">
        <v>3372</v>
      </c>
    </row>
    <row r="200" spans="1:16" x14ac:dyDescent="0.3">
      <c r="A200" t="s">
        <v>770</v>
      </c>
      <c r="B200" t="s">
        <v>15</v>
      </c>
      <c r="C200" t="s">
        <v>769</v>
      </c>
      <c r="F200" t="s">
        <v>3361</v>
      </c>
      <c r="G200" t="s">
        <v>2746</v>
      </c>
      <c r="I200" t="s">
        <v>15</v>
      </c>
      <c r="J200" t="s">
        <v>3369</v>
      </c>
      <c r="K200" t="s">
        <v>605</v>
      </c>
      <c r="L200" t="s">
        <v>3375</v>
      </c>
      <c r="M200" t="s">
        <v>3364</v>
      </c>
      <c r="N200" t="s">
        <v>3365</v>
      </c>
      <c r="O200" t="s">
        <v>3366</v>
      </c>
      <c r="P200" t="s">
        <v>3372</v>
      </c>
    </row>
    <row r="201" spans="1:16" x14ac:dyDescent="0.3">
      <c r="A201" t="s">
        <v>629</v>
      </c>
      <c r="B201" t="s">
        <v>15</v>
      </c>
      <c r="C201" t="s">
        <v>769</v>
      </c>
      <c r="F201" t="s">
        <v>3361</v>
      </c>
      <c r="G201" t="s">
        <v>2746</v>
      </c>
      <c r="I201" t="s">
        <v>15</v>
      </c>
      <c r="J201" t="s">
        <v>3369</v>
      </c>
      <c r="K201" t="s">
        <v>605</v>
      </c>
      <c r="L201" t="s">
        <v>3375</v>
      </c>
      <c r="M201" t="s">
        <v>3364</v>
      </c>
      <c r="N201" t="s">
        <v>3365</v>
      </c>
      <c r="O201" t="s">
        <v>3366</v>
      </c>
      <c r="P201" t="s">
        <v>3372</v>
      </c>
    </row>
    <row r="202" spans="1:16" x14ac:dyDescent="0.3">
      <c r="A202" t="s">
        <v>771</v>
      </c>
      <c r="B202" t="s">
        <v>15</v>
      </c>
      <c r="C202" t="s">
        <v>769</v>
      </c>
      <c r="F202" t="s">
        <v>3361</v>
      </c>
      <c r="G202" t="s">
        <v>2746</v>
      </c>
      <c r="I202" t="s">
        <v>15</v>
      </c>
      <c r="J202" t="s">
        <v>3369</v>
      </c>
      <c r="K202" t="s">
        <v>605</v>
      </c>
      <c r="L202" t="s">
        <v>3375</v>
      </c>
      <c r="M202" t="s">
        <v>3364</v>
      </c>
      <c r="N202" t="s">
        <v>3365</v>
      </c>
      <c r="O202" t="s">
        <v>3366</v>
      </c>
      <c r="P202" t="s">
        <v>3372</v>
      </c>
    </row>
    <row r="203" spans="1:16" x14ac:dyDescent="0.3">
      <c r="A203" t="s">
        <v>668</v>
      </c>
      <c r="B203" t="s">
        <v>15</v>
      </c>
      <c r="C203" t="s">
        <v>769</v>
      </c>
      <c r="F203" t="s">
        <v>3361</v>
      </c>
      <c r="G203" t="s">
        <v>2746</v>
      </c>
      <c r="I203" t="s">
        <v>15</v>
      </c>
      <c r="J203" t="s">
        <v>3369</v>
      </c>
      <c r="K203" t="s">
        <v>605</v>
      </c>
      <c r="L203" t="s">
        <v>3375</v>
      </c>
      <c r="M203" t="s">
        <v>3364</v>
      </c>
      <c r="N203" t="s">
        <v>3365</v>
      </c>
      <c r="O203" t="s">
        <v>3366</v>
      </c>
      <c r="P203" t="s">
        <v>3372</v>
      </c>
    </row>
    <row r="204" spans="1:16" x14ac:dyDescent="0.3">
      <c r="A204" t="s">
        <v>772</v>
      </c>
      <c r="B204" t="s">
        <v>15</v>
      </c>
      <c r="C204" t="s">
        <v>769</v>
      </c>
      <c r="F204" t="s">
        <v>3361</v>
      </c>
      <c r="G204" t="s">
        <v>2746</v>
      </c>
      <c r="I204" t="s">
        <v>15</v>
      </c>
      <c r="J204" t="s">
        <v>3369</v>
      </c>
      <c r="K204" t="s">
        <v>605</v>
      </c>
      <c r="L204" t="s">
        <v>3375</v>
      </c>
      <c r="M204" t="s">
        <v>3364</v>
      </c>
      <c r="N204" t="s">
        <v>3365</v>
      </c>
      <c r="O204" t="s">
        <v>3366</v>
      </c>
      <c r="P204" t="s">
        <v>3372</v>
      </c>
    </row>
    <row r="205" spans="1:16" x14ac:dyDescent="0.3">
      <c r="A205" t="s">
        <v>773</v>
      </c>
      <c r="B205" t="s">
        <v>15</v>
      </c>
      <c r="C205" t="s">
        <v>769</v>
      </c>
      <c r="F205" t="s">
        <v>3361</v>
      </c>
      <c r="G205" t="s">
        <v>2746</v>
      </c>
      <c r="I205" t="s">
        <v>15</v>
      </c>
      <c r="J205" t="s">
        <v>3369</v>
      </c>
      <c r="K205" t="s">
        <v>605</v>
      </c>
      <c r="L205" t="s">
        <v>3375</v>
      </c>
      <c r="M205" t="s">
        <v>3364</v>
      </c>
      <c r="N205" t="s">
        <v>3365</v>
      </c>
      <c r="O205" t="s">
        <v>3366</v>
      </c>
      <c r="P205" t="s">
        <v>3372</v>
      </c>
    </row>
    <row r="206" spans="1:16" x14ac:dyDescent="0.3">
      <c r="A206" t="s">
        <v>745</v>
      </c>
      <c r="B206" t="s">
        <v>15</v>
      </c>
      <c r="C206" t="s">
        <v>769</v>
      </c>
      <c r="F206" t="s">
        <v>3361</v>
      </c>
      <c r="G206" t="s">
        <v>2746</v>
      </c>
      <c r="I206" t="s">
        <v>15</v>
      </c>
      <c r="J206" t="s">
        <v>3369</v>
      </c>
      <c r="K206" t="s">
        <v>605</v>
      </c>
      <c r="L206" t="s">
        <v>3375</v>
      </c>
      <c r="M206" t="s">
        <v>3364</v>
      </c>
      <c r="N206" t="s">
        <v>3365</v>
      </c>
      <c r="O206" t="s">
        <v>3366</v>
      </c>
      <c r="P206" t="s">
        <v>3372</v>
      </c>
    </row>
    <row r="207" spans="1:16" x14ac:dyDescent="0.3">
      <c r="A207" t="s">
        <v>775</v>
      </c>
      <c r="B207" t="s">
        <v>15</v>
      </c>
      <c r="C207" t="s">
        <v>774</v>
      </c>
      <c r="F207" t="s">
        <v>3361</v>
      </c>
      <c r="G207" t="s">
        <v>2746</v>
      </c>
      <c r="I207" t="s">
        <v>15</v>
      </c>
      <c r="J207" t="s">
        <v>3369</v>
      </c>
      <c r="K207" t="s">
        <v>605</v>
      </c>
      <c r="L207" t="s">
        <v>3375</v>
      </c>
      <c r="M207" t="s">
        <v>3364</v>
      </c>
      <c r="N207" t="s">
        <v>3365</v>
      </c>
      <c r="O207" t="s">
        <v>3366</v>
      </c>
      <c r="P207" t="s">
        <v>3372</v>
      </c>
    </row>
    <row r="208" spans="1:16" x14ac:dyDescent="0.3">
      <c r="A208" t="s">
        <v>776</v>
      </c>
      <c r="B208" t="s">
        <v>15</v>
      </c>
      <c r="C208" t="s">
        <v>774</v>
      </c>
      <c r="F208" t="s">
        <v>3361</v>
      </c>
      <c r="G208" t="s">
        <v>2746</v>
      </c>
      <c r="I208" t="s">
        <v>15</v>
      </c>
      <c r="J208" t="s">
        <v>3369</v>
      </c>
      <c r="K208" t="s">
        <v>605</v>
      </c>
      <c r="L208" t="s">
        <v>3375</v>
      </c>
      <c r="M208" t="s">
        <v>3364</v>
      </c>
      <c r="N208" t="s">
        <v>3365</v>
      </c>
      <c r="O208" t="s">
        <v>3366</v>
      </c>
      <c r="P208" t="s">
        <v>3372</v>
      </c>
    </row>
    <row r="209" spans="1:16" x14ac:dyDescent="0.3">
      <c r="A209" t="s">
        <v>777</v>
      </c>
      <c r="B209" t="s">
        <v>15</v>
      </c>
      <c r="C209" t="s">
        <v>774</v>
      </c>
      <c r="F209" t="s">
        <v>3361</v>
      </c>
      <c r="G209" t="s">
        <v>2746</v>
      </c>
      <c r="I209" t="s">
        <v>15</v>
      </c>
      <c r="J209" t="s">
        <v>3369</v>
      </c>
      <c r="K209" t="s">
        <v>605</v>
      </c>
      <c r="L209" t="s">
        <v>3375</v>
      </c>
      <c r="M209" t="s">
        <v>3364</v>
      </c>
      <c r="N209" t="s">
        <v>3365</v>
      </c>
      <c r="O209" t="s">
        <v>3366</v>
      </c>
      <c r="P209" t="s">
        <v>3372</v>
      </c>
    </row>
    <row r="210" spans="1:16" x14ac:dyDescent="0.3">
      <c r="A210" t="s">
        <v>778</v>
      </c>
      <c r="B210" t="s">
        <v>15</v>
      </c>
      <c r="C210" t="s">
        <v>774</v>
      </c>
      <c r="F210" t="s">
        <v>3361</v>
      </c>
      <c r="G210" t="s">
        <v>2746</v>
      </c>
      <c r="I210" t="s">
        <v>15</v>
      </c>
      <c r="J210" t="s">
        <v>3369</v>
      </c>
      <c r="K210" t="s">
        <v>605</v>
      </c>
      <c r="L210" t="s">
        <v>3375</v>
      </c>
      <c r="M210" t="s">
        <v>3364</v>
      </c>
      <c r="N210" t="s">
        <v>3365</v>
      </c>
      <c r="O210" t="s">
        <v>3366</v>
      </c>
      <c r="P210" t="s">
        <v>3372</v>
      </c>
    </row>
    <row r="211" spans="1:16" x14ac:dyDescent="0.3">
      <c r="A211" t="s">
        <v>779</v>
      </c>
      <c r="B211" t="s">
        <v>15</v>
      </c>
      <c r="C211" t="s">
        <v>774</v>
      </c>
      <c r="F211" t="s">
        <v>3361</v>
      </c>
      <c r="G211" t="s">
        <v>2746</v>
      </c>
      <c r="I211" t="s">
        <v>15</v>
      </c>
      <c r="J211" t="s">
        <v>3369</v>
      </c>
      <c r="K211" t="s">
        <v>605</v>
      </c>
      <c r="L211" t="s">
        <v>3375</v>
      </c>
      <c r="M211" t="s">
        <v>3364</v>
      </c>
      <c r="N211" t="s">
        <v>3365</v>
      </c>
      <c r="O211" t="s">
        <v>3366</v>
      </c>
      <c r="P211" t="s">
        <v>3372</v>
      </c>
    </row>
    <row r="212" spans="1:16" x14ac:dyDescent="0.3">
      <c r="A212" t="s">
        <v>780</v>
      </c>
      <c r="B212" t="s">
        <v>15</v>
      </c>
      <c r="C212" t="s">
        <v>774</v>
      </c>
      <c r="F212" t="s">
        <v>3361</v>
      </c>
      <c r="G212" t="s">
        <v>2746</v>
      </c>
      <c r="I212" t="s">
        <v>15</v>
      </c>
      <c r="J212" t="s">
        <v>3369</v>
      </c>
      <c r="K212" t="s">
        <v>605</v>
      </c>
      <c r="L212" t="s">
        <v>3375</v>
      </c>
      <c r="M212" t="s">
        <v>3364</v>
      </c>
      <c r="N212" t="s">
        <v>3365</v>
      </c>
      <c r="O212" t="s">
        <v>3366</v>
      </c>
      <c r="P212" t="s">
        <v>3372</v>
      </c>
    </row>
    <row r="213" spans="1:16" x14ac:dyDescent="0.3">
      <c r="A213" t="s">
        <v>653</v>
      </c>
      <c r="B213" t="s">
        <v>15</v>
      </c>
      <c r="C213" t="s">
        <v>781</v>
      </c>
      <c r="F213" t="s">
        <v>3361</v>
      </c>
      <c r="G213" t="s">
        <v>2746</v>
      </c>
      <c r="I213" t="s">
        <v>15</v>
      </c>
      <c r="J213" t="s">
        <v>3369</v>
      </c>
      <c r="K213" t="s">
        <v>605</v>
      </c>
      <c r="L213" t="s">
        <v>3375</v>
      </c>
      <c r="M213" t="s">
        <v>3364</v>
      </c>
      <c r="N213" t="s">
        <v>3365</v>
      </c>
      <c r="O213" t="s">
        <v>3366</v>
      </c>
      <c r="P213" t="s">
        <v>3372</v>
      </c>
    </row>
    <row r="214" spans="1:16" x14ac:dyDescent="0.3">
      <c r="A214" t="s">
        <v>684</v>
      </c>
      <c r="B214" t="s">
        <v>15</v>
      </c>
      <c r="C214" t="s">
        <v>781</v>
      </c>
      <c r="F214" t="s">
        <v>3361</v>
      </c>
      <c r="G214" t="s">
        <v>2746</v>
      </c>
      <c r="I214" t="s">
        <v>15</v>
      </c>
      <c r="J214" t="s">
        <v>3369</v>
      </c>
      <c r="K214" t="s">
        <v>605</v>
      </c>
      <c r="L214" t="s">
        <v>3375</v>
      </c>
      <c r="M214" t="s">
        <v>3364</v>
      </c>
      <c r="N214" t="s">
        <v>3365</v>
      </c>
      <c r="O214" t="s">
        <v>3366</v>
      </c>
      <c r="P214" t="s">
        <v>3372</v>
      </c>
    </row>
    <row r="215" spans="1:16" x14ac:dyDescent="0.3">
      <c r="A215" t="s">
        <v>683</v>
      </c>
      <c r="B215" t="s">
        <v>15</v>
      </c>
      <c r="C215" t="s">
        <v>781</v>
      </c>
      <c r="F215" t="s">
        <v>3361</v>
      </c>
      <c r="G215" t="s">
        <v>2746</v>
      </c>
      <c r="I215" t="s">
        <v>15</v>
      </c>
      <c r="J215" t="s">
        <v>3369</v>
      </c>
      <c r="K215" t="s">
        <v>605</v>
      </c>
      <c r="L215" t="s">
        <v>3375</v>
      </c>
      <c r="M215" t="s">
        <v>3364</v>
      </c>
      <c r="N215" t="s">
        <v>3365</v>
      </c>
      <c r="O215" t="s">
        <v>3366</v>
      </c>
      <c r="P215" t="s">
        <v>3372</v>
      </c>
    </row>
    <row r="216" spans="1:16" x14ac:dyDescent="0.3">
      <c r="A216" t="s">
        <v>685</v>
      </c>
      <c r="B216" t="s">
        <v>15</v>
      </c>
      <c r="C216" t="s">
        <v>781</v>
      </c>
      <c r="F216" t="s">
        <v>3361</v>
      </c>
      <c r="G216" t="s">
        <v>2746</v>
      </c>
      <c r="I216" t="s">
        <v>15</v>
      </c>
      <c r="J216" t="s">
        <v>3369</v>
      </c>
      <c r="K216" t="s">
        <v>605</v>
      </c>
      <c r="L216" t="s">
        <v>3375</v>
      </c>
      <c r="M216" t="s">
        <v>3364</v>
      </c>
      <c r="N216" t="s">
        <v>3365</v>
      </c>
      <c r="O216" t="s">
        <v>3366</v>
      </c>
      <c r="P216" t="s">
        <v>3372</v>
      </c>
    </row>
    <row r="217" spans="1:16" x14ac:dyDescent="0.3">
      <c r="A217" t="s">
        <v>664</v>
      </c>
      <c r="B217" t="s">
        <v>15</v>
      </c>
      <c r="C217" t="s">
        <v>781</v>
      </c>
      <c r="F217" t="s">
        <v>3361</v>
      </c>
      <c r="G217" t="s">
        <v>2746</v>
      </c>
      <c r="I217" t="s">
        <v>15</v>
      </c>
      <c r="J217" t="s">
        <v>3369</v>
      </c>
      <c r="K217" t="s">
        <v>605</v>
      </c>
      <c r="L217" t="s">
        <v>3375</v>
      </c>
      <c r="M217" t="s">
        <v>3364</v>
      </c>
      <c r="N217" t="s">
        <v>3365</v>
      </c>
      <c r="O217" t="s">
        <v>3366</v>
      </c>
      <c r="P217" t="s">
        <v>3372</v>
      </c>
    </row>
    <row r="218" spans="1:16" x14ac:dyDescent="0.3">
      <c r="A218" t="s">
        <v>782</v>
      </c>
      <c r="B218" t="s">
        <v>15</v>
      </c>
      <c r="C218" t="s">
        <v>781</v>
      </c>
      <c r="F218" t="s">
        <v>3361</v>
      </c>
      <c r="G218" t="s">
        <v>2746</v>
      </c>
      <c r="I218" t="s">
        <v>15</v>
      </c>
      <c r="J218" t="s">
        <v>3369</v>
      </c>
      <c r="K218" t="s">
        <v>605</v>
      </c>
      <c r="L218" t="s">
        <v>3375</v>
      </c>
      <c r="M218" t="s">
        <v>3364</v>
      </c>
      <c r="N218" t="s">
        <v>3365</v>
      </c>
      <c r="O218" t="s">
        <v>3366</v>
      </c>
      <c r="P218" t="s">
        <v>3372</v>
      </c>
    </row>
    <row r="219" spans="1:16" x14ac:dyDescent="0.3">
      <c r="A219" t="s">
        <v>638</v>
      </c>
      <c r="B219" t="s">
        <v>15</v>
      </c>
      <c r="C219" t="s">
        <v>783</v>
      </c>
      <c r="F219" t="s">
        <v>3361</v>
      </c>
      <c r="G219" t="s">
        <v>2746</v>
      </c>
      <c r="I219" t="s">
        <v>15</v>
      </c>
      <c r="J219" t="s">
        <v>3362</v>
      </c>
      <c r="K219" t="s">
        <v>605</v>
      </c>
      <c r="L219" t="s">
        <v>3375</v>
      </c>
      <c r="M219" t="s">
        <v>3364</v>
      </c>
      <c r="N219" t="s">
        <v>3365</v>
      </c>
      <c r="O219" t="s">
        <v>3366</v>
      </c>
      <c r="P219" t="s">
        <v>3367</v>
      </c>
    </row>
    <row r="220" spans="1:16" x14ac:dyDescent="0.3">
      <c r="A220" t="s">
        <v>784</v>
      </c>
      <c r="B220" t="s">
        <v>15</v>
      </c>
      <c r="C220" t="s">
        <v>783</v>
      </c>
      <c r="F220" t="s">
        <v>3361</v>
      </c>
      <c r="G220" t="s">
        <v>2746</v>
      </c>
      <c r="I220" t="s">
        <v>15</v>
      </c>
      <c r="J220" t="s">
        <v>3369</v>
      </c>
      <c r="K220" t="s">
        <v>605</v>
      </c>
      <c r="L220" t="s">
        <v>3375</v>
      </c>
      <c r="M220" t="s">
        <v>3364</v>
      </c>
      <c r="N220" t="s">
        <v>3365</v>
      </c>
      <c r="O220" t="s">
        <v>3366</v>
      </c>
      <c r="P220" t="s">
        <v>3372</v>
      </c>
    </row>
    <row r="221" spans="1:16" x14ac:dyDescent="0.3">
      <c r="A221" t="s">
        <v>785</v>
      </c>
      <c r="B221" t="s">
        <v>15</v>
      </c>
      <c r="C221" t="s">
        <v>783</v>
      </c>
      <c r="F221" t="s">
        <v>3361</v>
      </c>
      <c r="G221" t="s">
        <v>2746</v>
      </c>
      <c r="I221" t="s">
        <v>15</v>
      </c>
      <c r="J221" t="s">
        <v>3369</v>
      </c>
      <c r="K221" t="s">
        <v>605</v>
      </c>
      <c r="L221" t="s">
        <v>3375</v>
      </c>
      <c r="M221" t="s">
        <v>3364</v>
      </c>
      <c r="N221" t="s">
        <v>3365</v>
      </c>
      <c r="O221" t="s">
        <v>3366</v>
      </c>
      <c r="P221" t="s">
        <v>3372</v>
      </c>
    </row>
    <row r="222" spans="1:16" x14ac:dyDescent="0.3">
      <c r="A222" t="s">
        <v>776</v>
      </c>
      <c r="B222" t="s">
        <v>15</v>
      </c>
      <c r="C222" t="s">
        <v>783</v>
      </c>
      <c r="F222" t="s">
        <v>3361</v>
      </c>
      <c r="G222" t="s">
        <v>2746</v>
      </c>
      <c r="I222" t="s">
        <v>15</v>
      </c>
      <c r="J222" t="s">
        <v>3369</v>
      </c>
      <c r="K222" t="s">
        <v>605</v>
      </c>
      <c r="L222" t="s">
        <v>3375</v>
      </c>
      <c r="M222" t="s">
        <v>3364</v>
      </c>
      <c r="N222" t="s">
        <v>3365</v>
      </c>
      <c r="O222" t="s">
        <v>3366</v>
      </c>
      <c r="P222" t="s">
        <v>3372</v>
      </c>
    </row>
    <row r="223" spans="1:16" x14ac:dyDescent="0.3">
      <c r="A223" t="s">
        <v>786</v>
      </c>
      <c r="B223" t="s">
        <v>15</v>
      </c>
      <c r="C223" t="s">
        <v>783</v>
      </c>
      <c r="F223" t="s">
        <v>3361</v>
      </c>
      <c r="G223" t="s">
        <v>2746</v>
      </c>
      <c r="I223" t="s">
        <v>15</v>
      </c>
      <c r="J223" t="s">
        <v>3369</v>
      </c>
      <c r="K223" t="s">
        <v>605</v>
      </c>
      <c r="L223" t="s">
        <v>3375</v>
      </c>
      <c r="M223" t="s">
        <v>3364</v>
      </c>
      <c r="N223" t="s">
        <v>3365</v>
      </c>
      <c r="O223" t="s">
        <v>3366</v>
      </c>
      <c r="P223" t="s">
        <v>3372</v>
      </c>
    </row>
    <row r="224" spans="1:16" x14ac:dyDescent="0.3">
      <c r="A224" t="s">
        <v>787</v>
      </c>
      <c r="B224" t="s">
        <v>15</v>
      </c>
      <c r="C224" t="s">
        <v>783</v>
      </c>
      <c r="F224" t="s">
        <v>3361</v>
      </c>
      <c r="G224" t="s">
        <v>2746</v>
      </c>
      <c r="I224" t="s">
        <v>15</v>
      </c>
      <c r="J224" t="s">
        <v>3369</v>
      </c>
      <c r="K224" t="s">
        <v>605</v>
      </c>
      <c r="L224" t="s">
        <v>3375</v>
      </c>
      <c r="M224" t="s">
        <v>3364</v>
      </c>
      <c r="N224" t="s">
        <v>3365</v>
      </c>
      <c r="O224" t="s">
        <v>3366</v>
      </c>
      <c r="P224" t="s">
        <v>3372</v>
      </c>
    </row>
    <row r="225" spans="1:16" x14ac:dyDescent="0.3">
      <c r="A225" t="s">
        <v>788</v>
      </c>
      <c r="B225" t="s">
        <v>15</v>
      </c>
      <c r="C225" t="s">
        <v>783</v>
      </c>
      <c r="F225" t="s">
        <v>3361</v>
      </c>
      <c r="G225" t="s">
        <v>2746</v>
      </c>
      <c r="I225" t="s">
        <v>15</v>
      </c>
      <c r="J225" t="s">
        <v>3369</v>
      </c>
      <c r="K225" t="s">
        <v>605</v>
      </c>
      <c r="L225" t="s">
        <v>3375</v>
      </c>
      <c r="M225" t="s">
        <v>3364</v>
      </c>
      <c r="N225" t="s">
        <v>3365</v>
      </c>
      <c r="O225" t="s">
        <v>3366</v>
      </c>
      <c r="P225" t="s">
        <v>3372</v>
      </c>
    </row>
    <row r="226" spans="1:16" x14ac:dyDescent="0.3">
      <c r="A226" t="s">
        <v>790</v>
      </c>
      <c r="B226" t="s">
        <v>15</v>
      </c>
      <c r="C226" t="s">
        <v>789</v>
      </c>
      <c r="F226" t="s">
        <v>3361</v>
      </c>
      <c r="G226" t="s">
        <v>2746</v>
      </c>
      <c r="I226" t="s">
        <v>15</v>
      </c>
      <c r="J226" t="s">
        <v>3369</v>
      </c>
      <c r="K226" t="s">
        <v>605</v>
      </c>
      <c r="L226" t="s">
        <v>3375</v>
      </c>
      <c r="M226" t="s">
        <v>3364</v>
      </c>
      <c r="N226" t="s">
        <v>3365</v>
      </c>
      <c r="O226" t="s">
        <v>3366</v>
      </c>
      <c r="P226" t="s">
        <v>3372</v>
      </c>
    </row>
    <row r="227" spans="1:16" x14ac:dyDescent="0.3">
      <c r="A227" t="s">
        <v>672</v>
      </c>
      <c r="B227" t="s">
        <v>15</v>
      </c>
      <c r="C227" t="s">
        <v>789</v>
      </c>
      <c r="F227" t="s">
        <v>3361</v>
      </c>
      <c r="G227" t="s">
        <v>2746</v>
      </c>
      <c r="I227" t="s">
        <v>15</v>
      </c>
      <c r="J227" t="s">
        <v>3369</v>
      </c>
      <c r="K227" t="s">
        <v>605</v>
      </c>
      <c r="L227" t="s">
        <v>3375</v>
      </c>
      <c r="M227" t="s">
        <v>3364</v>
      </c>
      <c r="N227" t="s">
        <v>3365</v>
      </c>
      <c r="O227" t="s">
        <v>3366</v>
      </c>
      <c r="P227" t="s">
        <v>3372</v>
      </c>
    </row>
    <row r="228" spans="1:16" x14ac:dyDescent="0.3">
      <c r="A228" t="s">
        <v>791</v>
      </c>
      <c r="B228" t="s">
        <v>15</v>
      </c>
      <c r="C228" t="s">
        <v>789</v>
      </c>
      <c r="F228" t="s">
        <v>3361</v>
      </c>
      <c r="G228" t="s">
        <v>2746</v>
      </c>
      <c r="I228" t="s">
        <v>15</v>
      </c>
      <c r="J228" t="s">
        <v>3369</v>
      </c>
      <c r="K228" t="s">
        <v>605</v>
      </c>
      <c r="L228" t="s">
        <v>3375</v>
      </c>
      <c r="M228" t="s">
        <v>3364</v>
      </c>
      <c r="N228" t="s">
        <v>3365</v>
      </c>
      <c r="O228" t="s">
        <v>3366</v>
      </c>
      <c r="P228" t="s">
        <v>3372</v>
      </c>
    </row>
    <row r="229" spans="1:16" x14ac:dyDescent="0.3">
      <c r="A229" t="s">
        <v>743</v>
      </c>
      <c r="B229" t="s">
        <v>15</v>
      </c>
      <c r="C229" t="s">
        <v>789</v>
      </c>
      <c r="F229" t="s">
        <v>3361</v>
      </c>
      <c r="G229" t="s">
        <v>2746</v>
      </c>
      <c r="I229" t="s">
        <v>15</v>
      </c>
      <c r="J229" t="s">
        <v>3369</v>
      </c>
      <c r="K229" t="s">
        <v>605</v>
      </c>
      <c r="L229" t="s">
        <v>3375</v>
      </c>
      <c r="M229" t="s">
        <v>3364</v>
      </c>
      <c r="N229" t="s">
        <v>3365</v>
      </c>
      <c r="O229" t="s">
        <v>3366</v>
      </c>
      <c r="P229" t="s">
        <v>3372</v>
      </c>
    </row>
    <row r="230" spans="1:16" x14ac:dyDescent="0.3">
      <c r="A230" t="s">
        <v>792</v>
      </c>
      <c r="B230" t="s">
        <v>15</v>
      </c>
      <c r="C230" t="s">
        <v>789</v>
      </c>
      <c r="F230" t="s">
        <v>3361</v>
      </c>
      <c r="G230" t="s">
        <v>2746</v>
      </c>
      <c r="I230" t="s">
        <v>15</v>
      </c>
      <c r="J230" t="s">
        <v>3369</v>
      </c>
      <c r="K230" t="s">
        <v>605</v>
      </c>
      <c r="L230" t="s">
        <v>3375</v>
      </c>
      <c r="M230" t="s">
        <v>3364</v>
      </c>
      <c r="N230" t="s">
        <v>3365</v>
      </c>
      <c r="O230" t="s">
        <v>3366</v>
      </c>
      <c r="P230" t="s">
        <v>3372</v>
      </c>
    </row>
    <row r="231" spans="1:16" x14ac:dyDescent="0.3">
      <c r="A231" t="s">
        <v>793</v>
      </c>
      <c r="B231" t="s">
        <v>15</v>
      </c>
      <c r="C231" t="s">
        <v>789</v>
      </c>
      <c r="F231" t="s">
        <v>3361</v>
      </c>
      <c r="G231" t="s">
        <v>2746</v>
      </c>
      <c r="I231" t="s">
        <v>15</v>
      </c>
      <c r="J231" t="s">
        <v>3369</v>
      </c>
      <c r="K231" t="s">
        <v>605</v>
      </c>
      <c r="L231" t="s">
        <v>3375</v>
      </c>
      <c r="M231" t="s">
        <v>3364</v>
      </c>
      <c r="N231" t="s">
        <v>3365</v>
      </c>
      <c r="O231" t="s">
        <v>3366</v>
      </c>
      <c r="P231" t="s">
        <v>3372</v>
      </c>
    </row>
    <row r="232" spans="1:16" x14ac:dyDescent="0.3">
      <c r="A232" t="s">
        <v>794</v>
      </c>
      <c r="B232" t="s">
        <v>15</v>
      </c>
      <c r="C232" t="s">
        <v>789</v>
      </c>
      <c r="F232" t="s">
        <v>3361</v>
      </c>
      <c r="G232" t="s">
        <v>2746</v>
      </c>
      <c r="I232" t="s">
        <v>15</v>
      </c>
      <c r="J232" t="s">
        <v>3369</v>
      </c>
      <c r="K232" t="s">
        <v>605</v>
      </c>
      <c r="L232" t="s">
        <v>3375</v>
      </c>
      <c r="M232" t="s">
        <v>3364</v>
      </c>
      <c r="N232" t="s">
        <v>3365</v>
      </c>
      <c r="O232" t="s">
        <v>3366</v>
      </c>
      <c r="P232" t="s">
        <v>3372</v>
      </c>
    </row>
    <row r="233" spans="1:16" x14ac:dyDescent="0.3">
      <c r="A233" t="s">
        <v>337</v>
      </c>
      <c r="B233" t="s">
        <v>14</v>
      </c>
      <c r="C233" t="s">
        <v>337</v>
      </c>
      <c r="F233" t="s">
        <v>3361</v>
      </c>
      <c r="G233" t="s">
        <v>2746</v>
      </c>
      <c r="I233" t="s">
        <v>14</v>
      </c>
      <c r="J233" t="s">
        <v>3362</v>
      </c>
      <c r="K233" t="s">
        <v>1661</v>
      </c>
      <c r="L233" t="s">
        <v>3386</v>
      </c>
      <c r="M233" t="s">
        <v>3364</v>
      </c>
      <c r="N233" t="s">
        <v>3365</v>
      </c>
      <c r="O233" t="s">
        <v>3366</v>
      </c>
      <c r="P233" t="s">
        <v>3367</v>
      </c>
    </row>
    <row r="234" spans="1:16" x14ac:dyDescent="0.3">
      <c r="A234" t="s">
        <v>693</v>
      </c>
      <c r="B234" t="s">
        <v>14</v>
      </c>
      <c r="C234" t="s">
        <v>337</v>
      </c>
      <c r="F234" t="s">
        <v>3361</v>
      </c>
      <c r="G234" t="s">
        <v>2746</v>
      </c>
      <c r="I234" t="s">
        <v>14</v>
      </c>
      <c r="J234" t="s">
        <v>3369</v>
      </c>
      <c r="K234" t="s">
        <v>1661</v>
      </c>
      <c r="L234" t="s">
        <v>3386</v>
      </c>
      <c r="M234" t="s">
        <v>3364</v>
      </c>
      <c r="N234" t="s">
        <v>3365</v>
      </c>
      <c r="O234" t="s">
        <v>3366</v>
      </c>
      <c r="P234" t="s">
        <v>3382</v>
      </c>
    </row>
    <row r="235" spans="1:16" x14ac:dyDescent="0.3">
      <c r="A235" t="s">
        <v>694</v>
      </c>
      <c r="B235" t="s">
        <v>14</v>
      </c>
      <c r="C235" t="s">
        <v>337</v>
      </c>
      <c r="F235" t="s">
        <v>3361</v>
      </c>
      <c r="G235" t="s">
        <v>2746</v>
      </c>
      <c r="I235" t="s">
        <v>14</v>
      </c>
      <c r="J235" t="s">
        <v>3369</v>
      </c>
      <c r="K235" t="s">
        <v>1661</v>
      </c>
      <c r="L235" t="s">
        <v>3386</v>
      </c>
      <c r="M235" t="s">
        <v>3364</v>
      </c>
      <c r="N235" t="s">
        <v>3365</v>
      </c>
      <c r="O235" t="s">
        <v>3366</v>
      </c>
      <c r="P235" t="s">
        <v>3382</v>
      </c>
    </row>
    <row r="236" spans="1:16" x14ac:dyDescent="0.3">
      <c r="A236" t="s">
        <v>428</v>
      </c>
      <c r="B236" t="s">
        <v>14</v>
      </c>
      <c r="C236" t="s">
        <v>337</v>
      </c>
      <c r="F236" t="s">
        <v>3361</v>
      </c>
      <c r="G236" t="s">
        <v>2746</v>
      </c>
      <c r="I236" t="s">
        <v>14</v>
      </c>
      <c r="J236" t="s">
        <v>3369</v>
      </c>
      <c r="K236" t="s">
        <v>1661</v>
      </c>
      <c r="L236" t="s">
        <v>3386</v>
      </c>
      <c r="M236" t="s">
        <v>3364</v>
      </c>
      <c r="N236" t="s">
        <v>3365</v>
      </c>
      <c r="O236" t="s">
        <v>3366</v>
      </c>
      <c r="P236" t="s">
        <v>3382</v>
      </c>
    </row>
    <row r="237" spans="1:16" x14ac:dyDescent="0.3">
      <c r="A237" t="s">
        <v>695</v>
      </c>
      <c r="B237" t="s">
        <v>14</v>
      </c>
      <c r="C237" t="s">
        <v>337</v>
      </c>
      <c r="F237" t="s">
        <v>3361</v>
      </c>
      <c r="G237" t="s">
        <v>2746</v>
      </c>
      <c r="I237" t="s">
        <v>14</v>
      </c>
      <c r="J237" t="s">
        <v>3369</v>
      </c>
      <c r="K237" t="s">
        <v>1661</v>
      </c>
      <c r="L237" t="s">
        <v>3386</v>
      </c>
      <c r="M237" t="s">
        <v>3364</v>
      </c>
      <c r="N237" t="s">
        <v>3365</v>
      </c>
      <c r="O237" t="s">
        <v>3366</v>
      </c>
      <c r="P237" t="s">
        <v>3382</v>
      </c>
    </row>
    <row r="238" spans="1:16" x14ac:dyDescent="0.3">
      <c r="A238" t="s">
        <v>341</v>
      </c>
      <c r="B238" t="s">
        <v>14</v>
      </c>
      <c r="C238" t="s">
        <v>341</v>
      </c>
      <c r="F238" t="s">
        <v>3361</v>
      </c>
      <c r="G238" t="s">
        <v>2746</v>
      </c>
      <c r="I238" t="s">
        <v>14</v>
      </c>
      <c r="J238" t="s">
        <v>3369</v>
      </c>
      <c r="K238" t="s">
        <v>1661</v>
      </c>
      <c r="L238" t="s">
        <v>3386</v>
      </c>
      <c r="M238" t="s">
        <v>3364</v>
      </c>
      <c r="N238" t="s">
        <v>3365</v>
      </c>
      <c r="O238" t="s">
        <v>3366</v>
      </c>
      <c r="P238" t="s">
        <v>3382</v>
      </c>
    </row>
    <row r="239" spans="1:16" x14ac:dyDescent="0.3">
      <c r="A239" t="s">
        <v>696</v>
      </c>
      <c r="B239" t="s">
        <v>14</v>
      </c>
      <c r="C239" t="s">
        <v>341</v>
      </c>
      <c r="F239" t="s">
        <v>3361</v>
      </c>
      <c r="G239" t="s">
        <v>2746</v>
      </c>
      <c r="I239" t="s">
        <v>14</v>
      </c>
      <c r="J239" t="s">
        <v>3369</v>
      </c>
      <c r="K239" t="s">
        <v>1661</v>
      </c>
      <c r="L239" t="s">
        <v>3386</v>
      </c>
      <c r="M239" t="s">
        <v>3364</v>
      </c>
      <c r="N239" t="s">
        <v>3365</v>
      </c>
      <c r="O239" t="s">
        <v>3366</v>
      </c>
      <c r="P239" t="s">
        <v>3382</v>
      </c>
    </row>
    <row r="240" spans="1:16" x14ac:dyDescent="0.3">
      <c r="A240" t="s">
        <v>697</v>
      </c>
      <c r="B240" t="s">
        <v>14</v>
      </c>
      <c r="C240" t="s">
        <v>341</v>
      </c>
      <c r="F240" t="s">
        <v>3361</v>
      </c>
      <c r="G240" t="s">
        <v>2746</v>
      </c>
      <c r="I240" t="s">
        <v>14</v>
      </c>
      <c r="J240" t="s">
        <v>3369</v>
      </c>
      <c r="K240" t="s">
        <v>1661</v>
      </c>
      <c r="L240" t="s">
        <v>3386</v>
      </c>
      <c r="M240" t="s">
        <v>3364</v>
      </c>
      <c r="N240" t="s">
        <v>3365</v>
      </c>
      <c r="O240" t="s">
        <v>3366</v>
      </c>
      <c r="P240" t="s">
        <v>3382</v>
      </c>
    </row>
    <row r="241" spans="1:16" x14ac:dyDescent="0.3">
      <c r="A241" t="s">
        <v>698</v>
      </c>
      <c r="B241" t="s">
        <v>14</v>
      </c>
      <c r="C241" t="s">
        <v>341</v>
      </c>
      <c r="F241" t="s">
        <v>3361</v>
      </c>
      <c r="G241" t="s">
        <v>2746</v>
      </c>
      <c r="I241" t="s">
        <v>14</v>
      </c>
      <c r="J241" t="s">
        <v>3369</v>
      </c>
      <c r="K241" t="s">
        <v>1661</v>
      </c>
      <c r="L241" t="s">
        <v>3386</v>
      </c>
      <c r="M241" t="s">
        <v>3364</v>
      </c>
      <c r="N241" t="s">
        <v>3365</v>
      </c>
      <c r="O241" t="s">
        <v>3366</v>
      </c>
      <c r="P241" t="s">
        <v>3382</v>
      </c>
    </row>
    <row r="242" spans="1:16" x14ac:dyDescent="0.3">
      <c r="A242" t="s">
        <v>699</v>
      </c>
      <c r="B242" t="s">
        <v>14</v>
      </c>
      <c r="C242" t="s">
        <v>341</v>
      </c>
      <c r="F242" t="s">
        <v>3361</v>
      </c>
      <c r="G242" t="s">
        <v>2746</v>
      </c>
      <c r="I242" t="s">
        <v>14</v>
      </c>
      <c r="J242" t="s">
        <v>3369</v>
      </c>
      <c r="K242" t="s">
        <v>1661</v>
      </c>
      <c r="L242" t="s">
        <v>3386</v>
      </c>
      <c r="M242" t="s">
        <v>3364</v>
      </c>
      <c r="N242" t="s">
        <v>3365</v>
      </c>
      <c r="O242" t="s">
        <v>3366</v>
      </c>
      <c r="P242" t="s">
        <v>3382</v>
      </c>
    </row>
    <row r="243" spans="1:16" x14ac:dyDescent="0.3">
      <c r="A243" t="s">
        <v>343</v>
      </c>
      <c r="B243" t="s">
        <v>14</v>
      </c>
      <c r="C243" t="s">
        <v>343</v>
      </c>
      <c r="F243" t="s">
        <v>3361</v>
      </c>
      <c r="G243" t="s">
        <v>2746</v>
      </c>
      <c r="I243" t="s">
        <v>14</v>
      </c>
      <c r="J243" t="s">
        <v>3369</v>
      </c>
      <c r="K243" t="s">
        <v>1661</v>
      </c>
      <c r="L243" t="s">
        <v>3386</v>
      </c>
      <c r="M243" t="s">
        <v>3364</v>
      </c>
      <c r="N243" t="s">
        <v>3365</v>
      </c>
      <c r="O243" t="s">
        <v>3366</v>
      </c>
      <c r="P243" t="s">
        <v>3382</v>
      </c>
    </row>
    <row r="244" spans="1:16" x14ac:dyDescent="0.3">
      <c r="A244" t="s">
        <v>700</v>
      </c>
      <c r="B244" t="s">
        <v>14</v>
      </c>
      <c r="C244" t="s">
        <v>343</v>
      </c>
      <c r="F244" t="s">
        <v>3361</v>
      </c>
      <c r="G244" t="s">
        <v>2746</v>
      </c>
      <c r="I244" t="s">
        <v>14</v>
      </c>
      <c r="J244" t="s">
        <v>3369</v>
      </c>
      <c r="K244" t="s">
        <v>1661</v>
      </c>
      <c r="L244" t="s">
        <v>3386</v>
      </c>
      <c r="M244" t="s">
        <v>3364</v>
      </c>
      <c r="N244" t="s">
        <v>3365</v>
      </c>
      <c r="O244" t="s">
        <v>3366</v>
      </c>
      <c r="P244" t="s">
        <v>3382</v>
      </c>
    </row>
    <row r="245" spans="1:16" x14ac:dyDescent="0.3">
      <c r="A245" t="s">
        <v>701</v>
      </c>
      <c r="B245" t="s">
        <v>14</v>
      </c>
      <c r="C245" t="s">
        <v>343</v>
      </c>
      <c r="F245" t="s">
        <v>3361</v>
      </c>
      <c r="G245" t="s">
        <v>2746</v>
      </c>
      <c r="I245" t="s">
        <v>14</v>
      </c>
      <c r="J245" t="s">
        <v>3369</v>
      </c>
      <c r="K245" t="s">
        <v>1661</v>
      </c>
      <c r="L245" t="s">
        <v>3386</v>
      </c>
      <c r="M245" t="s">
        <v>3364</v>
      </c>
      <c r="N245" t="s">
        <v>3365</v>
      </c>
      <c r="O245" t="s">
        <v>3366</v>
      </c>
      <c r="P245" t="s">
        <v>3382</v>
      </c>
    </row>
    <row r="246" spans="1:16" x14ac:dyDescent="0.3">
      <c r="A246" t="s">
        <v>702</v>
      </c>
      <c r="B246" t="s">
        <v>14</v>
      </c>
      <c r="C246" t="s">
        <v>343</v>
      </c>
      <c r="F246" t="s">
        <v>3361</v>
      </c>
      <c r="G246" t="s">
        <v>2746</v>
      </c>
      <c r="I246" t="s">
        <v>14</v>
      </c>
      <c r="J246" t="s">
        <v>3369</v>
      </c>
      <c r="K246" t="s">
        <v>1661</v>
      </c>
      <c r="L246" t="s">
        <v>3386</v>
      </c>
      <c r="M246" t="s">
        <v>3364</v>
      </c>
      <c r="N246" t="s">
        <v>3365</v>
      </c>
      <c r="O246" t="s">
        <v>3366</v>
      </c>
      <c r="P246" t="s">
        <v>3382</v>
      </c>
    </row>
    <row r="247" spans="1:16" x14ac:dyDescent="0.3">
      <c r="A247" t="s">
        <v>703</v>
      </c>
      <c r="B247" t="s">
        <v>14</v>
      </c>
      <c r="C247" t="s">
        <v>343</v>
      </c>
      <c r="F247" t="s">
        <v>3361</v>
      </c>
      <c r="G247" t="s">
        <v>2746</v>
      </c>
      <c r="I247" t="s">
        <v>14</v>
      </c>
      <c r="J247" t="s">
        <v>3369</v>
      </c>
      <c r="K247" t="s">
        <v>1661</v>
      </c>
      <c r="L247" t="s">
        <v>3386</v>
      </c>
      <c r="M247" t="s">
        <v>3364</v>
      </c>
      <c r="N247" t="s">
        <v>3365</v>
      </c>
      <c r="O247" t="s">
        <v>3366</v>
      </c>
      <c r="P247" t="s">
        <v>3382</v>
      </c>
    </row>
    <row r="248" spans="1:16" x14ac:dyDescent="0.3">
      <c r="A248" t="s">
        <v>704</v>
      </c>
      <c r="B248" t="s">
        <v>14</v>
      </c>
      <c r="C248" t="s">
        <v>343</v>
      </c>
      <c r="F248" t="s">
        <v>3361</v>
      </c>
      <c r="G248" t="s">
        <v>2746</v>
      </c>
      <c r="I248" t="s">
        <v>14</v>
      </c>
      <c r="J248" t="s">
        <v>3369</v>
      </c>
      <c r="K248" t="s">
        <v>1661</v>
      </c>
      <c r="L248" t="s">
        <v>3386</v>
      </c>
      <c r="M248" t="s">
        <v>3364</v>
      </c>
      <c r="N248" t="s">
        <v>3365</v>
      </c>
      <c r="O248" t="s">
        <v>3366</v>
      </c>
      <c r="P248" t="s">
        <v>3382</v>
      </c>
    </row>
    <row r="249" spans="1:16" x14ac:dyDescent="0.3">
      <c r="A249" t="s">
        <v>345</v>
      </c>
      <c r="B249" t="s">
        <v>14</v>
      </c>
      <c r="C249" t="s">
        <v>345</v>
      </c>
      <c r="F249" t="s">
        <v>3361</v>
      </c>
      <c r="G249" t="s">
        <v>2746</v>
      </c>
      <c r="I249" t="s">
        <v>14</v>
      </c>
      <c r="J249" t="s">
        <v>3362</v>
      </c>
      <c r="K249" t="s">
        <v>1661</v>
      </c>
      <c r="L249" t="s">
        <v>3386</v>
      </c>
      <c r="M249" t="s">
        <v>3364</v>
      </c>
      <c r="N249" t="s">
        <v>3365</v>
      </c>
      <c r="O249" t="s">
        <v>3366</v>
      </c>
      <c r="P249" t="s">
        <v>3367</v>
      </c>
    </row>
    <row r="250" spans="1:16" x14ac:dyDescent="0.3">
      <c r="A250" t="s">
        <v>705</v>
      </c>
      <c r="B250" t="s">
        <v>14</v>
      </c>
      <c r="C250" t="s">
        <v>345</v>
      </c>
      <c r="F250" t="s">
        <v>3361</v>
      </c>
      <c r="G250" t="s">
        <v>2746</v>
      </c>
      <c r="I250" t="s">
        <v>14</v>
      </c>
      <c r="J250" t="s">
        <v>3369</v>
      </c>
      <c r="K250" t="s">
        <v>1661</v>
      </c>
      <c r="L250" t="s">
        <v>3386</v>
      </c>
      <c r="M250" t="s">
        <v>3364</v>
      </c>
      <c r="N250" t="s">
        <v>3365</v>
      </c>
      <c r="O250" t="s">
        <v>3366</v>
      </c>
      <c r="P250" t="s">
        <v>3382</v>
      </c>
    </row>
    <row r="251" spans="1:16" x14ac:dyDescent="0.3">
      <c r="A251" t="s">
        <v>706</v>
      </c>
      <c r="B251" t="s">
        <v>14</v>
      </c>
      <c r="C251" t="s">
        <v>345</v>
      </c>
      <c r="F251" t="s">
        <v>3361</v>
      </c>
      <c r="G251" t="s">
        <v>2746</v>
      </c>
      <c r="I251" t="s">
        <v>14</v>
      </c>
      <c r="J251" t="s">
        <v>3369</v>
      </c>
      <c r="K251" t="s">
        <v>1661</v>
      </c>
      <c r="L251" t="s">
        <v>3386</v>
      </c>
      <c r="M251" t="s">
        <v>3364</v>
      </c>
      <c r="N251" t="s">
        <v>3365</v>
      </c>
      <c r="O251" t="s">
        <v>3366</v>
      </c>
      <c r="P251" t="s">
        <v>3382</v>
      </c>
    </row>
    <row r="252" spans="1:16" x14ac:dyDescent="0.3">
      <c r="A252" t="s">
        <v>707</v>
      </c>
      <c r="B252" t="s">
        <v>14</v>
      </c>
      <c r="C252" t="s">
        <v>345</v>
      </c>
      <c r="F252" t="s">
        <v>3361</v>
      </c>
      <c r="G252" t="s">
        <v>2746</v>
      </c>
      <c r="I252" t="s">
        <v>14</v>
      </c>
      <c r="J252" t="s">
        <v>3369</v>
      </c>
      <c r="K252" t="s">
        <v>1661</v>
      </c>
      <c r="L252" t="s">
        <v>3386</v>
      </c>
      <c r="M252" t="s">
        <v>3364</v>
      </c>
      <c r="N252" t="s">
        <v>3365</v>
      </c>
      <c r="O252" t="s">
        <v>3366</v>
      </c>
      <c r="P252" t="s">
        <v>3382</v>
      </c>
    </row>
    <row r="253" spans="1:16" x14ac:dyDescent="0.3">
      <c r="A253" t="s">
        <v>708</v>
      </c>
      <c r="B253" t="s">
        <v>14</v>
      </c>
      <c r="C253" t="s">
        <v>345</v>
      </c>
      <c r="F253" t="s">
        <v>3361</v>
      </c>
      <c r="G253" t="s">
        <v>2746</v>
      </c>
      <c r="I253" t="s">
        <v>14</v>
      </c>
      <c r="J253" t="s">
        <v>3369</v>
      </c>
      <c r="K253" t="s">
        <v>1661</v>
      </c>
      <c r="L253" t="s">
        <v>3386</v>
      </c>
      <c r="M253" t="s">
        <v>3364</v>
      </c>
      <c r="N253" t="s">
        <v>3365</v>
      </c>
      <c r="O253" t="s">
        <v>3366</v>
      </c>
      <c r="P253" t="s">
        <v>3382</v>
      </c>
    </row>
    <row r="254" spans="1:16" x14ac:dyDescent="0.3">
      <c r="A254" t="s">
        <v>709</v>
      </c>
      <c r="B254" t="s">
        <v>14</v>
      </c>
      <c r="C254" t="s">
        <v>347</v>
      </c>
      <c r="F254" t="s">
        <v>3361</v>
      </c>
      <c r="G254" t="s">
        <v>2746</v>
      </c>
      <c r="I254" t="s">
        <v>14</v>
      </c>
      <c r="J254" t="s">
        <v>3369</v>
      </c>
      <c r="K254" t="s">
        <v>1661</v>
      </c>
      <c r="L254" t="s">
        <v>3386</v>
      </c>
      <c r="M254" t="s">
        <v>3364</v>
      </c>
      <c r="N254" t="s">
        <v>3365</v>
      </c>
      <c r="O254" t="s">
        <v>3366</v>
      </c>
      <c r="P254" t="s">
        <v>3382</v>
      </c>
    </row>
    <row r="255" spans="1:16" x14ac:dyDescent="0.3">
      <c r="A255" t="s">
        <v>710</v>
      </c>
      <c r="B255" t="s">
        <v>14</v>
      </c>
      <c r="C255" t="s">
        <v>347</v>
      </c>
      <c r="F255" t="s">
        <v>3361</v>
      </c>
      <c r="G255" t="s">
        <v>2746</v>
      </c>
      <c r="I255" t="s">
        <v>14</v>
      </c>
      <c r="J255" t="s">
        <v>3369</v>
      </c>
      <c r="K255" t="s">
        <v>1661</v>
      </c>
      <c r="L255" t="s">
        <v>3386</v>
      </c>
      <c r="M255" t="s">
        <v>3364</v>
      </c>
      <c r="N255" t="s">
        <v>3365</v>
      </c>
      <c r="O255" t="s">
        <v>3366</v>
      </c>
      <c r="P255" t="s">
        <v>3382</v>
      </c>
    </row>
    <row r="256" spans="1:16" x14ac:dyDescent="0.3">
      <c r="A256" t="s">
        <v>711</v>
      </c>
      <c r="B256" t="s">
        <v>14</v>
      </c>
      <c r="C256" t="s">
        <v>347</v>
      </c>
      <c r="F256" t="s">
        <v>3361</v>
      </c>
      <c r="G256" t="s">
        <v>2746</v>
      </c>
      <c r="I256" t="s">
        <v>14</v>
      </c>
      <c r="J256" t="s">
        <v>3369</v>
      </c>
      <c r="K256" t="s">
        <v>1661</v>
      </c>
      <c r="L256" t="s">
        <v>3386</v>
      </c>
      <c r="M256" t="s">
        <v>3364</v>
      </c>
      <c r="N256" t="s">
        <v>3365</v>
      </c>
      <c r="O256" t="s">
        <v>3366</v>
      </c>
      <c r="P256" t="s">
        <v>3382</v>
      </c>
    </row>
    <row r="257" spans="1:16" x14ac:dyDescent="0.3">
      <c r="A257" t="s">
        <v>712</v>
      </c>
      <c r="B257" t="s">
        <v>14</v>
      </c>
      <c r="C257" t="s">
        <v>347</v>
      </c>
      <c r="F257" t="s">
        <v>3361</v>
      </c>
      <c r="G257" t="s">
        <v>2746</v>
      </c>
      <c r="I257" t="s">
        <v>14</v>
      </c>
      <c r="J257" t="s">
        <v>3362</v>
      </c>
      <c r="K257" t="s">
        <v>1661</v>
      </c>
      <c r="L257" t="s">
        <v>3386</v>
      </c>
      <c r="M257" t="s">
        <v>3364</v>
      </c>
      <c r="N257" t="s">
        <v>3365</v>
      </c>
      <c r="O257" t="s">
        <v>3366</v>
      </c>
      <c r="P257" t="s">
        <v>3367</v>
      </c>
    </row>
    <row r="258" spans="1:16" x14ac:dyDescent="0.3">
      <c r="A258" t="s">
        <v>713</v>
      </c>
      <c r="B258" t="s">
        <v>14</v>
      </c>
      <c r="C258" t="s">
        <v>347</v>
      </c>
      <c r="F258" t="s">
        <v>3361</v>
      </c>
      <c r="G258" t="s">
        <v>2746</v>
      </c>
      <c r="I258" t="s">
        <v>14</v>
      </c>
      <c r="J258" t="s">
        <v>3369</v>
      </c>
      <c r="K258" t="s">
        <v>1661</v>
      </c>
      <c r="L258" t="s">
        <v>3386</v>
      </c>
      <c r="M258" t="s">
        <v>3364</v>
      </c>
      <c r="N258" t="s">
        <v>3365</v>
      </c>
      <c r="O258" t="s">
        <v>3366</v>
      </c>
      <c r="P258" t="s">
        <v>3382</v>
      </c>
    </row>
    <row r="259" spans="1:16" x14ac:dyDescent="0.3">
      <c r="A259" t="s">
        <v>714</v>
      </c>
      <c r="B259" t="s">
        <v>14</v>
      </c>
      <c r="C259" t="s">
        <v>349</v>
      </c>
      <c r="F259" t="s">
        <v>3361</v>
      </c>
      <c r="G259" t="s">
        <v>2746</v>
      </c>
      <c r="I259" t="s">
        <v>14</v>
      </c>
      <c r="J259" t="s">
        <v>3369</v>
      </c>
      <c r="K259" t="s">
        <v>1661</v>
      </c>
      <c r="L259" t="s">
        <v>3386</v>
      </c>
      <c r="M259" t="s">
        <v>3364</v>
      </c>
      <c r="N259" t="s">
        <v>3365</v>
      </c>
      <c r="O259" t="s">
        <v>3366</v>
      </c>
      <c r="P259" t="s">
        <v>3382</v>
      </c>
    </row>
    <row r="260" spans="1:16" x14ac:dyDescent="0.3">
      <c r="A260" t="s">
        <v>715</v>
      </c>
      <c r="B260" t="s">
        <v>14</v>
      </c>
      <c r="C260" t="s">
        <v>349</v>
      </c>
      <c r="F260" t="s">
        <v>3361</v>
      </c>
      <c r="G260" t="s">
        <v>2746</v>
      </c>
      <c r="I260" t="s">
        <v>14</v>
      </c>
      <c r="J260" t="s">
        <v>3369</v>
      </c>
      <c r="K260" t="s">
        <v>1661</v>
      </c>
      <c r="L260" t="s">
        <v>3386</v>
      </c>
      <c r="M260" t="s">
        <v>3364</v>
      </c>
      <c r="N260" t="s">
        <v>3365</v>
      </c>
      <c r="O260" t="s">
        <v>3366</v>
      </c>
      <c r="P260" t="s">
        <v>3382</v>
      </c>
    </row>
    <row r="261" spans="1:16" x14ac:dyDescent="0.3">
      <c r="A261" t="s">
        <v>716</v>
      </c>
      <c r="B261" t="s">
        <v>14</v>
      </c>
      <c r="C261" t="s">
        <v>349</v>
      </c>
      <c r="F261" t="s">
        <v>3361</v>
      </c>
      <c r="G261" t="s">
        <v>2746</v>
      </c>
      <c r="I261" t="s">
        <v>14</v>
      </c>
      <c r="J261" t="s">
        <v>3369</v>
      </c>
      <c r="K261" t="s">
        <v>1661</v>
      </c>
      <c r="L261" t="s">
        <v>3386</v>
      </c>
      <c r="M261" t="s">
        <v>3364</v>
      </c>
      <c r="N261" t="s">
        <v>3365</v>
      </c>
      <c r="O261" t="s">
        <v>3366</v>
      </c>
      <c r="P261" t="s">
        <v>3382</v>
      </c>
    </row>
    <row r="262" spans="1:16" x14ac:dyDescent="0.3">
      <c r="A262" t="s">
        <v>717</v>
      </c>
      <c r="B262" t="s">
        <v>14</v>
      </c>
      <c r="C262" t="s">
        <v>349</v>
      </c>
      <c r="F262" t="s">
        <v>3361</v>
      </c>
      <c r="G262" t="s">
        <v>2746</v>
      </c>
      <c r="I262" t="s">
        <v>14</v>
      </c>
      <c r="J262" t="s">
        <v>3369</v>
      </c>
      <c r="K262" t="s">
        <v>1661</v>
      </c>
      <c r="L262" t="s">
        <v>3386</v>
      </c>
      <c r="M262" t="s">
        <v>3364</v>
      </c>
      <c r="N262" t="s">
        <v>3365</v>
      </c>
      <c r="O262" t="s">
        <v>3366</v>
      </c>
      <c r="P262" t="s">
        <v>3382</v>
      </c>
    </row>
    <row r="263" spans="1:16" x14ac:dyDescent="0.3">
      <c r="A263" t="s">
        <v>634</v>
      </c>
      <c r="B263" t="s">
        <v>14</v>
      </c>
      <c r="C263" t="s">
        <v>349</v>
      </c>
      <c r="F263" t="s">
        <v>3361</v>
      </c>
      <c r="G263" t="s">
        <v>2746</v>
      </c>
      <c r="I263" t="s">
        <v>14</v>
      </c>
      <c r="J263" t="s">
        <v>3369</v>
      </c>
      <c r="K263" t="s">
        <v>1661</v>
      </c>
      <c r="L263" t="s">
        <v>3386</v>
      </c>
      <c r="M263" t="s">
        <v>3364</v>
      </c>
      <c r="N263" t="s">
        <v>3365</v>
      </c>
      <c r="O263" t="s">
        <v>3366</v>
      </c>
      <c r="P263" t="s">
        <v>3382</v>
      </c>
    </row>
    <row r="264" spans="1:16" x14ac:dyDescent="0.3">
      <c r="A264" t="s">
        <v>718</v>
      </c>
      <c r="B264" t="s">
        <v>14</v>
      </c>
      <c r="C264" t="s">
        <v>351</v>
      </c>
      <c r="F264" t="s">
        <v>3361</v>
      </c>
      <c r="G264" t="s">
        <v>2746</v>
      </c>
      <c r="I264" t="s">
        <v>14</v>
      </c>
      <c r="J264" t="s">
        <v>3362</v>
      </c>
      <c r="K264" t="s">
        <v>1661</v>
      </c>
      <c r="L264" t="s">
        <v>3386</v>
      </c>
      <c r="M264" t="s">
        <v>3364</v>
      </c>
      <c r="N264" t="s">
        <v>3365</v>
      </c>
      <c r="O264" t="s">
        <v>3366</v>
      </c>
      <c r="P264" t="s">
        <v>3367</v>
      </c>
    </row>
    <row r="265" spans="1:16" x14ac:dyDescent="0.3">
      <c r="A265" t="s">
        <v>719</v>
      </c>
      <c r="B265" t="s">
        <v>14</v>
      </c>
      <c r="C265" t="s">
        <v>351</v>
      </c>
      <c r="F265" t="s">
        <v>3361</v>
      </c>
      <c r="G265" t="s">
        <v>2746</v>
      </c>
      <c r="I265" t="s">
        <v>14</v>
      </c>
      <c r="J265" t="s">
        <v>3369</v>
      </c>
      <c r="K265" t="s">
        <v>1661</v>
      </c>
      <c r="L265" t="s">
        <v>3386</v>
      </c>
      <c r="M265" t="s">
        <v>3364</v>
      </c>
      <c r="N265" t="s">
        <v>3365</v>
      </c>
      <c r="O265" t="s">
        <v>3366</v>
      </c>
      <c r="P265" t="s">
        <v>3382</v>
      </c>
    </row>
    <row r="266" spans="1:16" x14ac:dyDescent="0.3">
      <c r="A266" t="s">
        <v>720</v>
      </c>
      <c r="B266" t="s">
        <v>14</v>
      </c>
      <c r="C266" t="s">
        <v>351</v>
      </c>
      <c r="F266" t="s">
        <v>3361</v>
      </c>
      <c r="G266" t="s">
        <v>2746</v>
      </c>
      <c r="I266" t="s">
        <v>14</v>
      </c>
      <c r="J266" t="s">
        <v>3369</v>
      </c>
      <c r="K266" t="s">
        <v>1661</v>
      </c>
      <c r="L266" t="s">
        <v>3386</v>
      </c>
      <c r="M266" t="s">
        <v>3364</v>
      </c>
      <c r="N266" t="s">
        <v>3365</v>
      </c>
      <c r="O266" t="s">
        <v>3366</v>
      </c>
      <c r="P266" t="s">
        <v>3382</v>
      </c>
    </row>
    <row r="267" spans="1:16" x14ac:dyDescent="0.3">
      <c r="A267" t="s">
        <v>627</v>
      </c>
      <c r="B267" t="s">
        <v>14</v>
      </c>
      <c r="C267" t="s">
        <v>351</v>
      </c>
      <c r="F267" t="s">
        <v>3361</v>
      </c>
      <c r="G267" t="s">
        <v>2746</v>
      </c>
      <c r="I267" t="s">
        <v>14</v>
      </c>
      <c r="J267" t="s">
        <v>3362</v>
      </c>
      <c r="K267" t="s">
        <v>1661</v>
      </c>
      <c r="L267" t="s">
        <v>3386</v>
      </c>
      <c r="M267" t="s">
        <v>3364</v>
      </c>
      <c r="N267" t="s">
        <v>3365</v>
      </c>
      <c r="O267" t="s">
        <v>3366</v>
      </c>
      <c r="P267" t="s">
        <v>3367</v>
      </c>
    </row>
    <row r="268" spans="1:16" x14ac:dyDescent="0.3">
      <c r="A268" t="s">
        <v>721</v>
      </c>
      <c r="B268" t="s">
        <v>14</v>
      </c>
      <c r="C268" t="s">
        <v>351</v>
      </c>
      <c r="F268" t="s">
        <v>3361</v>
      </c>
      <c r="G268" t="s">
        <v>2746</v>
      </c>
      <c r="I268" t="s">
        <v>14</v>
      </c>
      <c r="J268" t="s">
        <v>3369</v>
      </c>
      <c r="K268" t="s">
        <v>1661</v>
      </c>
      <c r="L268" t="s">
        <v>3386</v>
      </c>
      <c r="M268" t="s">
        <v>3364</v>
      </c>
      <c r="N268" t="s">
        <v>3365</v>
      </c>
      <c r="O268" t="s">
        <v>3366</v>
      </c>
      <c r="P268" t="s">
        <v>3382</v>
      </c>
    </row>
    <row r="269" spans="1:16" x14ac:dyDescent="0.3">
      <c r="A269" t="s">
        <v>713</v>
      </c>
      <c r="B269" t="s">
        <v>14</v>
      </c>
      <c r="C269" t="s">
        <v>353</v>
      </c>
      <c r="F269" t="s">
        <v>3361</v>
      </c>
      <c r="G269" t="s">
        <v>2746</v>
      </c>
      <c r="I269" t="s">
        <v>14</v>
      </c>
      <c r="J269" t="s">
        <v>3369</v>
      </c>
      <c r="K269" t="s">
        <v>1661</v>
      </c>
      <c r="L269" t="s">
        <v>3386</v>
      </c>
      <c r="M269" t="s">
        <v>3364</v>
      </c>
      <c r="N269" t="s">
        <v>3365</v>
      </c>
      <c r="O269" t="s">
        <v>3366</v>
      </c>
      <c r="P269" t="s">
        <v>3382</v>
      </c>
    </row>
    <row r="270" spans="1:16" x14ac:dyDescent="0.3">
      <c r="A270" t="s">
        <v>722</v>
      </c>
      <c r="B270" t="s">
        <v>14</v>
      </c>
      <c r="C270" t="s">
        <v>353</v>
      </c>
      <c r="F270" t="s">
        <v>3361</v>
      </c>
      <c r="G270" t="s">
        <v>2746</v>
      </c>
      <c r="I270" t="s">
        <v>14</v>
      </c>
      <c r="J270" t="s">
        <v>3369</v>
      </c>
      <c r="K270" t="s">
        <v>1661</v>
      </c>
      <c r="L270" t="s">
        <v>3386</v>
      </c>
      <c r="M270" t="s">
        <v>3364</v>
      </c>
      <c r="N270" t="s">
        <v>3365</v>
      </c>
      <c r="O270" t="s">
        <v>3366</v>
      </c>
      <c r="P270" t="s">
        <v>3382</v>
      </c>
    </row>
    <row r="271" spans="1:16" x14ac:dyDescent="0.3">
      <c r="A271" t="s">
        <v>723</v>
      </c>
      <c r="B271" t="s">
        <v>14</v>
      </c>
      <c r="C271" t="s">
        <v>353</v>
      </c>
      <c r="F271" t="s">
        <v>3361</v>
      </c>
      <c r="G271" t="s">
        <v>2746</v>
      </c>
      <c r="I271" t="s">
        <v>14</v>
      </c>
      <c r="J271" t="s">
        <v>3369</v>
      </c>
      <c r="K271" t="s">
        <v>1661</v>
      </c>
      <c r="L271" t="s">
        <v>3386</v>
      </c>
      <c r="M271" t="s">
        <v>3364</v>
      </c>
      <c r="N271" t="s">
        <v>3365</v>
      </c>
      <c r="O271" t="s">
        <v>3366</v>
      </c>
      <c r="P271" t="s">
        <v>3382</v>
      </c>
    </row>
    <row r="272" spans="1:16" x14ac:dyDescent="0.3">
      <c r="A272" t="s">
        <v>724</v>
      </c>
      <c r="B272" t="s">
        <v>14</v>
      </c>
      <c r="C272" t="s">
        <v>353</v>
      </c>
      <c r="F272" t="s">
        <v>3361</v>
      </c>
      <c r="G272" t="s">
        <v>2746</v>
      </c>
      <c r="I272" t="s">
        <v>14</v>
      </c>
      <c r="J272" t="s">
        <v>3369</v>
      </c>
      <c r="K272" t="s">
        <v>1661</v>
      </c>
      <c r="L272" t="s">
        <v>3386</v>
      </c>
      <c r="M272" t="s">
        <v>3364</v>
      </c>
      <c r="N272" t="s">
        <v>3365</v>
      </c>
      <c r="O272" t="s">
        <v>3366</v>
      </c>
      <c r="P272" t="s">
        <v>3382</v>
      </c>
    </row>
    <row r="273" spans="1:16" x14ac:dyDescent="0.3">
      <c r="A273" t="s">
        <v>725</v>
      </c>
      <c r="B273" t="s">
        <v>14</v>
      </c>
      <c r="C273" t="s">
        <v>353</v>
      </c>
      <c r="F273" t="s">
        <v>3361</v>
      </c>
      <c r="G273" t="s">
        <v>2746</v>
      </c>
      <c r="I273" t="s">
        <v>14</v>
      </c>
      <c r="J273" t="s">
        <v>3369</v>
      </c>
      <c r="K273" t="s">
        <v>1661</v>
      </c>
      <c r="L273" t="s">
        <v>3386</v>
      </c>
      <c r="M273" t="s">
        <v>3364</v>
      </c>
      <c r="N273" t="s">
        <v>3365</v>
      </c>
      <c r="O273" t="s">
        <v>3366</v>
      </c>
      <c r="P273" t="s">
        <v>3382</v>
      </c>
    </row>
    <row r="274" spans="1:16" x14ac:dyDescent="0.3">
      <c r="A274" t="s">
        <v>726</v>
      </c>
      <c r="B274" t="s">
        <v>14</v>
      </c>
      <c r="C274" t="s">
        <v>355</v>
      </c>
      <c r="F274" t="s">
        <v>3361</v>
      </c>
      <c r="G274" t="s">
        <v>2746</v>
      </c>
      <c r="I274" t="s">
        <v>14</v>
      </c>
      <c r="J274" t="s">
        <v>3369</v>
      </c>
      <c r="K274" t="s">
        <v>1661</v>
      </c>
      <c r="L274" t="s">
        <v>3386</v>
      </c>
      <c r="M274" t="s">
        <v>3364</v>
      </c>
      <c r="N274" t="s">
        <v>3365</v>
      </c>
      <c r="O274" t="s">
        <v>3366</v>
      </c>
      <c r="P274" t="s">
        <v>3382</v>
      </c>
    </row>
    <row r="275" spans="1:16" x14ac:dyDescent="0.3">
      <c r="A275" t="s">
        <v>727</v>
      </c>
      <c r="B275" t="s">
        <v>14</v>
      </c>
      <c r="C275" t="s">
        <v>355</v>
      </c>
      <c r="F275" t="s">
        <v>3361</v>
      </c>
      <c r="G275" t="s">
        <v>2746</v>
      </c>
      <c r="I275" t="s">
        <v>14</v>
      </c>
      <c r="J275" t="s">
        <v>3369</v>
      </c>
      <c r="K275" t="s">
        <v>1661</v>
      </c>
      <c r="L275" t="s">
        <v>3386</v>
      </c>
      <c r="M275" t="s">
        <v>3364</v>
      </c>
      <c r="N275" t="s">
        <v>3365</v>
      </c>
      <c r="O275" t="s">
        <v>3366</v>
      </c>
      <c r="P275" t="s">
        <v>3382</v>
      </c>
    </row>
    <row r="276" spans="1:16" x14ac:dyDescent="0.3">
      <c r="A276" t="s">
        <v>728</v>
      </c>
      <c r="B276" t="s">
        <v>14</v>
      </c>
      <c r="C276" t="s">
        <v>355</v>
      </c>
      <c r="F276" t="s">
        <v>3361</v>
      </c>
      <c r="G276" t="s">
        <v>2746</v>
      </c>
      <c r="I276" t="s">
        <v>14</v>
      </c>
      <c r="J276" t="s">
        <v>3369</v>
      </c>
      <c r="K276" t="s">
        <v>1661</v>
      </c>
      <c r="L276" t="s">
        <v>3386</v>
      </c>
      <c r="M276" t="s">
        <v>3364</v>
      </c>
      <c r="N276" t="s">
        <v>3365</v>
      </c>
      <c r="O276" t="s">
        <v>3366</v>
      </c>
      <c r="P276" t="s">
        <v>3382</v>
      </c>
    </row>
    <row r="277" spans="1:16" x14ac:dyDescent="0.3">
      <c r="A277" t="s">
        <v>729</v>
      </c>
      <c r="B277" t="s">
        <v>14</v>
      </c>
      <c r="C277" t="s">
        <v>355</v>
      </c>
      <c r="F277" t="s">
        <v>3361</v>
      </c>
      <c r="G277" t="s">
        <v>2746</v>
      </c>
      <c r="I277" t="s">
        <v>14</v>
      </c>
      <c r="J277" t="s">
        <v>3369</v>
      </c>
      <c r="K277" t="s">
        <v>1661</v>
      </c>
      <c r="L277" t="s">
        <v>3386</v>
      </c>
      <c r="M277" t="s">
        <v>3364</v>
      </c>
      <c r="N277" t="s">
        <v>3365</v>
      </c>
      <c r="O277" t="s">
        <v>3366</v>
      </c>
      <c r="P277" t="s">
        <v>3382</v>
      </c>
    </row>
    <row r="278" spans="1:16" x14ac:dyDescent="0.3">
      <c r="A278" t="s">
        <v>357</v>
      </c>
      <c r="B278" t="s">
        <v>14</v>
      </c>
      <c r="C278" t="s">
        <v>357</v>
      </c>
      <c r="F278" t="s">
        <v>3361</v>
      </c>
      <c r="G278" t="s">
        <v>2746</v>
      </c>
      <c r="I278" t="s">
        <v>14</v>
      </c>
      <c r="J278" t="s">
        <v>3362</v>
      </c>
      <c r="K278" t="s">
        <v>1661</v>
      </c>
      <c r="L278" t="s">
        <v>3386</v>
      </c>
      <c r="M278" t="s">
        <v>3364</v>
      </c>
      <c r="N278" t="s">
        <v>3365</v>
      </c>
      <c r="O278" t="s">
        <v>3366</v>
      </c>
      <c r="P278" t="s">
        <v>3367</v>
      </c>
    </row>
    <row r="279" spans="1:16" x14ac:dyDescent="0.3">
      <c r="A279" t="s">
        <v>730</v>
      </c>
      <c r="B279" t="s">
        <v>14</v>
      </c>
      <c r="C279" t="s">
        <v>357</v>
      </c>
      <c r="F279" t="s">
        <v>3361</v>
      </c>
      <c r="G279" t="s">
        <v>2746</v>
      </c>
      <c r="I279" t="s">
        <v>14</v>
      </c>
      <c r="J279" t="s">
        <v>3369</v>
      </c>
      <c r="K279" t="s">
        <v>1661</v>
      </c>
      <c r="L279" t="s">
        <v>3386</v>
      </c>
      <c r="M279" t="s">
        <v>3364</v>
      </c>
      <c r="N279" t="s">
        <v>3365</v>
      </c>
      <c r="O279" t="s">
        <v>3366</v>
      </c>
      <c r="P279" t="s">
        <v>3382</v>
      </c>
    </row>
    <row r="280" spans="1:16" x14ac:dyDescent="0.3">
      <c r="A280" t="s">
        <v>731</v>
      </c>
      <c r="B280" t="s">
        <v>14</v>
      </c>
      <c r="C280" t="s">
        <v>357</v>
      </c>
      <c r="F280" t="s">
        <v>3361</v>
      </c>
      <c r="G280" t="s">
        <v>2746</v>
      </c>
      <c r="I280" t="s">
        <v>14</v>
      </c>
      <c r="J280" t="s">
        <v>3369</v>
      </c>
      <c r="K280" t="s">
        <v>1661</v>
      </c>
      <c r="L280" t="s">
        <v>3386</v>
      </c>
      <c r="M280" t="s">
        <v>3364</v>
      </c>
      <c r="N280" t="s">
        <v>3365</v>
      </c>
      <c r="O280" t="s">
        <v>3366</v>
      </c>
      <c r="P280" t="s">
        <v>3382</v>
      </c>
    </row>
    <row r="281" spans="1:16" x14ac:dyDescent="0.3">
      <c r="A281" t="s">
        <v>732</v>
      </c>
      <c r="B281" t="s">
        <v>14</v>
      </c>
      <c r="C281" t="s">
        <v>357</v>
      </c>
      <c r="F281" t="s">
        <v>3361</v>
      </c>
      <c r="G281" t="s">
        <v>2746</v>
      </c>
      <c r="I281" t="s">
        <v>14</v>
      </c>
      <c r="J281" t="s">
        <v>3369</v>
      </c>
      <c r="K281" t="s">
        <v>1661</v>
      </c>
      <c r="L281" t="s">
        <v>3386</v>
      </c>
      <c r="M281" t="s">
        <v>3364</v>
      </c>
      <c r="N281" t="s">
        <v>3365</v>
      </c>
      <c r="O281" t="s">
        <v>3366</v>
      </c>
      <c r="P281" t="s">
        <v>3382</v>
      </c>
    </row>
    <row r="282" spans="1:16" x14ac:dyDescent="0.3">
      <c r="A282" t="s">
        <v>360</v>
      </c>
      <c r="B282" t="s">
        <v>14</v>
      </c>
      <c r="C282" t="s">
        <v>360</v>
      </c>
      <c r="F282" t="s">
        <v>3361</v>
      </c>
      <c r="G282" t="s">
        <v>2746</v>
      </c>
      <c r="I282" t="s">
        <v>14</v>
      </c>
      <c r="J282" t="s">
        <v>3362</v>
      </c>
      <c r="K282" t="s">
        <v>1661</v>
      </c>
      <c r="L282" t="s">
        <v>3386</v>
      </c>
      <c r="M282" t="s">
        <v>3364</v>
      </c>
      <c r="N282" t="s">
        <v>3365</v>
      </c>
      <c r="O282" t="s">
        <v>3366</v>
      </c>
      <c r="P282" t="s">
        <v>3367</v>
      </c>
    </row>
    <row r="283" spans="1:16" x14ac:dyDescent="0.3">
      <c r="A283" t="s">
        <v>733</v>
      </c>
      <c r="B283" t="s">
        <v>14</v>
      </c>
      <c r="C283" t="s">
        <v>360</v>
      </c>
      <c r="F283" t="s">
        <v>3361</v>
      </c>
      <c r="G283" t="s">
        <v>2746</v>
      </c>
      <c r="I283" t="s">
        <v>14</v>
      </c>
      <c r="J283" t="s">
        <v>3369</v>
      </c>
      <c r="K283" t="s">
        <v>1661</v>
      </c>
      <c r="L283" t="s">
        <v>3386</v>
      </c>
      <c r="M283" t="s">
        <v>3364</v>
      </c>
      <c r="N283" t="s">
        <v>3365</v>
      </c>
      <c r="O283" t="s">
        <v>3366</v>
      </c>
      <c r="P283" t="s">
        <v>3382</v>
      </c>
    </row>
    <row r="284" spans="1:16" x14ac:dyDescent="0.3">
      <c r="A284" t="s">
        <v>734</v>
      </c>
      <c r="B284" t="s">
        <v>14</v>
      </c>
      <c r="C284" t="s">
        <v>360</v>
      </c>
      <c r="F284" t="s">
        <v>3361</v>
      </c>
      <c r="G284" t="s">
        <v>2746</v>
      </c>
      <c r="I284" t="s">
        <v>14</v>
      </c>
      <c r="J284" t="s">
        <v>3369</v>
      </c>
      <c r="K284" t="s">
        <v>1661</v>
      </c>
      <c r="L284" t="s">
        <v>3386</v>
      </c>
      <c r="M284" t="s">
        <v>3364</v>
      </c>
      <c r="N284" t="s">
        <v>3365</v>
      </c>
      <c r="O284" t="s">
        <v>3366</v>
      </c>
      <c r="P284" t="s">
        <v>3382</v>
      </c>
    </row>
    <row r="285" spans="1:16" x14ac:dyDescent="0.3">
      <c r="A285" t="s">
        <v>735</v>
      </c>
      <c r="B285" t="s">
        <v>14</v>
      </c>
      <c r="C285" t="s">
        <v>360</v>
      </c>
      <c r="F285" t="s">
        <v>3361</v>
      </c>
      <c r="G285" t="s">
        <v>2746</v>
      </c>
      <c r="I285" t="s">
        <v>14</v>
      </c>
      <c r="J285" t="s">
        <v>3369</v>
      </c>
      <c r="K285" t="s">
        <v>1661</v>
      </c>
      <c r="L285" t="s">
        <v>3386</v>
      </c>
      <c r="M285" t="s">
        <v>3364</v>
      </c>
      <c r="N285" t="s">
        <v>3365</v>
      </c>
      <c r="O285" t="s">
        <v>3366</v>
      </c>
      <c r="P285" t="s">
        <v>3382</v>
      </c>
    </row>
    <row r="286" spans="1:16" x14ac:dyDescent="0.3">
      <c r="A286" t="s">
        <v>723</v>
      </c>
      <c r="B286" t="s">
        <v>14</v>
      </c>
      <c r="C286" t="s">
        <v>362</v>
      </c>
      <c r="F286" t="s">
        <v>3361</v>
      </c>
      <c r="G286" t="s">
        <v>2746</v>
      </c>
      <c r="I286" t="s">
        <v>14</v>
      </c>
      <c r="J286" t="s">
        <v>3369</v>
      </c>
      <c r="K286" t="s">
        <v>1661</v>
      </c>
      <c r="L286" t="s">
        <v>3386</v>
      </c>
      <c r="M286" t="s">
        <v>3364</v>
      </c>
      <c r="N286" t="s">
        <v>3365</v>
      </c>
      <c r="O286" t="s">
        <v>3366</v>
      </c>
      <c r="P286" t="s">
        <v>3382</v>
      </c>
    </row>
    <row r="287" spans="1:16" x14ac:dyDescent="0.3">
      <c r="A287" t="s">
        <v>362</v>
      </c>
      <c r="B287" t="s">
        <v>14</v>
      </c>
      <c r="C287" t="s">
        <v>362</v>
      </c>
      <c r="F287" t="s">
        <v>3361</v>
      </c>
      <c r="G287" t="s">
        <v>2746</v>
      </c>
      <c r="I287" t="s">
        <v>14</v>
      </c>
      <c r="J287" t="s">
        <v>3369</v>
      </c>
      <c r="K287" t="s">
        <v>1661</v>
      </c>
      <c r="L287" t="s">
        <v>3386</v>
      </c>
      <c r="M287" t="s">
        <v>3364</v>
      </c>
      <c r="N287" t="s">
        <v>3365</v>
      </c>
      <c r="O287" t="s">
        <v>3366</v>
      </c>
      <c r="P287" t="s">
        <v>3382</v>
      </c>
    </row>
    <row r="288" spans="1:16" x14ac:dyDescent="0.3">
      <c r="A288" t="s">
        <v>736</v>
      </c>
      <c r="B288" t="s">
        <v>14</v>
      </c>
      <c r="C288" t="s">
        <v>362</v>
      </c>
      <c r="F288" t="s">
        <v>3361</v>
      </c>
      <c r="G288" t="s">
        <v>2746</v>
      </c>
      <c r="I288" t="s">
        <v>14</v>
      </c>
      <c r="J288" t="s">
        <v>3369</v>
      </c>
      <c r="K288" t="s">
        <v>1661</v>
      </c>
      <c r="L288" t="s">
        <v>3386</v>
      </c>
      <c r="M288" t="s">
        <v>3364</v>
      </c>
      <c r="N288" t="s">
        <v>3365</v>
      </c>
      <c r="O288" t="s">
        <v>3366</v>
      </c>
      <c r="P288" t="s">
        <v>3382</v>
      </c>
    </row>
    <row r="289" spans="1:16" x14ac:dyDescent="0.3">
      <c r="A289" t="s">
        <v>724</v>
      </c>
      <c r="B289" t="s">
        <v>14</v>
      </c>
      <c r="C289" t="s">
        <v>362</v>
      </c>
      <c r="F289" t="s">
        <v>3361</v>
      </c>
      <c r="G289" t="s">
        <v>2746</v>
      </c>
      <c r="I289" t="s">
        <v>14</v>
      </c>
      <c r="J289" t="s">
        <v>3369</v>
      </c>
      <c r="K289" t="s">
        <v>1661</v>
      </c>
      <c r="L289" t="s">
        <v>3386</v>
      </c>
      <c r="M289" t="s">
        <v>3364</v>
      </c>
      <c r="N289" t="s">
        <v>3365</v>
      </c>
      <c r="O289" t="s">
        <v>3366</v>
      </c>
      <c r="P289" t="s">
        <v>3382</v>
      </c>
    </row>
    <row r="290" spans="1:16" x14ac:dyDescent="0.3">
      <c r="A290" t="s">
        <v>711</v>
      </c>
      <c r="B290" t="s">
        <v>24</v>
      </c>
      <c r="C290" t="s">
        <v>337</v>
      </c>
      <c r="F290" t="s">
        <v>3361</v>
      </c>
      <c r="G290" t="s">
        <v>2746</v>
      </c>
      <c r="I290" t="s">
        <v>24</v>
      </c>
      <c r="J290" t="s">
        <v>3369</v>
      </c>
      <c r="K290" t="s">
        <v>1661</v>
      </c>
      <c r="L290" t="s">
        <v>3386</v>
      </c>
      <c r="M290" t="s">
        <v>3364</v>
      </c>
      <c r="N290" t="s">
        <v>3365</v>
      </c>
      <c r="O290" t="s">
        <v>3366</v>
      </c>
      <c r="P290" t="s">
        <v>3382</v>
      </c>
    </row>
    <row r="291" spans="1:16" x14ac:dyDescent="0.3">
      <c r="A291" t="s">
        <v>693</v>
      </c>
      <c r="B291" t="s">
        <v>24</v>
      </c>
      <c r="C291" t="s">
        <v>337</v>
      </c>
      <c r="F291" t="s">
        <v>3361</v>
      </c>
      <c r="G291" t="s">
        <v>2746</v>
      </c>
      <c r="I291" t="s">
        <v>24</v>
      </c>
      <c r="J291" t="s">
        <v>3369</v>
      </c>
      <c r="K291" t="s">
        <v>1661</v>
      </c>
      <c r="L291" t="s">
        <v>3386</v>
      </c>
      <c r="M291" t="s">
        <v>3364</v>
      </c>
      <c r="N291" t="s">
        <v>3365</v>
      </c>
      <c r="O291" t="s">
        <v>3366</v>
      </c>
      <c r="P291" t="s">
        <v>3382</v>
      </c>
    </row>
    <row r="292" spans="1:16" x14ac:dyDescent="0.3">
      <c r="A292" t="s">
        <v>337</v>
      </c>
      <c r="B292" t="s">
        <v>24</v>
      </c>
      <c r="C292" t="s">
        <v>337</v>
      </c>
      <c r="F292" t="s">
        <v>3361</v>
      </c>
      <c r="G292" t="s">
        <v>2746</v>
      </c>
      <c r="I292" t="s">
        <v>24</v>
      </c>
      <c r="J292" t="s">
        <v>3362</v>
      </c>
      <c r="K292" t="s">
        <v>1661</v>
      </c>
      <c r="L292" t="s">
        <v>3386</v>
      </c>
      <c r="M292" t="s">
        <v>3364</v>
      </c>
      <c r="N292" t="s">
        <v>3365</v>
      </c>
      <c r="O292" t="s">
        <v>3366</v>
      </c>
      <c r="P292" t="s">
        <v>3367</v>
      </c>
    </row>
    <row r="293" spans="1:16" x14ac:dyDescent="0.3">
      <c r="A293" t="s">
        <v>868</v>
      </c>
      <c r="B293" t="s">
        <v>24</v>
      </c>
      <c r="C293" t="s">
        <v>337</v>
      </c>
      <c r="F293" t="s">
        <v>3361</v>
      </c>
      <c r="G293" t="s">
        <v>2746</v>
      </c>
      <c r="I293" t="s">
        <v>24</v>
      </c>
      <c r="J293" t="s">
        <v>3369</v>
      </c>
      <c r="K293" t="s">
        <v>1661</v>
      </c>
      <c r="L293" t="s">
        <v>3386</v>
      </c>
      <c r="M293" t="s">
        <v>3364</v>
      </c>
      <c r="N293" t="s">
        <v>3365</v>
      </c>
      <c r="O293" t="s">
        <v>3366</v>
      </c>
      <c r="P293" t="s">
        <v>3382</v>
      </c>
    </row>
    <row r="294" spans="1:16" x14ac:dyDescent="0.3">
      <c r="A294" t="s">
        <v>869</v>
      </c>
      <c r="B294" t="s">
        <v>24</v>
      </c>
      <c r="C294" t="s">
        <v>341</v>
      </c>
      <c r="F294" t="s">
        <v>3361</v>
      </c>
      <c r="G294" t="s">
        <v>2746</v>
      </c>
      <c r="I294" t="s">
        <v>24</v>
      </c>
      <c r="J294" t="s">
        <v>3369</v>
      </c>
      <c r="K294" t="s">
        <v>1661</v>
      </c>
      <c r="L294" t="s">
        <v>3386</v>
      </c>
      <c r="M294" t="s">
        <v>3364</v>
      </c>
      <c r="N294" t="s">
        <v>3365</v>
      </c>
      <c r="O294" t="s">
        <v>3366</v>
      </c>
      <c r="P294" t="s">
        <v>3382</v>
      </c>
    </row>
    <row r="295" spans="1:16" x14ac:dyDescent="0.3">
      <c r="A295" t="s">
        <v>341</v>
      </c>
      <c r="B295" t="s">
        <v>24</v>
      </c>
      <c r="C295" t="s">
        <v>341</v>
      </c>
      <c r="F295" t="s">
        <v>3361</v>
      </c>
      <c r="G295" t="s">
        <v>2746</v>
      </c>
      <c r="I295" t="s">
        <v>24</v>
      </c>
      <c r="J295" t="s">
        <v>3369</v>
      </c>
      <c r="K295" t="s">
        <v>1661</v>
      </c>
      <c r="L295" t="s">
        <v>3386</v>
      </c>
      <c r="M295" t="s">
        <v>3364</v>
      </c>
      <c r="N295" t="s">
        <v>3365</v>
      </c>
      <c r="O295" t="s">
        <v>3366</v>
      </c>
      <c r="P295" t="s">
        <v>3382</v>
      </c>
    </row>
    <row r="296" spans="1:16" x14ac:dyDescent="0.3">
      <c r="A296" t="s">
        <v>698</v>
      </c>
      <c r="B296" t="s">
        <v>24</v>
      </c>
      <c r="C296" t="s">
        <v>341</v>
      </c>
      <c r="F296" t="s">
        <v>3361</v>
      </c>
      <c r="G296" t="s">
        <v>2746</v>
      </c>
      <c r="I296" t="s">
        <v>24</v>
      </c>
      <c r="J296" t="s">
        <v>3369</v>
      </c>
      <c r="K296" t="s">
        <v>1661</v>
      </c>
      <c r="L296" t="s">
        <v>3386</v>
      </c>
      <c r="M296" t="s">
        <v>3364</v>
      </c>
      <c r="N296" t="s">
        <v>3365</v>
      </c>
      <c r="O296" t="s">
        <v>3366</v>
      </c>
      <c r="P296" t="s">
        <v>3382</v>
      </c>
    </row>
    <row r="297" spans="1:16" x14ac:dyDescent="0.3">
      <c r="A297" t="s">
        <v>696</v>
      </c>
      <c r="B297" t="s">
        <v>24</v>
      </c>
      <c r="C297" t="s">
        <v>341</v>
      </c>
      <c r="F297" t="s">
        <v>3361</v>
      </c>
      <c r="G297" t="s">
        <v>2746</v>
      </c>
      <c r="I297" t="s">
        <v>24</v>
      </c>
      <c r="J297" t="s">
        <v>3369</v>
      </c>
      <c r="K297" t="s">
        <v>1661</v>
      </c>
      <c r="L297" t="s">
        <v>3386</v>
      </c>
      <c r="M297" t="s">
        <v>3364</v>
      </c>
      <c r="N297" t="s">
        <v>3365</v>
      </c>
      <c r="O297" t="s">
        <v>3366</v>
      </c>
      <c r="P297" t="s">
        <v>3382</v>
      </c>
    </row>
    <row r="298" spans="1:16" x14ac:dyDescent="0.3">
      <c r="A298" t="s">
        <v>343</v>
      </c>
      <c r="B298" t="s">
        <v>24</v>
      </c>
      <c r="C298" t="s">
        <v>343</v>
      </c>
      <c r="F298" t="s">
        <v>3361</v>
      </c>
      <c r="G298" t="s">
        <v>2746</v>
      </c>
      <c r="I298" t="s">
        <v>24</v>
      </c>
      <c r="J298" t="s">
        <v>3369</v>
      </c>
      <c r="K298" t="s">
        <v>1661</v>
      </c>
      <c r="L298" t="s">
        <v>3386</v>
      </c>
      <c r="M298" t="s">
        <v>3364</v>
      </c>
      <c r="N298" t="s">
        <v>3365</v>
      </c>
      <c r="O298" t="s">
        <v>3366</v>
      </c>
      <c r="P298" t="s">
        <v>3382</v>
      </c>
    </row>
    <row r="299" spans="1:16" x14ac:dyDescent="0.3">
      <c r="A299" t="s">
        <v>870</v>
      </c>
      <c r="B299" t="s">
        <v>24</v>
      </c>
      <c r="C299" t="s">
        <v>343</v>
      </c>
      <c r="F299" t="s">
        <v>3361</v>
      </c>
      <c r="G299" t="s">
        <v>2746</v>
      </c>
      <c r="I299" t="s">
        <v>24</v>
      </c>
      <c r="J299" t="s">
        <v>3369</v>
      </c>
      <c r="K299" t="s">
        <v>1661</v>
      </c>
      <c r="L299" t="s">
        <v>3386</v>
      </c>
      <c r="M299" t="s">
        <v>3364</v>
      </c>
      <c r="N299" t="s">
        <v>3365</v>
      </c>
      <c r="O299" t="s">
        <v>3366</v>
      </c>
      <c r="P299" t="s">
        <v>3382</v>
      </c>
    </row>
    <row r="300" spans="1:16" x14ac:dyDescent="0.3">
      <c r="A300" t="s">
        <v>702</v>
      </c>
      <c r="B300" t="s">
        <v>24</v>
      </c>
      <c r="C300" t="s">
        <v>343</v>
      </c>
      <c r="F300" t="s">
        <v>3361</v>
      </c>
      <c r="G300" t="s">
        <v>2746</v>
      </c>
      <c r="I300" t="s">
        <v>24</v>
      </c>
      <c r="J300" t="s">
        <v>3369</v>
      </c>
      <c r="K300" t="s">
        <v>1661</v>
      </c>
      <c r="L300" t="s">
        <v>3386</v>
      </c>
      <c r="M300" t="s">
        <v>3364</v>
      </c>
      <c r="N300" t="s">
        <v>3365</v>
      </c>
      <c r="O300" t="s">
        <v>3366</v>
      </c>
      <c r="P300" t="s">
        <v>3382</v>
      </c>
    </row>
    <row r="301" spans="1:16" x14ac:dyDescent="0.3">
      <c r="A301" t="s">
        <v>871</v>
      </c>
      <c r="B301" t="s">
        <v>24</v>
      </c>
      <c r="C301" t="s">
        <v>343</v>
      </c>
      <c r="F301" t="s">
        <v>3361</v>
      </c>
      <c r="G301" t="s">
        <v>2746</v>
      </c>
      <c r="I301" t="s">
        <v>24</v>
      </c>
      <c r="J301" t="s">
        <v>3369</v>
      </c>
      <c r="K301" t="s">
        <v>1661</v>
      </c>
      <c r="L301" t="s">
        <v>3386</v>
      </c>
      <c r="M301" t="s">
        <v>3364</v>
      </c>
      <c r="N301" t="s">
        <v>3365</v>
      </c>
      <c r="O301" t="s">
        <v>3366</v>
      </c>
      <c r="P301" t="s">
        <v>3382</v>
      </c>
    </row>
    <row r="302" spans="1:16" x14ac:dyDescent="0.3">
      <c r="A302" t="s">
        <v>872</v>
      </c>
      <c r="B302" t="s">
        <v>24</v>
      </c>
      <c r="C302" t="s">
        <v>345</v>
      </c>
      <c r="F302" t="s">
        <v>3361</v>
      </c>
      <c r="G302" t="s">
        <v>2746</v>
      </c>
      <c r="I302" t="s">
        <v>24</v>
      </c>
      <c r="J302" t="s">
        <v>3369</v>
      </c>
      <c r="K302" t="s">
        <v>1661</v>
      </c>
      <c r="L302" t="s">
        <v>3386</v>
      </c>
      <c r="M302" t="s">
        <v>3364</v>
      </c>
      <c r="N302" t="s">
        <v>3365</v>
      </c>
      <c r="O302" t="s">
        <v>3366</v>
      </c>
      <c r="P302" t="s">
        <v>3382</v>
      </c>
    </row>
    <row r="303" spans="1:16" x14ac:dyDescent="0.3">
      <c r="A303" t="s">
        <v>345</v>
      </c>
      <c r="B303" t="s">
        <v>24</v>
      </c>
      <c r="C303" t="s">
        <v>345</v>
      </c>
      <c r="F303" t="s">
        <v>3361</v>
      </c>
      <c r="G303" t="s">
        <v>2746</v>
      </c>
      <c r="I303" t="s">
        <v>24</v>
      </c>
      <c r="J303" t="s">
        <v>3362</v>
      </c>
      <c r="K303" t="s">
        <v>1661</v>
      </c>
      <c r="L303" t="s">
        <v>3386</v>
      </c>
      <c r="M303" t="s">
        <v>3364</v>
      </c>
      <c r="N303" t="s">
        <v>3365</v>
      </c>
      <c r="O303" t="s">
        <v>3366</v>
      </c>
      <c r="P303" t="s">
        <v>3367</v>
      </c>
    </row>
    <row r="304" spans="1:16" x14ac:dyDescent="0.3">
      <c r="A304" t="s">
        <v>706</v>
      </c>
      <c r="B304" t="s">
        <v>24</v>
      </c>
      <c r="C304" t="s">
        <v>345</v>
      </c>
      <c r="F304" t="s">
        <v>3361</v>
      </c>
      <c r="G304" t="s">
        <v>2746</v>
      </c>
      <c r="I304" t="s">
        <v>24</v>
      </c>
      <c r="J304" t="s">
        <v>3369</v>
      </c>
      <c r="K304" t="s">
        <v>1661</v>
      </c>
      <c r="L304" t="s">
        <v>3386</v>
      </c>
      <c r="M304" t="s">
        <v>3364</v>
      </c>
      <c r="N304" t="s">
        <v>3365</v>
      </c>
      <c r="O304" t="s">
        <v>3366</v>
      </c>
      <c r="P304" t="s">
        <v>3382</v>
      </c>
    </row>
    <row r="305" spans="1:16" x14ac:dyDescent="0.3">
      <c r="A305" t="s">
        <v>705</v>
      </c>
      <c r="B305" t="s">
        <v>24</v>
      </c>
      <c r="C305" t="s">
        <v>345</v>
      </c>
      <c r="F305" t="s">
        <v>3361</v>
      </c>
      <c r="G305" t="s">
        <v>2746</v>
      </c>
      <c r="I305" t="s">
        <v>24</v>
      </c>
      <c r="J305" t="s">
        <v>3369</v>
      </c>
      <c r="K305" t="s">
        <v>1661</v>
      </c>
      <c r="L305" t="s">
        <v>3386</v>
      </c>
      <c r="M305" t="s">
        <v>3364</v>
      </c>
      <c r="N305" t="s">
        <v>3365</v>
      </c>
      <c r="O305" t="s">
        <v>3366</v>
      </c>
      <c r="P305" t="s">
        <v>3382</v>
      </c>
    </row>
    <row r="306" spans="1:16" x14ac:dyDescent="0.3">
      <c r="A306" t="s">
        <v>709</v>
      </c>
      <c r="B306" t="s">
        <v>24</v>
      </c>
      <c r="C306" t="s">
        <v>347</v>
      </c>
      <c r="F306" t="s">
        <v>3361</v>
      </c>
      <c r="G306" t="s">
        <v>2746</v>
      </c>
      <c r="I306" t="s">
        <v>24</v>
      </c>
      <c r="J306" t="s">
        <v>3369</v>
      </c>
      <c r="K306" t="s">
        <v>1661</v>
      </c>
      <c r="L306" t="s">
        <v>3386</v>
      </c>
      <c r="M306" t="s">
        <v>3364</v>
      </c>
      <c r="N306" t="s">
        <v>3365</v>
      </c>
      <c r="O306" t="s">
        <v>3366</v>
      </c>
      <c r="P306" t="s">
        <v>3382</v>
      </c>
    </row>
    <row r="307" spans="1:16" x14ac:dyDescent="0.3">
      <c r="A307" t="s">
        <v>713</v>
      </c>
      <c r="B307" t="s">
        <v>24</v>
      </c>
      <c r="C307" t="s">
        <v>347</v>
      </c>
      <c r="F307" t="s">
        <v>3361</v>
      </c>
      <c r="G307" t="s">
        <v>2746</v>
      </c>
      <c r="I307" t="s">
        <v>24</v>
      </c>
      <c r="J307" t="s">
        <v>3369</v>
      </c>
      <c r="K307" t="s">
        <v>1661</v>
      </c>
      <c r="L307" t="s">
        <v>3386</v>
      </c>
      <c r="M307" t="s">
        <v>3364</v>
      </c>
      <c r="N307" t="s">
        <v>3365</v>
      </c>
      <c r="O307" t="s">
        <v>3366</v>
      </c>
      <c r="P307" t="s">
        <v>3382</v>
      </c>
    </row>
    <row r="308" spans="1:16" x14ac:dyDescent="0.3">
      <c r="A308" t="s">
        <v>712</v>
      </c>
      <c r="B308" t="s">
        <v>24</v>
      </c>
      <c r="C308" t="s">
        <v>347</v>
      </c>
      <c r="F308" t="s">
        <v>3361</v>
      </c>
      <c r="G308" t="s">
        <v>2746</v>
      </c>
      <c r="I308" t="s">
        <v>24</v>
      </c>
      <c r="J308" t="s">
        <v>3362</v>
      </c>
      <c r="K308" t="s">
        <v>1661</v>
      </c>
      <c r="L308" t="s">
        <v>3386</v>
      </c>
      <c r="M308" t="s">
        <v>3364</v>
      </c>
      <c r="N308" t="s">
        <v>3365</v>
      </c>
      <c r="O308" t="s">
        <v>3366</v>
      </c>
      <c r="P308" t="s">
        <v>3367</v>
      </c>
    </row>
    <row r="309" spans="1:16" x14ac:dyDescent="0.3">
      <c r="A309" t="s">
        <v>347</v>
      </c>
      <c r="B309" t="s">
        <v>24</v>
      </c>
      <c r="C309" t="s">
        <v>347</v>
      </c>
      <c r="F309" t="s">
        <v>3361</v>
      </c>
      <c r="G309" t="s">
        <v>2746</v>
      </c>
      <c r="I309" t="s">
        <v>24</v>
      </c>
      <c r="J309" t="s">
        <v>3369</v>
      </c>
      <c r="K309" t="s">
        <v>1661</v>
      </c>
      <c r="L309" t="s">
        <v>3386</v>
      </c>
      <c r="M309" t="s">
        <v>3364</v>
      </c>
      <c r="N309" t="s">
        <v>3365</v>
      </c>
      <c r="O309" t="s">
        <v>3366</v>
      </c>
      <c r="P309" t="s">
        <v>3382</v>
      </c>
    </row>
    <row r="310" spans="1:16" x14ac:dyDescent="0.3">
      <c r="A310" t="s">
        <v>634</v>
      </c>
      <c r="B310" t="s">
        <v>24</v>
      </c>
      <c r="C310" t="s">
        <v>349</v>
      </c>
      <c r="F310" t="s">
        <v>3361</v>
      </c>
      <c r="G310" t="s">
        <v>2746</v>
      </c>
      <c r="I310" t="s">
        <v>24</v>
      </c>
      <c r="J310" t="s">
        <v>3369</v>
      </c>
      <c r="K310" t="s">
        <v>1661</v>
      </c>
      <c r="L310" t="s">
        <v>3386</v>
      </c>
      <c r="M310" t="s">
        <v>3364</v>
      </c>
      <c r="N310" t="s">
        <v>3365</v>
      </c>
      <c r="O310" t="s">
        <v>3366</v>
      </c>
      <c r="P310" t="s">
        <v>3382</v>
      </c>
    </row>
    <row r="311" spans="1:16" x14ac:dyDescent="0.3">
      <c r="A311" t="s">
        <v>717</v>
      </c>
      <c r="B311" t="s">
        <v>24</v>
      </c>
      <c r="C311" t="s">
        <v>349</v>
      </c>
      <c r="F311" t="s">
        <v>3361</v>
      </c>
      <c r="G311" t="s">
        <v>2746</v>
      </c>
      <c r="I311" t="s">
        <v>24</v>
      </c>
      <c r="J311" t="s">
        <v>3369</v>
      </c>
      <c r="K311" t="s">
        <v>1661</v>
      </c>
      <c r="L311" t="s">
        <v>3386</v>
      </c>
      <c r="M311" t="s">
        <v>3364</v>
      </c>
      <c r="N311" t="s">
        <v>3365</v>
      </c>
      <c r="O311" t="s">
        <v>3366</v>
      </c>
      <c r="P311" t="s">
        <v>3382</v>
      </c>
    </row>
    <row r="312" spans="1:16" x14ac:dyDescent="0.3">
      <c r="A312" t="s">
        <v>349</v>
      </c>
      <c r="B312" t="s">
        <v>24</v>
      </c>
      <c r="C312" t="s">
        <v>349</v>
      </c>
      <c r="F312" t="s">
        <v>3361</v>
      </c>
      <c r="G312" t="s">
        <v>2746</v>
      </c>
      <c r="I312" t="s">
        <v>24</v>
      </c>
      <c r="J312" t="s">
        <v>3369</v>
      </c>
      <c r="K312" t="s">
        <v>1661</v>
      </c>
      <c r="L312" t="s">
        <v>3386</v>
      </c>
      <c r="M312" t="s">
        <v>3364</v>
      </c>
      <c r="N312" t="s">
        <v>3365</v>
      </c>
      <c r="O312" t="s">
        <v>3366</v>
      </c>
      <c r="P312" t="s">
        <v>3382</v>
      </c>
    </row>
    <row r="313" spans="1:16" x14ac:dyDescent="0.3">
      <c r="A313" t="s">
        <v>714</v>
      </c>
      <c r="B313" t="s">
        <v>24</v>
      </c>
      <c r="C313" t="s">
        <v>349</v>
      </c>
      <c r="F313" t="s">
        <v>3361</v>
      </c>
      <c r="G313" t="s">
        <v>2746</v>
      </c>
      <c r="I313" t="s">
        <v>24</v>
      </c>
      <c r="J313" t="s">
        <v>3369</v>
      </c>
      <c r="K313" t="s">
        <v>1661</v>
      </c>
      <c r="L313" t="s">
        <v>3386</v>
      </c>
      <c r="M313" t="s">
        <v>3364</v>
      </c>
      <c r="N313" t="s">
        <v>3365</v>
      </c>
      <c r="O313" t="s">
        <v>3366</v>
      </c>
      <c r="P313" t="s">
        <v>3382</v>
      </c>
    </row>
    <row r="314" spans="1:16" x14ac:dyDescent="0.3">
      <c r="A314" t="s">
        <v>351</v>
      </c>
      <c r="B314" t="s">
        <v>24</v>
      </c>
      <c r="C314" t="s">
        <v>351</v>
      </c>
      <c r="F314" t="s">
        <v>3361</v>
      </c>
      <c r="G314" t="s">
        <v>2746</v>
      </c>
      <c r="I314" t="s">
        <v>24</v>
      </c>
      <c r="J314" t="s">
        <v>3362</v>
      </c>
      <c r="K314" t="s">
        <v>1661</v>
      </c>
      <c r="L314" t="s">
        <v>3386</v>
      </c>
      <c r="M314" t="s">
        <v>3364</v>
      </c>
      <c r="N314" t="s">
        <v>3365</v>
      </c>
      <c r="O314" t="s">
        <v>3366</v>
      </c>
      <c r="P314" t="s">
        <v>3367</v>
      </c>
    </row>
    <row r="315" spans="1:16" x14ac:dyDescent="0.3">
      <c r="A315" t="s">
        <v>718</v>
      </c>
      <c r="B315" t="s">
        <v>24</v>
      </c>
      <c r="C315" t="s">
        <v>351</v>
      </c>
      <c r="F315" t="s">
        <v>3361</v>
      </c>
      <c r="G315" t="s">
        <v>2746</v>
      </c>
      <c r="I315" t="s">
        <v>24</v>
      </c>
      <c r="J315" t="s">
        <v>3362</v>
      </c>
      <c r="K315" t="s">
        <v>1661</v>
      </c>
      <c r="L315" t="s">
        <v>3386</v>
      </c>
      <c r="M315" t="s">
        <v>3364</v>
      </c>
      <c r="N315" t="s">
        <v>3365</v>
      </c>
      <c r="O315" t="s">
        <v>3366</v>
      </c>
      <c r="P315" t="s">
        <v>3367</v>
      </c>
    </row>
    <row r="316" spans="1:16" x14ac:dyDescent="0.3">
      <c r="A316" t="s">
        <v>721</v>
      </c>
      <c r="B316" t="s">
        <v>24</v>
      </c>
      <c r="C316" t="s">
        <v>351</v>
      </c>
      <c r="F316" t="s">
        <v>3361</v>
      </c>
      <c r="G316" t="s">
        <v>2746</v>
      </c>
      <c r="I316" t="s">
        <v>24</v>
      </c>
      <c r="J316" t="s">
        <v>3369</v>
      </c>
      <c r="K316" t="s">
        <v>1661</v>
      </c>
      <c r="L316" t="s">
        <v>3386</v>
      </c>
      <c r="M316" t="s">
        <v>3364</v>
      </c>
      <c r="N316" t="s">
        <v>3365</v>
      </c>
      <c r="O316" t="s">
        <v>3366</v>
      </c>
      <c r="P316" t="s">
        <v>3382</v>
      </c>
    </row>
    <row r="317" spans="1:16" x14ac:dyDescent="0.3">
      <c r="A317" t="s">
        <v>873</v>
      </c>
      <c r="B317" t="s">
        <v>24</v>
      </c>
      <c r="C317" t="s">
        <v>351</v>
      </c>
      <c r="F317" t="s">
        <v>3361</v>
      </c>
      <c r="G317" t="s">
        <v>2746</v>
      </c>
      <c r="I317" t="s">
        <v>24</v>
      </c>
      <c r="J317" t="s">
        <v>3369</v>
      </c>
      <c r="K317" t="s">
        <v>1661</v>
      </c>
      <c r="L317" t="s">
        <v>3386</v>
      </c>
      <c r="M317" t="s">
        <v>3364</v>
      </c>
      <c r="N317" t="s">
        <v>3365</v>
      </c>
      <c r="O317" t="s">
        <v>3366</v>
      </c>
      <c r="P317" t="s">
        <v>3382</v>
      </c>
    </row>
    <row r="318" spans="1:16" x14ac:dyDescent="0.3">
      <c r="A318" t="s">
        <v>874</v>
      </c>
      <c r="B318" t="s">
        <v>24</v>
      </c>
      <c r="C318" t="s">
        <v>353</v>
      </c>
      <c r="F318" t="s">
        <v>3361</v>
      </c>
      <c r="G318" t="s">
        <v>2746</v>
      </c>
      <c r="I318" t="s">
        <v>24</v>
      </c>
      <c r="J318" t="s">
        <v>3369</v>
      </c>
      <c r="K318" t="s">
        <v>1661</v>
      </c>
      <c r="L318" t="s">
        <v>3386</v>
      </c>
      <c r="M318" t="s">
        <v>3364</v>
      </c>
      <c r="N318" t="s">
        <v>3365</v>
      </c>
      <c r="O318" t="s">
        <v>3366</v>
      </c>
      <c r="P318" t="s">
        <v>3382</v>
      </c>
    </row>
    <row r="319" spans="1:16" x14ac:dyDescent="0.3">
      <c r="A319" t="s">
        <v>353</v>
      </c>
      <c r="B319" t="s">
        <v>24</v>
      </c>
      <c r="C319" t="s">
        <v>353</v>
      </c>
      <c r="F319" t="s">
        <v>3361</v>
      </c>
      <c r="G319" t="s">
        <v>2746</v>
      </c>
      <c r="I319" t="s">
        <v>24</v>
      </c>
      <c r="J319" t="s">
        <v>3369</v>
      </c>
      <c r="K319" t="s">
        <v>1661</v>
      </c>
      <c r="L319" t="s">
        <v>3386</v>
      </c>
      <c r="M319" t="s">
        <v>3364</v>
      </c>
      <c r="N319" t="s">
        <v>3365</v>
      </c>
      <c r="O319" t="s">
        <v>3366</v>
      </c>
      <c r="P319" t="s">
        <v>3382</v>
      </c>
    </row>
    <row r="320" spans="1:16" x14ac:dyDescent="0.3">
      <c r="A320" t="s">
        <v>713</v>
      </c>
      <c r="B320" t="s">
        <v>24</v>
      </c>
      <c r="C320" t="s">
        <v>353</v>
      </c>
      <c r="F320" t="s">
        <v>3361</v>
      </c>
      <c r="G320" t="s">
        <v>2746</v>
      </c>
      <c r="I320" t="s">
        <v>24</v>
      </c>
      <c r="J320" t="s">
        <v>3369</v>
      </c>
      <c r="K320" t="s">
        <v>1661</v>
      </c>
      <c r="L320" t="s">
        <v>3386</v>
      </c>
      <c r="M320" t="s">
        <v>3364</v>
      </c>
      <c r="N320" t="s">
        <v>3365</v>
      </c>
      <c r="O320" t="s">
        <v>3366</v>
      </c>
      <c r="P320" t="s">
        <v>3382</v>
      </c>
    </row>
    <row r="321" spans="1:16" x14ac:dyDescent="0.3">
      <c r="A321" t="s">
        <v>722</v>
      </c>
      <c r="B321" t="s">
        <v>24</v>
      </c>
      <c r="C321" t="s">
        <v>353</v>
      </c>
      <c r="F321" t="s">
        <v>3361</v>
      </c>
      <c r="G321" t="s">
        <v>2746</v>
      </c>
      <c r="I321" t="s">
        <v>24</v>
      </c>
      <c r="J321" t="s">
        <v>3369</v>
      </c>
      <c r="K321" t="s">
        <v>1661</v>
      </c>
      <c r="L321" t="s">
        <v>3386</v>
      </c>
      <c r="M321" t="s">
        <v>3364</v>
      </c>
      <c r="N321" t="s">
        <v>3365</v>
      </c>
      <c r="O321" t="s">
        <v>3366</v>
      </c>
      <c r="P321" t="s">
        <v>3382</v>
      </c>
    </row>
    <row r="322" spans="1:16" x14ac:dyDescent="0.3">
      <c r="A322" t="s">
        <v>728</v>
      </c>
      <c r="B322" t="s">
        <v>24</v>
      </c>
      <c r="C322" t="s">
        <v>355</v>
      </c>
      <c r="F322" t="s">
        <v>3361</v>
      </c>
      <c r="G322" t="s">
        <v>2746</v>
      </c>
      <c r="I322" t="s">
        <v>24</v>
      </c>
      <c r="J322" t="s">
        <v>3369</v>
      </c>
      <c r="K322" t="s">
        <v>1661</v>
      </c>
      <c r="L322" t="s">
        <v>3386</v>
      </c>
      <c r="M322" t="s">
        <v>3364</v>
      </c>
      <c r="N322" t="s">
        <v>3365</v>
      </c>
      <c r="O322" t="s">
        <v>3366</v>
      </c>
      <c r="P322" t="s">
        <v>3382</v>
      </c>
    </row>
    <row r="323" spans="1:16" x14ac:dyDescent="0.3">
      <c r="A323" t="s">
        <v>726</v>
      </c>
      <c r="B323" t="s">
        <v>24</v>
      </c>
      <c r="C323" t="s">
        <v>355</v>
      </c>
      <c r="F323" t="s">
        <v>3361</v>
      </c>
      <c r="G323" t="s">
        <v>2746</v>
      </c>
      <c r="I323" t="s">
        <v>24</v>
      </c>
      <c r="J323" t="s">
        <v>3369</v>
      </c>
      <c r="K323" t="s">
        <v>1661</v>
      </c>
      <c r="L323" t="s">
        <v>3386</v>
      </c>
      <c r="M323" t="s">
        <v>3364</v>
      </c>
      <c r="N323" t="s">
        <v>3365</v>
      </c>
      <c r="O323" t="s">
        <v>3366</v>
      </c>
      <c r="P323" t="s">
        <v>3382</v>
      </c>
    </row>
    <row r="324" spans="1:16" x14ac:dyDescent="0.3">
      <c r="A324" t="s">
        <v>355</v>
      </c>
      <c r="B324" t="s">
        <v>24</v>
      </c>
      <c r="C324" t="s">
        <v>355</v>
      </c>
      <c r="F324" t="s">
        <v>3361</v>
      </c>
      <c r="G324" t="s">
        <v>2746</v>
      </c>
      <c r="I324" t="s">
        <v>24</v>
      </c>
      <c r="J324" t="s">
        <v>3369</v>
      </c>
      <c r="K324" t="s">
        <v>1661</v>
      </c>
      <c r="L324" t="s">
        <v>3386</v>
      </c>
      <c r="M324" t="s">
        <v>3364</v>
      </c>
      <c r="N324" t="s">
        <v>3365</v>
      </c>
      <c r="O324" t="s">
        <v>3366</v>
      </c>
      <c r="P324" t="s">
        <v>3382</v>
      </c>
    </row>
    <row r="325" spans="1:16" x14ac:dyDescent="0.3">
      <c r="A325" t="s">
        <v>812</v>
      </c>
      <c r="B325" t="s">
        <v>24</v>
      </c>
      <c r="C325" t="s">
        <v>355</v>
      </c>
      <c r="F325" t="s">
        <v>3361</v>
      </c>
      <c r="G325" t="s">
        <v>2746</v>
      </c>
      <c r="I325" t="s">
        <v>24</v>
      </c>
      <c r="J325" t="s">
        <v>3369</v>
      </c>
      <c r="K325" t="s">
        <v>1661</v>
      </c>
      <c r="L325" t="s">
        <v>3386</v>
      </c>
      <c r="M325" t="s">
        <v>3364</v>
      </c>
      <c r="N325" t="s">
        <v>3365</v>
      </c>
      <c r="O325" t="s">
        <v>3366</v>
      </c>
      <c r="P325" t="s">
        <v>3382</v>
      </c>
    </row>
    <row r="326" spans="1:16" x14ac:dyDescent="0.3">
      <c r="A326" t="s">
        <v>727</v>
      </c>
      <c r="B326" t="s">
        <v>24</v>
      </c>
      <c r="C326" t="s">
        <v>355</v>
      </c>
      <c r="F326" t="s">
        <v>3361</v>
      </c>
      <c r="G326" t="s">
        <v>2746</v>
      </c>
      <c r="I326" t="s">
        <v>24</v>
      </c>
      <c r="J326" t="s">
        <v>3369</v>
      </c>
      <c r="K326" t="s">
        <v>1661</v>
      </c>
      <c r="L326" t="s">
        <v>3386</v>
      </c>
      <c r="M326" t="s">
        <v>3364</v>
      </c>
      <c r="N326" t="s">
        <v>3365</v>
      </c>
      <c r="O326" t="s">
        <v>3366</v>
      </c>
      <c r="P326" t="s">
        <v>3382</v>
      </c>
    </row>
    <row r="327" spans="1:16" x14ac:dyDescent="0.3">
      <c r="A327" t="s">
        <v>875</v>
      </c>
      <c r="B327" t="s">
        <v>25</v>
      </c>
      <c r="C327" t="s">
        <v>337</v>
      </c>
      <c r="F327" t="s">
        <v>3361</v>
      </c>
      <c r="G327" t="s">
        <v>2746</v>
      </c>
      <c r="I327" t="s">
        <v>25</v>
      </c>
      <c r="J327" t="s">
        <v>3369</v>
      </c>
      <c r="K327" t="s">
        <v>3387</v>
      </c>
      <c r="L327" t="s">
        <v>3388</v>
      </c>
      <c r="M327" t="s">
        <v>3364</v>
      </c>
      <c r="N327" t="s">
        <v>3365</v>
      </c>
      <c r="O327" t="s">
        <v>3376</v>
      </c>
      <c r="P327" t="s">
        <v>3382</v>
      </c>
    </row>
    <row r="328" spans="1:16" x14ac:dyDescent="0.3">
      <c r="A328" t="s">
        <v>876</v>
      </c>
      <c r="B328" t="s">
        <v>25</v>
      </c>
      <c r="C328" t="s">
        <v>337</v>
      </c>
      <c r="F328" t="s">
        <v>3361</v>
      </c>
      <c r="G328" t="s">
        <v>2746</v>
      </c>
      <c r="I328" t="s">
        <v>25</v>
      </c>
      <c r="J328" t="s">
        <v>3369</v>
      </c>
      <c r="K328" t="s">
        <v>3387</v>
      </c>
      <c r="L328" t="s">
        <v>3388</v>
      </c>
      <c r="M328" t="s">
        <v>3364</v>
      </c>
      <c r="N328" t="s">
        <v>3365</v>
      </c>
      <c r="O328" t="s">
        <v>3376</v>
      </c>
      <c r="P328" t="s">
        <v>3382</v>
      </c>
    </row>
    <row r="329" spans="1:16" x14ac:dyDescent="0.3">
      <c r="A329" t="s">
        <v>877</v>
      </c>
      <c r="B329" t="s">
        <v>25</v>
      </c>
      <c r="C329" t="s">
        <v>337</v>
      </c>
      <c r="F329" t="s">
        <v>3361</v>
      </c>
      <c r="G329" t="s">
        <v>2746</v>
      </c>
      <c r="I329" t="s">
        <v>25</v>
      </c>
      <c r="J329" t="s">
        <v>3369</v>
      </c>
      <c r="K329" t="s">
        <v>3387</v>
      </c>
      <c r="L329" t="s">
        <v>3388</v>
      </c>
      <c r="M329" t="s">
        <v>3364</v>
      </c>
      <c r="N329" t="s">
        <v>3365</v>
      </c>
      <c r="O329" t="s">
        <v>3376</v>
      </c>
      <c r="P329" t="s">
        <v>3382</v>
      </c>
    </row>
    <row r="330" spans="1:16" x14ac:dyDescent="0.3">
      <c r="A330" t="s">
        <v>878</v>
      </c>
      <c r="B330" t="s">
        <v>25</v>
      </c>
      <c r="C330" t="s">
        <v>337</v>
      </c>
      <c r="F330" t="s">
        <v>3361</v>
      </c>
      <c r="G330" t="s">
        <v>2746</v>
      </c>
      <c r="I330" t="s">
        <v>25</v>
      </c>
      <c r="J330" t="s">
        <v>3369</v>
      </c>
      <c r="K330" t="s">
        <v>3387</v>
      </c>
      <c r="L330" t="s">
        <v>3388</v>
      </c>
      <c r="M330" t="s">
        <v>3364</v>
      </c>
      <c r="N330" t="s">
        <v>3365</v>
      </c>
      <c r="O330" t="s">
        <v>3376</v>
      </c>
      <c r="P330" t="s">
        <v>3382</v>
      </c>
    </row>
    <row r="331" spans="1:16" x14ac:dyDescent="0.3">
      <c r="A331" t="s">
        <v>879</v>
      </c>
      <c r="B331" t="s">
        <v>25</v>
      </c>
      <c r="C331" t="s">
        <v>341</v>
      </c>
      <c r="F331" t="s">
        <v>3361</v>
      </c>
      <c r="G331" t="s">
        <v>2746</v>
      </c>
      <c r="I331" t="s">
        <v>25</v>
      </c>
      <c r="J331" t="s">
        <v>3362</v>
      </c>
      <c r="K331" t="s">
        <v>3387</v>
      </c>
      <c r="L331" t="s">
        <v>3388</v>
      </c>
      <c r="M331" t="s">
        <v>3364</v>
      </c>
      <c r="N331" t="s">
        <v>3365</v>
      </c>
      <c r="O331" t="s">
        <v>3376</v>
      </c>
      <c r="P331" t="s">
        <v>3367</v>
      </c>
    </row>
    <row r="332" spans="1:16" x14ac:dyDescent="0.3">
      <c r="A332" t="s">
        <v>880</v>
      </c>
      <c r="B332" t="s">
        <v>25</v>
      </c>
      <c r="C332" t="s">
        <v>341</v>
      </c>
      <c r="F332" t="s">
        <v>3361</v>
      </c>
      <c r="G332" t="s">
        <v>2746</v>
      </c>
      <c r="I332" t="s">
        <v>25</v>
      </c>
      <c r="J332" t="s">
        <v>3369</v>
      </c>
      <c r="K332" t="s">
        <v>3387</v>
      </c>
      <c r="L332" t="s">
        <v>3388</v>
      </c>
      <c r="M332" t="s">
        <v>3364</v>
      </c>
      <c r="N332" t="s">
        <v>3365</v>
      </c>
      <c r="O332" t="s">
        <v>3376</v>
      </c>
      <c r="P332" t="s">
        <v>3382</v>
      </c>
    </row>
    <row r="333" spans="1:16" x14ac:dyDescent="0.3">
      <c r="A333" t="s">
        <v>881</v>
      </c>
      <c r="B333" t="s">
        <v>25</v>
      </c>
      <c r="C333" t="s">
        <v>341</v>
      </c>
      <c r="F333" t="s">
        <v>3361</v>
      </c>
      <c r="G333" t="s">
        <v>2746</v>
      </c>
      <c r="I333" t="s">
        <v>25</v>
      </c>
      <c r="J333" t="s">
        <v>3369</v>
      </c>
      <c r="K333" t="s">
        <v>3387</v>
      </c>
      <c r="L333" t="s">
        <v>3388</v>
      </c>
      <c r="M333" t="s">
        <v>3364</v>
      </c>
      <c r="N333" t="s">
        <v>3365</v>
      </c>
      <c r="O333" t="s">
        <v>3376</v>
      </c>
      <c r="P333" t="s">
        <v>3382</v>
      </c>
    </row>
    <row r="334" spans="1:16" x14ac:dyDescent="0.3">
      <c r="A334" t="s">
        <v>882</v>
      </c>
      <c r="B334" t="s">
        <v>25</v>
      </c>
      <c r="C334" t="s">
        <v>341</v>
      </c>
      <c r="F334" t="s">
        <v>3361</v>
      </c>
      <c r="G334" t="s">
        <v>2746</v>
      </c>
      <c r="I334" t="s">
        <v>25</v>
      </c>
      <c r="J334" t="s">
        <v>3369</v>
      </c>
      <c r="K334" t="s">
        <v>3387</v>
      </c>
      <c r="L334" t="s">
        <v>3388</v>
      </c>
      <c r="M334" t="s">
        <v>3364</v>
      </c>
      <c r="N334" t="s">
        <v>3365</v>
      </c>
      <c r="O334" t="s">
        <v>3376</v>
      </c>
      <c r="P334" t="s">
        <v>3382</v>
      </c>
    </row>
    <row r="335" spans="1:16" x14ac:dyDescent="0.3">
      <c r="A335" t="s">
        <v>883</v>
      </c>
      <c r="B335" t="s">
        <v>25</v>
      </c>
      <c r="C335" t="s">
        <v>343</v>
      </c>
      <c r="F335" t="s">
        <v>3361</v>
      </c>
      <c r="G335" t="s">
        <v>2746</v>
      </c>
      <c r="I335" t="s">
        <v>25</v>
      </c>
      <c r="J335" t="s">
        <v>3369</v>
      </c>
      <c r="K335" t="s">
        <v>3387</v>
      </c>
      <c r="L335" t="s">
        <v>3388</v>
      </c>
      <c r="M335" t="s">
        <v>3364</v>
      </c>
      <c r="N335" t="s">
        <v>3365</v>
      </c>
      <c r="O335" t="s">
        <v>3376</v>
      </c>
      <c r="P335" t="s">
        <v>3382</v>
      </c>
    </row>
    <row r="336" spans="1:16" x14ac:dyDescent="0.3">
      <c r="A336" t="s">
        <v>884</v>
      </c>
      <c r="B336" t="s">
        <v>25</v>
      </c>
      <c r="C336" t="s">
        <v>343</v>
      </c>
      <c r="F336" t="s">
        <v>3361</v>
      </c>
      <c r="G336" t="s">
        <v>2746</v>
      </c>
      <c r="I336" t="s">
        <v>25</v>
      </c>
      <c r="J336" t="s">
        <v>3369</v>
      </c>
      <c r="K336" t="s">
        <v>3387</v>
      </c>
      <c r="L336" t="s">
        <v>3388</v>
      </c>
      <c r="M336" t="s">
        <v>3364</v>
      </c>
      <c r="N336" t="s">
        <v>3365</v>
      </c>
      <c r="O336" t="s">
        <v>3376</v>
      </c>
      <c r="P336" t="s">
        <v>3382</v>
      </c>
    </row>
    <row r="337" spans="1:16" x14ac:dyDescent="0.3">
      <c r="A337" t="s">
        <v>885</v>
      </c>
      <c r="B337" t="s">
        <v>25</v>
      </c>
      <c r="C337" t="s">
        <v>343</v>
      </c>
      <c r="F337" t="s">
        <v>3361</v>
      </c>
      <c r="G337" t="s">
        <v>2746</v>
      </c>
      <c r="I337" t="s">
        <v>25</v>
      </c>
      <c r="J337" t="s">
        <v>3369</v>
      </c>
      <c r="K337" t="s">
        <v>3387</v>
      </c>
      <c r="L337" t="s">
        <v>3388</v>
      </c>
      <c r="M337" t="s">
        <v>3364</v>
      </c>
      <c r="N337" t="s">
        <v>3365</v>
      </c>
      <c r="O337" t="s">
        <v>3376</v>
      </c>
      <c r="P337" t="s">
        <v>3382</v>
      </c>
    </row>
    <row r="338" spans="1:16" x14ac:dyDescent="0.3">
      <c r="A338" t="s">
        <v>886</v>
      </c>
      <c r="B338" t="s">
        <v>25</v>
      </c>
      <c r="C338" t="s">
        <v>343</v>
      </c>
      <c r="F338" t="s">
        <v>3361</v>
      </c>
      <c r="G338" t="s">
        <v>2746</v>
      </c>
      <c r="I338" t="s">
        <v>25</v>
      </c>
      <c r="J338" t="s">
        <v>3369</v>
      </c>
      <c r="K338" t="s">
        <v>3387</v>
      </c>
      <c r="L338" t="s">
        <v>3388</v>
      </c>
      <c r="M338" t="s">
        <v>3364</v>
      </c>
      <c r="N338" t="s">
        <v>3365</v>
      </c>
      <c r="O338" t="s">
        <v>3376</v>
      </c>
      <c r="P338" t="s">
        <v>3382</v>
      </c>
    </row>
    <row r="339" spans="1:16" x14ac:dyDescent="0.3">
      <c r="A339" t="s">
        <v>887</v>
      </c>
      <c r="B339" t="s">
        <v>25</v>
      </c>
      <c r="C339" t="s">
        <v>345</v>
      </c>
      <c r="F339" t="s">
        <v>3361</v>
      </c>
      <c r="G339" t="s">
        <v>2746</v>
      </c>
      <c r="I339" t="s">
        <v>25</v>
      </c>
      <c r="J339" t="s">
        <v>3369</v>
      </c>
      <c r="K339" t="s">
        <v>3387</v>
      </c>
      <c r="L339" t="s">
        <v>3388</v>
      </c>
      <c r="M339" t="s">
        <v>3364</v>
      </c>
      <c r="N339" t="s">
        <v>3365</v>
      </c>
      <c r="O339" t="s">
        <v>3376</v>
      </c>
      <c r="P339" t="s">
        <v>3382</v>
      </c>
    </row>
    <row r="340" spans="1:16" x14ac:dyDescent="0.3">
      <c r="A340" t="s">
        <v>888</v>
      </c>
      <c r="B340" t="s">
        <v>25</v>
      </c>
      <c r="C340" t="s">
        <v>345</v>
      </c>
      <c r="F340" t="s">
        <v>3361</v>
      </c>
      <c r="G340" t="s">
        <v>2746</v>
      </c>
      <c r="I340" t="s">
        <v>25</v>
      </c>
      <c r="J340" t="s">
        <v>3369</v>
      </c>
      <c r="K340" t="s">
        <v>3387</v>
      </c>
      <c r="L340" t="s">
        <v>3388</v>
      </c>
      <c r="M340" t="s">
        <v>3364</v>
      </c>
      <c r="N340" t="s">
        <v>3365</v>
      </c>
      <c r="O340" t="s">
        <v>3376</v>
      </c>
      <c r="P340" t="s">
        <v>3382</v>
      </c>
    </row>
    <row r="341" spans="1:16" x14ac:dyDescent="0.3">
      <c r="A341" t="s">
        <v>889</v>
      </c>
      <c r="B341" t="s">
        <v>25</v>
      </c>
      <c r="C341" t="s">
        <v>345</v>
      </c>
      <c r="F341" t="s">
        <v>3361</v>
      </c>
      <c r="G341" t="s">
        <v>2746</v>
      </c>
      <c r="I341" t="s">
        <v>25</v>
      </c>
      <c r="J341" t="s">
        <v>3362</v>
      </c>
      <c r="K341" t="s">
        <v>3387</v>
      </c>
      <c r="L341" t="s">
        <v>3388</v>
      </c>
      <c r="M341" t="s">
        <v>3364</v>
      </c>
      <c r="N341" t="s">
        <v>3365</v>
      </c>
      <c r="O341" t="s">
        <v>3376</v>
      </c>
      <c r="P341" t="s">
        <v>3367</v>
      </c>
    </row>
    <row r="342" spans="1:16" x14ac:dyDescent="0.3">
      <c r="A342" t="s">
        <v>890</v>
      </c>
      <c r="B342" t="s">
        <v>25</v>
      </c>
      <c r="C342" t="s">
        <v>345</v>
      </c>
      <c r="F342" t="s">
        <v>3361</v>
      </c>
      <c r="G342" t="s">
        <v>2746</v>
      </c>
      <c r="I342" t="s">
        <v>25</v>
      </c>
      <c r="J342" t="s">
        <v>3369</v>
      </c>
      <c r="K342" t="s">
        <v>3387</v>
      </c>
      <c r="L342" t="s">
        <v>3388</v>
      </c>
      <c r="M342" t="s">
        <v>3364</v>
      </c>
      <c r="N342" t="s">
        <v>3365</v>
      </c>
      <c r="O342" t="s">
        <v>3376</v>
      </c>
      <c r="P342" t="s">
        <v>3382</v>
      </c>
    </row>
    <row r="343" spans="1:16" x14ac:dyDescent="0.3">
      <c r="A343" t="s">
        <v>891</v>
      </c>
      <c r="B343" t="s">
        <v>25</v>
      </c>
      <c r="C343" t="s">
        <v>347</v>
      </c>
      <c r="F343" t="s">
        <v>3361</v>
      </c>
      <c r="G343" t="s">
        <v>2746</v>
      </c>
      <c r="I343" t="s">
        <v>25</v>
      </c>
      <c r="J343" t="s">
        <v>3369</v>
      </c>
      <c r="K343" t="s">
        <v>3387</v>
      </c>
      <c r="L343" t="s">
        <v>3388</v>
      </c>
      <c r="M343" t="s">
        <v>3364</v>
      </c>
      <c r="N343" t="s">
        <v>3365</v>
      </c>
      <c r="O343" t="s">
        <v>3376</v>
      </c>
      <c r="P343" t="s">
        <v>3382</v>
      </c>
    </row>
    <row r="344" spans="1:16" x14ac:dyDescent="0.3">
      <c r="A344" t="s">
        <v>892</v>
      </c>
      <c r="B344" t="s">
        <v>25</v>
      </c>
      <c r="C344" t="s">
        <v>347</v>
      </c>
      <c r="F344" t="s">
        <v>3361</v>
      </c>
      <c r="G344" t="s">
        <v>2746</v>
      </c>
      <c r="I344" t="s">
        <v>25</v>
      </c>
      <c r="J344" t="s">
        <v>3369</v>
      </c>
      <c r="K344" t="s">
        <v>3387</v>
      </c>
      <c r="L344" t="s">
        <v>3388</v>
      </c>
      <c r="M344" t="s">
        <v>3364</v>
      </c>
      <c r="N344" t="s">
        <v>3365</v>
      </c>
      <c r="O344" t="s">
        <v>3376</v>
      </c>
      <c r="P344" t="s">
        <v>3382</v>
      </c>
    </row>
    <row r="345" spans="1:16" x14ac:dyDescent="0.3">
      <c r="A345" t="s">
        <v>893</v>
      </c>
      <c r="B345" t="s">
        <v>25</v>
      </c>
      <c r="C345" t="s">
        <v>347</v>
      </c>
      <c r="F345" t="s">
        <v>3361</v>
      </c>
      <c r="G345" t="s">
        <v>2746</v>
      </c>
      <c r="I345" t="s">
        <v>25</v>
      </c>
      <c r="J345" t="s">
        <v>3369</v>
      </c>
      <c r="K345" t="s">
        <v>3387</v>
      </c>
      <c r="L345" t="s">
        <v>3388</v>
      </c>
      <c r="M345" t="s">
        <v>3364</v>
      </c>
      <c r="N345" t="s">
        <v>3365</v>
      </c>
      <c r="O345" t="s">
        <v>3376</v>
      </c>
      <c r="P345" t="s">
        <v>3382</v>
      </c>
    </row>
    <row r="346" spans="1:16" x14ac:dyDescent="0.3">
      <c r="A346" t="s">
        <v>894</v>
      </c>
      <c r="B346" t="s">
        <v>25</v>
      </c>
      <c r="C346" t="s">
        <v>347</v>
      </c>
      <c r="F346" t="s">
        <v>3361</v>
      </c>
      <c r="G346" t="s">
        <v>2746</v>
      </c>
      <c r="I346" t="s">
        <v>25</v>
      </c>
      <c r="J346" t="s">
        <v>3369</v>
      </c>
      <c r="K346" t="s">
        <v>3387</v>
      </c>
      <c r="L346" t="s">
        <v>3388</v>
      </c>
      <c r="M346" t="s">
        <v>3364</v>
      </c>
      <c r="N346" t="s">
        <v>3365</v>
      </c>
      <c r="O346" t="s">
        <v>3376</v>
      </c>
      <c r="P346" t="s">
        <v>3382</v>
      </c>
    </row>
    <row r="347" spans="1:16" x14ac:dyDescent="0.3">
      <c r="A347" t="s">
        <v>895</v>
      </c>
      <c r="B347" t="s">
        <v>25</v>
      </c>
      <c r="C347" t="s">
        <v>349</v>
      </c>
      <c r="F347" t="s">
        <v>3361</v>
      </c>
      <c r="G347" t="s">
        <v>2746</v>
      </c>
      <c r="I347" t="s">
        <v>25</v>
      </c>
      <c r="J347" t="s">
        <v>3369</v>
      </c>
      <c r="K347" t="s">
        <v>3387</v>
      </c>
      <c r="L347" t="s">
        <v>3388</v>
      </c>
      <c r="M347" t="s">
        <v>3364</v>
      </c>
      <c r="N347" t="s">
        <v>3365</v>
      </c>
      <c r="O347" t="s">
        <v>3376</v>
      </c>
      <c r="P347" t="s">
        <v>3382</v>
      </c>
    </row>
    <row r="348" spans="1:16" x14ac:dyDescent="0.3">
      <c r="A348" t="s">
        <v>896</v>
      </c>
      <c r="B348" t="s">
        <v>25</v>
      </c>
      <c r="C348" t="s">
        <v>349</v>
      </c>
      <c r="F348" t="s">
        <v>3361</v>
      </c>
      <c r="G348" t="s">
        <v>2746</v>
      </c>
      <c r="I348" t="s">
        <v>25</v>
      </c>
      <c r="J348" t="s">
        <v>3369</v>
      </c>
      <c r="K348" t="s">
        <v>3387</v>
      </c>
      <c r="L348" t="s">
        <v>3388</v>
      </c>
      <c r="M348" t="s">
        <v>3364</v>
      </c>
      <c r="N348" t="s">
        <v>3365</v>
      </c>
      <c r="O348" t="s">
        <v>3376</v>
      </c>
      <c r="P348" t="s">
        <v>3382</v>
      </c>
    </row>
    <row r="349" spans="1:16" x14ac:dyDescent="0.3">
      <c r="A349" t="s">
        <v>897</v>
      </c>
      <c r="B349" t="s">
        <v>25</v>
      </c>
      <c r="C349" t="s">
        <v>349</v>
      </c>
      <c r="F349" t="s">
        <v>3361</v>
      </c>
      <c r="G349" t="s">
        <v>2746</v>
      </c>
      <c r="I349" t="s">
        <v>25</v>
      </c>
      <c r="J349" t="s">
        <v>3369</v>
      </c>
      <c r="K349" t="s">
        <v>3387</v>
      </c>
      <c r="L349" t="s">
        <v>3388</v>
      </c>
      <c r="M349" t="s">
        <v>3364</v>
      </c>
      <c r="N349" t="s">
        <v>3365</v>
      </c>
      <c r="O349" t="s">
        <v>3376</v>
      </c>
      <c r="P349" t="s">
        <v>3382</v>
      </c>
    </row>
    <row r="350" spans="1:16" x14ac:dyDescent="0.3">
      <c r="A350" t="s">
        <v>898</v>
      </c>
      <c r="B350" t="s">
        <v>25</v>
      </c>
      <c r="C350" t="s">
        <v>349</v>
      </c>
      <c r="F350" t="s">
        <v>3361</v>
      </c>
      <c r="G350" t="s">
        <v>2746</v>
      </c>
      <c r="I350" t="s">
        <v>25</v>
      </c>
      <c r="J350" t="s">
        <v>3369</v>
      </c>
      <c r="K350" t="s">
        <v>3387</v>
      </c>
      <c r="L350" t="s">
        <v>3388</v>
      </c>
      <c r="M350" t="s">
        <v>3364</v>
      </c>
      <c r="N350" t="s">
        <v>3365</v>
      </c>
      <c r="O350" t="s">
        <v>3376</v>
      </c>
      <c r="P350" t="s">
        <v>3382</v>
      </c>
    </row>
    <row r="351" spans="1:16" x14ac:dyDescent="0.3">
      <c r="A351" t="s">
        <v>899</v>
      </c>
      <c r="B351" t="s">
        <v>25</v>
      </c>
      <c r="C351" t="s">
        <v>351</v>
      </c>
      <c r="F351" t="s">
        <v>3361</v>
      </c>
      <c r="G351" t="s">
        <v>2746</v>
      </c>
      <c r="I351" t="s">
        <v>25</v>
      </c>
      <c r="J351" t="s">
        <v>3369</v>
      </c>
      <c r="K351" t="s">
        <v>3387</v>
      </c>
      <c r="L351" t="s">
        <v>3388</v>
      </c>
      <c r="M351" t="s">
        <v>3364</v>
      </c>
      <c r="N351" t="s">
        <v>3365</v>
      </c>
      <c r="O351" t="s">
        <v>3376</v>
      </c>
      <c r="P351" t="s">
        <v>3382</v>
      </c>
    </row>
    <row r="352" spans="1:16" x14ac:dyDescent="0.3">
      <c r="A352" t="s">
        <v>900</v>
      </c>
      <c r="B352" t="s">
        <v>25</v>
      </c>
      <c r="C352" t="s">
        <v>351</v>
      </c>
      <c r="F352" t="s">
        <v>3361</v>
      </c>
      <c r="G352" t="s">
        <v>2746</v>
      </c>
      <c r="I352" t="s">
        <v>25</v>
      </c>
      <c r="J352" t="s">
        <v>3369</v>
      </c>
      <c r="K352" t="s">
        <v>3387</v>
      </c>
      <c r="L352" t="s">
        <v>3388</v>
      </c>
      <c r="M352" t="s">
        <v>3364</v>
      </c>
      <c r="N352" t="s">
        <v>3365</v>
      </c>
      <c r="O352" t="s">
        <v>3376</v>
      </c>
      <c r="P352" t="s">
        <v>3382</v>
      </c>
    </row>
    <row r="353" spans="1:16" x14ac:dyDescent="0.3">
      <c r="A353" t="s">
        <v>901</v>
      </c>
      <c r="B353" t="s">
        <v>25</v>
      </c>
      <c r="C353" t="s">
        <v>351</v>
      </c>
      <c r="F353" t="s">
        <v>3361</v>
      </c>
      <c r="G353" t="s">
        <v>2746</v>
      </c>
      <c r="I353" t="s">
        <v>25</v>
      </c>
      <c r="J353" t="s">
        <v>3362</v>
      </c>
      <c r="K353" t="s">
        <v>3387</v>
      </c>
      <c r="L353" t="s">
        <v>3388</v>
      </c>
      <c r="M353" t="s">
        <v>3364</v>
      </c>
      <c r="N353" t="s">
        <v>3365</v>
      </c>
      <c r="O353" t="s">
        <v>3376</v>
      </c>
      <c r="P353" t="s">
        <v>3367</v>
      </c>
    </row>
    <row r="354" spans="1:16" x14ac:dyDescent="0.3">
      <c r="A354" t="s">
        <v>902</v>
      </c>
      <c r="B354" t="s">
        <v>25</v>
      </c>
      <c r="C354" t="s">
        <v>351</v>
      </c>
      <c r="F354" t="s">
        <v>3361</v>
      </c>
      <c r="G354" t="s">
        <v>2746</v>
      </c>
      <c r="I354" t="s">
        <v>25</v>
      </c>
      <c r="J354" t="s">
        <v>3369</v>
      </c>
      <c r="K354" t="s">
        <v>3387</v>
      </c>
      <c r="L354" t="s">
        <v>3388</v>
      </c>
      <c r="M354" t="s">
        <v>3364</v>
      </c>
      <c r="N354" t="s">
        <v>3365</v>
      </c>
      <c r="O354" t="s">
        <v>3376</v>
      </c>
      <c r="P354" t="s">
        <v>3382</v>
      </c>
    </row>
    <row r="355" spans="1:16" x14ac:dyDescent="0.3">
      <c r="A355" t="s">
        <v>903</v>
      </c>
      <c r="B355" t="s">
        <v>25</v>
      </c>
      <c r="C355" t="s">
        <v>353</v>
      </c>
      <c r="F355" t="s">
        <v>3361</v>
      </c>
      <c r="G355" t="s">
        <v>2746</v>
      </c>
      <c r="I355" t="s">
        <v>25</v>
      </c>
      <c r="J355" t="s">
        <v>3369</v>
      </c>
      <c r="K355" t="s">
        <v>3387</v>
      </c>
      <c r="L355" t="s">
        <v>3388</v>
      </c>
      <c r="M355" t="s">
        <v>3364</v>
      </c>
      <c r="N355" t="s">
        <v>3365</v>
      </c>
      <c r="O355" t="s">
        <v>3376</v>
      </c>
      <c r="P355" t="s">
        <v>3382</v>
      </c>
    </row>
    <row r="356" spans="1:16" x14ac:dyDescent="0.3">
      <c r="A356" t="s">
        <v>904</v>
      </c>
      <c r="B356" t="s">
        <v>25</v>
      </c>
      <c r="C356" t="s">
        <v>353</v>
      </c>
      <c r="F356" t="s">
        <v>3361</v>
      </c>
      <c r="G356" t="s">
        <v>2746</v>
      </c>
      <c r="I356" t="s">
        <v>25</v>
      </c>
      <c r="J356" t="s">
        <v>3369</v>
      </c>
      <c r="K356" t="s">
        <v>3387</v>
      </c>
      <c r="L356" t="s">
        <v>3388</v>
      </c>
      <c r="M356" t="s">
        <v>3364</v>
      </c>
      <c r="N356" t="s">
        <v>3365</v>
      </c>
      <c r="O356" t="s">
        <v>3376</v>
      </c>
      <c r="P356" t="s">
        <v>3382</v>
      </c>
    </row>
    <row r="357" spans="1:16" x14ac:dyDescent="0.3">
      <c r="A357" t="s">
        <v>905</v>
      </c>
      <c r="B357" t="s">
        <v>25</v>
      </c>
      <c r="C357" t="s">
        <v>353</v>
      </c>
      <c r="F357" t="s">
        <v>3361</v>
      </c>
      <c r="G357" t="s">
        <v>2746</v>
      </c>
      <c r="I357" t="s">
        <v>25</v>
      </c>
      <c r="J357" t="s">
        <v>3369</v>
      </c>
      <c r="K357" t="s">
        <v>3387</v>
      </c>
      <c r="L357" t="s">
        <v>3388</v>
      </c>
      <c r="M357" t="s">
        <v>3364</v>
      </c>
      <c r="N357" t="s">
        <v>3365</v>
      </c>
      <c r="O357" t="s">
        <v>3376</v>
      </c>
      <c r="P357" t="s">
        <v>3382</v>
      </c>
    </row>
    <row r="358" spans="1:16" x14ac:dyDescent="0.3">
      <c r="A358" t="s">
        <v>906</v>
      </c>
      <c r="B358" t="s">
        <v>25</v>
      </c>
      <c r="C358" t="s">
        <v>353</v>
      </c>
      <c r="F358" t="s">
        <v>3361</v>
      </c>
      <c r="G358" t="s">
        <v>2746</v>
      </c>
      <c r="I358" t="s">
        <v>25</v>
      </c>
      <c r="J358" t="s">
        <v>3369</v>
      </c>
      <c r="K358" t="s">
        <v>3387</v>
      </c>
      <c r="L358" t="s">
        <v>3388</v>
      </c>
      <c r="M358" t="s">
        <v>3364</v>
      </c>
      <c r="N358" t="s">
        <v>3365</v>
      </c>
      <c r="O358" t="s">
        <v>3376</v>
      </c>
      <c r="P358" t="s">
        <v>3382</v>
      </c>
    </row>
    <row r="359" spans="1:16" x14ac:dyDescent="0.3">
      <c r="A359" t="s">
        <v>907</v>
      </c>
      <c r="B359" t="s">
        <v>25</v>
      </c>
      <c r="C359" t="s">
        <v>355</v>
      </c>
      <c r="F359" t="s">
        <v>3361</v>
      </c>
      <c r="G359" t="s">
        <v>2746</v>
      </c>
      <c r="I359" t="s">
        <v>25</v>
      </c>
      <c r="J359" t="s">
        <v>3369</v>
      </c>
      <c r="K359" t="s">
        <v>3387</v>
      </c>
      <c r="L359" t="s">
        <v>3388</v>
      </c>
      <c r="M359" t="s">
        <v>3364</v>
      </c>
      <c r="N359" t="s">
        <v>3365</v>
      </c>
      <c r="O359" t="s">
        <v>3376</v>
      </c>
      <c r="P359" t="s">
        <v>3382</v>
      </c>
    </row>
    <row r="360" spans="1:16" x14ac:dyDescent="0.3">
      <c r="A360" t="s">
        <v>908</v>
      </c>
      <c r="B360" t="s">
        <v>25</v>
      </c>
      <c r="C360" t="s">
        <v>355</v>
      </c>
      <c r="F360" t="s">
        <v>3361</v>
      </c>
      <c r="G360" t="s">
        <v>2746</v>
      </c>
      <c r="I360" t="s">
        <v>25</v>
      </c>
      <c r="J360" t="s">
        <v>3369</v>
      </c>
      <c r="K360" t="s">
        <v>3387</v>
      </c>
      <c r="L360" t="s">
        <v>3388</v>
      </c>
      <c r="M360" t="s">
        <v>3364</v>
      </c>
      <c r="N360" t="s">
        <v>3365</v>
      </c>
      <c r="O360" t="s">
        <v>3376</v>
      </c>
      <c r="P360" t="s">
        <v>3382</v>
      </c>
    </row>
    <row r="361" spans="1:16" x14ac:dyDescent="0.3">
      <c r="A361" t="s">
        <v>909</v>
      </c>
      <c r="B361" t="s">
        <v>25</v>
      </c>
      <c r="C361" t="s">
        <v>355</v>
      </c>
      <c r="F361" t="s">
        <v>3361</v>
      </c>
      <c r="G361" t="s">
        <v>2746</v>
      </c>
      <c r="I361" t="s">
        <v>25</v>
      </c>
      <c r="J361" t="s">
        <v>3369</v>
      </c>
      <c r="K361" t="s">
        <v>3387</v>
      </c>
      <c r="L361" t="s">
        <v>3388</v>
      </c>
      <c r="M361" t="s">
        <v>3364</v>
      </c>
      <c r="N361" t="s">
        <v>3365</v>
      </c>
      <c r="O361" t="s">
        <v>3376</v>
      </c>
      <c r="P361" t="s">
        <v>3382</v>
      </c>
    </row>
    <row r="362" spans="1:16" x14ac:dyDescent="0.3">
      <c r="A362" t="s">
        <v>910</v>
      </c>
      <c r="B362" t="s">
        <v>25</v>
      </c>
      <c r="C362" t="s">
        <v>355</v>
      </c>
      <c r="F362" t="s">
        <v>3361</v>
      </c>
      <c r="G362" t="s">
        <v>2746</v>
      </c>
      <c r="I362" t="s">
        <v>25</v>
      </c>
      <c r="J362" t="s">
        <v>3369</v>
      </c>
      <c r="K362" t="s">
        <v>3387</v>
      </c>
      <c r="L362" t="s">
        <v>3388</v>
      </c>
      <c r="M362" t="s">
        <v>3364</v>
      </c>
      <c r="N362" t="s">
        <v>3365</v>
      </c>
      <c r="O362" t="s">
        <v>3376</v>
      </c>
      <c r="P362" t="s">
        <v>3382</v>
      </c>
    </row>
    <row r="363" spans="1:16" x14ac:dyDescent="0.3">
      <c r="A363" t="s">
        <v>912</v>
      </c>
      <c r="B363" t="s">
        <v>26</v>
      </c>
      <c r="C363" t="s">
        <v>911</v>
      </c>
      <c r="F363" t="s">
        <v>3361</v>
      </c>
      <c r="G363" t="s">
        <v>2746</v>
      </c>
      <c r="H363" t="s">
        <v>709</v>
      </c>
      <c r="I363" t="s">
        <v>26</v>
      </c>
      <c r="J363" t="s">
        <v>3369</v>
      </c>
      <c r="K363" t="s">
        <v>605</v>
      </c>
      <c r="L363" t="s">
        <v>3375</v>
      </c>
      <c r="M363" t="s">
        <v>3364</v>
      </c>
      <c r="N363" t="s">
        <v>3365</v>
      </c>
      <c r="O363" t="s">
        <v>3366</v>
      </c>
      <c r="P363" t="s">
        <v>3382</v>
      </c>
    </row>
    <row r="364" spans="1:16" x14ac:dyDescent="0.3">
      <c r="A364" t="s">
        <v>914</v>
      </c>
      <c r="B364" t="s">
        <v>26</v>
      </c>
      <c r="C364" t="s">
        <v>911</v>
      </c>
      <c r="F364" t="s">
        <v>3361</v>
      </c>
      <c r="G364" t="s">
        <v>2746</v>
      </c>
      <c r="H364" t="s">
        <v>913</v>
      </c>
      <c r="I364" t="s">
        <v>26</v>
      </c>
      <c r="J364" t="s">
        <v>3362</v>
      </c>
      <c r="K364" t="s">
        <v>605</v>
      </c>
      <c r="L364" t="s">
        <v>3375</v>
      </c>
      <c r="M364" t="s">
        <v>3364</v>
      </c>
      <c r="N364" t="s">
        <v>3365</v>
      </c>
      <c r="O364" t="s">
        <v>3366</v>
      </c>
      <c r="P364" t="s">
        <v>3367</v>
      </c>
    </row>
    <row r="365" spans="1:16" x14ac:dyDescent="0.3">
      <c r="A365" t="s">
        <v>915</v>
      </c>
      <c r="B365" t="s">
        <v>26</v>
      </c>
      <c r="C365" t="s">
        <v>911</v>
      </c>
      <c r="F365" t="s">
        <v>3361</v>
      </c>
      <c r="G365" t="s">
        <v>2746</v>
      </c>
      <c r="H365" t="s">
        <v>913</v>
      </c>
      <c r="I365" t="s">
        <v>26</v>
      </c>
      <c r="J365" t="s">
        <v>3362</v>
      </c>
      <c r="K365" t="s">
        <v>605</v>
      </c>
      <c r="L365" t="s">
        <v>3375</v>
      </c>
      <c r="M365" t="s">
        <v>3364</v>
      </c>
      <c r="N365" t="s">
        <v>3365</v>
      </c>
      <c r="O365" t="s">
        <v>3366</v>
      </c>
      <c r="P365" t="s">
        <v>3367</v>
      </c>
    </row>
    <row r="366" spans="1:16" x14ac:dyDescent="0.3">
      <c r="A366" t="s">
        <v>916</v>
      </c>
      <c r="B366" t="s">
        <v>26</v>
      </c>
      <c r="C366" t="s">
        <v>911</v>
      </c>
      <c r="F366" t="s">
        <v>3361</v>
      </c>
      <c r="G366" t="s">
        <v>2746</v>
      </c>
      <c r="H366" t="s">
        <v>913</v>
      </c>
      <c r="I366" t="s">
        <v>26</v>
      </c>
      <c r="J366" t="s">
        <v>3369</v>
      </c>
      <c r="K366" t="s">
        <v>605</v>
      </c>
      <c r="L366" t="s">
        <v>3375</v>
      </c>
      <c r="M366" t="s">
        <v>3364</v>
      </c>
      <c r="N366" t="s">
        <v>3365</v>
      </c>
      <c r="O366" t="s">
        <v>3366</v>
      </c>
      <c r="P366" t="s">
        <v>3382</v>
      </c>
    </row>
    <row r="367" spans="1:16" x14ac:dyDescent="0.3">
      <c r="A367" t="s">
        <v>917</v>
      </c>
      <c r="B367" t="s">
        <v>26</v>
      </c>
      <c r="C367" t="s">
        <v>911</v>
      </c>
      <c r="F367" t="s">
        <v>3361</v>
      </c>
      <c r="G367" t="s">
        <v>2746</v>
      </c>
      <c r="H367" t="s">
        <v>913</v>
      </c>
      <c r="I367" t="s">
        <v>26</v>
      </c>
      <c r="J367" t="s">
        <v>3369</v>
      </c>
      <c r="K367" t="s">
        <v>605</v>
      </c>
      <c r="L367" t="s">
        <v>3375</v>
      </c>
      <c r="M367" t="s">
        <v>3364</v>
      </c>
      <c r="N367" t="s">
        <v>3365</v>
      </c>
      <c r="O367" t="s">
        <v>3366</v>
      </c>
      <c r="P367" t="s">
        <v>3382</v>
      </c>
    </row>
    <row r="368" spans="1:16" x14ac:dyDescent="0.3">
      <c r="A368" t="s">
        <v>918</v>
      </c>
      <c r="B368" t="s">
        <v>26</v>
      </c>
      <c r="C368" t="s">
        <v>911</v>
      </c>
      <c r="F368" t="s">
        <v>3361</v>
      </c>
      <c r="G368" t="s">
        <v>2746</v>
      </c>
      <c r="H368" t="s">
        <v>913</v>
      </c>
      <c r="I368" t="s">
        <v>26</v>
      </c>
      <c r="J368" t="s">
        <v>3369</v>
      </c>
      <c r="K368" t="s">
        <v>605</v>
      </c>
      <c r="L368" t="s">
        <v>3375</v>
      </c>
      <c r="M368" t="s">
        <v>3364</v>
      </c>
      <c r="N368" t="s">
        <v>3365</v>
      </c>
      <c r="O368" t="s">
        <v>3366</v>
      </c>
      <c r="P368" t="s">
        <v>3382</v>
      </c>
    </row>
    <row r="369" spans="1:16" x14ac:dyDescent="0.3">
      <c r="A369" t="s">
        <v>919</v>
      </c>
      <c r="B369" t="s">
        <v>26</v>
      </c>
      <c r="C369" t="s">
        <v>911</v>
      </c>
      <c r="F369" t="s">
        <v>3361</v>
      </c>
      <c r="G369" t="s">
        <v>2746</v>
      </c>
      <c r="H369" t="s">
        <v>913</v>
      </c>
      <c r="I369" t="s">
        <v>26</v>
      </c>
      <c r="J369" t="s">
        <v>3369</v>
      </c>
      <c r="K369" t="s">
        <v>605</v>
      </c>
      <c r="L369" t="s">
        <v>3375</v>
      </c>
      <c r="M369" t="s">
        <v>3364</v>
      </c>
      <c r="N369" t="s">
        <v>3365</v>
      </c>
      <c r="O369" t="s">
        <v>3366</v>
      </c>
      <c r="P369" t="s">
        <v>3382</v>
      </c>
    </row>
    <row r="370" spans="1:16" x14ac:dyDescent="0.3">
      <c r="A370" t="s">
        <v>920</v>
      </c>
      <c r="B370" t="s">
        <v>26</v>
      </c>
      <c r="C370" t="s">
        <v>911</v>
      </c>
      <c r="F370" t="s">
        <v>3361</v>
      </c>
      <c r="G370" t="s">
        <v>2746</v>
      </c>
      <c r="H370" t="s">
        <v>913</v>
      </c>
      <c r="I370" t="s">
        <v>26</v>
      </c>
      <c r="J370" t="s">
        <v>3369</v>
      </c>
      <c r="K370" t="s">
        <v>605</v>
      </c>
      <c r="L370" t="s">
        <v>3375</v>
      </c>
      <c r="M370" t="s">
        <v>3364</v>
      </c>
      <c r="N370" t="s">
        <v>3365</v>
      </c>
      <c r="O370" t="s">
        <v>3366</v>
      </c>
      <c r="P370" t="s">
        <v>3382</v>
      </c>
    </row>
    <row r="371" spans="1:16" x14ac:dyDescent="0.3">
      <c r="A371" t="s">
        <v>921</v>
      </c>
      <c r="B371" t="s">
        <v>26</v>
      </c>
      <c r="C371" t="s">
        <v>911</v>
      </c>
      <c r="F371" t="s">
        <v>3361</v>
      </c>
      <c r="G371" t="s">
        <v>2746</v>
      </c>
      <c r="H371" t="s">
        <v>913</v>
      </c>
      <c r="I371" t="s">
        <v>26</v>
      </c>
      <c r="J371" t="s">
        <v>3369</v>
      </c>
      <c r="K371" t="s">
        <v>605</v>
      </c>
      <c r="L371" t="s">
        <v>3375</v>
      </c>
      <c r="M371" t="s">
        <v>3364</v>
      </c>
      <c r="N371" t="s">
        <v>3365</v>
      </c>
      <c r="O371" t="s">
        <v>3366</v>
      </c>
      <c r="P371" t="s">
        <v>3382</v>
      </c>
    </row>
    <row r="372" spans="1:16" x14ac:dyDescent="0.3">
      <c r="A372" t="s">
        <v>923</v>
      </c>
      <c r="B372" t="s">
        <v>26</v>
      </c>
      <c r="C372" t="s">
        <v>911</v>
      </c>
      <c r="F372" t="s">
        <v>3361</v>
      </c>
      <c r="G372" t="s">
        <v>2746</v>
      </c>
      <c r="H372" t="s">
        <v>922</v>
      </c>
      <c r="I372" t="s">
        <v>26</v>
      </c>
      <c r="J372" t="s">
        <v>3369</v>
      </c>
      <c r="K372" t="s">
        <v>605</v>
      </c>
      <c r="L372" t="s">
        <v>3375</v>
      </c>
      <c r="M372" t="s">
        <v>3364</v>
      </c>
      <c r="N372" t="s">
        <v>3365</v>
      </c>
      <c r="O372" t="s">
        <v>3366</v>
      </c>
      <c r="P372" t="s">
        <v>3382</v>
      </c>
    </row>
    <row r="373" spans="1:16" x14ac:dyDescent="0.3">
      <c r="A373" t="s">
        <v>924</v>
      </c>
      <c r="B373" t="s">
        <v>26</v>
      </c>
      <c r="C373" t="s">
        <v>911</v>
      </c>
      <c r="F373" t="s">
        <v>3361</v>
      </c>
      <c r="G373" t="s">
        <v>2746</v>
      </c>
      <c r="H373" t="s">
        <v>922</v>
      </c>
      <c r="I373" t="s">
        <v>26</v>
      </c>
      <c r="J373" t="s">
        <v>3369</v>
      </c>
      <c r="K373" t="s">
        <v>605</v>
      </c>
      <c r="L373" t="s">
        <v>3375</v>
      </c>
      <c r="M373" t="s">
        <v>3364</v>
      </c>
      <c r="N373" t="s">
        <v>3365</v>
      </c>
      <c r="O373" t="s">
        <v>3366</v>
      </c>
      <c r="P373" t="s">
        <v>3382</v>
      </c>
    </row>
    <row r="374" spans="1:16" x14ac:dyDescent="0.3">
      <c r="A374" t="s">
        <v>925</v>
      </c>
      <c r="B374" t="s">
        <v>26</v>
      </c>
      <c r="C374" t="s">
        <v>911</v>
      </c>
      <c r="F374" t="s">
        <v>3361</v>
      </c>
      <c r="G374" t="s">
        <v>2746</v>
      </c>
      <c r="H374" t="s">
        <v>922</v>
      </c>
      <c r="I374" t="s">
        <v>26</v>
      </c>
      <c r="J374" t="s">
        <v>3362</v>
      </c>
      <c r="K374" t="s">
        <v>605</v>
      </c>
      <c r="L374" t="s">
        <v>3375</v>
      </c>
      <c r="M374" t="s">
        <v>3364</v>
      </c>
      <c r="N374" t="s">
        <v>3365</v>
      </c>
      <c r="O374" t="s">
        <v>3366</v>
      </c>
      <c r="P374" t="s">
        <v>3367</v>
      </c>
    </row>
    <row r="375" spans="1:16" x14ac:dyDescent="0.3">
      <c r="A375" t="s">
        <v>926</v>
      </c>
      <c r="B375" t="s">
        <v>26</v>
      </c>
      <c r="C375" t="s">
        <v>911</v>
      </c>
      <c r="F375" t="s">
        <v>3361</v>
      </c>
      <c r="G375" t="s">
        <v>2746</v>
      </c>
      <c r="H375" t="s">
        <v>922</v>
      </c>
      <c r="I375" t="s">
        <v>26</v>
      </c>
      <c r="J375" t="s">
        <v>3369</v>
      </c>
      <c r="K375" t="s">
        <v>605</v>
      </c>
      <c r="L375" t="s">
        <v>3375</v>
      </c>
      <c r="M375" t="s">
        <v>3364</v>
      </c>
      <c r="N375" t="s">
        <v>3365</v>
      </c>
      <c r="O375" t="s">
        <v>3366</v>
      </c>
      <c r="P375" t="s">
        <v>3382</v>
      </c>
    </row>
    <row r="376" spans="1:16" x14ac:dyDescent="0.3">
      <c r="A376" t="s">
        <v>927</v>
      </c>
      <c r="B376" t="s">
        <v>26</v>
      </c>
      <c r="C376" t="s">
        <v>911</v>
      </c>
      <c r="F376" t="s">
        <v>3361</v>
      </c>
      <c r="G376" t="s">
        <v>2746</v>
      </c>
      <c r="H376" t="s">
        <v>922</v>
      </c>
      <c r="I376" t="s">
        <v>26</v>
      </c>
      <c r="J376" t="s">
        <v>3369</v>
      </c>
      <c r="K376" t="s">
        <v>605</v>
      </c>
      <c r="L376" t="s">
        <v>3375</v>
      </c>
      <c r="M376" t="s">
        <v>3364</v>
      </c>
      <c r="N376" t="s">
        <v>3365</v>
      </c>
      <c r="O376" t="s">
        <v>3366</v>
      </c>
      <c r="P376" t="s">
        <v>3382</v>
      </c>
    </row>
    <row r="377" spans="1:16" x14ac:dyDescent="0.3">
      <c r="A377" t="s">
        <v>912</v>
      </c>
      <c r="B377" t="s">
        <v>26</v>
      </c>
      <c r="C377" t="s">
        <v>928</v>
      </c>
      <c r="F377" t="s">
        <v>3361</v>
      </c>
      <c r="G377" t="s">
        <v>2746</v>
      </c>
      <c r="H377" t="s">
        <v>709</v>
      </c>
      <c r="I377" t="s">
        <v>26</v>
      </c>
      <c r="J377" t="s">
        <v>3369</v>
      </c>
      <c r="K377" t="s">
        <v>605</v>
      </c>
      <c r="L377" t="s">
        <v>3375</v>
      </c>
      <c r="M377" t="s">
        <v>3364</v>
      </c>
      <c r="N377" t="s">
        <v>3365</v>
      </c>
      <c r="O377" t="s">
        <v>3366</v>
      </c>
      <c r="P377" t="s">
        <v>3382</v>
      </c>
    </row>
    <row r="378" spans="1:16" x14ac:dyDescent="0.3">
      <c r="A378" t="s">
        <v>929</v>
      </c>
      <c r="B378" t="s">
        <v>26</v>
      </c>
      <c r="C378" t="s">
        <v>928</v>
      </c>
      <c r="F378" t="s">
        <v>3361</v>
      </c>
      <c r="G378" t="s">
        <v>2746</v>
      </c>
      <c r="H378" t="s">
        <v>913</v>
      </c>
      <c r="I378" t="s">
        <v>26</v>
      </c>
      <c r="J378" t="s">
        <v>3369</v>
      </c>
      <c r="K378" t="s">
        <v>605</v>
      </c>
      <c r="L378" t="s">
        <v>3375</v>
      </c>
      <c r="M378" t="s">
        <v>3364</v>
      </c>
      <c r="N378" t="s">
        <v>3365</v>
      </c>
      <c r="O378" t="s">
        <v>3366</v>
      </c>
      <c r="P378" t="s">
        <v>3382</v>
      </c>
    </row>
    <row r="379" spans="1:16" x14ac:dyDescent="0.3">
      <c r="A379" t="s">
        <v>930</v>
      </c>
      <c r="B379" t="s">
        <v>26</v>
      </c>
      <c r="C379" t="s">
        <v>928</v>
      </c>
      <c r="F379" t="s">
        <v>3361</v>
      </c>
      <c r="G379" t="s">
        <v>2746</v>
      </c>
      <c r="H379" t="s">
        <v>913</v>
      </c>
      <c r="I379" t="s">
        <v>26</v>
      </c>
      <c r="J379" t="s">
        <v>3369</v>
      </c>
      <c r="K379" t="s">
        <v>605</v>
      </c>
      <c r="L379" t="s">
        <v>3375</v>
      </c>
      <c r="M379" t="s">
        <v>3364</v>
      </c>
      <c r="N379" t="s">
        <v>3365</v>
      </c>
      <c r="O379" t="s">
        <v>3366</v>
      </c>
      <c r="P379" t="s">
        <v>3382</v>
      </c>
    </row>
    <row r="380" spans="1:16" x14ac:dyDescent="0.3">
      <c r="A380" t="s">
        <v>931</v>
      </c>
      <c r="B380" t="s">
        <v>26</v>
      </c>
      <c r="C380" t="s">
        <v>928</v>
      </c>
      <c r="F380" t="s">
        <v>3361</v>
      </c>
      <c r="G380" t="s">
        <v>2746</v>
      </c>
      <c r="H380" t="s">
        <v>913</v>
      </c>
      <c r="I380" t="s">
        <v>26</v>
      </c>
      <c r="J380" t="s">
        <v>3369</v>
      </c>
      <c r="K380" t="s">
        <v>605</v>
      </c>
      <c r="L380" t="s">
        <v>3375</v>
      </c>
      <c r="M380" t="s">
        <v>3364</v>
      </c>
      <c r="N380" t="s">
        <v>3365</v>
      </c>
      <c r="O380" t="s">
        <v>3366</v>
      </c>
      <c r="P380" t="s">
        <v>3382</v>
      </c>
    </row>
    <row r="381" spans="1:16" x14ac:dyDescent="0.3">
      <c r="A381" t="s">
        <v>932</v>
      </c>
      <c r="B381" t="s">
        <v>26</v>
      </c>
      <c r="C381" t="s">
        <v>928</v>
      </c>
      <c r="F381" t="s">
        <v>3361</v>
      </c>
      <c r="G381" t="s">
        <v>2746</v>
      </c>
      <c r="H381" t="s">
        <v>913</v>
      </c>
      <c r="I381" t="s">
        <v>26</v>
      </c>
      <c r="J381" t="s">
        <v>3369</v>
      </c>
      <c r="K381" t="s">
        <v>605</v>
      </c>
      <c r="L381" t="s">
        <v>3375</v>
      </c>
      <c r="M381" t="s">
        <v>3364</v>
      </c>
      <c r="N381" t="s">
        <v>3365</v>
      </c>
      <c r="O381" t="s">
        <v>3366</v>
      </c>
      <c r="P381" t="s">
        <v>3382</v>
      </c>
    </row>
    <row r="382" spans="1:16" x14ac:dyDescent="0.3">
      <c r="A382" t="s">
        <v>933</v>
      </c>
      <c r="B382" t="s">
        <v>26</v>
      </c>
      <c r="C382" t="s">
        <v>928</v>
      </c>
      <c r="F382" t="s">
        <v>3361</v>
      </c>
      <c r="G382" t="s">
        <v>2746</v>
      </c>
      <c r="H382" t="s">
        <v>913</v>
      </c>
      <c r="I382" t="s">
        <v>26</v>
      </c>
      <c r="J382" t="s">
        <v>3369</v>
      </c>
      <c r="K382" t="s">
        <v>605</v>
      </c>
      <c r="L382" t="s">
        <v>3375</v>
      </c>
      <c r="M382" t="s">
        <v>3364</v>
      </c>
      <c r="N382" t="s">
        <v>3365</v>
      </c>
      <c r="O382" t="s">
        <v>3366</v>
      </c>
      <c r="P382" t="s">
        <v>3382</v>
      </c>
    </row>
    <row r="383" spans="1:16" x14ac:dyDescent="0.3">
      <c r="A383" t="s">
        <v>934</v>
      </c>
      <c r="B383" t="s">
        <v>26</v>
      </c>
      <c r="C383" t="s">
        <v>928</v>
      </c>
      <c r="F383" t="s">
        <v>3361</v>
      </c>
      <c r="G383" t="s">
        <v>2746</v>
      </c>
      <c r="H383" t="s">
        <v>913</v>
      </c>
      <c r="I383" t="s">
        <v>26</v>
      </c>
      <c r="J383" t="s">
        <v>3369</v>
      </c>
      <c r="K383" t="s">
        <v>605</v>
      </c>
      <c r="L383" t="s">
        <v>3375</v>
      </c>
      <c r="M383" t="s">
        <v>3364</v>
      </c>
      <c r="N383" t="s">
        <v>3365</v>
      </c>
      <c r="O383" t="s">
        <v>3366</v>
      </c>
      <c r="P383" t="s">
        <v>3382</v>
      </c>
    </row>
    <row r="384" spans="1:16" x14ac:dyDescent="0.3">
      <c r="A384" t="s">
        <v>935</v>
      </c>
      <c r="B384" t="s">
        <v>26</v>
      </c>
      <c r="C384" t="s">
        <v>928</v>
      </c>
      <c r="F384" t="s">
        <v>3361</v>
      </c>
      <c r="G384" t="s">
        <v>2746</v>
      </c>
      <c r="H384" t="s">
        <v>913</v>
      </c>
      <c r="I384" t="s">
        <v>26</v>
      </c>
      <c r="J384" t="s">
        <v>3362</v>
      </c>
      <c r="K384" t="s">
        <v>605</v>
      </c>
      <c r="L384" t="s">
        <v>3375</v>
      </c>
      <c r="M384" t="s">
        <v>3364</v>
      </c>
      <c r="N384" t="s">
        <v>3365</v>
      </c>
      <c r="O384" t="s">
        <v>3366</v>
      </c>
      <c r="P384" t="s">
        <v>3367</v>
      </c>
    </row>
    <row r="385" spans="1:16" x14ac:dyDescent="0.3">
      <c r="A385" t="s">
        <v>936</v>
      </c>
      <c r="B385" t="s">
        <v>26</v>
      </c>
      <c r="C385" t="s">
        <v>928</v>
      </c>
      <c r="F385" t="s">
        <v>3361</v>
      </c>
      <c r="G385" t="s">
        <v>2746</v>
      </c>
      <c r="H385" t="s">
        <v>922</v>
      </c>
      <c r="I385" t="s">
        <v>26</v>
      </c>
      <c r="J385" t="s">
        <v>3369</v>
      </c>
      <c r="K385" t="s">
        <v>605</v>
      </c>
      <c r="L385" t="s">
        <v>3375</v>
      </c>
      <c r="M385" t="s">
        <v>3364</v>
      </c>
      <c r="N385" t="s">
        <v>3365</v>
      </c>
      <c r="O385" t="s">
        <v>3366</v>
      </c>
      <c r="P385" t="s">
        <v>3382</v>
      </c>
    </row>
    <row r="386" spans="1:16" x14ac:dyDescent="0.3">
      <c r="A386" t="s">
        <v>937</v>
      </c>
      <c r="B386" t="s">
        <v>26</v>
      </c>
      <c r="C386" t="s">
        <v>928</v>
      </c>
      <c r="F386" t="s">
        <v>3361</v>
      </c>
      <c r="G386" t="s">
        <v>2746</v>
      </c>
      <c r="H386" t="s">
        <v>922</v>
      </c>
      <c r="I386" t="s">
        <v>26</v>
      </c>
      <c r="J386" t="s">
        <v>3369</v>
      </c>
      <c r="K386" t="s">
        <v>605</v>
      </c>
      <c r="L386" t="s">
        <v>3375</v>
      </c>
      <c r="M386" t="s">
        <v>3364</v>
      </c>
      <c r="N386" t="s">
        <v>3365</v>
      </c>
      <c r="O386" t="s">
        <v>3366</v>
      </c>
      <c r="P386" t="s">
        <v>3382</v>
      </c>
    </row>
    <row r="387" spans="1:16" x14ac:dyDescent="0.3">
      <c r="A387" t="s">
        <v>938</v>
      </c>
      <c r="B387" t="s">
        <v>26</v>
      </c>
      <c r="C387" t="s">
        <v>928</v>
      </c>
      <c r="F387" t="s">
        <v>3361</v>
      </c>
      <c r="G387" t="s">
        <v>2746</v>
      </c>
      <c r="H387" t="s">
        <v>922</v>
      </c>
      <c r="I387" t="s">
        <v>26</v>
      </c>
      <c r="J387" t="s">
        <v>3369</v>
      </c>
      <c r="K387" t="s">
        <v>605</v>
      </c>
      <c r="L387" t="s">
        <v>3375</v>
      </c>
      <c r="M387" t="s">
        <v>3364</v>
      </c>
      <c r="N387" t="s">
        <v>3365</v>
      </c>
      <c r="O387" t="s">
        <v>3366</v>
      </c>
      <c r="P387" t="s">
        <v>3382</v>
      </c>
    </row>
    <row r="388" spans="1:16" x14ac:dyDescent="0.3">
      <c r="A388" t="s">
        <v>939</v>
      </c>
      <c r="B388" t="s">
        <v>26</v>
      </c>
      <c r="C388" t="s">
        <v>928</v>
      </c>
      <c r="F388" t="s">
        <v>3361</v>
      </c>
      <c r="G388" t="s">
        <v>2746</v>
      </c>
      <c r="H388" t="s">
        <v>922</v>
      </c>
      <c r="I388" t="s">
        <v>26</v>
      </c>
      <c r="J388" t="s">
        <v>3369</v>
      </c>
      <c r="K388" t="s">
        <v>605</v>
      </c>
      <c r="L388" t="s">
        <v>3375</v>
      </c>
      <c r="M388" t="s">
        <v>3364</v>
      </c>
      <c r="N388" t="s">
        <v>3365</v>
      </c>
      <c r="O388" t="s">
        <v>3366</v>
      </c>
      <c r="P388" t="s">
        <v>3382</v>
      </c>
    </row>
    <row r="389" spans="1:16" x14ac:dyDescent="0.3">
      <c r="A389" t="s">
        <v>940</v>
      </c>
      <c r="B389" t="s">
        <v>26</v>
      </c>
      <c r="C389" t="s">
        <v>928</v>
      </c>
      <c r="F389" t="s">
        <v>3361</v>
      </c>
      <c r="G389" t="s">
        <v>2746</v>
      </c>
      <c r="H389" t="s">
        <v>922</v>
      </c>
      <c r="I389" t="s">
        <v>26</v>
      </c>
      <c r="J389" t="s">
        <v>3369</v>
      </c>
      <c r="K389" t="s">
        <v>605</v>
      </c>
      <c r="L389" t="s">
        <v>3375</v>
      </c>
      <c r="M389" t="s">
        <v>3364</v>
      </c>
      <c r="N389" t="s">
        <v>3365</v>
      </c>
      <c r="O389" t="s">
        <v>3366</v>
      </c>
      <c r="P389" t="s">
        <v>3382</v>
      </c>
    </row>
    <row r="390" spans="1:16" x14ac:dyDescent="0.3">
      <c r="A390" t="s">
        <v>941</v>
      </c>
      <c r="B390" t="s">
        <v>26</v>
      </c>
      <c r="C390" t="s">
        <v>928</v>
      </c>
      <c r="F390" t="s">
        <v>3361</v>
      </c>
      <c r="G390" t="s">
        <v>2746</v>
      </c>
      <c r="H390" t="s">
        <v>922</v>
      </c>
      <c r="I390" t="s">
        <v>26</v>
      </c>
      <c r="J390" t="s">
        <v>3369</v>
      </c>
      <c r="K390" t="s">
        <v>605</v>
      </c>
      <c r="L390" t="s">
        <v>3375</v>
      </c>
      <c r="M390" t="s">
        <v>3364</v>
      </c>
      <c r="N390" t="s">
        <v>3365</v>
      </c>
      <c r="O390" t="s">
        <v>3366</v>
      </c>
      <c r="P390" t="s">
        <v>3382</v>
      </c>
    </row>
    <row r="391" spans="1:16" x14ac:dyDescent="0.3">
      <c r="A391" t="s">
        <v>942</v>
      </c>
      <c r="B391" t="s">
        <v>26</v>
      </c>
      <c r="C391" t="s">
        <v>928</v>
      </c>
      <c r="F391" t="s">
        <v>3361</v>
      </c>
      <c r="G391" t="s">
        <v>2746</v>
      </c>
      <c r="H391" t="s">
        <v>922</v>
      </c>
      <c r="I391" t="s">
        <v>26</v>
      </c>
      <c r="J391" t="s">
        <v>3369</v>
      </c>
      <c r="K391" t="s">
        <v>605</v>
      </c>
      <c r="L391" t="s">
        <v>3375</v>
      </c>
      <c r="M391" t="s">
        <v>3364</v>
      </c>
      <c r="N391" t="s">
        <v>3365</v>
      </c>
      <c r="O391" t="s">
        <v>3366</v>
      </c>
      <c r="P391" t="s">
        <v>3382</v>
      </c>
    </row>
    <row r="392" spans="1:16" x14ac:dyDescent="0.3">
      <c r="A392" t="s">
        <v>912</v>
      </c>
      <c r="B392" t="s">
        <v>26</v>
      </c>
      <c r="C392" t="s">
        <v>943</v>
      </c>
      <c r="F392" t="s">
        <v>3361</v>
      </c>
      <c r="G392" t="s">
        <v>2746</v>
      </c>
      <c r="H392" t="s">
        <v>709</v>
      </c>
      <c r="I392" t="s">
        <v>26</v>
      </c>
      <c r="J392" t="s">
        <v>3369</v>
      </c>
      <c r="K392" t="s">
        <v>605</v>
      </c>
      <c r="L392" t="s">
        <v>3375</v>
      </c>
      <c r="M392" t="s">
        <v>3364</v>
      </c>
      <c r="N392" t="s">
        <v>3365</v>
      </c>
      <c r="O392" t="s">
        <v>3366</v>
      </c>
      <c r="P392" t="s">
        <v>3382</v>
      </c>
    </row>
    <row r="393" spans="1:16" x14ac:dyDescent="0.3">
      <c r="A393" t="s">
        <v>944</v>
      </c>
      <c r="B393" t="s">
        <v>26</v>
      </c>
      <c r="C393" t="s">
        <v>943</v>
      </c>
      <c r="F393" t="s">
        <v>3361</v>
      </c>
      <c r="G393" t="s">
        <v>2746</v>
      </c>
      <c r="H393" t="s">
        <v>913</v>
      </c>
      <c r="I393" t="s">
        <v>26</v>
      </c>
      <c r="J393" t="s">
        <v>3369</v>
      </c>
      <c r="K393" t="s">
        <v>605</v>
      </c>
      <c r="L393" t="s">
        <v>3375</v>
      </c>
      <c r="M393" t="s">
        <v>3364</v>
      </c>
      <c r="N393" t="s">
        <v>3365</v>
      </c>
      <c r="O393" t="s">
        <v>3366</v>
      </c>
      <c r="P393" t="s">
        <v>3382</v>
      </c>
    </row>
    <row r="394" spans="1:16" x14ac:dyDescent="0.3">
      <c r="A394" t="s">
        <v>945</v>
      </c>
      <c r="B394" t="s">
        <v>26</v>
      </c>
      <c r="C394" t="s">
        <v>943</v>
      </c>
      <c r="F394" t="s">
        <v>3361</v>
      </c>
      <c r="G394" t="s">
        <v>2746</v>
      </c>
      <c r="H394" t="s">
        <v>913</v>
      </c>
      <c r="I394" t="s">
        <v>26</v>
      </c>
      <c r="J394" t="s">
        <v>3362</v>
      </c>
      <c r="K394" t="s">
        <v>605</v>
      </c>
      <c r="L394" t="s">
        <v>3375</v>
      </c>
      <c r="M394" t="s">
        <v>3364</v>
      </c>
      <c r="N394" t="s">
        <v>3365</v>
      </c>
      <c r="O394" t="s">
        <v>3366</v>
      </c>
      <c r="P394" t="s">
        <v>3367</v>
      </c>
    </row>
    <row r="395" spans="1:16" x14ac:dyDescent="0.3">
      <c r="A395" t="s">
        <v>946</v>
      </c>
      <c r="B395" t="s">
        <v>26</v>
      </c>
      <c r="C395" t="s">
        <v>943</v>
      </c>
      <c r="F395" t="s">
        <v>3361</v>
      </c>
      <c r="G395" t="s">
        <v>2746</v>
      </c>
      <c r="H395" t="s">
        <v>913</v>
      </c>
      <c r="I395" t="s">
        <v>26</v>
      </c>
      <c r="J395" t="s">
        <v>3369</v>
      </c>
      <c r="K395" t="s">
        <v>605</v>
      </c>
      <c r="L395" t="s">
        <v>3375</v>
      </c>
      <c r="M395" t="s">
        <v>3364</v>
      </c>
      <c r="N395" t="s">
        <v>3365</v>
      </c>
      <c r="O395" t="s">
        <v>3366</v>
      </c>
      <c r="P395" t="s">
        <v>3382</v>
      </c>
    </row>
    <row r="396" spans="1:16" x14ac:dyDescent="0.3">
      <c r="A396" t="s">
        <v>947</v>
      </c>
      <c r="B396" t="s">
        <v>26</v>
      </c>
      <c r="C396" t="s">
        <v>943</v>
      </c>
      <c r="F396" t="s">
        <v>3361</v>
      </c>
      <c r="G396" t="s">
        <v>2746</v>
      </c>
      <c r="H396" t="s">
        <v>913</v>
      </c>
      <c r="I396" t="s">
        <v>26</v>
      </c>
      <c r="J396" t="s">
        <v>3369</v>
      </c>
      <c r="K396" t="s">
        <v>605</v>
      </c>
      <c r="L396" t="s">
        <v>3375</v>
      </c>
      <c r="M396" t="s">
        <v>3364</v>
      </c>
      <c r="N396" t="s">
        <v>3365</v>
      </c>
      <c r="O396" t="s">
        <v>3366</v>
      </c>
      <c r="P396" t="s">
        <v>3382</v>
      </c>
    </row>
    <row r="397" spans="1:16" x14ac:dyDescent="0.3">
      <c r="A397" t="s">
        <v>948</v>
      </c>
      <c r="B397" t="s">
        <v>26</v>
      </c>
      <c r="C397" t="s">
        <v>943</v>
      </c>
      <c r="F397" t="s">
        <v>3361</v>
      </c>
      <c r="G397" t="s">
        <v>2746</v>
      </c>
      <c r="H397" t="s">
        <v>913</v>
      </c>
      <c r="I397" t="s">
        <v>26</v>
      </c>
      <c r="J397" t="s">
        <v>3369</v>
      </c>
      <c r="K397" t="s">
        <v>605</v>
      </c>
      <c r="L397" t="s">
        <v>3375</v>
      </c>
      <c r="M397" t="s">
        <v>3364</v>
      </c>
      <c r="N397" t="s">
        <v>3365</v>
      </c>
      <c r="O397" t="s">
        <v>3366</v>
      </c>
      <c r="P397" t="s">
        <v>3382</v>
      </c>
    </row>
    <row r="398" spans="1:16" x14ac:dyDescent="0.3">
      <c r="A398" t="s">
        <v>949</v>
      </c>
      <c r="B398" t="s">
        <v>26</v>
      </c>
      <c r="C398" t="s">
        <v>943</v>
      </c>
      <c r="F398" t="s">
        <v>3361</v>
      </c>
      <c r="G398" t="s">
        <v>2746</v>
      </c>
      <c r="H398" t="s">
        <v>913</v>
      </c>
      <c r="I398" t="s">
        <v>26</v>
      </c>
      <c r="J398" t="s">
        <v>3362</v>
      </c>
      <c r="K398" t="s">
        <v>605</v>
      </c>
      <c r="L398" t="s">
        <v>3375</v>
      </c>
      <c r="M398" t="s">
        <v>3364</v>
      </c>
      <c r="N398" t="s">
        <v>3365</v>
      </c>
      <c r="O398" t="s">
        <v>3366</v>
      </c>
      <c r="P398" t="s">
        <v>3367</v>
      </c>
    </row>
    <row r="399" spans="1:16" x14ac:dyDescent="0.3">
      <c r="A399" t="s">
        <v>950</v>
      </c>
      <c r="B399" t="s">
        <v>26</v>
      </c>
      <c r="C399" t="s">
        <v>943</v>
      </c>
      <c r="F399" t="s">
        <v>3361</v>
      </c>
      <c r="G399" t="s">
        <v>2746</v>
      </c>
      <c r="H399" t="s">
        <v>922</v>
      </c>
      <c r="I399" t="s">
        <v>26</v>
      </c>
      <c r="J399" t="s">
        <v>3369</v>
      </c>
      <c r="K399" t="s">
        <v>605</v>
      </c>
      <c r="L399" t="s">
        <v>3375</v>
      </c>
      <c r="M399" t="s">
        <v>3364</v>
      </c>
      <c r="N399" t="s">
        <v>3365</v>
      </c>
      <c r="O399" t="s">
        <v>3366</v>
      </c>
      <c r="P399" t="s">
        <v>3382</v>
      </c>
    </row>
    <row r="400" spans="1:16" x14ac:dyDescent="0.3">
      <c r="A400" t="s">
        <v>951</v>
      </c>
      <c r="B400" t="s">
        <v>26</v>
      </c>
      <c r="C400" t="s">
        <v>943</v>
      </c>
      <c r="F400" t="s">
        <v>3361</v>
      </c>
      <c r="G400" t="s">
        <v>2746</v>
      </c>
      <c r="H400" t="s">
        <v>922</v>
      </c>
      <c r="I400" t="s">
        <v>26</v>
      </c>
      <c r="J400" t="s">
        <v>3369</v>
      </c>
      <c r="K400" t="s">
        <v>605</v>
      </c>
      <c r="L400" t="s">
        <v>3375</v>
      </c>
      <c r="M400" t="s">
        <v>3364</v>
      </c>
      <c r="N400" t="s">
        <v>3365</v>
      </c>
      <c r="O400" t="s">
        <v>3366</v>
      </c>
      <c r="P400" t="s">
        <v>3382</v>
      </c>
    </row>
    <row r="401" spans="1:16" x14ac:dyDescent="0.3">
      <c r="A401" t="s">
        <v>952</v>
      </c>
      <c r="B401" t="s">
        <v>26</v>
      </c>
      <c r="C401" t="s">
        <v>943</v>
      </c>
      <c r="F401" t="s">
        <v>3361</v>
      </c>
      <c r="G401" t="s">
        <v>2746</v>
      </c>
      <c r="H401" t="s">
        <v>922</v>
      </c>
      <c r="I401" t="s">
        <v>26</v>
      </c>
      <c r="J401" t="s">
        <v>3369</v>
      </c>
      <c r="K401" t="s">
        <v>605</v>
      </c>
      <c r="L401" t="s">
        <v>3375</v>
      </c>
      <c r="M401" t="s">
        <v>3364</v>
      </c>
      <c r="N401" t="s">
        <v>3365</v>
      </c>
      <c r="O401" t="s">
        <v>3366</v>
      </c>
      <c r="P401" t="s">
        <v>3382</v>
      </c>
    </row>
    <row r="402" spans="1:16" x14ac:dyDescent="0.3">
      <c r="A402" t="s">
        <v>953</v>
      </c>
      <c r="B402" t="s">
        <v>26</v>
      </c>
      <c r="C402" t="s">
        <v>943</v>
      </c>
      <c r="F402" t="s">
        <v>3361</v>
      </c>
      <c r="G402" t="s">
        <v>2746</v>
      </c>
      <c r="H402" t="s">
        <v>922</v>
      </c>
      <c r="I402" t="s">
        <v>26</v>
      </c>
      <c r="J402" t="s">
        <v>3369</v>
      </c>
      <c r="K402" t="s">
        <v>605</v>
      </c>
      <c r="L402" t="s">
        <v>3375</v>
      </c>
      <c r="M402" t="s">
        <v>3364</v>
      </c>
      <c r="N402" t="s">
        <v>3365</v>
      </c>
      <c r="O402" t="s">
        <v>3366</v>
      </c>
      <c r="P402" t="s">
        <v>3382</v>
      </c>
    </row>
    <row r="403" spans="1:16" x14ac:dyDescent="0.3">
      <c r="A403" t="s">
        <v>912</v>
      </c>
      <c r="B403" t="s">
        <v>26</v>
      </c>
      <c r="C403" t="s">
        <v>954</v>
      </c>
      <c r="F403" t="s">
        <v>3361</v>
      </c>
      <c r="G403" t="s">
        <v>2746</v>
      </c>
      <c r="H403" t="s">
        <v>709</v>
      </c>
      <c r="I403" t="s">
        <v>26</v>
      </c>
      <c r="J403" t="s">
        <v>3369</v>
      </c>
      <c r="K403" t="s">
        <v>605</v>
      </c>
      <c r="L403" t="s">
        <v>3375</v>
      </c>
      <c r="M403" t="s">
        <v>3364</v>
      </c>
      <c r="N403" t="s">
        <v>3365</v>
      </c>
      <c r="O403" t="s">
        <v>3366</v>
      </c>
      <c r="P403" t="s">
        <v>3382</v>
      </c>
    </row>
    <row r="404" spans="1:16" x14ac:dyDescent="0.3">
      <c r="A404" t="s">
        <v>955</v>
      </c>
      <c r="B404" t="s">
        <v>26</v>
      </c>
      <c r="C404" t="s">
        <v>954</v>
      </c>
      <c r="F404" t="s">
        <v>3361</v>
      </c>
      <c r="G404" t="s">
        <v>2746</v>
      </c>
      <c r="H404" t="s">
        <v>913</v>
      </c>
      <c r="I404" t="s">
        <v>26</v>
      </c>
      <c r="J404" t="s">
        <v>3369</v>
      </c>
      <c r="K404" t="s">
        <v>605</v>
      </c>
      <c r="L404" t="s">
        <v>3375</v>
      </c>
      <c r="M404" t="s">
        <v>3364</v>
      </c>
      <c r="N404" t="s">
        <v>3365</v>
      </c>
      <c r="O404" t="s">
        <v>3366</v>
      </c>
      <c r="P404" t="s">
        <v>3382</v>
      </c>
    </row>
    <row r="405" spans="1:16" x14ac:dyDescent="0.3">
      <c r="A405" t="s">
        <v>956</v>
      </c>
      <c r="B405" t="s">
        <v>26</v>
      </c>
      <c r="C405" t="s">
        <v>954</v>
      </c>
      <c r="F405" t="s">
        <v>3361</v>
      </c>
      <c r="G405" t="s">
        <v>2746</v>
      </c>
      <c r="H405" t="s">
        <v>913</v>
      </c>
      <c r="I405" t="s">
        <v>26</v>
      </c>
      <c r="J405" t="s">
        <v>3369</v>
      </c>
      <c r="K405" t="s">
        <v>605</v>
      </c>
      <c r="L405" t="s">
        <v>3375</v>
      </c>
      <c r="M405" t="s">
        <v>3364</v>
      </c>
      <c r="N405" t="s">
        <v>3365</v>
      </c>
      <c r="O405" t="s">
        <v>3366</v>
      </c>
      <c r="P405" t="s">
        <v>3382</v>
      </c>
    </row>
    <row r="406" spans="1:16" x14ac:dyDescent="0.3">
      <c r="A406" t="s">
        <v>957</v>
      </c>
      <c r="B406" t="s">
        <v>26</v>
      </c>
      <c r="C406" t="s">
        <v>954</v>
      </c>
      <c r="F406" t="s">
        <v>3361</v>
      </c>
      <c r="G406" t="s">
        <v>2746</v>
      </c>
      <c r="H406" t="s">
        <v>913</v>
      </c>
      <c r="I406" t="s">
        <v>26</v>
      </c>
      <c r="J406" t="s">
        <v>3369</v>
      </c>
      <c r="K406" t="s">
        <v>605</v>
      </c>
      <c r="L406" t="s">
        <v>3375</v>
      </c>
      <c r="M406" t="s">
        <v>3364</v>
      </c>
      <c r="N406" t="s">
        <v>3365</v>
      </c>
      <c r="O406" t="s">
        <v>3366</v>
      </c>
      <c r="P406" t="s">
        <v>3382</v>
      </c>
    </row>
    <row r="407" spans="1:16" x14ac:dyDescent="0.3">
      <c r="A407" t="s">
        <v>958</v>
      </c>
      <c r="B407" t="s">
        <v>26</v>
      </c>
      <c r="C407" t="s">
        <v>954</v>
      </c>
      <c r="F407" t="s">
        <v>3361</v>
      </c>
      <c r="G407" t="s">
        <v>2746</v>
      </c>
      <c r="H407" t="s">
        <v>913</v>
      </c>
      <c r="I407" t="s">
        <v>26</v>
      </c>
      <c r="J407" t="s">
        <v>3369</v>
      </c>
      <c r="K407" t="s">
        <v>605</v>
      </c>
      <c r="L407" t="s">
        <v>3375</v>
      </c>
      <c r="M407" t="s">
        <v>3364</v>
      </c>
      <c r="N407" t="s">
        <v>3365</v>
      </c>
      <c r="O407" t="s">
        <v>3366</v>
      </c>
      <c r="P407" t="s">
        <v>3382</v>
      </c>
    </row>
    <row r="408" spans="1:16" x14ac:dyDescent="0.3">
      <c r="A408" t="s">
        <v>959</v>
      </c>
      <c r="B408" t="s">
        <v>26</v>
      </c>
      <c r="C408" t="s">
        <v>954</v>
      </c>
      <c r="F408" t="s">
        <v>3361</v>
      </c>
      <c r="G408" t="s">
        <v>2746</v>
      </c>
      <c r="H408" t="s">
        <v>913</v>
      </c>
      <c r="I408" t="s">
        <v>26</v>
      </c>
      <c r="J408" t="s">
        <v>3369</v>
      </c>
      <c r="K408" t="s">
        <v>605</v>
      </c>
      <c r="L408" t="s">
        <v>3375</v>
      </c>
      <c r="M408" t="s">
        <v>3364</v>
      </c>
      <c r="N408" t="s">
        <v>3365</v>
      </c>
      <c r="O408" t="s">
        <v>3366</v>
      </c>
      <c r="P408" t="s">
        <v>3382</v>
      </c>
    </row>
    <row r="409" spans="1:16" x14ac:dyDescent="0.3">
      <c r="A409" t="s">
        <v>960</v>
      </c>
      <c r="B409" t="s">
        <v>26</v>
      </c>
      <c r="C409" t="s">
        <v>954</v>
      </c>
      <c r="F409" t="s">
        <v>3361</v>
      </c>
      <c r="G409" t="s">
        <v>2746</v>
      </c>
      <c r="H409" t="s">
        <v>913</v>
      </c>
      <c r="I409" t="s">
        <v>26</v>
      </c>
      <c r="J409" t="s">
        <v>3369</v>
      </c>
      <c r="K409" t="s">
        <v>605</v>
      </c>
      <c r="L409" t="s">
        <v>3375</v>
      </c>
      <c r="M409" t="s">
        <v>3364</v>
      </c>
      <c r="N409" t="s">
        <v>3365</v>
      </c>
      <c r="O409" t="s">
        <v>3366</v>
      </c>
      <c r="P409" t="s">
        <v>3382</v>
      </c>
    </row>
    <row r="410" spans="1:16" x14ac:dyDescent="0.3">
      <c r="A410" t="s">
        <v>961</v>
      </c>
      <c r="B410" t="s">
        <v>26</v>
      </c>
      <c r="C410" t="s">
        <v>954</v>
      </c>
      <c r="F410" t="s">
        <v>3361</v>
      </c>
      <c r="G410" t="s">
        <v>2746</v>
      </c>
      <c r="H410" t="s">
        <v>913</v>
      </c>
      <c r="I410" t="s">
        <v>26</v>
      </c>
      <c r="J410" t="s">
        <v>3369</v>
      </c>
      <c r="K410" t="s">
        <v>605</v>
      </c>
      <c r="L410" t="s">
        <v>3375</v>
      </c>
      <c r="M410" t="s">
        <v>3364</v>
      </c>
      <c r="N410" t="s">
        <v>3365</v>
      </c>
      <c r="O410" t="s">
        <v>3366</v>
      </c>
      <c r="P410" t="s">
        <v>3382</v>
      </c>
    </row>
    <row r="411" spans="1:16" x14ac:dyDescent="0.3">
      <c r="A411" t="s">
        <v>962</v>
      </c>
      <c r="B411" t="s">
        <v>26</v>
      </c>
      <c r="C411" t="s">
        <v>954</v>
      </c>
      <c r="F411" t="s">
        <v>3361</v>
      </c>
      <c r="G411" t="s">
        <v>2746</v>
      </c>
      <c r="H411" t="s">
        <v>922</v>
      </c>
      <c r="I411" t="s">
        <v>26</v>
      </c>
      <c r="J411" t="s">
        <v>3369</v>
      </c>
      <c r="K411" t="s">
        <v>605</v>
      </c>
      <c r="L411" t="s">
        <v>3375</v>
      </c>
      <c r="M411" t="s">
        <v>3364</v>
      </c>
      <c r="N411" t="s">
        <v>3365</v>
      </c>
      <c r="O411" t="s">
        <v>3366</v>
      </c>
      <c r="P411" t="s">
        <v>3382</v>
      </c>
    </row>
    <row r="412" spans="1:16" x14ac:dyDescent="0.3">
      <c r="A412" t="s">
        <v>963</v>
      </c>
      <c r="B412" t="s">
        <v>26</v>
      </c>
      <c r="C412" t="s">
        <v>954</v>
      </c>
      <c r="F412" t="s">
        <v>3361</v>
      </c>
      <c r="G412" t="s">
        <v>2746</v>
      </c>
      <c r="H412" t="s">
        <v>922</v>
      </c>
      <c r="I412" t="s">
        <v>26</v>
      </c>
      <c r="J412" t="s">
        <v>3369</v>
      </c>
      <c r="K412" t="s">
        <v>605</v>
      </c>
      <c r="L412" t="s">
        <v>3375</v>
      </c>
      <c r="M412" t="s">
        <v>3364</v>
      </c>
      <c r="N412" t="s">
        <v>3365</v>
      </c>
      <c r="O412" t="s">
        <v>3366</v>
      </c>
      <c r="P412" t="s">
        <v>3382</v>
      </c>
    </row>
    <row r="413" spans="1:16" x14ac:dyDescent="0.3">
      <c r="A413" t="s">
        <v>964</v>
      </c>
      <c r="B413" t="s">
        <v>26</v>
      </c>
      <c r="C413" t="s">
        <v>954</v>
      </c>
      <c r="F413" t="s">
        <v>3361</v>
      </c>
      <c r="G413" t="s">
        <v>2746</v>
      </c>
      <c r="H413" t="s">
        <v>922</v>
      </c>
      <c r="I413" t="s">
        <v>26</v>
      </c>
      <c r="J413" t="s">
        <v>3369</v>
      </c>
      <c r="K413" t="s">
        <v>605</v>
      </c>
      <c r="L413" t="s">
        <v>3375</v>
      </c>
      <c r="M413" t="s">
        <v>3364</v>
      </c>
      <c r="N413" t="s">
        <v>3365</v>
      </c>
      <c r="O413" t="s">
        <v>3366</v>
      </c>
      <c r="P413" t="s">
        <v>3382</v>
      </c>
    </row>
    <row r="414" spans="1:16" x14ac:dyDescent="0.3">
      <c r="A414" t="s">
        <v>965</v>
      </c>
      <c r="B414" t="s">
        <v>26</v>
      </c>
      <c r="C414" t="s">
        <v>954</v>
      </c>
      <c r="F414" t="s">
        <v>3361</v>
      </c>
      <c r="G414" t="s">
        <v>2746</v>
      </c>
      <c r="H414" t="s">
        <v>922</v>
      </c>
      <c r="I414" t="s">
        <v>26</v>
      </c>
      <c r="J414" t="s">
        <v>3369</v>
      </c>
      <c r="K414" t="s">
        <v>605</v>
      </c>
      <c r="L414" t="s">
        <v>3375</v>
      </c>
      <c r="M414" t="s">
        <v>3364</v>
      </c>
      <c r="N414" t="s">
        <v>3365</v>
      </c>
      <c r="O414" t="s">
        <v>3366</v>
      </c>
      <c r="P414" t="s">
        <v>3382</v>
      </c>
    </row>
    <row r="415" spans="1:16" x14ac:dyDescent="0.3">
      <c r="A415" t="s">
        <v>967</v>
      </c>
      <c r="B415" t="s">
        <v>26</v>
      </c>
      <c r="C415" t="s">
        <v>966</v>
      </c>
      <c r="F415" t="s">
        <v>3361</v>
      </c>
      <c r="G415" t="s">
        <v>2746</v>
      </c>
      <c r="H415" t="s">
        <v>709</v>
      </c>
      <c r="I415" t="s">
        <v>26</v>
      </c>
      <c r="J415" t="s">
        <v>3369</v>
      </c>
      <c r="K415" t="s">
        <v>605</v>
      </c>
      <c r="L415" t="s">
        <v>3375</v>
      </c>
      <c r="M415" t="s">
        <v>3364</v>
      </c>
      <c r="N415" t="s">
        <v>3365</v>
      </c>
      <c r="O415" t="s">
        <v>3366</v>
      </c>
      <c r="P415" t="s">
        <v>3382</v>
      </c>
    </row>
    <row r="416" spans="1:16" x14ac:dyDescent="0.3">
      <c r="A416" t="s">
        <v>968</v>
      </c>
      <c r="B416" t="s">
        <v>26</v>
      </c>
      <c r="C416" t="s">
        <v>966</v>
      </c>
      <c r="F416" t="s">
        <v>3361</v>
      </c>
      <c r="G416" t="s">
        <v>2746</v>
      </c>
      <c r="H416" t="s">
        <v>913</v>
      </c>
      <c r="I416" t="s">
        <v>26</v>
      </c>
      <c r="J416" t="s">
        <v>3369</v>
      </c>
      <c r="K416" t="s">
        <v>605</v>
      </c>
      <c r="L416" t="s">
        <v>3375</v>
      </c>
      <c r="M416" t="s">
        <v>3364</v>
      </c>
      <c r="N416" t="s">
        <v>3365</v>
      </c>
      <c r="O416" t="s">
        <v>3366</v>
      </c>
      <c r="P416" t="s">
        <v>3382</v>
      </c>
    </row>
    <row r="417" spans="1:16" x14ac:dyDescent="0.3">
      <c r="A417" t="s">
        <v>969</v>
      </c>
      <c r="B417" t="s">
        <v>26</v>
      </c>
      <c r="C417" t="s">
        <v>966</v>
      </c>
      <c r="F417" t="s">
        <v>3361</v>
      </c>
      <c r="G417" t="s">
        <v>2746</v>
      </c>
      <c r="H417" t="s">
        <v>913</v>
      </c>
      <c r="I417" t="s">
        <v>26</v>
      </c>
      <c r="J417" t="s">
        <v>3369</v>
      </c>
      <c r="K417" t="s">
        <v>605</v>
      </c>
      <c r="L417" t="s">
        <v>3375</v>
      </c>
      <c r="M417" t="s">
        <v>3364</v>
      </c>
      <c r="N417" t="s">
        <v>3365</v>
      </c>
      <c r="O417" t="s">
        <v>3366</v>
      </c>
      <c r="P417" t="s">
        <v>3382</v>
      </c>
    </row>
    <row r="418" spans="1:16" x14ac:dyDescent="0.3">
      <c r="A418" t="s">
        <v>970</v>
      </c>
      <c r="B418" t="s">
        <v>26</v>
      </c>
      <c r="C418" t="s">
        <v>966</v>
      </c>
      <c r="F418" t="s">
        <v>3361</v>
      </c>
      <c r="G418" t="s">
        <v>2746</v>
      </c>
      <c r="H418" t="s">
        <v>913</v>
      </c>
      <c r="I418" t="s">
        <v>26</v>
      </c>
      <c r="J418" t="s">
        <v>3369</v>
      </c>
      <c r="K418" t="s">
        <v>605</v>
      </c>
      <c r="L418" t="s">
        <v>3375</v>
      </c>
      <c r="M418" t="s">
        <v>3364</v>
      </c>
      <c r="N418" t="s">
        <v>3365</v>
      </c>
      <c r="O418" t="s">
        <v>3366</v>
      </c>
      <c r="P418" t="s">
        <v>3382</v>
      </c>
    </row>
    <row r="419" spans="1:16" x14ac:dyDescent="0.3">
      <c r="A419" t="s">
        <v>971</v>
      </c>
      <c r="B419" t="s">
        <v>26</v>
      </c>
      <c r="C419" t="s">
        <v>966</v>
      </c>
      <c r="F419" t="s">
        <v>3361</v>
      </c>
      <c r="G419" t="s">
        <v>2746</v>
      </c>
      <c r="H419" t="s">
        <v>913</v>
      </c>
      <c r="I419" t="s">
        <v>26</v>
      </c>
      <c r="J419" t="s">
        <v>3369</v>
      </c>
      <c r="K419" t="s">
        <v>605</v>
      </c>
      <c r="L419" t="s">
        <v>3375</v>
      </c>
      <c r="M419" t="s">
        <v>3364</v>
      </c>
      <c r="N419" t="s">
        <v>3365</v>
      </c>
      <c r="O419" t="s">
        <v>3366</v>
      </c>
      <c r="P419" t="s">
        <v>3382</v>
      </c>
    </row>
    <row r="420" spans="1:16" x14ac:dyDescent="0.3">
      <c r="A420" t="s">
        <v>972</v>
      </c>
      <c r="B420" t="s">
        <v>26</v>
      </c>
      <c r="C420" t="s">
        <v>966</v>
      </c>
      <c r="F420" t="s">
        <v>3361</v>
      </c>
      <c r="G420" t="s">
        <v>2746</v>
      </c>
      <c r="H420" t="s">
        <v>913</v>
      </c>
      <c r="I420" t="s">
        <v>26</v>
      </c>
      <c r="J420" t="s">
        <v>3369</v>
      </c>
      <c r="K420" t="s">
        <v>605</v>
      </c>
      <c r="L420" t="s">
        <v>3375</v>
      </c>
      <c r="M420" t="s">
        <v>3364</v>
      </c>
      <c r="N420" t="s">
        <v>3365</v>
      </c>
      <c r="O420" t="s">
        <v>3366</v>
      </c>
      <c r="P420" t="s">
        <v>3389</v>
      </c>
    </row>
    <row r="421" spans="1:16" x14ac:dyDescent="0.3">
      <c r="A421" t="s">
        <v>973</v>
      </c>
      <c r="B421" t="s">
        <v>26</v>
      </c>
      <c r="C421" t="s">
        <v>966</v>
      </c>
      <c r="F421" t="s">
        <v>3361</v>
      </c>
      <c r="G421" t="s">
        <v>2746</v>
      </c>
      <c r="H421" t="s">
        <v>913</v>
      </c>
      <c r="I421" t="s">
        <v>26</v>
      </c>
      <c r="J421" t="s">
        <v>3369</v>
      </c>
      <c r="K421" t="s">
        <v>605</v>
      </c>
      <c r="L421" t="s">
        <v>3375</v>
      </c>
      <c r="M421" t="s">
        <v>3364</v>
      </c>
      <c r="N421" t="s">
        <v>3365</v>
      </c>
      <c r="O421" t="s">
        <v>3366</v>
      </c>
      <c r="P421" t="s">
        <v>3382</v>
      </c>
    </row>
    <row r="422" spans="1:16" x14ac:dyDescent="0.3">
      <c r="A422" t="s">
        <v>974</v>
      </c>
      <c r="B422" t="s">
        <v>26</v>
      </c>
      <c r="C422" t="s">
        <v>966</v>
      </c>
      <c r="F422" t="s">
        <v>3361</v>
      </c>
      <c r="G422" t="s">
        <v>2746</v>
      </c>
      <c r="H422" t="s">
        <v>913</v>
      </c>
      <c r="I422" t="s">
        <v>26</v>
      </c>
      <c r="J422" t="s">
        <v>3369</v>
      </c>
      <c r="K422" t="s">
        <v>605</v>
      </c>
      <c r="L422" t="s">
        <v>3375</v>
      </c>
      <c r="M422" t="s">
        <v>3364</v>
      </c>
      <c r="N422" t="s">
        <v>3365</v>
      </c>
      <c r="O422" t="s">
        <v>3366</v>
      </c>
      <c r="P422" t="s">
        <v>3382</v>
      </c>
    </row>
    <row r="423" spans="1:16" x14ac:dyDescent="0.3">
      <c r="A423" t="s">
        <v>975</v>
      </c>
      <c r="B423" t="s">
        <v>26</v>
      </c>
      <c r="C423" t="s">
        <v>966</v>
      </c>
      <c r="F423" t="s">
        <v>3361</v>
      </c>
      <c r="G423" t="s">
        <v>2746</v>
      </c>
      <c r="H423" t="s">
        <v>913</v>
      </c>
      <c r="I423" t="s">
        <v>26</v>
      </c>
      <c r="J423" t="s">
        <v>3369</v>
      </c>
      <c r="K423" t="s">
        <v>605</v>
      </c>
      <c r="L423" t="s">
        <v>3375</v>
      </c>
      <c r="M423" t="s">
        <v>3364</v>
      </c>
      <c r="N423" t="s">
        <v>3365</v>
      </c>
      <c r="O423" t="s">
        <v>3366</v>
      </c>
      <c r="P423" t="s">
        <v>3382</v>
      </c>
    </row>
    <row r="424" spans="1:16" x14ac:dyDescent="0.3">
      <c r="A424" t="s">
        <v>976</v>
      </c>
      <c r="B424" t="s">
        <v>26</v>
      </c>
      <c r="C424" t="s">
        <v>966</v>
      </c>
      <c r="F424" t="s">
        <v>3361</v>
      </c>
      <c r="G424" t="s">
        <v>2746</v>
      </c>
      <c r="H424" t="s">
        <v>913</v>
      </c>
      <c r="I424" t="s">
        <v>26</v>
      </c>
      <c r="J424" t="s">
        <v>3369</v>
      </c>
      <c r="K424" t="s">
        <v>605</v>
      </c>
      <c r="L424" t="s">
        <v>3375</v>
      </c>
      <c r="M424" t="s">
        <v>3364</v>
      </c>
      <c r="N424" t="s">
        <v>3365</v>
      </c>
      <c r="O424" t="s">
        <v>3366</v>
      </c>
      <c r="P424" t="s">
        <v>3382</v>
      </c>
    </row>
    <row r="425" spans="1:16" x14ac:dyDescent="0.3">
      <c r="A425" t="s">
        <v>977</v>
      </c>
      <c r="B425" t="s">
        <v>26</v>
      </c>
      <c r="C425" t="s">
        <v>966</v>
      </c>
      <c r="F425" t="s">
        <v>3361</v>
      </c>
      <c r="G425" t="s">
        <v>2746</v>
      </c>
      <c r="H425" t="s">
        <v>913</v>
      </c>
      <c r="I425" t="s">
        <v>26</v>
      </c>
      <c r="J425" t="s">
        <v>3369</v>
      </c>
      <c r="K425" t="s">
        <v>605</v>
      </c>
      <c r="L425" t="s">
        <v>3375</v>
      </c>
      <c r="M425" t="s">
        <v>3364</v>
      </c>
      <c r="N425" t="s">
        <v>3365</v>
      </c>
      <c r="O425" t="s">
        <v>3366</v>
      </c>
      <c r="P425" t="s">
        <v>3382</v>
      </c>
    </row>
    <row r="426" spans="1:16" x14ac:dyDescent="0.3">
      <c r="A426" t="s">
        <v>978</v>
      </c>
      <c r="B426" t="s">
        <v>26</v>
      </c>
      <c r="C426" t="s">
        <v>966</v>
      </c>
      <c r="F426" t="s">
        <v>3361</v>
      </c>
      <c r="G426" t="s">
        <v>2746</v>
      </c>
      <c r="H426" t="s">
        <v>922</v>
      </c>
      <c r="I426" t="s">
        <v>26</v>
      </c>
      <c r="J426" t="s">
        <v>3369</v>
      </c>
      <c r="K426" t="s">
        <v>605</v>
      </c>
      <c r="L426" t="s">
        <v>3375</v>
      </c>
      <c r="M426" t="s">
        <v>3364</v>
      </c>
      <c r="N426" t="s">
        <v>3365</v>
      </c>
      <c r="O426" t="s">
        <v>3366</v>
      </c>
      <c r="P426" t="s">
        <v>3382</v>
      </c>
    </row>
    <row r="427" spans="1:16" x14ac:dyDescent="0.3">
      <c r="A427" t="s">
        <v>979</v>
      </c>
      <c r="B427" t="s">
        <v>26</v>
      </c>
      <c r="C427" t="s">
        <v>966</v>
      </c>
      <c r="F427" t="s">
        <v>3361</v>
      </c>
      <c r="G427" t="s">
        <v>2746</v>
      </c>
      <c r="H427" t="s">
        <v>922</v>
      </c>
      <c r="I427" t="s">
        <v>26</v>
      </c>
      <c r="J427" t="s">
        <v>3369</v>
      </c>
      <c r="K427" t="s">
        <v>605</v>
      </c>
      <c r="L427" t="s">
        <v>3375</v>
      </c>
      <c r="M427" t="s">
        <v>3364</v>
      </c>
      <c r="N427" t="s">
        <v>3365</v>
      </c>
      <c r="O427" t="s">
        <v>3366</v>
      </c>
      <c r="P427" t="s">
        <v>3382</v>
      </c>
    </row>
    <row r="428" spans="1:16" x14ac:dyDescent="0.3">
      <c r="A428" t="s">
        <v>980</v>
      </c>
      <c r="B428" t="s">
        <v>26</v>
      </c>
      <c r="C428" t="s">
        <v>966</v>
      </c>
      <c r="F428" t="s">
        <v>3361</v>
      </c>
      <c r="G428" t="s">
        <v>2746</v>
      </c>
      <c r="H428" t="s">
        <v>922</v>
      </c>
      <c r="I428" t="s">
        <v>26</v>
      </c>
      <c r="J428" t="s">
        <v>3369</v>
      </c>
      <c r="K428" t="s">
        <v>605</v>
      </c>
      <c r="L428" t="s">
        <v>3375</v>
      </c>
      <c r="M428" t="s">
        <v>3364</v>
      </c>
      <c r="N428" t="s">
        <v>3365</v>
      </c>
      <c r="O428" t="s">
        <v>3366</v>
      </c>
      <c r="P428" t="s">
        <v>3382</v>
      </c>
    </row>
    <row r="429" spans="1:16" x14ac:dyDescent="0.3">
      <c r="A429" t="s">
        <v>981</v>
      </c>
      <c r="B429" t="s">
        <v>26</v>
      </c>
      <c r="C429" t="s">
        <v>966</v>
      </c>
      <c r="F429" t="s">
        <v>3361</v>
      </c>
      <c r="G429" t="s">
        <v>2746</v>
      </c>
      <c r="H429" t="s">
        <v>922</v>
      </c>
      <c r="I429" t="s">
        <v>26</v>
      </c>
      <c r="J429" t="s">
        <v>3369</v>
      </c>
      <c r="K429" t="s">
        <v>605</v>
      </c>
      <c r="L429" t="s">
        <v>3375</v>
      </c>
      <c r="M429" t="s">
        <v>3364</v>
      </c>
      <c r="N429" t="s">
        <v>3365</v>
      </c>
      <c r="O429" t="s">
        <v>3366</v>
      </c>
      <c r="P429" t="s">
        <v>3382</v>
      </c>
    </row>
    <row r="430" spans="1:16" x14ac:dyDescent="0.3">
      <c r="A430" t="s">
        <v>982</v>
      </c>
      <c r="B430" t="s">
        <v>26</v>
      </c>
      <c r="C430" t="s">
        <v>966</v>
      </c>
      <c r="F430" t="s">
        <v>3361</v>
      </c>
      <c r="G430" t="s">
        <v>2746</v>
      </c>
      <c r="H430" t="s">
        <v>922</v>
      </c>
      <c r="I430" t="s">
        <v>26</v>
      </c>
      <c r="J430" t="s">
        <v>3369</v>
      </c>
      <c r="K430" t="s">
        <v>605</v>
      </c>
      <c r="L430" t="s">
        <v>3375</v>
      </c>
      <c r="M430" t="s">
        <v>3364</v>
      </c>
      <c r="N430" t="s">
        <v>3365</v>
      </c>
      <c r="O430" t="s">
        <v>3366</v>
      </c>
      <c r="P430" t="s">
        <v>3382</v>
      </c>
    </row>
    <row r="431" spans="1:16" x14ac:dyDescent="0.3">
      <c r="A431" t="s">
        <v>967</v>
      </c>
      <c r="B431" t="s">
        <v>26</v>
      </c>
      <c r="C431" t="s">
        <v>983</v>
      </c>
      <c r="F431" t="s">
        <v>3361</v>
      </c>
      <c r="G431" t="s">
        <v>2746</v>
      </c>
      <c r="H431" t="s">
        <v>709</v>
      </c>
      <c r="I431" t="s">
        <v>26</v>
      </c>
      <c r="J431" t="s">
        <v>3369</v>
      </c>
      <c r="K431" t="s">
        <v>605</v>
      </c>
      <c r="L431" t="s">
        <v>3375</v>
      </c>
      <c r="M431" t="s">
        <v>3364</v>
      </c>
      <c r="N431" t="s">
        <v>3365</v>
      </c>
      <c r="O431" t="s">
        <v>3366</v>
      </c>
      <c r="P431" t="s">
        <v>3382</v>
      </c>
    </row>
    <row r="432" spans="1:16" x14ac:dyDescent="0.3">
      <c r="A432" t="s">
        <v>984</v>
      </c>
      <c r="B432" t="s">
        <v>26</v>
      </c>
      <c r="C432" t="s">
        <v>983</v>
      </c>
      <c r="F432" t="s">
        <v>3361</v>
      </c>
      <c r="G432" t="s">
        <v>2746</v>
      </c>
      <c r="H432" t="s">
        <v>913</v>
      </c>
      <c r="I432" t="s">
        <v>26</v>
      </c>
      <c r="J432" t="s">
        <v>3369</v>
      </c>
      <c r="K432" t="s">
        <v>605</v>
      </c>
      <c r="L432" t="s">
        <v>3375</v>
      </c>
      <c r="M432" t="s">
        <v>3364</v>
      </c>
      <c r="N432" t="s">
        <v>3365</v>
      </c>
      <c r="O432" t="s">
        <v>3366</v>
      </c>
      <c r="P432" t="s">
        <v>3382</v>
      </c>
    </row>
    <row r="433" spans="1:16" x14ac:dyDescent="0.3">
      <c r="A433" t="s">
        <v>985</v>
      </c>
      <c r="B433" t="s">
        <v>26</v>
      </c>
      <c r="C433" t="s">
        <v>983</v>
      </c>
      <c r="F433" t="s">
        <v>3361</v>
      </c>
      <c r="G433" t="s">
        <v>2746</v>
      </c>
      <c r="H433" t="s">
        <v>913</v>
      </c>
      <c r="I433" t="s">
        <v>26</v>
      </c>
      <c r="J433" t="s">
        <v>3369</v>
      </c>
      <c r="K433" t="s">
        <v>605</v>
      </c>
      <c r="L433" t="s">
        <v>3375</v>
      </c>
      <c r="M433" t="s">
        <v>3364</v>
      </c>
      <c r="N433" t="s">
        <v>3365</v>
      </c>
      <c r="O433" t="s">
        <v>3366</v>
      </c>
      <c r="P433" t="s">
        <v>3382</v>
      </c>
    </row>
    <row r="434" spans="1:16" x14ac:dyDescent="0.3">
      <c r="A434" t="s">
        <v>986</v>
      </c>
      <c r="B434" t="s">
        <v>26</v>
      </c>
      <c r="C434" t="s">
        <v>983</v>
      </c>
      <c r="F434" t="s">
        <v>3361</v>
      </c>
      <c r="G434" t="s">
        <v>2746</v>
      </c>
      <c r="H434" t="s">
        <v>913</v>
      </c>
      <c r="I434" t="s">
        <v>26</v>
      </c>
      <c r="J434" t="s">
        <v>3369</v>
      </c>
      <c r="K434" t="s">
        <v>605</v>
      </c>
      <c r="L434" t="s">
        <v>3375</v>
      </c>
      <c r="M434" t="s">
        <v>3364</v>
      </c>
      <c r="N434" t="s">
        <v>3365</v>
      </c>
      <c r="O434" t="s">
        <v>3366</v>
      </c>
      <c r="P434" t="s">
        <v>3382</v>
      </c>
    </row>
    <row r="435" spans="1:16" x14ac:dyDescent="0.3">
      <c r="A435" t="s">
        <v>987</v>
      </c>
      <c r="B435" t="s">
        <v>26</v>
      </c>
      <c r="C435" t="s">
        <v>983</v>
      </c>
      <c r="F435" t="s">
        <v>3361</v>
      </c>
      <c r="G435" t="s">
        <v>2746</v>
      </c>
      <c r="H435" t="s">
        <v>913</v>
      </c>
      <c r="I435" t="s">
        <v>26</v>
      </c>
      <c r="J435" t="s">
        <v>3369</v>
      </c>
      <c r="K435" t="s">
        <v>605</v>
      </c>
      <c r="L435" t="s">
        <v>3375</v>
      </c>
      <c r="M435" t="s">
        <v>3364</v>
      </c>
      <c r="N435" t="s">
        <v>3365</v>
      </c>
      <c r="O435" t="s">
        <v>3366</v>
      </c>
      <c r="P435" t="s">
        <v>3382</v>
      </c>
    </row>
    <row r="436" spans="1:16" x14ac:dyDescent="0.3">
      <c r="A436" t="s">
        <v>988</v>
      </c>
      <c r="B436" t="s">
        <v>26</v>
      </c>
      <c r="C436" t="s">
        <v>983</v>
      </c>
      <c r="F436" t="s">
        <v>3361</v>
      </c>
      <c r="G436" t="s">
        <v>2746</v>
      </c>
      <c r="H436" t="s">
        <v>913</v>
      </c>
      <c r="I436" t="s">
        <v>26</v>
      </c>
      <c r="J436" t="s">
        <v>3369</v>
      </c>
      <c r="K436" t="s">
        <v>605</v>
      </c>
      <c r="L436" t="s">
        <v>3375</v>
      </c>
      <c r="M436" t="s">
        <v>3364</v>
      </c>
      <c r="N436" t="s">
        <v>3365</v>
      </c>
      <c r="O436" t="s">
        <v>3366</v>
      </c>
      <c r="P436" t="s">
        <v>3382</v>
      </c>
    </row>
    <row r="437" spans="1:16" x14ac:dyDescent="0.3">
      <c r="A437" t="s">
        <v>989</v>
      </c>
      <c r="B437" t="s">
        <v>26</v>
      </c>
      <c r="C437" t="s">
        <v>983</v>
      </c>
      <c r="F437" t="s">
        <v>3361</v>
      </c>
      <c r="G437" t="s">
        <v>2746</v>
      </c>
      <c r="H437" t="s">
        <v>913</v>
      </c>
      <c r="I437" t="s">
        <v>26</v>
      </c>
      <c r="J437" t="s">
        <v>3369</v>
      </c>
      <c r="K437" t="s">
        <v>605</v>
      </c>
      <c r="L437" t="s">
        <v>3375</v>
      </c>
      <c r="M437" t="s">
        <v>3364</v>
      </c>
      <c r="N437" t="s">
        <v>3365</v>
      </c>
      <c r="O437" t="s">
        <v>3366</v>
      </c>
      <c r="P437" t="s">
        <v>3382</v>
      </c>
    </row>
    <row r="438" spans="1:16" x14ac:dyDescent="0.3">
      <c r="A438" t="s">
        <v>990</v>
      </c>
      <c r="B438" t="s">
        <v>26</v>
      </c>
      <c r="C438" t="s">
        <v>983</v>
      </c>
      <c r="F438" t="s">
        <v>3361</v>
      </c>
      <c r="G438" t="s">
        <v>2746</v>
      </c>
      <c r="H438" t="s">
        <v>913</v>
      </c>
      <c r="I438" t="s">
        <v>26</v>
      </c>
      <c r="J438" t="s">
        <v>3369</v>
      </c>
      <c r="K438" t="s">
        <v>605</v>
      </c>
      <c r="L438" t="s">
        <v>3375</v>
      </c>
      <c r="M438" t="s">
        <v>3364</v>
      </c>
      <c r="N438" t="s">
        <v>3365</v>
      </c>
      <c r="O438" t="s">
        <v>3366</v>
      </c>
      <c r="P438" t="s">
        <v>3382</v>
      </c>
    </row>
    <row r="439" spans="1:16" x14ac:dyDescent="0.3">
      <c r="A439" t="s">
        <v>991</v>
      </c>
      <c r="B439" t="s">
        <v>26</v>
      </c>
      <c r="C439" t="s">
        <v>983</v>
      </c>
      <c r="F439" t="s">
        <v>3361</v>
      </c>
      <c r="G439" t="s">
        <v>2746</v>
      </c>
      <c r="H439" t="s">
        <v>913</v>
      </c>
      <c r="I439" t="s">
        <v>26</v>
      </c>
      <c r="J439" t="s">
        <v>3369</v>
      </c>
      <c r="K439" t="s">
        <v>605</v>
      </c>
      <c r="L439" t="s">
        <v>3375</v>
      </c>
      <c r="M439" t="s">
        <v>3364</v>
      </c>
      <c r="N439" t="s">
        <v>3365</v>
      </c>
      <c r="O439" t="s">
        <v>3366</v>
      </c>
      <c r="P439" t="s">
        <v>3382</v>
      </c>
    </row>
    <row r="440" spans="1:16" x14ac:dyDescent="0.3">
      <c r="A440" t="s">
        <v>992</v>
      </c>
      <c r="B440" t="s">
        <v>26</v>
      </c>
      <c r="C440" t="s">
        <v>983</v>
      </c>
      <c r="F440" t="s">
        <v>3361</v>
      </c>
      <c r="G440" t="s">
        <v>2746</v>
      </c>
      <c r="H440" t="s">
        <v>913</v>
      </c>
      <c r="I440" t="s">
        <v>26</v>
      </c>
      <c r="J440" t="s">
        <v>3369</v>
      </c>
      <c r="K440" t="s">
        <v>605</v>
      </c>
      <c r="L440" t="s">
        <v>3375</v>
      </c>
      <c r="M440" t="s">
        <v>3364</v>
      </c>
      <c r="N440" t="s">
        <v>3365</v>
      </c>
      <c r="O440" t="s">
        <v>3366</v>
      </c>
      <c r="P440" t="s">
        <v>3382</v>
      </c>
    </row>
    <row r="441" spans="1:16" x14ac:dyDescent="0.3">
      <c r="A441" t="s">
        <v>993</v>
      </c>
      <c r="B441" t="s">
        <v>26</v>
      </c>
      <c r="C441" t="s">
        <v>983</v>
      </c>
      <c r="F441" t="s">
        <v>3361</v>
      </c>
      <c r="G441" t="s">
        <v>2746</v>
      </c>
      <c r="H441" t="s">
        <v>913</v>
      </c>
      <c r="I441" t="s">
        <v>26</v>
      </c>
      <c r="J441" t="s">
        <v>3369</v>
      </c>
      <c r="K441" t="s">
        <v>605</v>
      </c>
      <c r="L441" t="s">
        <v>3375</v>
      </c>
      <c r="M441" t="s">
        <v>3364</v>
      </c>
      <c r="N441" t="s">
        <v>3365</v>
      </c>
      <c r="O441" t="s">
        <v>3366</v>
      </c>
      <c r="P441" t="s">
        <v>3382</v>
      </c>
    </row>
    <row r="442" spans="1:16" x14ac:dyDescent="0.3">
      <c r="A442" t="s">
        <v>994</v>
      </c>
      <c r="B442" t="s">
        <v>26</v>
      </c>
      <c r="C442" t="s">
        <v>983</v>
      </c>
      <c r="F442" t="s">
        <v>3361</v>
      </c>
      <c r="G442" t="s">
        <v>2746</v>
      </c>
      <c r="H442" t="s">
        <v>922</v>
      </c>
      <c r="I442" t="s">
        <v>26</v>
      </c>
      <c r="J442" t="s">
        <v>3369</v>
      </c>
      <c r="K442" t="s">
        <v>605</v>
      </c>
      <c r="L442" t="s">
        <v>3375</v>
      </c>
      <c r="M442" t="s">
        <v>3364</v>
      </c>
      <c r="N442" t="s">
        <v>3365</v>
      </c>
      <c r="O442" t="s">
        <v>3366</v>
      </c>
      <c r="P442" t="s">
        <v>3382</v>
      </c>
    </row>
    <row r="443" spans="1:16" x14ac:dyDescent="0.3">
      <c r="A443" t="s">
        <v>995</v>
      </c>
      <c r="B443" t="s">
        <v>26</v>
      </c>
      <c r="C443" t="s">
        <v>983</v>
      </c>
      <c r="F443" t="s">
        <v>3361</v>
      </c>
      <c r="G443" t="s">
        <v>2746</v>
      </c>
      <c r="H443" t="s">
        <v>922</v>
      </c>
      <c r="I443" t="s">
        <v>26</v>
      </c>
      <c r="J443" t="s">
        <v>3369</v>
      </c>
      <c r="K443" t="s">
        <v>605</v>
      </c>
      <c r="L443" t="s">
        <v>3375</v>
      </c>
      <c r="M443" t="s">
        <v>3364</v>
      </c>
      <c r="N443" t="s">
        <v>3365</v>
      </c>
      <c r="O443" t="s">
        <v>3366</v>
      </c>
      <c r="P443" t="s">
        <v>3382</v>
      </c>
    </row>
    <row r="444" spans="1:16" x14ac:dyDescent="0.3">
      <c r="A444" t="s">
        <v>996</v>
      </c>
      <c r="B444" t="s">
        <v>26</v>
      </c>
      <c r="C444" t="s">
        <v>983</v>
      </c>
      <c r="F444" t="s">
        <v>3361</v>
      </c>
      <c r="G444" t="s">
        <v>2746</v>
      </c>
      <c r="H444" t="s">
        <v>922</v>
      </c>
      <c r="I444" t="s">
        <v>26</v>
      </c>
      <c r="J444" t="s">
        <v>3369</v>
      </c>
      <c r="K444" t="s">
        <v>605</v>
      </c>
      <c r="L444" t="s">
        <v>3375</v>
      </c>
      <c r="M444" t="s">
        <v>3364</v>
      </c>
      <c r="N444" t="s">
        <v>3365</v>
      </c>
      <c r="O444" t="s">
        <v>3366</v>
      </c>
      <c r="P444" t="s">
        <v>3382</v>
      </c>
    </row>
    <row r="445" spans="1:16" x14ac:dyDescent="0.3">
      <c r="A445" t="s">
        <v>997</v>
      </c>
      <c r="B445" t="s">
        <v>26</v>
      </c>
      <c r="C445" t="s">
        <v>983</v>
      </c>
      <c r="F445" t="s">
        <v>3361</v>
      </c>
      <c r="G445" t="s">
        <v>2746</v>
      </c>
      <c r="H445" t="s">
        <v>922</v>
      </c>
      <c r="I445" t="s">
        <v>26</v>
      </c>
      <c r="J445" t="s">
        <v>3369</v>
      </c>
      <c r="K445" t="s">
        <v>605</v>
      </c>
      <c r="L445" t="s">
        <v>3375</v>
      </c>
      <c r="M445" t="s">
        <v>3364</v>
      </c>
      <c r="N445" t="s">
        <v>3365</v>
      </c>
      <c r="O445" t="s">
        <v>3366</v>
      </c>
      <c r="P445" t="s">
        <v>3382</v>
      </c>
    </row>
    <row r="446" spans="1:16" x14ac:dyDescent="0.3">
      <c r="A446" t="s">
        <v>998</v>
      </c>
      <c r="B446" t="s">
        <v>26</v>
      </c>
      <c r="C446" t="s">
        <v>983</v>
      </c>
      <c r="F446" t="s">
        <v>3361</v>
      </c>
      <c r="G446" t="s">
        <v>2746</v>
      </c>
      <c r="H446" t="s">
        <v>922</v>
      </c>
      <c r="I446" t="s">
        <v>26</v>
      </c>
      <c r="J446" t="s">
        <v>3369</v>
      </c>
      <c r="K446" t="s">
        <v>605</v>
      </c>
      <c r="L446" t="s">
        <v>3375</v>
      </c>
      <c r="M446" t="s">
        <v>3364</v>
      </c>
      <c r="N446" t="s">
        <v>3365</v>
      </c>
      <c r="O446" t="s">
        <v>3366</v>
      </c>
      <c r="P446" t="s">
        <v>3382</v>
      </c>
    </row>
    <row r="447" spans="1:16" x14ac:dyDescent="0.3">
      <c r="A447" t="s">
        <v>967</v>
      </c>
      <c r="B447" t="s">
        <v>26</v>
      </c>
      <c r="C447" t="s">
        <v>999</v>
      </c>
      <c r="F447" t="s">
        <v>3361</v>
      </c>
      <c r="G447" t="s">
        <v>2746</v>
      </c>
      <c r="H447" t="s">
        <v>709</v>
      </c>
      <c r="I447" t="s">
        <v>26</v>
      </c>
      <c r="J447" t="s">
        <v>3369</v>
      </c>
      <c r="K447" t="s">
        <v>605</v>
      </c>
      <c r="L447" t="s">
        <v>3375</v>
      </c>
      <c r="M447" t="s">
        <v>3364</v>
      </c>
      <c r="N447" t="s">
        <v>3365</v>
      </c>
      <c r="O447" t="s">
        <v>3366</v>
      </c>
      <c r="P447" t="s">
        <v>3382</v>
      </c>
    </row>
    <row r="448" spans="1:16" x14ac:dyDescent="0.3">
      <c r="A448" t="s">
        <v>1000</v>
      </c>
      <c r="B448" t="s">
        <v>26</v>
      </c>
      <c r="C448" t="s">
        <v>999</v>
      </c>
      <c r="F448" t="s">
        <v>3361</v>
      </c>
      <c r="G448" t="s">
        <v>2746</v>
      </c>
      <c r="H448" t="s">
        <v>913</v>
      </c>
      <c r="I448" t="s">
        <v>26</v>
      </c>
      <c r="J448" t="s">
        <v>3369</v>
      </c>
      <c r="K448" t="s">
        <v>605</v>
      </c>
      <c r="L448" t="s">
        <v>3375</v>
      </c>
      <c r="M448" t="s">
        <v>3364</v>
      </c>
      <c r="N448" t="s">
        <v>3365</v>
      </c>
      <c r="O448" t="s">
        <v>3366</v>
      </c>
      <c r="P448" t="s">
        <v>3382</v>
      </c>
    </row>
    <row r="449" spans="1:16" x14ac:dyDescent="0.3">
      <c r="A449" t="s">
        <v>1001</v>
      </c>
      <c r="B449" t="s">
        <v>26</v>
      </c>
      <c r="C449" t="s">
        <v>999</v>
      </c>
      <c r="F449" t="s">
        <v>3361</v>
      </c>
      <c r="G449" t="s">
        <v>2746</v>
      </c>
      <c r="H449" t="s">
        <v>913</v>
      </c>
      <c r="I449" t="s">
        <v>26</v>
      </c>
      <c r="J449" t="s">
        <v>3369</v>
      </c>
      <c r="K449" t="s">
        <v>605</v>
      </c>
      <c r="L449" t="s">
        <v>3375</v>
      </c>
      <c r="M449" t="s">
        <v>3364</v>
      </c>
      <c r="N449" t="s">
        <v>3365</v>
      </c>
      <c r="O449" t="s">
        <v>3366</v>
      </c>
      <c r="P449" t="s">
        <v>3382</v>
      </c>
    </row>
    <row r="450" spans="1:16" x14ac:dyDescent="0.3">
      <c r="A450" t="s">
        <v>1002</v>
      </c>
      <c r="B450" t="s">
        <v>26</v>
      </c>
      <c r="C450" t="s">
        <v>999</v>
      </c>
      <c r="F450" t="s">
        <v>3361</v>
      </c>
      <c r="G450" t="s">
        <v>2746</v>
      </c>
      <c r="H450" t="s">
        <v>913</v>
      </c>
      <c r="I450" t="s">
        <v>26</v>
      </c>
      <c r="J450" t="s">
        <v>3369</v>
      </c>
      <c r="K450" t="s">
        <v>605</v>
      </c>
      <c r="L450" t="s">
        <v>3375</v>
      </c>
      <c r="M450" t="s">
        <v>3364</v>
      </c>
      <c r="N450" t="s">
        <v>3365</v>
      </c>
      <c r="O450" t="s">
        <v>3366</v>
      </c>
      <c r="P450" t="s">
        <v>3382</v>
      </c>
    </row>
    <row r="451" spans="1:16" x14ac:dyDescent="0.3">
      <c r="A451" t="s">
        <v>1003</v>
      </c>
      <c r="B451" t="s">
        <v>26</v>
      </c>
      <c r="C451" t="s">
        <v>999</v>
      </c>
      <c r="F451" t="s">
        <v>3361</v>
      </c>
      <c r="G451" t="s">
        <v>2746</v>
      </c>
      <c r="H451" t="s">
        <v>913</v>
      </c>
      <c r="I451" t="s">
        <v>26</v>
      </c>
      <c r="J451" t="s">
        <v>3369</v>
      </c>
      <c r="K451" t="s">
        <v>605</v>
      </c>
      <c r="L451" t="s">
        <v>3375</v>
      </c>
      <c r="M451" t="s">
        <v>3364</v>
      </c>
      <c r="N451" t="s">
        <v>3365</v>
      </c>
      <c r="O451" t="s">
        <v>3366</v>
      </c>
      <c r="P451" t="s">
        <v>3382</v>
      </c>
    </row>
    <row r="452" spans="1:16" x14ac:dyDescent="0.3">
      <c r="A452" t="s">
        <v>1004</v>
      </c>
      <c r="B452" t="s">
        <v>26</v>
      </c>
      <c r="C452" t="s">
        <v>999</v>
      </c>
      <c r="F452" t="s">
        <v>3361</v>
      </c>
      <c r="G452" t="s">
        <v>2746</v>
      </c>
      <c r="H452" t="s">
        <v>913</v>
      </c>
      <c r="I452" t="s">
        <v>26</v>
      </c>
      <c r="J452" t="s">
        <v>3369</v>
      </c>
      <c r="K452" t="s">
        <v>605</v>
      </c>
      <c r="L452" t="s">
        <v>3375</v>
      </c>
      <c r="M452" t="s">
        <v>3364</v>
      </c>
      <c r="N452" t="s">
        <v>3365</v>
      </c>
      <c r="O452" t="s">
        <v>3366</v>
      </c>
      <c r="P452" t="s">
        <v>3382</v>
      </c>
    </row>
    <row r="453" spans="1:16" x14ac:dyDescent="0.3">
      <c r="A453" t="s">
        <v>1005</v>
      </c>
      <c r="B453" t="s">
        <v>26</v>
      </c>
      <c r="C453" t="s">
        <v>999</v>
      </c>
      <c r="F453" t="s">
        <v>3361</v>
      </c>
      <c r="G453" t="s">
        <v>2746</v>
      </c>
      <c r="H453" t="s">
        <v>913</v>
      </c>
      <c r="I453" t="s">
        <v>26</v>
      </c>
      <c r="J453" t="s">
        <v>3369</v>
      </c>
      <c r="K453" t="s">
        <v>605</v>
      </c>
      <c r="L453" t="s">
        <v>3375</v>
      </c>
      <c r="M453" t="s">
        <v>3364</v>
      </c>
      <c r="N453" t="s">
        <v>3365</v>
      </c>
      <c r="O453" t="s">
        <v>3366</v>
      </c>
      <c r="P453" t="s">
        <v>3382</v>
      </c>
    </row>
    <row r="454" spans="1:16" x14ac:dyDescent="0.3">
      <c r="A454" t="s">
        <v>1006</v>
      </c>
      <c r="B454" t="s">
        <v>26</v>
      </c>
      <c r="C454" t="s">
        <v>999</v>
      </c>
      <c r="F454" t="s">
        <v>3361</v>
      </c>
      <c r="G454" t="s">
        <v>2746</v>
      </c>
      <c r="H454" t="s">
        <v>913</v>
      </c>
      <c r="I454" t="s">
        <v>26</v>
      </c>
      <c r="J454" t="s">
        <v>3369</v>
      </c>
      <c r="K454" t="s">
        <v>605</v>
      </c>
      <c r="L454" t="s">
        <v>3375</v>
      </c>
      <c r="M454" t="s">
        <v>3364</v>
      </c>
      <c r="N454" t="s">
        <v>3365</v>
      </c>
      <c r="O454" t="s">
        <v>3366</v>
      </c>
      <c r="P454" t="s">
        <v>3382</v>
      </c>
    </row>
    <row r="455" spans="1:16" x14ac:dyDescent="0.3">
      <c r="A455" t="s">
        <v>1007</v>
      </c>
      <c r="B455" t="s">
        <v>26</v>
      </c>
      <c r="C455" t="s">
        <v>999</v>
      </c>
      <c r="F455" t="s">
        <v>3361</v>
      </c>
      <c r="G455" t="s">
        <v>2746</v>
      </c>
      <c r="H455" t="s">
        <v>913</v>
      </c>
      <c r="I455" t="s">
        <v>26</v>
      </c>
      <c r="J455" t="s">
        <v>3369</v>
      </c>
      <c r="K455" t="s">
        <v>605</v>
      </c>
      <c r="L455" t="s">
        <v>3375</v>
      </c>
      <c r="M455" t="s">
        <v>3364</v>
      </c>
      <c r="N455" t="s">
        <v>3365</v>
      </c>
      <c r="O455" t="s">
        <v>3366</v>
      </c>
      <c r="P455" t="s">
        <v>3382</v>
      </c>
    </row>
    <row r="456" spans="1:16" x14ac:dyDescent="0.3">
      <c r="A456" t="s">
        <v>1008</v>
      </c>
      <c r="B456" t="s">
        <v>26</v>
      </c>
      <c r="C456" t="s">
        <v>999</v>
      </c>
      <c r="F456" t="s">
        <v>3361</v>
      </c>
      <c r="G456" t="s">
        <v>2746</v>
      </c>
      <c r="H456" t="s">
        <v>913</v>
      </c>
      <c r="I456" t="s">
        <v>26</v>
      </c>
      <c r="J456" t="s">
        <v>3369</v>
      </c>
      <c r="K456" t="s">
        <v>605</v>
      </c>
      <c r="L456" t="s">
        <v>3375</v>
      </c>
      <c r="M456" t="s">
        <v>3364</v>
      </c>
      <c r="N456" t="s">
        <v>3365</v>
      </c>
      <c r="O456" t="s">
        <v>3366</v>
      </c>
      <c r="P456" t="s">
        <v>3382</v>
      </c>
    </row>
    <row r="457" spans="1:16" x14ac:dyDescent="0.3">
      <c r="A457" t="s">
        <v>1009</v>
      </c>
      <c r="B457" t="s">
        <v>26</v>
      </c>
      <c r="C457" t="s">
        <v>999</v>
      </c>
      <c r="F457" t="s">
        <v>3361</v>
      </c>
      <c r="G457" t="s">
        <v>2746</v>
      </c>
      <c r="H457" t="s">
        <v>922</v>
      </c>
      <c r="I457" t="s">
        <v>26</v>
      </c>
      <c r="J457" t="s">
        <v>3369</v>
      </c>
      <c r="K457" t="s">
        <v>605</v>
      </c>
      <c r="L457" t="s">
        <v>3375</v>
      </c>
      <c r="M457" t="s">
        <v>3364</v>
      </c>
      <c r="N457" t="s">
        <v>3365</v>
      </c>
      <c r="O457" t="s">
        <v>3366</v>
      </c>
      <c r="P457" t="s">
        <v>3382</v>
      </c>
    </row>
    <row r="458" spans="1:16" x14ac:dyDescent="0.3">
      <c r="A458" t="s">
        <v>1010</v>
      </c>
      <c r="B458" t="s">
        <v>26</v>
      </c>
      <c r="C458" t="s">
        <v>999</v>
      </c>
      <c r="F458" t="s">
        <v>3361</v>
      </c>
      <c r="G458" t="s">
        <v>2746</v>
      </c>
      <c r="H458" t="s">
        <v>922</v>
      </c>
      <c r="I458" t="s">
        <v>26</v>
      </c>
      <c r="J458" t="s">
        <v>3369</v>
      </c>
      <c r="K458" t="s">
        <v>605</v>
      </c>
      <c r="L458" t="s">
        <v>3375</v>
      </c>
      <c r="M458" t="s">
        <v>3364</v>
      </c>
      <c r="N458" t="s">
        <v>3365</v>
      </c>
      <c r="O458" t="s">
        <v>3366</v>
      </c>
      <c r="P458" t="s">
        <v>3382</v>
      </c>
    </row>
    <row r="459" spans="1:16" x14ac:dyDescent="0.3">
      <c r="A459" t="s">
        <v>1011</v>
      </c>
      <c r="B459" t="s">
        <v>26</v>
      </c>
      <c r="C459" t="s">
        <v>999</v>
      </c>
      <c r="F459" t="s">
        <v>3361</v>
      </c>
      <c r="G459" t="s">
        <v>2746</v>
      </c>
      <c r="H459" t="s">
        <v>922</v>
      </c>
      <c r="I459" t="s">
        <v>26</v>
      </c>
      <c r="J459" t="s">
        <v>3369</v>
      </c>
      <c r="K459" t="s">
        <v>605</v>
      </c>
      <c r="L459" t="s">
        <v>3375</v>
      </c>
      <c r="M459" t="s">
        <v>3364</v>
      </c>
      <c r="N459" t="s">
        <v>3365</v>
      </c>
      <c r="O459" t="s">
        <v>3366</v>
      </c>
      <c r="P459" t="s">
        <v>3382</v>
      </c>
    </row>
    <row r="460" spans="1:16" x14ac:dyDescent="0.3">
      <c r="A460" t="s">
        <v>1012</v>
      </c>
      <c r="B460" t="s">
        <v>26</v>
      </c>
      <c r="C460" t="s">
        <v>999</v>
      </c>
      <c r="F460" t="s">
        <v>3361</v>
      </c>
      <c r="G460" t="s">
        <v>2746</v>
      </c>
      <c r="H460" t="s">
        <v>922</v>
      </c>
      <c r="I460" t="s">
        <v>26</v>
      </c>
      <c r="J460" t="s">
        <v>3369</v>
      </c>
      <c r="K460" t="s">
        <v>605</v>
      </c>
      <c r="L460" t="s">
        <v>3375</v>
      </c>
      <c r="M460" t="s">
        <v>3364</v>
      </c>
      <c r="N460" t="s">
        <v>3365</v>
      </c>
      <c r="O460" t="s">
        <v>3366</v>
      </c>
      <c r="P460" t="s">
        <v>3382</v>
      </c>
    </row>
    <row r="461" spans="1:16" x14ac:dyDescent="0.3">
      <c r="A461" t="s">
        <v>1013</v>
      </c>
      <c r="B461" t="s">
        <v>26</v>
      </c>
      <c r="C461" t="s">
        <v>999</v>
      </c>
      <c r="F461" t="s">
        <v>3361</v>
      </c>
      <c r="G461" t="s">
        <v>2746</v>
      </c>
      <c r="H461" t="s">
        <v>922</v>
      </c>
      <c r="I461" t="s">
        <v>26</v>
      </c>
      <c r="J461" t="s">
        <v>3369</v>
      </c>
      <c r="K461" t="s">
        <v>605</v>
      </c>
      <c r="L461" t="s">
        <v>3375</v>
      </c>
      <c r="M461" t="s">
        <v>3364</v>
      </c>
      <c r="N461" t="s">
        <v>3365</v>
      </c>
      <c r="O461" t="s">
        <v>3366</v>
      </c>
      <c r="P461" t="s">
        <v>3382</v>
      </c>
    </row>
    <row r="462" spans="1:16" x14ac:dyDescent="0.3">
      <c r="A462" t="s">
        <v>967</v>
      </c>
      <c r="B462" t="s">
        <v>26</v>
      </c>
      <c r="C462" t="s">
        <v>1014</v>
      </c>
      <c r="F462" t="s">
        <v>3361</v>
      </c>
      <c r="G462" t="s">
        <v>2746</v>
      </c>
      <c r="H462" t="s">
        <v>709</v>
      </c>
      <c r="I462" t="s">
        <v>26</v>
      </c>
      <c r="J462" t="s">
        <v>3369</v>
      </c>
      <c r="K462" t="s">
        <v>605</v>
      </c>
      <c r="L462" t="s">
        <v>3375</v>
      </c>
      <c r="M462" t="s">
        <v>3364</v>
      </c>
      <c r="N462" t="s">
        <v>3365</v>
      </c>
      <c r="O462" t="s">
        <v>3366</v>
      </c>
      <c r="P462" t="s">
        <v>3382</v>
      </c>
    </row>
    <row r="463" spans="1:16" x14ac:dyDescent="0.3">
      <c r="A463" t="s">
        <v>1015</v>
      </c>
      <c r="B463" t="s">
        <v>26</v>
      </c>
      <c r="C463" t="s">
        <v>1014</v>
      </c>
      <c r="F463" t="s">
        <v>3361</v>
      </c>
      <c r="G463" t="s">
        <v>2746</v>
      </c>
      <c r="H463" t="s">
        <v>913</v>
      </c>
      <c r="I463" t="s">
        <v>26</v>
      </c>
      <c r="J463" t="s">
        <v>3369</v>
      </c>
      <c r="K463" t="s">
        <v>605</v>
      </c>
      <c r="L463" t="s">
        <v>3375</v>
      </c>
      <c r="M463" t="s">
        <v>3364</v>
      </c>
      <c r="N463" t="s">
        <v>3365</v>
      </c>
      <c r="O463" t="s">
        <v>3366</v>
      </c>
      <c r="P463" t="s">
        <v>3382</v>
      </c>
    </row>
    <row r="464" spans="1:16" x14ac:dyDescent="0.3">
      <c r="A464" t="s">
        <v>1016</v>
      </c>
      <c r="B464" t="s">
        <v>26</v>
      </c>
      <c r="C464" t="s">
        <v>1014</v>
      </c>
      <c r="F464" t="s">
        <v>3361</v>
      </c>
      <c r="G464" t="s">
        <v>2746</v>
      </c>
      <c r="H464" t="s">
        <v>913</v>
      </c>
      <c r="I464" t="s">
        <v>26</v>
      </c>
      <c r="J464" t="s">
        <v>3369</v>
      </c>
      <c r="K464" t="s">
        <v>605</v>
      </c>
      <c r="L464" t="s">
        <v>3375</v>
      </c>
      <c r="M464" t="s">
        <v>3364</v>
      </c>
      <c r="N464" t="s">
        <v>3365</v>
      </c>
      <c r="O464" t="s">
        <v>3366</v>
      </c>
      <c r="P464" t="s">
        <v>3382</v>
      </c>
    </row>
    <row r="465" spans="1:16" x14ac:dyDescent="0.3">
      <c r="A465" t="s">
        <v>1017</v>
      </c>
      <c r="B465" t="s">
        <v>26</v>
      </c>
      <c r="C465" t="s">
        <v>1014</v>
      </c>
      <c r="F465" t="s">
        <v>3361</v>
      </c>
      <c r="G465" t="s">
        <v>2746</v>
      </c>
      <c r="H465" t="s">
        <v>913</v>
      </c>
      <c r="I465" t="s">
        <v>26</v>
      </c>
      <c r="J465" t="s">
        <v>3369</v>
      </c>
      <c r="K465" t="s">
        <v>605</v>
      </c>
      <c r="L465" t="s">
        <v>3375</v>
      </c>
      <c r="M465" t="s">
        <v>3364</v>
      </c>
      <c r="N465" t="s">
        <v>3365</v>
      </c>
      <c r="O465" t="s">
        <v>3366</v>
      </c>
      <c r="P465" t="s">
        <v>3382</v>
      </c>
    </row>
    <row r="466" spans="1:16" x14ac:dyDescent="0.3">
      <c r="A466" t="s">
        <v>1018</v>
      </c>
      <c r="B466" t="s">
        <v>26</v>
      </c>
      <c r="C466" t="s">
        <v>1014</v>
      </c>
      <c r="F466" t="s">
        <v>3361</v>
      </c>
      <c r="G466" t="s">
        <v>2746</v>
      </c>
      <c r="H466" t="s">
        <v>913</v>
      </c>
      <c r="I466" t="s">
        <v>26</v>
      </c>
      <c r="J466" t="s">
        <v>3369</v>
      </c>
      <c r="K466" t="s">
        <v>605</v>
      </c>
      <c r="L466" t="s">
        <v>3375</v>
      </c>
      <c r="M466" t="s">
        <v>3364</v>
      </c>
      <c r="N466" t="s">
        <v>3365</v>
      </c>
      <c r="O466" t="s">
        <v>3366</v>
      </c>
      <c r="P466" t="s">
        <v>3382</v>
      </c>
    </row>
    <row r="467" spans="1:16" x14ac:dyDescent="0.3">
      <c r="A467" t="s">
        <v>1019</v>
      </c>
      <c r="B467" t="s">
        <v>26</v>
      </c>
      <c r="C467" t="s">
        <v>1014</v>
      </c>
      <c r="F467" t="s">
        <v>3361</v>
      </c>
      <c r="G467" t="s">
        <v>2746</v>
      </c>
      <c r="H467" t="s">
        <v>913</v>
      </c>
      <c r="I467" t="s">
        <v>26</v>
      </c>
      <c r="J467" t="s">
        <v>3369</v>
      </c>
      <c r="K467" t="s">
        <v>605</v>
      </c>
      <c r="L467" t="s">
        <v>3375</v>
      </c>
      <c r="M467" t="s">
        <v>3364</v>
      </c>
      <c r="N467" t="s">
        <v>3365</v>
      </c>
      <c r="O467" t="s">
        <v>3366</v>
      </c>
      <c r="P467" t="s">
        <v>3382</v>
      </c>
    </row>
    <row r="468" spans="1:16" x14ac:dyDescent="0.3">
      <c r="A468" t="s">
        <v>1020</v>
      </c>
      <c r="B468" t="s">
        <v>26</v>
      </c>
      <c r="C468" t="s">
        <v>1014</v>
      </c>
      <c r="F468" t="s">
        <v>3361</v>
      </c>
      <c r="G468" t="s">
        <v>2746</v>
      </c>
      <c r="H468" t="s">
        <v>913</v>
      </c>
      <c r="I468" t="s">
        <v>26</v>
      </c>
      <c r="J468" t="s">
        <v>3369</v>
      </c>
      <c r="K468" t="s">
        <v>605</v>
      </c>
      <c r="L468" t="s">
        <v>3375</v>
      </c>
      <c r="M468" t="s">
        <v>3364</v>
      </c>
      <c r="N468" t="s">
        <v>3365</v>
      </c>
      <c r="O468" t="s">
        <v>3366</v>
      </c>
      <c r="P468" t="s">
        <v>3382</v>
      </c>
    </row>
    <row r="469" spans="1:16" x14ac:dyDescent="0.3">
      <c r="A469" t="s">
        <v>1021</v>
      </c>
      <c r="B469" t="s">
        <v>26</v>
      </c>
      <c r="C469" t="s">
        <v>1014</v>
      </c>
      <c r="F469" t="s">
        <v>3361</v>
      </c>
      <c r="G469" t="s">
        <v>2746</v>
      </c>
      <c r="H469" t="s">
        <v>913</v>
      </c>
      <c r="I469" t="s">
        <v>26</v>
      </c>
      <c r="J469" t="s">
        <v>3369</v>
      </c>
      <c r="K469" t="s">
        <v>605</v>
      </c>
      <c r="L469" t="s">
        <v>3375</v>
      </c>
      <c r="M469" t="s">
        <v>3364</v>
      </c>
      <c r="N469" t="s">
        <v>3365</v>
      </c>
      <c r="O469" t="s">
        <v>3366</v>
      </c>
      <c r="P469" t="s">
        <v>3382</v>
      </c>
    </row>
    <row r="470" spans="1:16" x14ac:dyDescent="0.3">
      <c r="A470" t="s">
        <v>1022</v>
      </c>
      <c r="B470" t="s">
        <v>26</v>
      </c>
      <c r="C470" t="s">
        <v>1014</v>
      </c>
      <c r="F470" t="s">
        <v>3361</v>
      </c>
      <c r="G470" t="s">
        <v>2746</v>
      </c>
      <c r="H470" t="s">
        <v>913</v>
      </c>
      <c r="I470" t="s">
        <v>26</v>
      </c>
      <c r="J470" t="s">
        <v>3369</v>
      </c>
      <c r="K470" t="s">
        <v>605</v>
      </c>
      <c r="L470" t="s">
        <v>3375</v>
      </c>
      <c r="M470" t="s">
        <v>3364</v>
      </c>
      <c r="N470" t="s">
        <v>3365</v>
      </c>
      <c r="O470" t="s">
        <v>3366</v>
      </c>
      <c r="P470" t="s">
        <v>3382</v>
      </c>
    </row>
    <row r="471" spans="1:16" x14ac:dyDescent="0.3">
      <c r="A471" t="s">
        <v>1023</v>
      </c>
      <c r="B471" t="s">
        <v>26</v>
      </c>
      <c r="C471" t="s">
        <v>1014</v>
      </c>
      <c r="F471" t="s">
        <v>3361</v>
      </c>
      <c r="G471" t="s">
        <v>2746</v>
      </c>
      <c r="H471" t="s">
        <v>913</v>
      </c>
      <c r="I471" t="s">
        <v>26</v>
      </c>
      <c r="J471" t="s">
        <v>3369</v>
      </c>
      <c r="K471" t="s">
        <v>605</v>
      </c>
      <c r="L471" t="s">
        <v>3375</v>
      </c>
      <c r="M471" t="s">
        <v>3364</v>
      </c>
      <c r="N471" t="s">
        <v>3365</v>
      </c>
      <c r="O471" t="s">
        <v>3366</v>
      </c>
      <c r="P471" t="s">
        <v>3382</v>
      </c>
    </row>
    <row r="472" spans="1:16" x14ac:dyDescent="0.3">
      <c r="A472" t="s">
        <v>1024</v>
      </c>
      <c r="B472" t="s">
        <v>26</v>
      </c>
      <c r="C472" t="s">
        <v>1014</v>
      </c>
      <c r="F472" t="s">
        <v>3361</v>
      </c>
      <c r="G472" t="s">
        <v>2746</v>
      </c>
      <c r="H472" t="s">
        <v>922</v>
      </c>
      <c r="I472" t="s">
        <v>26</v>
      </c>
      <c r="J472" t="s">
        <v>3369</v>
      </c>
      <c r="K472" t="s">
        <v>605</v>
      </c>
      <c r="L472" t="s">
        <v>3375</v>
      </c>
      <c r="M472" t="s">
        <v>3364</v>
      </c>
      <c r="N472" t="s">
        <v>3365</v>
      </c>
      <c r="O472" t="s">
        <v>3366</v>
      </c>
      <c r="P472" t="s">
        <v>3382</v>
      </c>
    </row>
    <row r="473" spans="1:16" x14ac:dyDescent="0.3">
      <c r="A473" t="s">
        <v>1025</v>
      </c>
      <c r="B473" t="s">
        <v>26</v>
      </c>
      <c r="C473" t="s">
        <v>1014</v>
      </c>
      <c r="F473" t="s">
        <v>3361</v>
      </c>
      <c r="G473" t="s">
        <v>2746</v>
      </c>
      <c r="H473" t="s">
        <v>922</v>
      </c>
      <c r="I473" t="s">
        <v>26</v>
      </c>
      <c r="J473" t="s">
        <v>3369</v>
      </c>
      <c r="K473" t="s">
        <v>605</v>
      </c>
      <c r="L473" t="s">
        <v>3375</v>
      </c>
      <c r="M473" t="s">
        <v>3364</v>
      </c>
      <c r="N473" t="s">
        <v>3365</v>
      </c>
      <c r="O473" t="s">
        <v>3366</v>
      </c>
      <c r="P473" t="s">
        <v>3382</v>
      </c>
    </row>
    <row r="474" spans="1:16" x14ac:dyDescent="0.3">
      <c r="A474" t="s">
        <v>1026</v>
      </c>
      <c r="B474" t="s">
        <v>26</v>
      </c>
      <c r="C474" t="s">
        <v>1014</v>
      </c>
      <c r="F474" t="s">
        <v>3361</v>
      </c>
      <c r="G474" t="s">
        <v>2746</v>
      </c>
      <c r="H474" t="s">
        <v>922</v>
      </c>
      <c r="I474" t="s">
        <v>26</v>
      </c>
      <c r="J474" t="s">
        <v>3369</v>
      </c>
      <c r="K474" t="s">
        <v>605</v>
      </c>
      <c r="L474" t="s">
        <v>3375</v>
      </c>
      <c r="M474" t="s">
        <v>3364</v>
      </c>
      <c r="N474" t="s">
        <v>3365</v>
      </c>
      <c r="O474" t="s">
        <v>3366</v>
      </c>
      <c r="P474" t="s">
        <v>3382</v>
      </c>
    </row>
    <row r="475" spans="1:16" x14ac:dyDescent="0.3">
      <c r="A475" t="s">
        <v>1027</v>
      </c>
      <c r="B475" t="s">
        <v>26</v>
      </c>
      <c r="C475" t="s">
        <v>1014</v>
      </c>
      <c r="F475" t="s">
        <v>3361</v>
      </c>
      <c r="G475" t="s">
        <v>2746</v>
      </c>
      <c r="H475" t="s">
        <v>922</v>
      </c>
      <c r="I475" t="s">
        <v>26</v>
      </c>
      <c r="J475" t="s">
        <v>3369</v>
      </c>
      <c r="K475" t="s">
        <v>605</v>
      </c>
      <c r="L475" t="s">
        <v>3375</v>
      </c>
      <c r="M475" t="s">
        <v>3364</v>
      </c>
      <c r="N475" t="s">
        <v>3365</v>
      </c>
      <c r="O475" t="s">
        <v>3366</v>
      </c>
      <c r="P475" t="s">
        <v>3382</v>
      </c>
    </row>
    <row r="476" spans="1:16" x14ac:dyDescent="0.3">
      <c r="A476" t="s">
        <v>1028</v>
      </c>
      <c r="B476" t="s">
        <v>26</v>
      </c>
      <c r="C476" t="s">
        <v>1014</v>
      </c>
      <c r="F476" t="s">
        <v>3361</v>
      </c>
      <c r="G476" t="s">
        <v>2746</v>
      </c>
      <c r="H476" t="s">
        <v>922</v>
      </c>
      <c r="I476" t="s">
        <v>26</v>
      </c>
      <c r="J476" t="s">
        <v>3369</v>
      </c>
      <c r="K476" t="s">
        <v>605</v>
      </c>
      <c r="L476" t="s">
        <v>3375</v>
      </c>
      <c r="M476" t="s">
        <v>3364</v>
      </c>
      <c r="N476" t="s">
        <v>3365</v>
      </c>
      <c r="O476" t="s">
        <v>3366</v>
      </c>
      <c r="P476" t="s">
        <v>3382</v>
      </c>
    </row>
    <row r="477" spans="1:16" x14ac:dyDescent="0.3">
      <c r="A477" t="s">
        <v>337</v>
      </c>
      <c r="B477" t="s">
        <v>27</v>
      </c>
      <c r="C477" t="s">
        <v>337</v>
      </c>
      <c r="F477" t="s">
        <v>3361</v>
      </c>
      <c r="G477" t="s">
        <v>2746</v>
      </c>
      <c r="H477" t="s">
        <v>913</v>
      </c>
      <c r="I477" t="s">
        <v>27</v>
      </c>
      <c r="J477" t="s">
        <v>3362</v>
      </c>
      <c r="K477" t="s">
        <v>1661</v>
      </c>
      <c r="L477" t="s">
        <v>3386</v>
      </c>
      <c r="M477" t="s">
        <v>3364</v>
      </c>
      <c r="N477" t="s">
        <v>3365</v>
      </c>
      <c r="O477" t="s">
        <v>3366</v>
      </c>
      <c r="P477" t="s">
        <v>3367</v>
      </c>
    </row>
    <row r="478" spans="1:16" x14ac:dyDescent="0.3">
      <c r="A478" t="s">
        <v>1029</v>
      </c>
      <c r="B478" t="s">
        <v>27</v>
      </c>
      <c r="C478" t="s">
        <v>337</v>
      </c>
      <c r="F478" t="s">
        <v>3361</v>
      </c>
      <c r="G478" t="s">
        <v>2746</v>
      </c>
      <c r="H478" t="s">
        <v>913</v>
      </c>
      <c r="I478" t="s">
        <v>27</v>
      </c>
      <c r="J478" t="s">
        <v>3369</v>
      </c>
      <c r="K478" t="s">
        <v>1661</v>
      </c>
      <c r="L478" t="s">
        <v>3386</v>
      </c>
      <c r="M478" t="s">
        <v>3364</v>
      </c>
      <c r="N478" t="s">
        <v>3365</v>
      </c>
      <c r="O478" t="s">
        <v>3366</v>
      </c>
      <c r="P478" t="s">
        <v>3382</v>
      </c>
    </row>
    <row r="479" spans="1:16" x14ac:dyDescent="0.3">
      <c r="A479" t="s">
        <v>1030</v>
      </c>
      <c r="B479" t="s">
        <v>27</v>
      </c>
      <c r="C479" t="s">
        <v>337</v>
      </c>
      <c r="F479" t="s">
        <v>3361</v>
      </c>
      <c r="G479" t="s">
        <v>2746</v>
      </c>
      <c r="H479" t="s">
        <v>913</v>
      </c>
      <c r="I479" t="s">
        <v>27</v>
      </c>
      <c r="J479" t="s">
        <v>3369</v>
      </c>
      <c r="K479" t="s">
        <v>1661</v>
      </c>
      <c r="L479" t="s">
        <v>3386</v>
      </c>
      <c r="M479" t="s">
        <v>3364</v>
      </c>
      <c r="N479" t="s">
        <v>3365</v>
      </c>
      <c r="O479" t="s">
        <v>3366</v>
      </c>
      <c r="P479" t="s">
        <v>3382</v>
      </c>
    </row>
    <row r="480" spans="1:16" x14ac:dyDescent="0.3">
      <c r="A480" t="s">
        <v>1031</v>
      </c>
      <c r="B480" t="s">
        <v>27</v>
      </c>
      <c r="C480" t="s">
        <v>337</v>
      </c>
      <c r="F480" t="s">
        <v>3361</v>
      </c>
      <c r="G480" t="s">
        <v>2746</v>
      </c>
      <c r="H480" t="s">
        <v>913</v>
      </c>
      <c r="I480" t="s">
        <v>27</v>
      </c>
      <c r="J480" t="s">
        <v>3369</v>
      </c>
      <c r="K480" t="s">
        <v>1661</v>
      </c>
      <c r="L480" t="s">
        <v>3386</v>
      </c>
      <c r="M480" t="s">
        <v>3364</v>
      </c>
      <c r="N480" t="s">
        <v>3365</v>
      </c>
      <c r="O480" t="s">
        <v>3366</v>
      </c>
      <c r="P480" t="s">
        <v>3382</v>
      </c>
    </row>
    <row r="481" spans="1:16" x14ac:dyDescent="0.3">
      <c r="A481" t="s">
        <v>1032</v>
      </c>
      <c r="B481" t="s">
        <v>27</v>
      </c>
      <c r="C481" t="s">
        <v>337</v>
      </c>
      <c r="F481" t="s">
        <v>3361</v>
      </c>
      <c r="G481" t="s">
        <v>2746</v>
      </c>
      <c r="H481" t="s">
        <v>922</v>
      </c>
      <c r="I481" t="s">
        <v>27</v>
      </c>
      <c r="J481" t="s">
        <v>3369</v>
      </c>
      <c r="K481" t="s">
        <v>1661</v>
      </c>
      <c r="L481" t="s">
        <v>3386</v>
      </c>
      <c r="M481" t="s">
        <v>3364</v>
      </c>
      <c r="N481" t="s">
        <v>3365</v>
      </c>
      <c r="O481" t="s">
        <v>3366</v>
      </c>
      <c r="P481" t="s">
        <v>3382</v>
      </c>
    </row>
    <row r="482" spans="1:16" x14ac:dyDescent="0.3">
      <c r="A482" t="s">
        <v>1033</v>
      </c>
      <c r="B482" t="s">
        <v>27</v>
      </c>
      <c r="C482" t="s">
        <v>337</v>
      </c>
      <c r="F482" t="s">
        <v>3361</v>
      </c>
      <c r="G482" t="s">
        <v>2746</v>
      </c>
      <c r="H482" t="s">
        <v>922</v>
      </c>
      <c r="I482" t="s">
        <v>27</v>
      </c>
      <c r="J482" t="s">
        <v>3369</v>
      </c>
      <c r="K482" t="s">
        <v>1661</v>
      </c>
      <c r="L482" t="s">
        <v>3386</v>
      </c>
      <c r="M482" t="s">
        <v>3364</v>
      </c>
      <c r="N482" t="s">
        <v>3365</v>
      </c>
      <c r="O482" t="s">
        <v>3366</v>
      </c>
      <c r="P482" t="s">
        <v>3382</v>
      </c>
    </row>
    <row r="483" spans="1:16" x14ac:dyDescent="0.3">
      <c r="A483" t="s">
        <v>1034</v>
      </c>
      <c r="B483" t="s">
        <v>27</v>
      </c>
      <c r="C483" t="s">
        <v>337</v>
      </c>
      <c r="F483" t="s">
        <v>3361</v>
      </c>
      <c r="G483" t="s">
        <v>2746</v>
      </c>
      <c r="H483" t="s">
        <v>922</v>
      </c>
      <c r="I483" t="s">
        <v>27</v>
      </c>
      <c r="J483" t="s">
        <v>3369</v>
      </c>
      <c r="K483" t="s">
        <v>1661</v>
      </c>
      <c r="L483" t="s">
        <v>3386</v>
      </c>
      <c r="M483" t="s">
        <v>3364</v>
      </c>
      <c r="N483" t="s">
        <v>3365</v>
      </c>
      <c r="O483" t="s">
        <v>3366</v>
      </c>
      <c r="P483" t="s">
        <v>3382</v>
      </c>
    </row>
    <row r="484" spans="1:16" x14ac:dyDescent="0.3">
      <c r="A484" t="s">
        <v>341</v>
      </c>
      <c r="B484" t="s">
        <v>27</v>
      </c>
      <c r="C484" t="s">
        <v>341</v>
      </c>
      <c r="F484" t="s">
        <v>3361</v>
      </c>
      <c r="G484" t="s">
        <v>2746</v>
      </c>
      <c r="H484" t="s">
        <v>913</v>
      </c>
      <c r="I484" t="s">
        <v>27</v>
      </c>
      <c r="J484" t="s">
        <v>3369</v>
      </c>
      <c r="K484" t="s">
        <v>1661</v>
      </c>
      <c r="L484" t="s">
        <v>3386</v>
      </c>
      <c r="M484" t="s">
        <v>3364</v>
      </c>
      <c r="N484" t="s">
        <v>3365</v>
      </c>
      <c r="O484" t="s">
        <v>3366</v>
      </c>
      <c r="P484" t="s">
        <v>3382</v>
      </c>
    </row>
    <row r="485" spans="1:16" x14ac:dyDescent="0.3">
      <c r="A485" t="s">
        <v>1035</v>
      </c>
      <c r="B485" t="s">
        <v>27</v>
      </c>
      <c r="C485" t="s">
        <v>341</v>
      </c>
      <c r="F485" t="s">
        <v>3361</v>
      </c>
      <c r="G485" t="s">
        <v>2746</v>
      </c>
      <c r="H485" t="s">
        <v>913</v>
      </c>
      <c r="I485" t="s">
        <v>27</v>
      </c>
      <c r="J485" t="s">
        <v>3369</v>
      </c>
      <c r="K485" t="s">
        <v>1661</v>
      </c>
      <c r="L485" t="s">
        <v>3386</v>
      </c>
      <c r="M485" t="s">
        <v>3364</v>
      </c>
      <c r="N485" t="s">
        <v>3365</v>
      </c>
      <c r="O485" t="s">
        <v>3366</v>
      </c>
      <c r="P485" t="s">
        <v>3382</v>
      </c>
    </row>
    <row r="486" spans="1:16" x14ac:dyDescent="0.3">
      <c r="A486" t="s">
        <v>1036</v>
      </c>
      <c r="B486" t="s">
        <v>27</v>
      </c>
      <c r="C486" t="s">
        <v>341</v>
      </c>
      <c r="F486" t="s">
        <v>3361</v>
      </c>
      <c r="G486" t="s">
        <v>2746</v>
      </c>
      <c r="H486" t="s">
        <v>913</v>
      </c>
      <c r="I486" t="s">
        <v>27</v>
      </c>
      <c r="J486" t="s">
        <v>3369</v>
      </c>
      <c r="K486" t="s">
        <v>1661</v>
      </c>
      <c r="L486" t="s">
        <v>3386</v>
      </c>
      <c r="M486" t="s">
        <v>3364</v>
      </c>
      <c r="N486" t="s">
        <v>3365</v>
      </c>
      <c r="O486" t="s">
        <v>3366</v>
      </c>
      <c r="P486" t="s">
        <v>3382</v>
      </c>
    </row>
    <row r="487" spans="1:16" x14ac:dyDescent="0.3">
      <c r="A487" t="s">
        <v>1037</v>
      </c>
      <c r="B487" t="s">
        <v>27</v>
      </c>
      <c r="C487" t="s">
        <v>341</v>
      </c>
      <c r="F487" t="s">
        <v>3361</v>
      </c>
      <c r="G487" t="s">
        <v>2746</v>
      </c>
      <c r="H487" t="s">
        <v>913</v>
      </c>
      <c r="I487" t="s">
        <v>27</v>
      </c>
      <c r="J487" t="s">
        <v>3369</v>
      </c>
      <c r="K487" t="s">
        <v>1661</v>
      </c>
      <c r="L487" t="s">
        <v>3386</v>
      </c>
      <c r="M487" t="s">
        <v>3364</v>
      </c>
      <c r="N487" t="s">
        <v>3365</v>
      </c>
      <c r="O487" t="s">
        <v>3366</v>
      </c>
      <c r="P487" t="s">
        <v>3382</v>
      </c>
    </row>
    <row r="488" spans="1:16" x14ac:dyDescent="0.3">
      <c r="A488" t="s">
        <v>1031</v>
      </c>
      <c r="B488" t="s">
        <v>27</v>
      </c>
      <c r="C488" t="s">
        <v>341</v>
      </c>
      <c r="F488" t="s">
        <v>3361</v>
      </c>
      <c r="G488" t="s">
        <v>2746</v>
      </c>
      <c r="H488" t="s">
        <v>913</v>
      </c>
      <c r="I488" t="s">
        <v>27</v>
      </c>
      <c r="J488" t="s">
        <v>3369</v>
      </c>
      <c r="K488" t="s">
        <v>1661</v>
      </c>
      <c r="L488" t="s">
        <v>3386</v>
      </c>
      <c r="M488" t="s">
        <v>3364</v>
      </c>
      <c r="N488" t="s">
        <v>3365</v>
      </c>
      <c r="O488" t="s">
        <v>3366</v>
      </c>
      <c r="P488" t="s">
        <v>3382</v>
      </c>
    </row>
    <row r="489" spans="1:16" x14ac:dyDescent="0.3">
      <c r="A489" t="s">
        <v>1038</v>
      </c>
      <c r="B489" t="s">
        <v>27</v>
      </c>
      <c r="C489" t="s">
        <v>341</v>
      </c>
      <c r="F489" t="s">
        <v>3361</v>
      </c>
      <c r="G489" t="s">
        <v>2746</v>
      </c>
      <c r="H489" t="s">
        <v>922</v>
      </c>
      <c r="I489" t="s">
        <v>27</v>
      </c>
      <c r="J489" t="s">
        <v>3369</v>
      </c>
      <c r="K489" t="s">
        <v>1661</v>
      </c>
      <c r="L489" t="s">
        <v>3386</v>
      </c>
      <c r="M489" t="s">
        <v>3364</v>
      </c>
      <c r="N489" t="s">
        <v>3365</v>
      </c>
      <c r="O489" t="s">
        <v>3366</v>
      </c>
      <c r="P489" t="s">
        <v>3382</v>
      </c>
    </row>
    <row r="490" spans="1:16" x14ac:dyDescent="0.3">
      <c r="A490" t="s">
        <v>1039</v>
      </c>
      <c r="B490" t="s">
        <v>27</v>
      </c>
      <c r="C490" t="s">
        <v>341</v>
      </c>
      <c r="F490" t="s">
        <v>3361</v>
      </c>
      <c r="G490" t="s">
        <v>2746</v>
      </c>
      <c r="H490" t="s">
        <v>922</v>
      </c>
      <c r="I490" t="s">
        <v>27</v>
      </c>
      <c r="J490" t="s">
        <v>3369</v>
      </c>
      <c r="K490" t="s">
        <v>1661</v>
      </c>
      <c r="L490" t="s">
        <v>3386</v>
      </c>
      <c r="M490" t="s">
        <v>3364</v>
      </c>
      <c r="N490" t="s">
        <v>3365</v>
      </c>
      <c r="O490" t="s">
        <v>3366</v>
      </c>
      <c r="P490" t="s">
        <v>3382</v>
      </c>
    </row>
    <row r="491" spans="1:16" x14ac:dyDescent="0.3">
      <c r="A491" t="s">
        <v>1040</v>
      </c>
      <c r="B491" t="s">
        <v>27</v>
      </c>
      <c r="C491" t="s">
        <v>341</v>
      </c>
      <c r="F491" t="s">
        <v>3361</v>
      </c>
      <c r="G491" t="s">
        <v>2746</v>
      </c>
      <c r="H491" t="s">
        <v>922</v>
      </c>
      <c r="I491" t="s">
        <v>27</v>
      </c>
      <c r="J491" t="s">
        <v>3369</v>
      </c>
      <c r="K491" t="s">
        <v>1661</v>
      </c>
      <c r="L491" t="s">
        <v>3386</v>
      </c>
      <c r="M491" t="s">
        <v>3364</v>
      </c>
      <c r="N491" t="s">
        <v>3365</v>
      </c>
      <c r="O491" t="s">
        <v>3366</v>
      </c>
      <c r="P491" t="s">
        <v>3382</v>
      </c>
    </row>
    <row r="492" spans="1:16" x14ac:dyDescent="0.3">
      <c r="A492" t="s">
        <v>1041</v>
      </c>
      <c r="B492" t="s">
        <v>27</v>
      </c>
      <c r="C492" t="s">
        <v>343</v>
      </c>
      <c r="F492" t="s">
        <v>3361</v>
      </c>
      <c r="G492" t="s">
        <v>2746</v>
      </c>
      <c r="H492" t="s">
        <v>913</v>
      </c>
      <c r="I492" t="s">
        <v>27</v>
      </c>
      <c r="J492" t="s">
        <v>3369</v>
      </c>
      <c r="K492" t="s">
        <v>1661</v>
      </c>
      <c r="L492" t="s">
        <v>3386</v>
      </c>
      <c r="M492" t="s">
        <v>3364</v>
      </c>
      <c r="N492" t="s">
        <v>3365</v>
      </c>
      <c r="O492" t="s">
        <v>3366</v>
      </c>
      <c r="P492" t="s">
        <v>3382</v>
      </c>
    </row>
    <row r="493" spans="1:16" x14ac:dyDescent="0.3">
      <c r="A493" t="s">
        <v>1042</v>
      </c>
      <c r="B493" t="s">
        <v>27</v>
      </c>
      <c r="C493" t="s">
        <v>343</v>
      </c>
      <c r="F493" t="s">
        <v>3361</v>
      </c>
      <c r="G493" t="s">
        <v>2746</v>
      </c>
      <c r="H493" t="s">
        <v>913</v>
      </c>
      <c r="I493" t="s">
        <v>27</v>
      </c>
      <c r="J493" t="s">
        <v>3369</v>
      </c>
      <c r="K493" t="s">
        <v>1661</v>
      </c>
      <c r="L493" t="s">
        <v>3386</v>
      </c>
      <c r="M493" t="s">
        <v>3364</v>
      </c>
      <c r="N493" t="s">
        <v>3365</v>
      </c>
      <c r="O493" t="s">
        <v>3366</v>
      </c>
      <c r="P493" t="s">
        <v>3382</v>
      </c>
    </row>
    <row r="494" spans="1:16" x14ac:dyDescent="0.3">
      <c r="A494" t="s">
        <v>1043</v>
      </c>
      <c r="B494" t="s">
        <v>27</v>
      </c>
      <c r="C494" t="s">
        <v>343</v>
      </c>
      <c r="F494" t="s">
        <v>3361</v>
      </c>
      <c r="G494" t="s">
        <v>2746</v>
      </c>
      <c r="H494" t="s">
        <v>913</v>
      </c>
      <c r="I494" t="s">
        <v>27</v>
      </c>
      <c r="J494" t="s">
        <v>3369</v>
      </c>
      <c r="K494" t="s">
        <v>1661</v>
      </c>
      <c r="L494" t="s">
        <v>3386</v>
      </c>
      <c r="M494" t="s">
        <v>3364</v>
      </c>
      <c r="N494" t="s">
        <v>3365</v>
      </c>
      <c r="O494" t="s">
        <v>3366</v>
      </c>
      <c r="P494" t="s">
        <v>3382</v>
      </c>
    </row>
    <row r="495" spans="1:16" x14ac:dyDescent="0.3">
      <c r="A495" t="s">
        <v>1031</v>
      </c>
      <c r="B495" t="s">
        <v>27</v>
      </c>
      <c r="C495" t="s">
        <v>343</v>
      </c>
      <c r="F495" t="s">
        <v>3361</v>
      </c>
      <c r="G495" t="s">
        <v>2746</v>
      </c>
      <c r="H495" t="s">
        <v>913</v>
      </c>
      <c r="I495" t="s">
        <v>27</v>
      </c>
      <c r="J495" t="s">
        <v>3369</v>
      </c>
      <c r="K495" t="s">
        <v>1661</v>
      </c>
      <c r="L495" t="s">
        <v>3386</v>
      </c>
      <c r="M495" t="s">
        <v>3364</v>
      </c>
      <c r="N495" t="s">
        <v>3365</v>
      </c>
      <c r="O495" t="s">
        <v>3366</v>
      </c>
      <c r="P495" t="s">
        <v>3382</v>
      </c>
    </row>
    <row r="496" spans="1:16" x14ac:dyDescent="0.3">
      <c r="A496" t="s">
        <v>1032</v>
      </c>
      <c r="B496" t="s">
        <v>27</v>
      </c>
      <c r="C496" t="s">
        <v>343</v>
      </c>
      <c r="F496" t="s">
        <v>3361</v>
      </c>
      <c r="G496" t="s">
        <v>2746</v>
      </c>
      <c r="H496" t="s">
        <v>922</v>
      </c>
      <c r="I496" t="s">
        <v>27</v>
      </c>
      <c r="J496" t="s">
        <v>3369</v>
      </c>
      <c r="K496" t="s">
        <v>1661</v>
      </c>
      <c r="L496" t="s">
        <v>3386</v>
      </c>
      <c r="M496" t="s">
        <v>3364</v>
      </c>
      <c r="N496" t="s">
        <v>3365</v>
      </c>
      <c r="O496" t="s">
        <v>3366</v>
      </c>
      <c r="P496" t="s">
        <v>3382</v>
      </c>
    </row>
    <row r="497" spans="1:16" x14ac:dyDescent="0.3">
      <c r="A497" t="s">
        <v>1044</v>
      </c>
      <c r="B497" t="s">
        <v>27</v>
      </c>
      <c r="C497" t="s">
        <v>343</v>
      </c>
      <c r="F497" t="s">
        <v>3361</v>
      </c>
      <c r="G497" t="s">
        <v>2746</v>
      </c>
      <c r="H497" t="s">
        <v>922</v>
      </c>
      <c r="I497" t="s">
        <v>27</v>
      </c>
      <c r="J497" t="s">
        <v>3369</v>
      </c>
      <c r="K497" t="s">
        <v>1661</v>
      </c>
      <c r="L497" t="s">
        <v>3386</v>
      </c>
      <c r="M497" t="s">
        <v>3364</v>
      </c>
      <c r="N497" t="s">
        <v>3365</v>
      </c>
      <c r="O497" t="s">
        <v>3366</v>
      </c>
      <c r="P497" t="s">
        <v>3382</v>
      </c>
    </row>
    <row r="498" spans="1:16" x14ac:dyDescent="0.3">
      <c r="A498" t="s">
        <v>1045</v>
      </c>
      <c r="B498" t="s">
        <v>27</v>
      </c>
      <c r="C498" t="s">
        <v>343</v>
      </c>
      <c r="F498" t="s">
        <v>3361</v>
      </c>
      <c r="G498" t="s">
        <v>2746</v>
      </c>
      <c r="H498" t="s">
        <v>922</v>
      </c>
      <c r="I498" t="s">
        <v>27</v>
      </c>
      <c r="J498" t="s">
        <v>3369</v>
      </c>
      <c r="K498" t="s">
        <v>1661</v>
      </c>
      <c r="L498" t="s">
        <v>3386</v>
      </c>
      <c r="M498" t="s">
        <v>3364</v>
      </c>
      <c r="N498" t="s">
        <v>3365</v>
      </c>
      <c r="O498" t="s">
        <v>3366</v>
      </c>
      <c r="P498" t="s">
        <v>3382</v>
      </c>
    </row>
    <row r="499" spans="1:16" x14ac:dyDescent="0.3">
      <c r="A499" t="s">
        <v>1046</v>
      </c>
      <c r="B499" t="s">
        <v>27</v>
      </c>
      <c r="C499" t="s">
        <v>343</v>
      </c>
      <c r="F499" t="s">
        <v>3361</v>
      </c>
      <c r="G499" t="s">
        <v>2746</v>
      </c>
      <c r="H499" t="s">
        <v>922</v>
      </c>
      <c r="I499" t="s">
        <v>27</v>
      </c>
      <c r="J499" t="s">
        <v>3369</v>
      </c>
      <c r="K499" t="s">
        <v>1661</v>
      </c>
      <c r="L499" t="s">
        <v>3386</v>
      </c>
      <c r="M499" t="s">
        <v>3364</v>
      </c>
      <c r="N499" t="s">
        <v>3365</v>
      </c>
      <c r="O499" t="s">
        <v>3366</v>
      </c>
      <c r="P499" t="s">
        <v>3382</v>
      </c>
    </row>
    <row r="500" spans="1:16" x14ac:dyDescent="0.3">
      <c r="A500" t="s">
        <v>1029</v>
      </c>
      <c r="B500" t="s">
        <v>27</v>
      </c>
      <c r="C500" t="s">
        <v>345</v>
      </c>
      <c r="F500" t="s">
        <v>3361</v>
      </c>
      <c r="G500" t="s">
        <v>2746</v>
      </c>
      <c r="H500" t="s">
        <v>913</v>
      </c>
      <c r="I500" t="s">
        <v>27</v>
      </c>
      <c r="J500" t="s">
        <v>3369</v>
      </c>
      <c r="K500" t="s">
        <v>1661</v>
      </c>
      <c r="L500" t="s">
        <v>3386</v>
      </c>
      <c r="M500" t="s">
        <v>3364</v>
      </c>
      <c r="N500" t="s">
        <v>3365</v>
      </c>
      <c r="O500" t="s">
        <v>3366</v>
      </c>
      <c r="P500" t="s">
        <v>3382</v>
      </c>
    </row>
    <row r="501" spans="1:16" x14ac:dyDescent="0.3">
      <c r="A501" t="s">
        <v>1042</v>
      </c>
      <c r="B501" t="s">
        <v>27</v>
      </c>
      <c r="C501" t="s">
        <v>345</v>
      </c>
      <c r="F501" t="s">
        <v>3361</v>
      </c>
      <c r="G501" t="s">
        <v>2746</v>
      </c>
      <c r="H501" t="s">
        <v>913</v>
      </c>
      <c r="I501" t="s">
        <v>27</v>
      </c>
      <c r="J501" t="s">
        <v>3369</v>
      </c>
      <c r="K501" t="s">
        <v>1661</v>
      </c>
      <c r="L501" t="s">
        <v>3386</v>
      </c>
      <c r="M501" t="s">
        <v>3364</v>
      </c>
      <c r="N501" t="s">
        <v>3365</v>
      </c>
      <c r="O501" t="s">
        <v>3366</v>
      </c>
      <c r="P501" t="s">
        <v>3382</v>
      </c>
    </row>
    <row r="502" spans="1:16" x14ac:dyDescent="0.3">
      <c r="A502" t="s">
        <v>1041</v>
      </c>
      <c r="B502" t="s">
        <v>27</v>
      </c>
      <c r="C502" t="s">
        <v>345</v>
      </c>
      <c r="F502" t="s">
        <v>3361</v>
      </c>
      <c r="G502" t="s">
        <v>2746</v>
      </c>
      <c r="H502" t="s">
        <v>913</v>
      </c>
      <c r="I502" t="s">
        <v>27</v>
      </c>
      <c r="J502" t="s">
        <v>3369</v>
      </c>
      <c r="K502" t="s">
        <v>1661</v>
      </c>
      <c r="L502" t="s">
        <v>3386</v>
      </c>
      <c r="M502" t="s">
        <v>3364</v>
      </c>
      <c r="N502" t="s">
        <v>3365</v>
      </c>
      <c r="O502" t="s">
        <v>3366</v>
      </c>
      <c r="P502" t="s">
        <v>3382</v>
      </c>
    </row>
    <row r="503" spans="1:16" x14ac:dyDescent="0.3">
      <c r="A503" t="s">
        <v>1035</v>
      </c>
      <c r="B503" t="s">
        <v>27</v>
      </c>
      <c r="C503" t="s">
        <v>345</v>
      </c>
      <c r="F503" t="s">
        <v>3361</v>
      </c>
      <c r="G503" t="s">
        <v>2746</v>
      </c>
      <c r="H503" t="s">
        <v>913</v>
      </c>
      <c r="I503" t="s">
        <v>27</v>
      </c>
      <c r="J503" t="s">
        <v>3369</v>
      </c>
      <c r="K503" t="s">
        <v>1661</v>
      </c>
      <c r="L503" t="s">
        <v>3386</v>
      </c>
      <c r="M503" t="s">
        <v>3364</v>
      </c>
      <c r="N503" t="s">
        <v>3365</v>
      </c>
      <c r="O503" t="s">
        <v>3366</v>
      </c>
      <c r="P503" t="s">
        <v>3382</v>
      </c>
    </row>
    <row r="504" spans="1:16" x14ac:dyDescent="0.3">
      <c r="A504" t="s">
        <v>1032</v>
      </c>
      <c r="B504" t="s">
        <v>27</v>
      </c>
      <c r="C504" t="s">
        <v>345</v>
      </c>
      <c r="F504" t="s">
        <v>3361</v>
      </c>
      <c r="G504" t="s">
        <v>2746</v>
      </c>
      <c r="H504" t="s">
        <v>922</v>
      </c>
      <c r="I504" t="s">
        <v>27</v>
      </c>
      <c r="J504" t="s">
        <v>3369</v>
      </c>
      <c r="K504" t="s">
        <v>1661</v>
      </c>
      <c r="L504" t="s">
        <v>3386</v>
      </c>
      <c r="M504" t="s">
        <v>3364</v>
      </c>
      <c r="N504" t="s">
        <v>3365</v>
      </c>
      <c r="O504" t="s">
        <v>3366</v>
      </c>
      <c r="P504" t="s">
        <v>3382</v>
      </c>
    </row>
    <row r="505" spans="1:16" x14ac:dyDescent="0.3">
      <c r="A505" t="s">
        <v>1046</v>
      </c>
      <c r="B505" t="s">
        <v>27</v>
      </c>
      <c r="C505" t="s">
        <v>345</v>
      </c>
      <c r="F505" t="s">
        <v>3361</v>
      </c>
      <c r="G505" t="s">
        <v>2746</v>
      </c>
      <c r="H505" t="s">
        <v>922</v>
      </c>
      <c r="I505" t="s">
        <v>27</v>
      </c>
      <c r="J505" t="s">
        <v>3369</v>
      </c>
      <c r="K505" t="s">
        <v>1661</v>
      </c>
      <c r="L505" t="s">
        <v>3386</v>
      </c>
      <c r="M505" t="s">
        <v>3364</v>
      </c>
      <c r="N505" t="s">
        <v>3365</v>
      </c>
      <c r="O505" t="s">
        <v>3366</v>
      </c>
      <c r="P505" t="s">
        <v>3382</v>
      </c>
    </row>
    <row r="506" spans="1:16" x14ac:dyDescent="0.3">
      <c r="A506" t="s">
        <v>1040</v>
      </c>
      <c r="B506" t="s">
        <v>27</v>
      </c>
      <c r="C506" t="s">
        <v>345</v>
      </c>
      <c r="F506" t="s">
        <v>3361</v>
      </c>
      <c r="G506" t="s">
        <v>2746</v>
      </c>
      <c r="H506" t="s">
        <v>922</v>
      </c>
      <c r="I506" t="s">
        <v>27</v>
      </c>
      <c r="J506" t="s">
        <v>3369</v>
      </c>
      <c r="K506" t="s">
        <v>1661</v>
      </c>
      <c r="L506" t="s">
        <v>3386</v>
      </c>
      <c r="M506" t="s">
        <v>3364</v>
      </c>
      <c r="N506" t="s">
        <v>3365</v>
      </c>
      <c r="O506" t="s">
        <v>3366</v>
      </c>
      <c r="P506" t="s">
        <v>3382</v>
      </c>
    </row>
    <row r="507" spans="1:16" x14ac:dyDescent="0.3">
      <c r="A507" t="s">
        <v>1033</v>
      </c>
      <c r="B507" t="s">
        <v>27</v>
      </c>
      <c r="C507" t="s">
        <v>345</v>
      </c>
      <c r="F507" t="s">
        <v>3361</v>
      </c>
      <c r="G507" t="s">
        <v>2746</v>
      </c>
      <c r="H507" t="s">
        <v>922</v>
      </c>
      <c r="I507" t="s">
        <v>27</v>
      </c>
      <c r="J507" t="s">
        <v>3369</v>
      </c>
      <c r="K507" t="s">
        <v>1661</v>
      </c>
      <c r="L507" t="s">
        <v>3386</v>
      </c>
      <c r="M507" t="s">
        <v>3364</v>
      </c>
      <c r="N507" t="s">
        <v>3365</v>
      </c>
      <c r="O507" t="s">
        <v>3366</v>
      </c>
      <c r="P507" t="s">
        <v>3382</v>
      </c>
    </row>
    <row r="508" spans="1:16" x14ac:dyDescent="0.3">
      <c r="A508" t="s">
        <v>1029</v>
      </c>
      <c r="B508" t="s">
        <v>27</v>
      </c>
      <c r="C508" t="s">
        <v>347</v>
      </c>
      <c r="F508" t="s">
        <v>3361</v>
      </c>
      <c r="G508" t="s">
        <v>2746</v>
      </c>
      <c r="H508" t="s">
        <v>913</v>
      </c>
      <c r="I508" t="s">
        <v>27</v>
      </c>
      <c r="J508" t="s">
        <v>3369</v>
      </c>
      <c r="K508" t="s">
        <v>1661</v>
      </c>
      <c r="L508" t="s">
        <v>3386</v>
      </c>
      <c r="M508" t="s">
        <v>3364</v>
      </c>
      <c r="N508" t="s">
        <v>3365</v>
      </c>
      <c r="O508" t="s">
        <v>3366</v>
      </c>
      <c r="P508" t="s">
        <v>3382</v>
      </c>
    </row>
    <row r="509" spans="1:16" x14ac:dyDescent="0.3">
      <c r="A509" t="s">
        <v>1042</v>
      </c>
      <c r="B509" t="s">
        <v>27</v>
      </c>
      <c r="C509" t="s">
        <v>347</v>
      </c>
      <c r="F509" t="s">
        <v>3361</v>
      </c>
      <c r="G509" t="s">
        <v>2746</v>
      </c>
      <c r="H509" t="s">
        <v>913</v>
      </c>
      <c r="I509" t="s">
        <v>27</v>
      </c>
      <c r="J509" t="s">
        <v>3369</v>
      </c>
      <c r="K509" t="s">
        <v>1661</v>
      </c>
      <c r="L509" t="s">
        <v>3386</v>
      </c>
      <c r="M509" t="s">
        <v>3364</v>
      </c>
      <c r="N509" t="s">
        <v>3365</v>
      </c>
      <c r="O509" t="s">
        <v>3366</v>
      </c>
      <c r="P509" t="s">
        <v>3382</v>
      </c>
    </row>
    <row r="510" spans="1:16" x14ac:dyDescent="0.3">
      <c r="A510" t="s">
        <v>1031</v>
      </c>
      <c r="B510" t="s">
        <v>27</v>
      </c>
      <c r="C510" t="s">
        <v>347</v>
      </c>
      <c r="F510" t="s">
        <v>3361</v>
      </c>
      <c r="G510" t="s">
        <v>2746</v>
      </c>
      <c r="H510" t="s">
        <v>913</v>
      </c>
      <c r="I510" t="s">
        <v>27</v>
      </c>
      <c r="J510" t="s">
        <v>3369</v>
      </c>
      <c r="K510" t="s">
        <v>1661</v>
      </c>
      <c r="L510" t="s">
        <v>3386</v>
      </c>
      <c r="M510" t="s">
        <v>3364</v>
      </c>
      <c r="N510" t="s">
        <v>3365</v>
      </c>
      <c r="O510" t="s">
        <v>3366</v>
      </c>
      <c r="P510" t="s">
        <v>3382</v>
      </c>
    </row>
    <row r="511" spans="1:16" x14ac:dyDescent="0.3">
      <c r="A511" t="s">
        <v>337</v>
      </c>
      <c r="B511" t="s">
        <v>27</v>
      </c>
      <c r="C511" t="s">
        <v>347</v>
      </c>
      <c r="F511" t="s">
        <v>3361</v>
      </c>
      <c r="G511" t="s">
        <v>2746</v>
      </c>
      <c r="H511" t="s">
        <v>913</v>
      </c>
      <c r="I511" t="s">
        <v>27</v>
      </c>
      <c r="J511" t="s">
        <v>3362</v>
      </c>
      <c r="K511" t="s">
        <v>1661</v>
      </c>
      <c r="L511" t="s">
        <v>3386</v>
      </c>
      <c r="M511" t="s">
        <v>3364</v>
      </c>
      <c r="N511" t="s">
        <v>3365</v>
      </c>
      <c r="O511" t="s">
        <v>3366</v>
      </c>
      <c r="P511" t="s">
        <v>3367</v>
      </c>
    </row>
    <row r="512" spans="1:16" x14ac:dyDescent="0.3">
      <c r="A512" t="s">
        <v>1033</v>
      </c>
      <c r="B512" t="s">
        <v>27</v>
      </c>
      <c r="C512" t="s">
        <v>347</v>
      </c>
      <c r="F512" t="s">
        <v>3361</v>
      </c>
      <c r="G512" t="s">
        <v>2746</v>
      </c>
      <c r="H512" t="s">
        <v>922</v>
      </c>
      <c r="I512" t="s">
        <v>27</v>
      </c>
      <c r="J512" t="s">
        <v>3369</v>
      </c>
      <c r="K512" t="s">
        <v>1661</v>
      </c>
      <c r="L512" t="s">
        <v>3386</v>
      </c>
      <c r="M512" t="s">
        <v>3364</v>
      </c>
      <c r="N512" t="s">
        <v>3365</v>
      </c>
      <c r="O512" t="s">
        <v>3366</v>
      </c>
      <c r="P512" t="s">
        <v>3382</v>
      </c>
    </row>
    <row r="513" spans="1:16" x14ac:dyDescent="0.3">
      <c r="A513" t="s">
        <v>1034</v>
      </c>
      <c r="B513" t="s">
        <v>27</v>
      </c>
      <c r="C513" t="s">
        <v>347</v>
      </c>
      <c r="F513" t="s">
        <v>3361</v>
      </c>
      <c r="G513" t="s">
        <v>2746</v>
      </c>
      <c r="H513" t="s">
        <v>922</v>
      </c>
      <c r="I513" t="s">
        <v>27</v>
      </c>
      <c r="J513" t="s">
        <v>3369</v>
      </c>
      <c r="K513" t="s">
        <v>1661</v>
      </c>
      <c r="L513" t="s">
        <v>3386</v>
      </c>
      <c r="M513" t="s">
        <v>3364</v>
      </c>
      <c r="N513" t="s">
        <v>3365</v>
      </c>
      <c r="O513" t="s">
        <v>3366</v>
      </c>
      <c r="P513" t="s">
        <v>3382</v>
      </c>
    </row>
    <row r="514" spans="1:16" x14ac:dyDescent="0.3">
      <c r="A514" t="s">
        <v>1032</v>
      </c>
      <c r="B514" t="s">
        <v>27</v>
      </c>
      <c r="C514" t="s">
        <v>347</v>
      </c>
      <c r="F514" t="s">
        <v>3361</v>
      </c>
      <c r="G514" t="s">
        <v>2746</v>
      </c>
      <c r="H514" t="s">
        <v>922</v>
      </c>
      <c r="I514" t="s">
        <v>27</v>
      </c>
      <c r="J514" t="s">
        <v>3369</v>
      </c>
      <c r="K514" t="s">
        <v>1661</v>
      </c>
      <c r="L514" t="s">
        <v>3386</v>
      </c>
      <c r="M514" t="s">
        <v>3364</v>
      </c>
      <c r="N514" t="s">
        <v>3365</v>
      </c>
      <c r="O514" t="s">
        <v>3366</v>
      </c>
      <c r="P514" t="s">
        <v>3382</v>
      </c>
    </row>
    <row r="515" spans="1:16" x14ac:dyDescent="0.3">
      <c r="A515" t="s">
        <v>1046</v>
      </c>
      <c r="B515" t="s">
        <v>27</v>
      </c>
      <c r="C515" t="s">
        <v>347</v>
      </c>
      <c r="F515" t="s">
        <v>3361</v>
      </c>
      <c r="G515" t="s">
        <v>2746</v>
      </c>
      <c r="H515" t="s">
        <v>922</v>
      </c>
      <c r="I515" t="s">
        <v>27</v>
      </c>
      <c r="J515" t="s">
        <v>3369</v>
      </c>
      <c r="K515" t="s">
        <v>1661</v>
      </c>
      <c r="L515" t="s">
        <v>3386</v>
      </c>
      <c r="M515" t="s">
        <v>3364</v>
      </c>
      <c r="N515" t="s">
        <v>3365</v>
      </c>
      <c r="O515" t="s">
        <v>3366</v>
      </c>
      <c r="P515" t="s">
        <v>3382</v>
      </c>
    </row>
    <row r="516" spans="1:16" x14ac:dyDescent="0.3">
      <c r="A516" t="s">
        <v>1030</v>
      </c>
      <c r="B516" t="s">
        <v>27</v>
      </c>
      <c r="C516" t="s">
        <v>349</v>
      </c>
      <c r="F516" t="s">
        <v>3361</v>
      </c>
      <c r="G516" t="s">
        <v>2746</v>
      </c>
      <c r="H516" t="s">
        <v>913</v>
      </c>
      <c r="I516" t="s">
        <v>27</v>
      </c>
      <c r="J516" t="s">
        <v>3369</v>
      </c>
      <c r="K516" t="s">
        <v>1661</v>
      </c>
      <c r="L516" t="s">
        <v>3386</v>
      </c>
      <c r="M516" t="s">
        <v>3364</v>
      </c>
      <c r="N516" t="s">
        <v>3365</v>
      </c>
      <c r="O516" t="s">
        <v>3366</v>
      </c>
      <c r="P516" t="s">
        <v>3382</v>
      </c>
    </row>
    <row r="517" spans="1:16" x14ac:dyDescent="0.3">
      <c r="A517" t="s">
        <v>1042</v>
      </c>
      <c r="B517" t="s">
        <v>27</v>
      </c>
      <c r="C517" t="s">
        <v>349</v>
      </c>
      <c r="F517" t="s">
        <v>3361</v>
      </c>
      <c r="G517" t="s">
        <v>2746</v>
      </c>
      <c r="H517" t="s">
        <v>913</v>
      </c>
      <c r="I517" t="s">
        <v>27</v>
      </c>
      <c r="J517" t="s">
        <v>3369</v>
      </c>
      <c r="K517" t="s">
        <v>1661</v>
      </c>
      <c r="L517" t="s">
        <v>3386</v>
      </c>
      <c r="M517" t="s">
        <v>3364</v>
      </c>
      <c r="N517" t="s">
        <v>3365</v>
      </c>
      <c r="O517" t="s">
        <v>3366</v>
      </c>
      <c r="P517" t="s">
        <v>3382</v>
      </c>
    </row>
    <row r="518" spans="1:16" x14ac:dyDescent="0.3">
      <c r="A518" t="s">
        <v>1031</v>
      </c>
      <c r="B518" t="s">
        <v>27</v>
      </c>
      <c r="C518" t="s">
        <v>349</v>
      </c>
      <c r="F518" t="s">
        <v>3361</v>
      </c>
      <c r="G518" t="s">
        <v>2746</v>
      </c>
      <c r="H518" t="s">
        <v>913</v>
      </c>
      <c r="I518" t="s">
        <v>27</v>
      </c>
      <c r="J518" t="s">
        <v>3369</v>
      </c>
      <c r="K518" t="s">
        <v>1661</v>
      </c>
      <c r="L518" t="s">
        <v>3386</v>
      </c>
      <c r="M518" t="s">
        <v>3364</v>
      </c>
      <c r="N518" t="s">
        <v>3365</v>
      </c>
      <c r="O518" t="s">
        <v>3366</v>
      </c>
      <c r="P518" t="s">
        <v>3382</v>
      </c>
    </row>
    <row r="519" spans="1:16" x14ac:dyDescent="0.3">
      <c r="A519" t="s">
        <v>1035</v>
      </c>
      <c r="B519" t="s">
        <v>27</v>
      </c>
      <c r="C519" t="s">
        <v>349</v>
      </c>
      <c r="F519" t="s">
        <v>3361</v>
      </c>
      <c r="G519" t="s">
        <v>2746</v>
      </c>
      <c r="H519" t="s">
        <v>913</v>
      </c>
      <c r="I519" t="s">
        <v>27</v>
      </c>
      <c r="J519" t="s">
        <v>3369</v>
      </c>
      <c r="K519" t="s">
        <v>1661</v>
      </c>
      <c r="L519" t="s">
        <v>3386</v>
      </c>
      <c r="M519" t="s">
        <v>3364</v>
      </c>
      <c r="N519" t="s">
        <v>3365</v>
      </c>
      <c r="O519" t="s">
        <v>3366</v>
      </c>
      <c r="P519" t="s">
        <v>3382</v>
      </c>
    </row>
    <row r="520" spans="1:16" x14ac:dyDescent="0.3">
      <c r="A520" t="s">
        <v>1033</v>
      </c>
      <c r="B520" t="s">
        <v>27</v>
      </c>
      <c r="C520" t="s">
        <v>349</v>
      </c>
      <c r="F520" t="s">
        <v>3361</v>
      </c>
      <c r="G520" t="s">
        <v>2746</v>
      </c>
      <c r="H520" t="s">
        <v>922</v>
      </c>
      <c r="I520" t="s">
        <v>27</v>
      </c>
      <c r="J520" t="s">
        <v>3369</v>
      </c>
      <c r="K520" t="s">
        <v>1661</v>
      </c>
      <c r="L520" t="s">
        <v>3386</v>
      </c>
      <c r="M520" t="s">
        <v>3364</v>
      </c>
      <c r="N520" t="s">
        <v>3365</v>
      </c>
      <c r="O520" t="s">
        <v>3366</v>
      </c>
      <c r="P520" t="s">
        <v>3382</v>
      </c>
    </row>
    <row r="521" spans="1:16" x14ac:dyDescent="0.3">
      <c r="A521" t="s">
        <v>1034</v>
      </c>
      <c r="B521" t="s">
        <v>27</v>
      </c>
      <c r="C521" t="s">
        <v>349</v>
      </c>
      <c r="F521" t="s">
        <v>3361</v>
      </c>
      <c r="G521" t="s">
        <v>2746</v>
      </c>
      <c r="H521" t="s">
        <v>922</v>
      </c>
      <c r="I521" t="s">
        <v>27</v>
      </c>
      <c r="J521" t="s">
        <v>3369</v>
      </c>
      <c r="K521" t="s">
        <v>1661</v>
      </c>
      <c r="L521" t="s">
        <v>3386</v>
      </c>
      <c r="M521" t="s">
        <v>3364</v>
      </c>
      <c r="N521" t="s">
        <v>3365</v>
      </c>
      <c r="O521" t="s">
        <v>3366</v>
      </c>
      <c r="P521" t="s">
        <v>3382</v>
      </c>
    </row>
    <row r="522" spans="1:16" x14ac:dyDescent="0.3">
      <c r="A522" t="s">
        <v>1032</v>
      </c>
      <c r="B522" t="s">
        <v>27</v>
      </c>
      <c r="C522" t="s">
        <v>349</v>
      </c>
      <c r="F522" t="s">
        <v>3361</v>
      </c>
      <c r="G522" t="s">
        <v>2746</v>
      </c>
      <c r="H522" t="s">
        <v>922</v>
      </c>
      <c r="I522" t="s">
        <v>27</v>
      </c>
      <c r="J522" t="s">
        <v>3369</v>
      </c>
      <c r="K522" t="s">
        <v>1661</v>
      </c>
      <c r="L522" t="s">
        <v>3386</v>
      </c>
      <c r="M522" t="s">
        <v>3364</v>
      </c>
      <c r="N522" t="s">
        <v>3365</v>
      </c>
      <c r="O522" t="s">
        <v>3366</v>
      </c>
      <c r="P522" t="s">
        <v>3382</v>
      </c>
    </row>
    <row r="523" spans="1:16" x14ac:dyDescent="0.3">
      <c r="A523" t="s">
        <v>1043</v>
      </c>
      <c r="B523" t="s">
        <v>27</v>
      </c>
      <c r="C523" t="s">
        <v>351</v>
      </c>
      <c r="F523" t="s">
        <v>3361</v>
      </c>
      <c r="G523" t="s">
        <v>2746</v>
      </c>
      <c r="H523" t="s">
        <v>913</v>
      </c>
      <c r="I523" t="s">
        <v>27</v>
      </c>
      <c r="J523" t="s">
        <v>3369</v>
      </c>
      <c r="K523" t="s">
        <v>1661</v>
      </c>
      <c r="L523" t="s">
        <v>3386</v>
      </c>
      <c r="M523" t="s">
        <v>3364</v>
      </c>
      <c r="N523" t="s">
        <v>3365</v>
      </c>
      <c r="O523" t="s">
        <v>3366</v>
      </c>
      <c r="P523" t="s">
        <v>3382</v>
      </c>
    </row>
    <row r="524" spans="1:16" x14ac:dyDescent="0.3">
      <c r="A524" t="s">
        <v>1042</v>
      </c>
      <c r="B524" t="s">
        <v>27</v>
      </c>
      <c r="C524" t="s">
        <v>351</v>
      </c>
      <c r="F524" t="s">
        <v>3361</v>
      </c>
      <c r="G524" t="s">
        <v>2746</v>
      </c>
      <c r="H524" t="s">
        <v>913</v>
      </c>
      <c r="I524" t="s">
        <v>27</v>
      </c>
      <c r="J524" t="s">
        <v>3369</v>
      </c>
      <c r="K524" t="s">
        <v>1661</v>
      </c>
      <c r="L524" t="s">
        <v>3386</v>
      </c>
      <c r="M524" t="s">
        <v>3364</v>
      </c>
      <c r="N524" t="s">
        <v>3365</v>
      </c>
      <c r="O524" t="s">
        <v>3366</v>
      </c>
      <c r="P524" t="s">
        <v>3382</v>
      </c>
    </row>
    <row r="525" spans="1:16" x14ac:dyDescent="0.3">
      <c r="A525" t="s">
        <v>1030</v>
      </c>
      <c r="B525" t="s">
        <v>27</v>
      </c>
      <c r="C525" t="s">
        <v>351</v>
      </c>
      <c r="F525" t="s">
        <v>3361</v>
      </c>
      <c r="G525" t="s">
        <v>2746</v>
      </c>
      <c r="H525" t="s">
        <v>913</v>
      </c>
      <c r="I525" t="s">
        <v>27</v>
      </c>
      <c r="J525" t="s">
        <v>3369</v>
      </c>
      <c r="K525" t="s">
        <v>1661</v>
      </c>
      <c r="L525" t="s">
        <v>3386</v>
      </c>
      <c r="M525" t="s">
        <v>3364</v>
      </c>
      <c r="N525" t="s">
        <v>3365</v>
      </c>
      <c r="O525" t="s">
        <v>3366</v>
      </c>
      <c r="P525" t="s">
        <v>3382</v>
      </c>
    </row>
    <row r="526" spans="1:16" x14ac:dyDescent="0.3">
      <c r="A526" t="s">
        <v>1035</v>
      </c>
      <c r="B526" t="s">
        <v>27</v>
      </c>
      <c r="C526" t="s">
        <v>351</v>
      </c>
      <c r="F526" t="s">
        <v>3361</v>
      </c>
      <c r="G526" t="s">
        <v>2746</v>
      </c>
      <c r="H526" t="s">
        <v>913</v>
      </c>
      <c r="I526" t="s">
        <v>27</v>
      </c>
      <c r="J526" t="s">
        <v>3369</v>
      </c>
      <c r="K526" t="s">
        <v>1661</v>
      </c>
      <c r="L526" t="s">
        <v>3386</v>
      </c>
      <c r="M526" t="s">
        <v>3364</v>
      </c>
      <c r="N526" t="s">
        <v>3365</v>
      </c>
      <c r="O526" t="s">
        <v>3366</v>
      </c>
      <c r="P526" t="s">
        <v>3382</v>
      </c>
    </row>
    <row r="527" spans="1:16" x14ac:dyDescent="0.3">
      <c r="A527" t="s">
        <v>1047</v>
      </c>
      <c r="B527" t="s">
        <v>27</v>
      </c>
      <c r="C527" t="s">
        <v>351</v>
      </c>
      <c r="F527" t="s">
        <v>3361</v>
      </c>
      <c r="G527" t="s">
        <v>2746</v>
      </c>
      <c r="H527" t="s">
        <v>922</v>
      </c>
      <c r="I527" t="s">
        <v>27</v>
      </c>
      <c r="J527" t="s">
        <v>3369</v>
      </c>
      <c r="K527" t="s">
        <v>1661</v>
      </c>
      <c r="L527" t="s">
        <v>3386</v>
      </c>
      <c r="M527" t="s">
        <v>3364</v>
      </c>
      <c r="N527" t="s">
        <v>3365</v>
      </c>
      <c r="O527" t="s">
        <v>3366</v>
      </c>
      <c r="P527" t="s">
        <v>3382</v>
      </c>
    </row>
    <row r="528" spans="1:16" x14ac:dyDescent="0.3">
      <c r="A528" t="s">
        <v>1045</v>
      </c>
      <c r="B528" t="s">
        <v>27</v>
      </c>
      <c r="C528" t="s">
        <v>351</v>
      </c>
      <c r="F528" t="s">
        <v>3361</v>
      </c>
      <c r="G528" t="s">
        <v>2746</v>
      </c>
      <c r="H528" t="s">
        <v>922</v>
      </c>
      <c r="I528" t="s">
        <v>27</v>
      </c>
      <c r="J528" t="s">
        <v>3369</v>
      </c>
      <c r="K528" t="s">
        <v>1661</v>
      </c>
      <c r="L528" t="s">
        <v>3386</v>
      </c>
      <c r="M528" t="s">
        <v>3364</v>
      </c>
      <c r="N528" t="s">
        <v>3365</v>
      </c>
      <c r="O528" t="s">
        <v>3366</v>
      </c>
      <c r="P528" t="s">
        <v>3382</v>
      </c>
    </row>
    <row r="529" spans="1:16" x14ac:dyDescent="0.3">
      <c r="A529" t="s">
        <v>1044</v>
      </c>
      <c r="B529" t="s">
        <v>27</v>
      </c>
      <c r="C529" t="s">
        <v>351</v>
      </c>
      <c r="F529" t="s">
        <v>3361</v>
      </c>
      <c r="G529" t="s">
        <v>2746</v>
      </c>
      <c r="H529" t="s">
        <v>922</v>
      </c>
      <c r="I529" t="s">
        <v>27</v>
      </c>
      <c r="J529" t="s">
        <v>3369</v>
      </c>
      <c r="K529" t="s">
        <v>1661</v>
      </c>
      <c r="L529" t="s">
        <v>3386</v>
      </c>
      <c r="M529" t="s">
        <v>3364</v>
      </c>
      <c r="N529" t="s">
        <v>3365</v>
      </c>
      <c r="O529" t="s">
        <v>3366</v>
      </c>
      <c r="P529" t="s">
        <v>3382</v>
      </c>
    </row>
    <row r="530" spans="1:16" x14ac:dyDescent="0.3">
      <c r="A530" t="s">
        <v>1048</v>
      </c>
      <c r="B530" t="s">
        <v>27</v>
      </c>
      <c r="C530" t="s">
        <v>351</v>
      </c>
      <c r="F530" t="s">
        <v>3361</v>
      </c>
      <c r="G530" t="s">
        <v>2746</v>
      </c>
      <c r="H530" t="s">
        <v>922</v>
      </c>
      <c r="I530" t="s">
        <v>27</v>
      </c>
      <c r="J530" t="s">
        <v>3369</v>
      </c>
      <c r="K530" t="s">
        <v>1661</v>
      </c>
      <c r="L530" t="s">
        <v>3386</v>
      </c>
      <c r="M530" t="s">
        <v>3364</v>
      </c>
      <c r="N530" t="s">
        <v>3365</v>
      </c>
      <c r="O530" t="s">
        <v>3366</v>
      </c>
      <c r="P530" t="s">
        <v>3382</v>
      </c>
    </row>
    <row r="531" spans="1:16" x14ac:dyDescent="0.3">
      <c r="A531" t="s">
        <v>1029</v>
      </c>
      <c r="B531" t="s">
        <v>27</v>
      </c>
      <c r="C531" t="s">
        <v>353</v>
      </c>
      <c r="F531" t="s">
        <v>3361</v>
      </c>
      <c r="G531" t="s">
        <v>2746</v>
      </c>
      <c r="H531" t="s">
        <v>913</v>
      </c>
      <c r="I531" t="s">
        <v>27</v>
      </c>
      <c r="J531" t="s">
        <v>3369</v>
      </c>
      <c r="K531" t="s">
        <v>1661</v>
      </c>
      <c r="L531" t="s">
        <v>3386</v>
      </c>
      <c r="M531" t="s">
        <v>3364</v>
      </c>
      <c r="N531" t="s">
        <v>3365</v>
      </c>
      <c r="O531" t="s">
        <v>3366</v>
      </c>
      <c r="P531" t="s">
        <v>3382</v>
      </c>
    </row>
    <row r="532" spans="1:16" x14ac:dyDescent="0.3">
      <c r="A532" t="s">
        <v>337</v>
      </c>
      <c r="B532" t="s">
        <v>27</v>
      </c>
      <c r="C532" t="s">
        <v>353</v>
      </c>
      <c r="F532" t="s">
        <v>3361</v>
      </c>
      <c r="G532" t="s">
        <v>2746</v>
      </c>
      <c r="H532" t="s">
        <v>913</v>
      </c>
      <c r="I532" t="s">
        <v>27</v>
      </c>
      <c r="J532" t="s">
        <v>3362</v>
      </c>
      <c r="K532" t="s">
        <v>1661</v>
      </c>
      <c r="L532" t="s">
        <v>3386</v>
      </c>
      <c r="M532" t="s">
        <v>3364</v>
      </c>
      <c r="N532" t="s">
        <v>3365</v>
      </c>
      <c r="O532" t="s">
        <v>3366</v>
      </c>
      <c r="P532" t="s">
        <v>3367</v>
      </c>
    </row>
    <row r="533" spans="1:16" x14ac:dyDescent="0.3">
      <c r="A533" t="s">
        <v>1041</v>
      </c>
      <c r="B533" t="s">
        <v>27</v>
      </c>
      <c r="C533" t="s">
        <v>353</v>
      </c>
      <c r="F533" t="s">
        <v>3361</v>
      </c>
      <c r="G533" t="s">
        <v>2746</v>
      </c>
      <c r="H533" t="s">
        <v>913</v>
      </c>
      <c r="I533" t="s">
        <v>27</v>
      </c>
      <c r="J533" t="s">
        <v>3369</v>
      </c>
      <c r="K533" t="s">
        <v>1661</v>
      </c>
      <c r="L533" t="s">
        <v>3386</v>
      </c>
      <c r="M533" t="s">
        <v>3364</v>
      </c>
      <c r="N533" t="s">
        <v>3365</v>
      </c>
      <c r="O533" t="s">
        <v>3366</v>
      </c>
      <c r="P533" t="s">
        <v>3382</v>
      </c>
    </row>
    <row r="534" spans="1:16" x14ac:dyDescent="0.3">
      <c r="A534" t="s">
        <v>1042</v>
      </c>
      <c r="B534" t="s">
        <v>27</v>
      </c>
      <c r="C534" t="s">
        <v>353</v>
      </c>
      <c r="F534" t="s">
        <v>3361</v>
      </c>
      <c r="G534" t="s">
        <v>2746</v>
      </c>
      <c r="H534" t="s">
        <v>913</v>
      </c>
      <c r="I534" t="s">
        <v>27</v>
      </c>
      <c r="J534" t="s">
        <v>3369</v>
      </c>
      <c r="K534" t="s">
        <v>1661</v>
      </c>
      <c r="L534" t="s">
        <v>3386</v>
      </c>
      <c r="M534" t="s">
        <v>3364</v>
      </c>
      <c r="N534" t="s">
        <v>3365</v>
      </c>
      <c r="O534" t="s">
        <v>3366</v>
      </c>
      <c r="P534" t="s">
        <v>3382</v>
      </c>
    </row>
    <row r="535" spans="1:16" x14ac:dyDescent="0.3">
      <c r="A535" t="s">
        <v>1032</v>
      </c>
      <c r="B535" t="s">
        <v>27</v>
      </c>
      <c r="C535" t="s">
        <v>353</v>
      </c>
      <c r="F535" t="s">
        <v>3361</v>
      </c>
      <c r="G535" t="s">
        <v>2746</v>
      </c>
      <c r="H535" t="s">
        <v>922</v>
      </c>
      <c r="I535" t="s">
        <v>27</v>
      </c>
      <c r="J535" t="s">
        <v>3369</v>
      </c>
      <c r="K535" t="s">
        <v>1661</v>
      </c>
      <c r="L535" t="s">
        <v>3386</v>
      </c>
      <c r="M535" t="s">
        <v>3364</v>
      </c>
      <c r="N535" t="s">
        <v>3365</v>
      </c>
      <c r="O535" t="s">
        <v>3366</v>
      </c>
      <c r="P535" t="s">
        <v>3382</v>
      </c>
    </row>
    <row r="536" spans="1:16" x14ac:dyDescent="0.3">
      <c r="A536" t="s">
        <v>1046</v>
      </c>
      <c r="B536" t="s">
        <v>27</v>
      </c>
      <c r="C536" t="s">
        <v>353</v>
      </c>
      <c r="F536" t="s">
        <v>3361</v>
      </c>
      <c r="G536" t="s">
        <v>2746</v>
      </c>
      <c r="H536" t="s">
        <v>922</v>
      </c>
      <c r="I536" t="s">
        <v>27</v>
      </c>
      <c r="J536" t="s">
        <v>3369</v>
      </c>
      <c r="K536" t="s">
        <v>1661</v>
      </c>
      <c r="L536" t="s">
        <v>3386</v>
      </c>
      <c r="M536" t="s">
        <v>3364</v>
      </c>
      <c r="N536" t="s">
        <v>3365</v>
      </c>
      <c r="O536" t="s">
        <v>3366</v>
      </c>
      <c r="P536" t="s">
        <v>3382</v>
      </c>
    </row>
    <row r="537" spans="1:16" x14ac:dyDescent="0.3">
      <c r="A537" t="s">
        <v>1033</v>
      </c>
      <c r="B537" t="s">
        <v>27</v>
      </c>
      <c r="C537" t="s">
        <v>353</v>
      </c>
      <c r="F537" t="s">
        <v>3361</v>
      </c>
      <c r="G537" t="s">
        <v>2746</v>
      </c>
      <c r="H537" t="s">
        <v>922</v>
      </c>
      <c r="I537" t="s">
        <v>27</v>
      </c>
      <c r="J537" t="s">
        <v>3369</v>
      </c>
      <c r="K537" t="s">
        <v>1661</v>
      </c>
      <c r="L537" t="s">
        <v>3386</v>
      </c>
      <c r="M537" t="s">
        <v>3364</v>
      </c>
      <c r="N537" t="s">
        <v>3365</v>
      </c>
      <c r="O537" t="s">
        <v>3366</v>
      </c>
      <c r="P537" t="s">
        <v>3382</v>
      </c>
    </row>
    <row r="538" spans="1:16" x14ac:dyDescent="0.3">
      <c r="A538" t="s">
        <v>1037</v>
      </c>
      <c r="B538" t="s">
        <v>27</v>
      </c>
      <c r="C538" t="s">
        <v>353</v>
      </c>
      <c r="F538" t="s">
        <v>3361</v>
      </c>
      <c r="G538" t="s">
        <v>2746</v>
      </c>
      <c r="H538" t="s">
        <v>922</v>
      </c>
      <c r="I538" t="s">
        <v>27</v>
      </c>
      <c r="J538" t="s">
        <v>3369</v>
      </c>
      <c r="K538" t="s">
        <v>1661</v>
      </c>
      <c r="L538" t="s">
        <v>3386</v>
      </c>
      <c r="M538" t="s">
        <v>3364</v>
      </c>
      <c r="N538" t="s">
        <v>3365</v>
      </c>
      <c r="O538" t="s">
        <v>3366</v>
      </c>
      <c r="P538" t="s">
        <v>3382</v>
      </c>
    </row>
    <row r="539" spans="1:16" x14ac:dyDescent="0.3">
      <c r="A539" t="s">
        <v>1043</v>
      </c>
      <c r="B539" t="s">
        <v>27</v>
      </c>
      <c r="C539" t="s">
        <v>355</v>
      </c>
      <c r="F539" t="s">
        <v>3361</v>
      </c>
      <c r="G539" t="s">
        <v>2746</v>
      </c>
      <c r="H539" t="s">
        <v>913</v>
      </c>
      <c r="I539" t="s">
        <v>27</v>
      </c>
      <c r="J539" t="s">
        <v>3369</v>
      </c>
      <c r="K539" t="s">
        <v>1661</v>
      </c>
      <c r="L539" t="s">
        <v>3386</v>
      </c>
      <c r="M539" t="s">
        <v>3364</v>
      </c>
      <c r="N539" t="s">
        <v>3365</v>
      </c>
      <c r="O539" t="s">
        <v>3366</v>
      </c>
      <c r="P539" t="s">
        <v>3382</v>
      </c>
    </row>
    <row r="540" spans="1:16" x14ac:dyDescent="0.3">
      <c r="A540" t="s">
        <v>1042</v>
      </c>
      <c r="B540" t="s">
        <v>27</v>
      </c>
      <c r="C540" t="s">
        <v>355</v>
      </c>
      <c r="F540" t="s">
        <v>3361</v>
      </c>
      <c r="G540" t="s">
        <v>2746</v>
      </c>
      <c r="H540" t="s">
        <v>913</v>
      </c>
      <c r="I540" t="s">
        <v>27</v>
      </c>
      <c r="J540" t="s">
        <v>3369</v>
      </c>
      <c r="K540" t="s">
        <v>1661</v>
      </c>
      <c r="L540" t="s">
        <v>3386</v>
      </c>
      <c r="M540" t="s">
        <v>3364</v>
      </c>
      <c r="N540" t="s">
        <v>3365</v>
      </c>
      <c r="O540" t="s">
        <v>3366</v>
      </c>
      <c r="P540" t="s">
        <v>3382</v>
      </c>
    </row>
    <row r="541" spans="1:16" x14ac:dyDescent="0.3">
      <c r="A541" t="s">
        <v>1041</v>
      </c>
      <c r="B541" t="s">
        <v>27</v>
      </c>
      <c r="C541" t="s">
        <v>355</v>
      </c>
      <c r="F541" t="s">
        <v>3361</v>
      </c>
      <c r="G541" t="s">
        <v>2746</v>
      </c>
      <c r="H541" t="s">
        <v>913</v>
      </c>
      <c r="I541" t="s">
        <v>27</v>
      </c>
      <c r="J541" t="s">
        <v>3369</v>
      </c>
      <c r="K541" t="s">
        <v>1661</v>
      </c>
      <c r="L541" t="s">
        <v>3386</v>
      </c>
      <c r="M541" t="s">
        <v>3364</v>
      </c>
      <c r="N541" t="s">
        <v>3365</v>
      </c>
      <c r="O541" t="s">
        <v>3366</v>
      </c>
      <c r="P541" t="s">
        <v>3382</v>
      </c>
    </row>
    <row r="542" spans="1:16" x14ac:dyDescent="0.3">
      <c r="A542" t="s">
        <v>1049</v>
      </c>
      <c r="B542" t="s">
        <v>27</v>
      </c>
      <c r="C542" t="s">
        <v>355</v>
      </c>
      <c r="F542" t="s">
        <v>3361</v>
      </c>
      <c r="G542" t="s">
        <v>2746</v>
      </c>
      <c r="H542" t="s">
        <v>922</v>
      </c>
      <c r="I542" t="s">
        <v>27</v>
      </c>
      <c r="J542" t="s">
        <v>3369</v>
      </c>
      <c r="K542" t="s">
        <v>1661</v>
      </c>
      <c r="L542" t="s">
        <v>3386</v>
      </c>
      <c r="M542" t="s">
        <v>3364</v>
      </c>
      <c r="N542" t="s">
        <v>3365</v>
      </c>
      <c r="O542" t="s">
        <v>3366</v>
      </c>
      <c r="P542" t="s">
        <v>3382</v>
      </c>
    </row>
    <row r="543" spans="1:16" x14ac:dyDescent="0.3">
      <c r="A543" t="s">
        <v>1032</v>
      </c>
      <c r="B543" t="s">
        <v>27</v>
      </c>
      <c r="C543" t="s">
        <v>355</v>
      </c>
      <c r="F543" t="s">
        <v>3361</v>
      </c>
      <c r="G543" t="s">
        <v>2746</v>
      </c>
      <c r="H543" t="s">
        <v>922</v>
      </c>
      <c r="I543" t="s">
        <v>27</v>
      </c>
      <c r="J543" t="s">
        <v>3369</v>
      </c>
      <c r="K543" t="s">
        <v>1661</v>
      </c>
      <c r="L543" t="s">
        <v>3386</v>
      </c>
      <c r="M543" t="s">
        <v>3364</v>
      </c>
      <c r="N543" t="s">
        <v>3365</v>
      </c>
      <c r="O543" t="s">
        <v>3366</v>
      </c>
      <c r="P543" t="s">
        <v>3382</v>
      </c>
    </row>
    <row r="544" spans="1:16" x14ac:dyDescent="0.3">
      <c r="A544" t="s">
        <v>1046</v>
      </c>
      <c r="B544" t="s">
        <v>27</v>
      </c>
      <c r="C544" t="s">
        <v>355</v>
      </c>
      <c r="F544" t="s">
        <v>3361</v>
      </c>
      <c r="G544" t="s">
        <v>2746</v>
      </c>
      <c r="H544" t="s">
        <v>922</v>
      </c>
      <c r="I544" t="s">
        <v>27</v>
      </c>
      <c r="J544" t="s">
        <v>3369</v>
      </c>
      <c r="K544" t="s">
        <v>1661</v>
      </c>
      <c r="L544" t="s">
        <v>3386</v>
      </c>
      <c r="M544" t="s">
        <v>3364</v>
      </c>
      <c r="N544" t="s">
        <v>3365</v>
      </c>
      <c r="O544" t="s">
        <v>3366</v>
      </c>
      <c r="P544" t="s">
        <v>3382</v>
      </c>
    </row>
    <row r="545" spans="1:16" x14ac:dyDescent="0.3">
      <c r="A545" t="s">
        <v>1033</v>
      </c>
      <c r="B545" t="s">
        <v>27</v>
      </c>
      <c r="C545" t="s">
        <v>355</v>
      </c>
      <c r="F545" t="s">
        <v>3361</v>
      </c>
      <c r="G545" t="s">
        <v>2746</v>
      </c>
      <c r="H545" t="s">
        <v>922</v>
      </c>
      <c r="I545" t="s">
        <v>27</v>
      </c>
      <c r="J545" t="s">
        <v>3369</v>
      </c>
      <c r="K545" t="s">
        <v>1661</v>
      </c>
      <c r="L545" t="s">
        <v>3386</v>
      </c>
      <c r="M545" t="s">
        <v>3364</v>
      </c>
      <c r="N545" t="s">
        <v>3365</v>
      </c>
      <c r="O545" t="s">
        <v>3366</v>
      </c>
      <c r="P545" t="s">
        <v>3382</v>
      </c>
    </row>
    <row r="546" spans="1:16" x14ac:dyDescent="0.3">
      <c r="A546" t="s">
        <v>1036</v>
      </c>
      <c r="B546" t="s">
        <v>27</v>
      </c>
      <c r="C546" t="s">
        <v>355</v>
      </c>
      <c r="F546" t="s">
        <v>3361</v>
      </c>
      <c r="G546" t="s">
        <v>2746</v>
      </c>
      <c r="H546" t="s">
        <v>922</v>
      </c>
      <c r="I546" t="s">
        <v>27</v>
      </c>
      <c r="J546" t="s">
        <v>3369</v>
      </c>
      <c r="K546" t="s">
        <v>1661</v>
      </c>
      <c r="L546" t="s">
        <v>3386</v>
      </c>
      <c r="M546" t="s">
        <v>3364</v>
      </c>
      <c r="N546" t="s">
        <v>3365</v>
      </c>
      <c r="O546" t="s">
        <v>3366</v>
      </c>
      <c r="P546" t="s">
        <v>3382</v>
      </c>
    </row>
    <row r="547" spans="1:16" x14ac:dyDescent="0.3">
      <c r="A547" t="s">
        <v>1032</v>
      </c>
      <c r="B547" t="s">
        <v>28</v>
      </c>
      <c r="C547" t="s">
        <v>878</v>
      </c>
      <c r="F547" t="s">
        <v>3361</v>
      </c>
      <c r="G547" t="s">
        <v>2746</v>
      </c>
      <c r="I547" t="s">
        <v>28</v>
      </c>
      <c r="J547" t="s">
        <v>3369</v>
      </c>
      <c r="K547" t="s">
        <v>3387</v>
      </c>
      <c r="L547" t="s">
        <v>3388</v>
      </c>
      <c r="M547" t="s">
        <v>3364</v>
      </c>
      <c r="N547" t="s">
        <v>3365</v>
      </c>
      <c r="O547" t="s">
        <v>3376</v>
      </c>
      <c r="P547" t="s">
        <v>3382</v>
      </c>
    </row>
    <row r="548" spans="1:16" x14ac:dyDescent="0.3">
      <c r="A548" t="s">
        <v>1033</v>
      </c>
      <c r="B548" t="s">
        <v>28</v>
      </c>
      <c r="C548" t="s">
        <v>878</v>
      </c>
      <c r="F548" t="s">
        <v>3361</v>
      </c>
      <c r="G548" t="s">
        <v>2746</v>
      </c>
      <c r="I548" t="s">
        <v>28</v>
      </c>
      <c r="J548" t="s">
        <v>3369</v>
      </c>
      <c r="K548" t="s">
        <v>3387</v>
      </c>
      <c r="L548" t="s">
        <v>3388</v>
      </c>
      <c r="M548" t="s">
        <v>3364</v>
      </c>
      <c r="N548" t="s">
        <v>3365</v>
      </c>
      <c r="O548" t="s">
        <v>3376</v>
      </c>
      <c r="P548" t="s">
        <v>3382</v>
      </c>
    </row>
    <row r="549" spans="1:16" x14ac:dyDescent="0.3">
      <c r="A549" t="s">
        <v>1034</v>
      </c>
      <c r="B549" t="s">
        <v>28</v>
      </c>
      <c r="C549" t="s">
        <v>878</v>
      </c>
      <c r="F549" t="s">
        <v>3361</v>
      </c>
      <c r="G549" t="s">
        <v>2746</v>
      </c>
      <c r="I549" t="s">
        <v>28</v>
      </c>
      <c r="J549" t="s">
        <v>3369</v>
      </c>
      <c r="K549" t="s">
        <v>3387</v>
      </c>
      <c r="L549" t="s">
        <v>3388</v>
      </c>
      <c r="M549" t="s">
        <v>3364</v>
      </c>
      <c r="N549" t="s">
        <v>3365</v>
      </c>
      <c r="O549" t="s">
        <v>3376</v>
      </c>
      <c r="P549" t="s">
        <v>3382</v>
      </c>
    </row>
    <row r="550" spans="1:16" x14ac:dyDescent="0.3">
      <c r="A550" t="s">
        <v>1038</v>
      </c>
      <c r="B550" t="s">
        <v>28</v>
      </c>
      <c r="C550" t="s">
        <v>882</v>
      </c>
      <c r="F550" t="s">
        <v>3361</v>
      </c>
      <c r="G550" t="s">
        <v>2746</v>
      </c>
      <c r="I550" t="s">
        <v>28</v>
      </c>
      <c r="J550" t="s">
        <v>3369</v>
      </c>
      <c r="K550" t="s">
        <v>3387</v>
      </c>
      <c r="L550" t="s">
        <v>3388</v>
      </c>
      <c r="M550" t="s">
        <v>3364</v>
      </c>
      <c r="N550" t="s">
        <v>3365</v>
      </c>
      <c r="O550" t="s">
        <v>3376</v>
      </c>
      <c r="P550" t="s">
        <v>3382</v>
      </c>
    </row>
    <row r="551" spans="1:16" x14ac:dyDescent="0.3">
      <c r="A551" t="s">
        <v>1039</v>
      </c>
      <c r="B551" t="s">
        <v>28</v>
      </c>
      <c r="C551" t="s">
        <v>882</v>
      </c>
      <c r="F551" t="s">
        <v>3361</v>
      </c>
      <c r="G551" t="s">
        <v>2746</v>
      </c>
      <c r="I551" t="s">
        <v>28</v>
      </c>
      <c r="J551" t="s">
        <v>3369</v>
      </c>
      <c r="K551" t="s">
        <v>3387</v>
      </c>
      <c r="L551" t="s">
        <v>3388</v>
      </c>
      <c r="M551" t="s">
        <v>3364</v>
      </c>
      <c r="N551" t="s">
        <v>3365</v>
      </c>
      <c r="O551" t="s">
        <v>3376</v>
      </c>
      <c r="P551" t="s">
        <v>3382</v>
      </c>
    </row>
    <row r="552" spans="1:16" x14ac:dyDescent="0.3">
      <c r="A552" t="s">
        <v>1040</v>
      </c>
      <c r="B552" t="s">
        <v>28</v>
      </c>
      <c r="C552" t="s">
        <v>882</v>
      </c>
      <c r="F552" t="s">
        <v>3361</v>
      </c>
      <c r="G552" t="s">
        <v>2746</v>
      </c>
      <c r="I552" t="s">
        <v>28</v>
      </c>
      <c r="J552" t="s">
        <v>3369</v>
      </c>
      <c r="K552" t="s">
        <v>3387</v>
      </c>
      <c r="L552" t="s">
        <v>3388</v>
      </c>
      <c r="M552" t="s">
        <v>3364</v>
      </c>
      <c r="N552" t="s">
        <v>3365</v>
      </c>
      <c r="O552" t="s">
        <v>3376</v>
      </c>
      <c r="P552" t="s">
        <v>3382</v>
      </c>
    </row>
    <row r="553" spans="1:16" x14ac:dyDescent="0.3">
      <c r="A553" t="s">
        <v>1032</v>
      </c>
      <c r="B553" t="s">
        <v>28</v>
      </c>
      <c r="C553" t="s">
        <v>1050</v>
      </c>
      <c r="F553" t="s">
        <v>3361</v>
      </c>
      <c r="G553" t="s">
        <v>2746</v>
      </c>
      <c r="I553" t="s">
        <v>28</v>
      </c>
      <c r="J553" t="s">
        <v>3369</v>
      </c>
      <c r="K553" t="s">
        <v>3387</v>
      </c>
      <c r="L553" t="s">
        <v>3388</v>
      </c>
      <c r="M553" t="s">
        <v>3364</v>
      </c>
      <c r="N553" t="s">
        <v>3365</v>
      </c>
      <c r="O553" t="s">
        <v>3376</v>
      </c>
      <c r="P553" t="s">
        <v>3382</v>
      </c>
    </row>
    <row r="554" spans="1:16" x14ac:dyDescent="0.3">
      <c r="A554" t="s">
        <v>1046</v>
      </c>
      <c r="B554" t="s">
        <v>28</v>
      </c>
      <c r="C554" t="s">
        <v>1050</v>
      </c>
      <c r="F554" t="s">
        <v>3361</v>
      </c>
      <c r="G554" t="s">
        <v>2746</v>
      </c>
      <c r="I554" t="s">
        <v>28</v>
      </c>
      <c r="J554" t="s">
        <v>3369</v>
      </c>
      <c r="K554" t="s">
        <v>3387</v>
      </c>
      <c r="L554" t="s">
        <v>3388</v>
      </c>
      <c r="M554" t="s">
        <v>3364</v>
      </c>
      <c r="N554" t="s">
        <v>3365</v>
      </c>
      <c r="O554" t="s">
        <v>3376</v>
      </c>
      <c r="P554" t="s">
        <v>3382</v>
      </c>
    </row>
    <row r="555" spans="1:16" x14ac:dyDescent="0.3">
      <c r="A555" t="s">
        <v>1044</v>
      </c>
      <c r="B555" t="s">
        <v>28</v>
      </c>
      <c r="C555" t="s">
        <v>1050</v>
      </c>
      <c r="F555" t="s">
        <v>3361</v>
      </c>
      <c r="G555" t="s">
        <v>2746</v>
      </c>
      <c r="I555" t="s">
        <v>28</v>
      </c>
      <c r="J555" t="s">
        <v>3369</v>
      </c>
      <c r="K555" t="s">
        <v>3387</v>
      </c>
      <c r="L555" t="s">
        <v>3388</v>
      </c>
      <c r="M555" t="s">
        <v>3364</v>
      </c>
      <c r="N555" t="s">
        <v>3365</v>
      </c>
      <c r="O555" t="s">
        <v>3376</v>
      </c>
      <c r="P555" t="s">
        <v>3382</v>
      </c>
    </row>
    <row r="556" spans="1:16" x14ac:dyDescent="0.3">
      <c r="A556" t="s">
        <v>1045</v>
      </c>
      <c r="B556" t="s">
        <v>28</v>
      </c>
      <c r="C556" t="s">
        <v>1050</v>
      </c>
      <c r="F556" t="s">
        <v>3361</v>
      </c>
      <c r="G556" t="s">
        <v>2746</v>
      </c>
      <c r="I556" t="s">
        <v>28</v>
      </c>
      <c r="J556" t="s">
        <v>3369</v>
      </c>
      <c r="K556" t="s">
        <v>3387</v>
      </c>
      <c r="L556" t="s">
        <v>3388</v>
      </c>
      <c r="M556" t="s">
        <v>3364</v>
      </c>
      <c r="N556" t="s">
        <v>3365</v>
      </c>
      <c r="O556" t="s">
        <v>3376</v>
      </c>
      <c r="P556" t="s">
        <v>3382</v>
      </c>
    </row>
    <row r="557" spans="1:16" x14ac:dyDescent="0.3">
      <c r="A557" t="s">
        <v>1032</v>
      </c>
      <c r="B557" t="s">
        <v>28</v>
      </c>
      <c r="C557" t="s">
        <v>889</v>
      </c>
      <c r="F557" t="s">
        <v>3361</v>
      </c>
      <c r="G557" t="s">
        <v>2746</v>
      </c>
      <c r="I557" t="s">
        <v>28</v>
      </c>
      <c r="J557" t="s">
        <v>3369</v>
      </c>
      <c r="K557" t="s">
        <v>3387</v>
      </c>
      <c r="L557" t="s">
        <v>3388</v>
      </c>
      <c r="M557" t="s">
        <v>3364</v>
      </c>
      <c r="N557" t="s">
        <v>3365</v>
      </c>
      <c r="O557" t="s">
        <v>3376</v>
      </c>
      <c r="P557" t="s">
        <v>3382</v>
      </c>
    </row>
    <row r="558" spans="1:16" x14ac:dyDescent="0.3">
      <c r="A558" t="s">
        <v>1046</v>
      </c>
      <c r="B558" t="s">
        <v>28</v>
      </c>
      <c r="C558" t="s">
        <v>889</v>
      </c>
      <c r="F558" t="s">
        <v>3361</v>
      </c>
      <c r="G558" t="s">
        <v>2746</v>
      </c>
      <c r="I558" t="s">
        <v>28</v>
      </c>
      <c r="J558" t="s">
        <v>3369</v>
      </c>
      <c r="K558" t="s">
        <v>3387</v>
      </c>
      <c r="L558" t="s">
        <v>3388</v>
      </c>
      <c r="M558" t="s">
        <v>3364</v>
      </c>
      <c r="N558" t="s">
        <v>3365</v>
      </c>
      <c r="O558" t="s">
        <v>3376</v>
      </c>
      <c r="P558" t="s">
        <v>3382</v>
      </c>
    </row>
    <row r="559" spans="1:16" x14ac:dyDescent="0.3">
      <c r="A559" t="s">
        <v>1040</v>
      </c>
      <c r="B559" t="s">
        <v>28</v>
      </c>
      <c r="C559" t="s">
        <v>889</v>
      </c>
      <c r="F559" t="s">
        <v>3361</v>
      </c>
      <c r="G559" t="s">
        <v>2746</v>
      </c>
      <c r="I559" t="s">
        <v>28</v>
      </c>
      <c r="J559" t="s">
        <v>3369</v>
      </c>
      <c r="K559" t="s">
        <v>3387</v>
      </c>
      <c r="L559" t="s">
        <v>3388</v>
      </c>
      <c r="M559" t="s">
        <v>3364</v>
      </c>
      <c r="N559" t="s">
        <v>3365</v>
      </c>
      <c r="O559" t="s">
        <v>3376</v>
      </c>
      <c r="P559" t="s">
        <v>3382</v>
      </c>
    </row>
    <row r="560" spans="1:16" x14ac:dyDescent="0.3">
      <c r="A560" t="s">
        <v>1033</v>
      </c>
      <c r="B560" t="s">
        <v>28</v>
      </c>
      <c r="C560" t="s">
        <v>876</v>
      </c>
      <c r="F560" t="s">
        <v>3361</v>
      </c>
      <c r="G560" t="s">
        <v>2746</v>
      </c>
      <c r="I560" t="s">
        <v>28</v>
      </c>
      <c r="J560" t="s">
        <v>3369</v>
      </c>
      <c r="K560" t="s">
        <v>3387</v>
      </c>
      <c r="L560" t="s">
        <v>3388</v>
      </c>
      <c r="M560" t="s">
        <v>3364</v>
      </c>
      <c r="N560" t="s">
        <v>3365</v>
      </c>
      <c r="O560" t="s">
        <v>3376</v>
      </c>
      <c r="P560" t="s">
        <v>3382</v>
      </c>
    </row>
    <row r="561" spans="1:16" x14ac:dyDescent="0.3">
      <c r="A561" t="s">
        <v>1034</v>
      </c>
      <c r="B561" t="s">
        <v>28</v>
      </c>
      <c r="C561" t="s">
        <v>876</v>
      </c>
      <c r="F561" t="s">
        <v>3361</v>
      </c>
      <c r="G561" t="s">
        <v>2746</v>
      </c>
      <c r="I561" t="s">
        <v>28</v>
      </c>
      <c r="J561" t="s">
        <v>3369</v>
      </c>
      <c r="K561" t="s">
        <v>3387</v>
      </c>
      <c r="L561" t="s">
        <v>3388</v>
      </c>
      <c r="M561" t="s">
        <v>3364</v>
      </c>
      <c r="N561" t="s">
        <v>3365</v>
      </c>
      <c r="O561" t="s">
        <v>3376</v>
      </c>
      <c r="P561" t="s">
        <v>3382</v>
      </c>
    </row>
    <row r="562" spans="1:16" x14ac:dyDescent="0.3">
      <c r="A562" t="s">
        <v>1032</v>
      </c>
      <c r="B562" t="s">
        <v>28</v>
      </c>
      <c r="C562" t="s">
        <v>876</v>
      </c>
      <c r="F562" t="s">
        <v>3361</v>
      </c>
      <c r="G562" t="s">
        <v>2746</v>
      </c>
      <c r="I562" t="s">
        <v>28</v>
      </c>
      <c r="J562" t="s">
        <v>3369</v>
      </c>
      <c r="K562" t="s">
        <v>3387</v>
      </c>
      <c r="L562" t="s">
        <v>3388</v>
      </c>
      <c r="M562" t="s">
        <v>3364</v>
      </c>
      <c r="N562" t="s">
        <v>3365</v>
      </c>
      <c r="O562" t="s">
        <v>3376</v>
      </c>
      <c r="P562" t="s">
        <v>3382</v>
      </c>
    </row>
    <row r="563" spans="1:16" x14ac:dyDescent="0.3">
      <c r="A563" t="s">
        <v>1046</v>
      </c>
      <c r="B563" t="s">
        <v>28</v>
      </c>
      <c r="C563" t="s">
        <v>876</v>
      </c>
      <c r="F563" t="s">
        <v>3361</v>
      </c>
      <c r="G563" t="s">
        <v>2746</v>
      </c>
      <c r="I563" t="s">
        <v>28</v>
      </c>
      <c r="J563" t="s">
        <v>3369</v>
      </c>
      <c r="K563" t="s">
        <v>3387</v>
      </c>
      <c r="L563" t="s">
        <v>3388</v>
      </c>
      <c r="M563" t="s">
        <v>3364</v>
      </c>
      <c r="N563" t="s">
        <v>3365</v>
      </c>
      <c r="O563" t="s">
        <v>3376</v>
      </c>
      <c r="P563" t="s">
        <v>3382</v>
      </c>
    </row>
    <row r="564" spans="1:16" x14ac:dyDescent="0.3">
      <c r="A564" t="s">
        <v>1033</v>
      </c>
      <c r="B564" t="s">
        <v>28</v>
      </c>
      <c r="C564" t="s">
        <v>1051</v>
      </c>
      <c r="F564" t="s">
        <v>3361</v>
      </c>
      <c r="G564" t="s">
        <v>2746</v>
      </c>
      <c r="I564" t="s">
        <v>28</v>
      </c>
      <c r="J564" t="s">
        <v>3369</v>
      </c>
      <c r="K564" t="s">
        <v>3387</v>
      </c>
      <c r="L564" t="s">
        <v>3388</v>
      </c>
      <c r="M564" t="s">
        <v>3364</v>
      </c>
      <c r="N564" t="s">
        <v>3365</v>
      </c>
      <c r="O564" t="s">
        <v>3376</v>
      </c>
      <c r="P564" t="s">
        <v>3382</v>
      </c>
    </row>
    <row r="565" spans="1:16" x14ac:dyDescent="0.3">
      <c r="A565" t="s">
        <v>1034</v>
      </c>
      <c r="B565" t="s">
        <v>28</v>
      </c>
      <c r="C565" t="s">
        <v>1051</v>
      </c>
      <c r="F565" t="s">
        <v>3361</v>
      </c>
      <c r="G565" t="s">
        <v>2746</v>
      </c>
      <c r="I565" t="s">
        <v>28</v>
      </c>
      <c r="J565" t="s">
        <v>3369</v>
      </c>
      <c r="K565" t="s">
        <v>3387</v>
      </c>
      <c r="L565" t="s">
        <v>3388</v>
      </c>
      <c r="M565" t="s">
        <v>3364</v>
      </c>
      <c r="N565" t="s">
        <v>3365</v>
      </c>
      <c r="O565" t="s">
        <v>3376</v>
      </c>
      <c r="P565" t="s">
        <v>3382</v>
      </c>
    </row>
    <row r="566" spans="1:16" x14ac:dyDescent="0.3">
      <c r="A566" t="s">
        <v>1032</v>
      </c>
      <c r="B566" t="s">
        <v>28</v>
      </c>
      <c r="C566" t="s">
        <v>1051</v>
      </c>
      <c r="F566" t="s">
        <v>3361</v>
      </c>
      <c r="G566" t="s">
        <v>2746</v>
      </c>
      <c r="I566" t="s">
        <v>28</v>
      </c>
      <c r="J566" t="s">
        <v>3369</v>
      </c>
      <c r="K566" t="s">
        <v>3387</v>
      </c>
      <c r="L566" t="s">
        <v>3388</v>
      </c>
      <c r="M566" t="s">
        <v>3364</v>
      </c>
      <c r="N566" t="s">
        <v>3365</v>
      </c>
      <c r="O566" t="s">
        <v>3376</v>
      </c>
      <c r="P566" t="s">
        <v>3382</v>
      </c>
    </row>
    <row r="567" spans="1:16" x14ac:dyDescent="0.3">
      <c r="A567" t="s">
        <v>1047</v>
      </c>
      <c r="B567" t="s">
        <v>28</v>
      </c>
      <c r="C567" t="s">
        <v>1052</v>
      </c>
      <c r="F567" t="s">
        <v>3361</v>
      </c>
      <c r="G567" t="s">
        <v>2746</v>
      </c>
      <c r="I567" t="s">
        <v>28</v>
      </c>
      <c r="J567" t="s">
        <v>3369</v>
      </c>
      <c r="K567" t="s">
        <v>3387</v>
      </c>
      <c r="L567" t="s">
        <v>3388</v>
      </c>
      <c r="M567" t="s">
        <v>3364</v>
      </c>
      <c r="N567" t="s">
        <v>3365</v>
      </c>
      <c r="O567" t="s">
        <v>3376</v>
      </c>
      <c r="P567" t="s">
        <v>3382</v>
      </c>
    </row>
    <row r="568" spans="1:16" x14ac:dyDescent="0.3">
      <c r="A568" t="s">
        <v>1045</v>
      </c>
      <c r="B568" t="s">
        <v>28</v>
      </c>
      <c r="C568" t="s">
        <v>1052</v>
      </c>
      <c r="F568" t="s">
        <v>3361</v>
      </c>
      <c r="G568" t="s">
        <v>2746</v>
      </c>
      <c r="I568" t="s">
        <v>28</v>
      </c>
      <c r="J568" t="s">
        <v>3369</v>
      </c>
      <c r="K568" t="s">
        <v>3387</v>
      </c>
      <c r="L568" t="s">
        <v>3388</v>
      </c>
      <c r="M568" t="s">
        <v>3364</v>
      </c>
      <c r="N568" t="s">
        <v>3365</v>
      </c>
      <c r="O568" t="s">
        <v>3376</v>
      </c>
      <c r="P568" t="s">
        <v>3382</v>
      </c>
    </row>
    <row r="569" spans="1:16" x14ac:dyDescent="0.3">
      <c r="A569" t="s">
        <v>1040</v>
      </c>
      <c r="B569" t="s">
        <v>28</v>
      </c>
      <c r="C569" t="s">
        <v>1052</v>
      </c>
      <c r="F569" t="s">
        <v>3361</v>
      </c>
      <c r="G569" t="s">
        <v>2746</v>
      </c>
      <c r="I569" t="s">
        <v>28</v>
      </c>
      <c r="J569" t="s">
        <v>3369</v>
      </c>
      <c r="K569" t="s">
        <v>3387</v>
      </c>
      <c r="L569" t="s">
        <v>3388</v>
      </c>
      <c r="M569" t="s">
        <v>3364</v>
      </c>
      <c r="N569" t="s">
        <v>3365</v>
      </c>
      <c r="O569" t="s">
        <v>3376</v>
      </c>
      <c r="P569" t="s">
        <v>3382</v>
      </c>
    </row>
    <row r="570" spans="1:16" x14ac:dyDescent="0.3">
      <c r="A570" t="s">
        <v>1044</v>
      </c>
      <c r="B570" t="s">
        <v>28</v>
      </c>
      <c r="C570" t="s">
        <v>1052</v>
      </c>
      <c r="F570" t="s">
        <v>3361</v>
      </c>
      <c r="G570" t="s">
        <v>2746</v>
      </c>
      <c r="I570" t="s">
        <v>28</v>
      </c>
      <c r="J570" t="s">
        <v>3369</v>
      </c>
      <c r="K570" t="s">
        <v>3387</v>
      </c>
      <c r="L570" t="s">
        <v>3388</v>
      </c>
      <c r="M570" t="s">
        <v>3364</v>
      </c>
      <c r="N570" t="s">
        <v>3365</v>
      </c>
      <c r="O570" t="s">
        <v>3376</v>
      </c>
      <c r="P570" t="s">
        <v>3382</v>
      </c>
    </row>
    <row r="571" spans="1:16" x14ac:dyDescent="0.3">
      <c r="A571" t="s">
        <v>1032</v>
      </c>
      <c r="B571" t="s">
        <v>28</v>
      </c>
      <c r="C571" t="s">
        <v>1053</v>
      </c>
      <c r="F571" t="s">
        <v>3361</v>
      </c>
      <c r="G571" t="s">
        <v>2746</v>
      </c>
      <c r="I571" t="s">
        <v>28</v>
      </c>
      <c r="J571" t="s">
        <v>3369</v>
      </c>
      <c r="K571" t="s">
        <v>3387</v>
      </c>
      <c r="L571" t="s">
        <v>3388</v>
      </c>
      <c r="M571" t="s">
        <v>3364</v>
      </c>
      <c r="N571" t="s">
        <v>3365</v>
      </c>
      <c r="O571" t="s">
        <v>3376</v>
      </c>
      <c r="P571" t="s">
        <v>3382</v>
      </c>
    </row>
    <row r="572" spans="1:16" x14ac:dyDescent="0.3">
      <c r="A572" t="s">
        <v>1046</v>
      </c>
      <c r="B572" t="s">
        <v>28</v>
      </c>
      <c r="C572" t="s">
        <v>1053</v>
      </c>
      <c r="F572" t="s">
        <v>3361</v>
      </c>
      <c r="G572" t="s">
        <v>2746</v>
      </c>
      <c r="I572" t="s">
        <v>28</v>
      </c>
      <c r="J572" t="s">
        <v>3369</v>
      </c>
      <c r="K572" t="s">
        <v>3387</v>
      </c>
      <c r="L572" t="s">
        <v>3388</v>
      </c>
      <c r="M572" t="s">
        <v>3364</v>
      </c>
      <c r="N572" t="s">
        <v>3365</v>
      </c>
      <c r="O572" t="s">
        <v>3376</v>
      </c>
      <c r="P572" t="s">
        <v>3382</v>
      </c>
    </row>
    <row r="573" spans="1:16" x14ac:dyDescent="0.3">
      <c r="A573" t="s">
        <v>1033</v>
      </c>
      <c r="B573" t="s">
        <v>28</v>
      </c>
      <c r="C573" t="s">
        <v>1053</v>
      </c>
      <c r="F573" t="s">
        <v>3361</v>
      </c>
      <c r="G573" t="s">
        <v>2746</v>
      </c>
      <c r="I573" t="s">
        <v>28</v>
      </c>
      <c r="J573" t="s">
        <v>3369</v>
      </c>
      <c r="K573" t="s">
        <v>3387</v>
      </c>
      <c r="L573" t="s">
        <v>3388</v>
      </c>
      <c r="M573" t="s">
        <v>3364</v>
      </c>
      <c r="N573" t="s">
        <v>3365</v>
      </c>
      <c r="O573" t="s">
        <v>3376</v>
      </c>
      <c r="P573" t="s">
        <v>3382</v>
      </c>
    </row>
    <row r="574" spans="1:16" x14ac:dyDescent="0.3">
      <c r="A574" t="s">
        <v>1049</v>
      </c>
      <c r="B574" t="s">
        <v>28</v>
      </c>
      <c r="C574" t="s">
        <v>1054</v>
      </c>
      <c r="F574" t="s">
        <v>3361</v>
      </c>
      <c r="G574" t="s">
        <v>2746</v>
      </c>
      <c r="I574" t="s">
        <v>28</v>
      </c>
      <c r="J574" t="s">
        <v>3369</v>
      </c>
      <c r="K574" t="s">
        <v>3387</v>
      </c>
      <c r="L574" t="s">
        <v>3388</v>
      </c>
      <c r="M574" t="s">
        <v>3364</v>
      </c>
      <c r="N574" t="s">
        <v>3365</v>
      </c>
      <c r="O574" t="s">
        <v>3376</v>
      </c>
      <c r="P574" t="s">
        <v>3382</v>
      </c>
    </row>
    <row r="575" spans="1:16" x14ac:dyDescent="0.3">
      <c r="A575" t="s">
        <v>1036</v>
      </c>
      <c r="B575" t="s">
        <v>28</v>
      </c>
      <c r="C575" t="s">
        <v>1054</v>
      </c>
      <c r="F575" t="s">
        <v>3361</v>
      </c>
      <c r="G575" t="s">
        <v>2746</v>
      </c>
      <c r="I575" t="s">
        <v>28</v>
      </c>
      <c r="J575" t="s">
        <v>3369</v>
      </c>
      <c r="K575" t="s">
        <v>3387</v>
      </c>
      <c r="L575" t="s">
        <v>3388</v>
      </c>
      <c r="M575" t="s">
        <v>3364</v>
      </c>
      <c r="N575" t="s">
        <v>3365</v>
      </c>
      <c r="O575" t="s">
        <v>3376</v>
      </c>
      <c r="P575" t="s">
        <v>3382</v>
      </c>
    </row>
    <row r="576" spans="1:16" x14ac:dyDescent="0.3">
      <c r="A576" t="s">
        <v>1032</v>
      </c>
      <c r="B576" t="s">
        <v>28</v>
      </c>
      <c r="C576" t="s">
        <v>1054</v>
      </c>
      <c r="F576" t="s">
        <v>3361</v>
      </c>
      <c r="G576" t="s">
        <v>2746</v>
      </c>
      <c r="I576" t="s">
        <v>28</v>
      </c>
      <c r="J576" t="s">
        <v>3369</v>
      </c>
      <c r="K576" t="s">
        <v>3387</v>
      </c>
      <c r="L576" t="s">
        <v>3388</v>
      </c>
      <c r="M576" t="s">
        <v>3364</v>
      </c>
      <c r="N576" t="s">
        <v>3365</v>
      </c>
      <c r="O576" t="s">
        <v>3376</v>
      </c>
      <c r="P576" t="s">
        <v>3382</v>
      </c>
    </row>
    <row r="577" spans="1:16" x14ac:dyDescent="0.3">
      <c r="A577" t="s">
        <v>1046</v>
      </c>
      <c r="B577" t="s">
        <v>28</v>
      </c>
      <c r="C577" t="s">
        <v>1054</v>
      </c>
      <c r="F577" t="s">
        <v>3361</v>
      </c>
      <c r="G577" t="s">
        <v>2746</v>
      </c>
      <c r="I577" t="s">
        <v>28</v>
      </c>
      <c r="J577" t="s">
        <v>3369</v>
      </c>
      <c r="K577" t="s">
        <v>3387</v>
      </c>
      <c r="L577" t="s">
        <v>3388</v>
      </c>
      <c r="M577" t="s">
        <v>3364</v>
      </c>
      <c r="N577" t="s">
        <v>3365</v>
      </c>
      <c r="O577" t="s">
        <v>3376</v>
      </c>
      <c r="P577" t="s">
        <v>3382</v>
      </c>
    </row>
    <row r="578" spans="1:16" x14ac:dyDescent="0.3">
      <c r="A578" t="s">
        <v>738</v>
      </c>
      <c r="B578" t="s">
        <v>29</v>
      </c>
      <c r="C578" t="s">
        <v>1055</v>
      </c>
      <c r="F578" t="s">
        <v>3361</v>
      </c>
      <c r="G578" t="s">
        <v>2746</v>
      </c>
      <c r="I578" t="s">
        <v>29</v>
      </c>
      <c r="J578" t="s">
        <v>3369</v>
      </c>
      <c r="K578" t="s">
        <v>605</v>
      </c>
      <c r="L578" t="s">
        <v>3375</v>
      </c>
      <c r="M578" t="s">
        <v>3364</v>
      </c>
      <c r="N578" t="s">
        <v>3365</v>
      </c>
      <c r="O578" t="s">
        <v>3366</v>
      </c>
      <c r="P578" t="s">
        <v>3372</v>
      </c>
    </row>
    <row r="579" spans="1:16" x14ac:dyDescent="0.3">
      <c r="A579" t="s">
        <v>1056</v>
      </c>
      <c r="B579" t="s">
        <v>29</v>
      </c>
      <c r="C579" t="s">
        <v>1055</v>
      </c>
      <c r="F579" t="s">
        <v>3361</v>
      </c>
      <c r="G579" t="s">
        <v>2746</v>
      </c>
      <c r="I579" t="s">
        <v>29</v>
      </c>
      <c r="J579" t="s">
        <v>3369</v>
      </c>
      <c r="K579" t="s">
        <v>605</v>
      </c>
      <c r="L579" t="s">
        <v>3375</v>
      </c>
      <c r="M579" t="s">
        <v>3364</v>
      </c>
      <c r="N579" t="s">
        <v>3365</v>
      </c>
      <c r="O579" t="s">
        <v>3366</v>
      </c>
      <c r="P579" t="s">
        <v>3372</v>
      </c>
    </row>
    <row r="580" spans="1:16" x14ac:dyDescent="0.3">
      <c r="A580" t="s">
        <v>667</v>
      </c>
      <c r="B580" t="s">
        <v>29</v>
      </c>
      <c r="C580" t="s">
        <v>1055</v>
      </c>
      <c r="F580" t="s">
        <v>3361</v>
      </c>
      <c r="G580" t="s">
        <v>2746</v>
      </c>
      <c r="I580" t="s">
        <v>29</v>
      </c>
      <c r="J580" t="s">
        <v>3369</v>
      </c>
      <c r="K580" t="s">
        <v>605</v>
      </c>
      <c r="L580" t="s">
        <v>3375</v>
      </c>
      <c r="M580" t="s">
        <v>3364</v>
      </c>
      <c r="N580" t="s">
        <v>3365</v>
      </c>
      <c r="O580" t="s">
        <v>3366</v>
      </c>
      <c r="P580" t="s">
        <v>3372</v>
      </c>
    </row>
    <row r="581" spans="1:16" x14ac:dyDescent="0.3">
      <c r="A581" t="s">
        <v>747</v>
      </c>
      <c r="B581" t="s">
        <v>29</v>
      </c>
      <c r="C581" t="s">
        <v>1055</v>
      </c>
      <c r="F581" t="s">
        <v>3361</v>
      </c>
      <c r="G581" t="s">
        <v>2746</v>
      </c>
      <c r="I581" t="s">
        <v>29</v>
      </c>
      <c r="J581" t="s">
        <v>3369</v>
      </c>
      <c r="K581" t="s">
        <v>605</v>
      </c>
      <c r="L581" t="s">
        <v>3375</v>
      </c>
      <c r="M581" t="s">
        <v>3364</v>
      </c>
      <c r="N581" t="s">
        <v>3365</v>
      </c>
      <c r="O581" t="s">
        <v>3366</v>
      </c>
      <c r="P581" t="s">
        <v>3372</v>
      </c>
    </row>
    <row r="582" spans="1:16" x14ac:dyDescent="0.3">
      <c r="A582" t="s">
        <v>1057</v>
      </c>
      <c r="B582" t="s">
        <v>29</v>
      </c>
      <c r="C582" t="s">
        <v>1055</v>
      </c>
      <c r="F582" t="s">
        <v>3361</v>
      </c>
      <c r="G582" t="s">
        <v>2746</v>
      </c>
      <c r="I582" t="s">
        <v>29</v>
      </c>
      <c r="J582" t="s">
        <v>3369</v>
      </c>
      <c r="K582" t="s">
        <v>605</v>
      </c>
      <c r="L582" t="s">
        <v>3375</v>
      </c>
      <c r="M582" t="s">
        <v>3364</v>
      </c>
      <c r="N582" t="s">
        <v>3365</v>
      </c>
      <c r="O582" t="s">
        <v>3366</v>
      </c>
      <c r="P582" t="s">
        <v>3372</v>
      </c>
    </row>
    <row r="583" spans="1:16" x14ac:dyDescent="0.3">
      <c r="A583" t="s">
        <v>357</v>
      </c>
      <c r="B583" t="s">
        <v>29</v>
      </c>
      <c r="C583" t="s">
        <v>1055</v>
      </c>
      <c r="F583" t="s">
        <v>3361</v>
      </c>
      <c r="G583" t="s">
        <v>2746</v>
      </c>
      <c r="I583" t="s">
        <v>29</v>
      </c>
      <c r="J583" t="s">
        <v>3362</v>
      </c>
      <c r="K583" t="s">
        <v>605</v>
      </c>
      <c r="L583" t="s">
        <v>3375</v>
      </c>
      <c r="M583" t="s">
        <v>3364</v>
      </c>
      <c r="N583" t="s">
        <v>3365</v>
      </c>
      <c r="O583" t="s">
        <v>3366</v>
      </c>
      <c r="P583" t="s">
        <v>3367</v>
      </c>
    </row>
    <row r="584" spans="1:16" x14ac:dyDescent="0.3">
      <c r="A584" t="s">
        <v>1058</v>
      </c>
      <c r="B584" t="s">
        <v>29</v>
      </c>
      <c r="C584" t="s">
        <v>1055</v>
      </c>
      <c r="F584" t="s">
        <v>3361</v>
      </c>
      <c r="G584" t="s">
        <v>2746</v>
      </c>
      <c r="I584" t="s">
        <v>29</v>
      </c>
      <c r="J584" t="s">
        <v>3369</v>
      </c>
      <c r="K584" t="s">
        <v>605</v>
      </c>
      <c r="L584" t="s">
        <v>3375</v>
      </c>
      <c r="M584" t="s">
        <v>3364</v>
      </c>
      <c r="N584" t="s">
        <v>3365</v>
      </c>
      <c r="O584" t="s">
        <v>3366</v>
      </c>
      <c r="P584" t="s">
        <v>3372</v>
      </c>
    </row>
    <row r="585" spans="1:16" x14ac:dyDescent="0.3">
      <c r="A585" t="s">
        <v>1059</v>
      </c>
      <c r="B585" t="s">
        <v>29</v>
      </c>
      <c r="C585" t="s">
        <v>1055</v>
      </c>
      <c r="F585" t="s">
        <v>3361</v>
      </c>
      <c r="G585" t="s">
        <v>2746</v>
      </c>
      <c r="I585" t="s">
        <v>29</v>
      </c>
      <c r="J585" t="s">
        <v>3369</v>
      </c>
      <c r="K585" t="s">
        <v>605</v>
      </c>
      <c r="L585" t="s">
        <v>3375</v>
      </c>
      <c r="M585" t="s">
        <v>3364</v>
      </c>
      <c r="N585" t="s">
        <v>3365</v>
      </c>
      <c r="O585" t="s">
        <v>3366</v>
      </c>
      <c r="P585" t="s">
        <v>3372</v>
      </c>
    </row>
    <row r="586" spans="1:16" x14ac:dyDescent="0.3">
      <c r="A586" t="s">
        <v>1060</v>
      </c>
      <c r="B586" t="s">
        <v>29</v>
      </c>
      <c r="C586" t="s">
        <v>1055</v>
      </c>
      <c r="F586" t="s">
        <v>3361</v>
      </c>
      <c r="G586" t="s">
        <v>2746</v>
      </c>
      <c r="I586" t="s">
        <v>29</v>
      </c>
      <c r="J586" t="s">
        <v>3369</v>
      </c>
      <c r="K586" t="s">
        <v>605</v>
      </c>
      <c r="L586" t="s">
        <v>3375</v>
      </c>
      <c r="M586" t="s">
        <v>3364</v>
      </c>
      <c r="N586" t="s">
        <v>3365</v>
      </c>
      <c r="O586" t="s">
        <v>3366</v>
      </c>
      <c r="P586" t="s">
        <v>3372</v>
      </c>
    </row>
    <row r="587" spans="1:16" x14ac:dyDescent="0.3">
      <c r="A587" t="s">
        <v>1061</v>
      </c>
      <c r="B587" t="s">
        <v>29</v>
      </c>
      <c r="C587" t="s">
        <v>1055</v>
      </c>
      <c r="F587" t="s">
        <v>3361</v>
      </c>
      <c r="G587" t="s">
        <v>2746</v>
      </c>
      <c r="I587" t="s">
        <v>29</v>
      </c>
      <c r="J587" t="s">
        <v>3369</v>
      </c>
      <c r="K587" t="s">
        <v>605</v>
      </c>
      <c r="L587" t="s">
        <v>3375</v>
      </c>
      <c r="M587" t="s">
        <v>3364</v>
      </c>
      <c r="N587" t="s">
        <v>3365</v>
      </c>
      <c r="O587" t="s">
        <v>3366</v>
      </c>
      <c r="P587" t="s">
        <v>3372</v>
      </c>
    </row>
    <row r="588" spans="1:16" x14ac:dyDescent="0.3">
      <c r="A588" t="s">
        <v>1063</v>
      </c>
      <c r="B588" t="s">
        <v>29</v>
      </c>
      <c r="C588" t="s">
        <v>1062</v>
      </c>
      <c r="F588" t="s">
        <v>3361</v>
      </c>
      <c r="G588" t="s">
        <v>2746</v>
      </c>
      <c r="I588" t="s">
        <v>29</v>
      </c>
      <c r="J588" t="s">
        <v>3369</v>
      </c>
      <c r="K588" t="s">
        <v>605</v>
      </c>
      <c r="L588" t="s">
        <v>3375</v>
      </c>
      <c r="M588" t="s">
        <v>3364</v>
      </c>
      <c r="N588" t="s">
        <v>3365</v>
      </c>
      <c r="O588" t="s">
        <v>3366</v>
      </c>
      <c r="P588" t="s">
        <v>3372</v>
      </c>
    </row>
    <row r="589" spans="1:16" x14ac:dyDescent="0.3">
      <c r="A589" t="s">
        <v>1064</v>
      </c>
      <c r="B589" t="s">
        <v>29</v>
      </c>
      <c r="C589" t="s">
        <v>1062</v>
      </c>
      <c r="F589" t="s">
        <v>3361</v>
      </c>
      <c r="G589" t="s">
        <v>2746</v>
      </c>
      <c r="I589" t="s">
        <v>29</v>
      </c>
      <c r="J589" t="s">
        <v>3369</v>
      </c>
      <c r="K589" t="s">
        <v>605</v>
      </c>
      <c r="L589" t="s">
        <v>3375</v>
      </c>
      <c r="M589" t="s">
        <v>3364</v>
      </c>
      <c r="N589" t="s">
        <v>3365</v>
      </c>
      <c r="O589" t="s">
        <v>3366</v>
      </c>
      <c r="P589" t="s">
        <v>3372</v>
      </c>
    </row>
    <row r="590" spans="1:16" x14ac:dyDescent="0.3">
      <c r="A590" t="s">
        <v>1065</v>
      </c>
      <c r="B590" t="s">
        <v>29</v>
      </c>
      <c r="C590" t="s">
        <v>1062</v>
      </c>
      <c r="F590" t="s">
        <v>3361</v>
      </c>
      <c r="G590" t="s">
        <v>2746</v>
      </c>
      <c r="I590" t="s">
        <v>29</v>
      </c>
      <c r="J590" t="s">
        <v>3369</v>
      </c>
      <c r="K590" t="s">
        <v>605</v>
      </c>
      <c r="L590" t="s">
        <v>3375</v>
      </c>
      <c r="M590" t="s">
        <v>3364</v>
      </c>
      <c r="N590" t="s">
        <v>3365</v>
      </c>
      <c r="O590" t="s">
        <v>3366</v>
      </c>
      <c r="P590" t="s">
        <v>3372</v>
      </c>
    </row>
    <row r="591" spans="1:16" x14ac:dyDescent="0.3">
      <c r="A591" t="s">
        <v>1066</v>
      </c>
      <c r="B591" t="s">
        <v>29</v>
      </c>
      <c r="C591" t="s">
        <v>1062</v>
      </c>
      <c r="F591" t="s">
        <v>3361</v>
      </c>
      <c r="G591" t="s">
        <v>2746</v>
      </c>
      <c r="I591" t="s">
        <v>29</v>
      </c>
      <c r="J591" t="s">
        <v>3369</v>
      </c>
      <c r="K591" t="s">
        <v>605</v>
      </c>
      <c r="L591" t="s">
        <v>3375</v>
      </c>
      <c r="M591" t="s">
        <v>3364</v>
      </c>
      <c r="N591" t="s">
        <v>3365</v>
      </c>
      <c r="O591" t="s">
        <v>3366</v>
      </c>
      <c r="P591" t="s">
        <v>3372</v>
      </c>
    </row>
    <row r="592" spans="1:16" x14ac:dyDescent="0.3">
      <c r="A592" t="s">
        <v>1067</v>
      </c>
      <c r="B592" t="s">
        <v>29</v>
      </c>
      <c r="C592" t="s">
        <v>1062</v>
      </c>
      <c r="F592" t="s">
        <v>3361</v>
      </c>
      <c r="G592" t="s">
        <v>2746</v>
      </c>
      <c r="I592" t="s">
        <v>29</v>
      </c>
      <c r="J592" t="s">
        <v>3369</v>
      </c>
      <c r="K592" t="s">
        <v>605</v>
      </c>
      <c r="L592" t="s">
        <v>3375</v>
      </c>
      <c r="M592" t="s">
        <v>3364</v>
      </c>
      <c r="N592" t="s">
        <v>3365</v>
      </c>
      <c r="O592" t="s">
        <v>3366</v>
      </c>
      <c r="P592" t="s">
        <v>3372</v>
      </c>
    </row>
    <row r="593" spans="1:16" x14ac:dyDescent="0.3">
      <c r="A593" t="s">
        <v>1068</v>
      </c>
      <c r="B593" t="s">
        <v>29</v>
      </c>
      <c r="C593" t="s">
        <v>1062</v>
      </c>
      <c r="F593" t="s">
        <v>3361</v>
      </c>
      <c r="G593" t="s">
        <v>2746</v>
      </c>
      <c r="I593" t="s">
        <v>29</v>
      </c>
      <c r="J593" t="s">
        <v>3369</v>
      </c>
      <c r="K593" t="s">
        <v>605</v>
      </c>
      <c r="L593" t="s">
        <v>3375</v>
      </c>
      <c r="M593" t="s">
        <v>3364</v>
      </c>
      <c r="N593" t="s">
        <v>3365</v>
      </c>
      <c r="O593" t="s">
        <v>3366</v>
      </c>
      <c r="P593" t="s">
        <v>3372</v>
      </c>
    </row>
    <row r="594" spans="1:16" x14ac:dyDescent="0.3">
      <c r="A594" t="s">
        <v>1069</v>
      </c>
      <c r="B594" t="s">
        <v>29</v>
      </c>
      <c r="C594" t="s">
        <v>1062</v>
      </c>
      <c r="F594" t="s">
        <v>3361</v>
      </c>
      <c r="G594" t="s">
        <v>2746</v>
      </c>
      <c r="I594" t="s">
        <v>29</v>
      </c>
      <c r="J594" t="s">
        <v>3369</v>
      </c>
      <c r="K594" t="s">
        <v>605</v>
      </c>
      <c r="L594" t="s">
        <v>3375</v>
      </c>
      <c r="M594" t="s">
        <v>3364</v>
      </c>
      <c r="N594" t="s">
        <v>3365</v>
      </c>
      <c r="O594" t="s">
        <v>3366</v>
      </c>
      <c r="P594" t="s">
        <v>3372</v>
      </c>
    </row>
    <row r="595" spans="1:16" x14ac:dyDescent="0.3">
      <c r="A595" t="s">
        <v>1070</v>
      </c>
      <c r="B595" t="s">
        <v>29</v>
      </c>
      <c r="C595" t="s">
        <v>1062</v>
      </c>
      <c r="F595" t="s">
        <v>3361</v>
      </c>
      <c r="G595" t="s">
        <v>2746</v>
      </c>
      <c r="I595" t="s">
        <v>29</v>
      </c>
      <c r="J595" t="s">
        <v>3369</v>
      </c>
      <c r="K595" t="s">
        <v>605</v>
      </c>
      <c r="L595" t="s">
        <v>3375</v>
      </c>
      <c r="M595" t="s">
        <v>3364</v>
      </c>
      <c r="N595" t="s">
        <v>3365</v>
      </c>
      <c r="O595" t="s">
        <v>3366</v>
      </c>
      <c r="P595" t="s">
        <v>3372</v>
      </c>
    </row>
    <row r="596" spans="1:16" x14ac:dyDescent="0.3">
      <c r="A596" t="s">
        <v>1071</v>
      </c>
      <c r="B596" t="s">
        <v>29</v>
      </c>
      <c r="C596" t="s">
        <v>1062</v>
      </c>
      <c r="F596" t="s">
        <v>3361</v>
      </c>
      <c r="G596" t="s">
        <v>2746</v>
      </c>
      <c r="I596" t="s">
        <v>29</v>
      </c>
      <c r="J596" t="s">
        <v>3369</v>
      </c>
      <c r="K596" t="s">
        <v>605</v>
      </c>
      <c r="L596" t="s">
        <v>3375</v>
      </c>
      <c r="M596" t="s">
        <v>3364</v>
      </c>
      <c r="N596" t="s">
        <v>3365</v>
      </c>
      <c r="O596" t="s">
        <v>3366</v>
      </c>
      <c r="P596" t="s">
        <v>3372</v>
      </c>
    </row>
    <row r="597" spans="1:16" x14ac:dyDescent="0.3">
      <c r="A597" t="s">
        <v>1072</v>
      </c>
      <c r="B597" t="s">
        <v>29</v>
      </c>
      <c r="C597" t="s">
        <v>1062</v>
      </c>
      <c r="F597" t="s">
        <v>3361</v>
      </c>
      <c r="G597" t="s">
        <v>2746</v>
      </c>
      <c r="I597" t="s">
        <v>29</v>
      </c>
      <c r="J597" t="s">
        <v>3369</v>
      </c>
      <c r="K597" t="s">
        <v>605</v>
      </c>
      <c r="L597" t="s">
        <v>3375</v>
      </c>
      <c r="M597" t="s">
        <v>3364</v>
      </c>
      <c r="N597" t="s">
        <v>3365</v>
      </c>
      <c r="O597" t="s">
        <v>3366</v>
      </c>
      <c r="P597" t="s">
        <v>3372</v>
      </c>
    </row>
    <row r="598" spans="1:16" x14ac:dyDescent="0.3">
      <c r="A598" t="s">
        <v>1074</v>
      </c>
      <c r="B598" t="s">
        <v>29</v>
      </c>
      <c r="C598" t="s">
        <v>1073</v>
      </c>
      <c r="F598" t="s">
        <v>3361</v>
      </c>
      <c r="G598" t="s">
        <v>2746</v>
      </c>
      <c r="I598" t="s">
        <v>29</v>
      </c>
      <c r="J598" t="s">
        <v>3369</v>
      </c>
      <c r="K598" t="s">
        <v>605</v>
      </c>
      <c r="L598" t="s">
        <v>3375</v>
      </c>
      <c r="M598" t="s">
        <v>3364</v>
      </c>
      <c r="N598" t="s">
        <v>3365</v>
      </c>
      <c r="O598" t="s">
        <v>3366</v>
      </c>
      <c r="P598" t="s">
        <v>3372</v>
      </c>
    </row>
    <row r="599" spans="1:16" x14ac:dyDescent="0.3">
      <c r="A599" t="s">
        <v>1075</v>
      </c>
      <c r="B599" t="s">
        <v>29</v>
      </c>
      <c r="C599" t="s">
        <v>1073</v>
      </c>
      <c r="F599" t="s">
        <v>3361</v>
      </c>
      <c r="G599" t="s">
        <v>2746</v>
      </c>
      <c r="I599" t="s">
        <v>29</v>
      </c>
      <c r="J599" t="s">
        <v>3369</v>
      </c>
      <c r="K599" t="s">
        <v>605</v>
      </c>
      <c r="L599" t="s">
        <v>3375</v>
      </c>
      <c r="M599" t="s">
        <v>3364</v>
      </c>
      <c r="N599" t="s">
        <v>3365</v>
      </c>
      <c r="O599" t="s">
        <v>3366</v>
      </c>
      <c r="P599" t="s">
        <v>3372</v>
      </c>
    </row>
    <row r="600" spans="1:16" x14ac:dyDescent="0.3">
      <c r="A600" t="s">
        <v>666</v>
      </c>
      <c r="B600" t="s">
        <v>29</v>
      </c>
      <c r="C600" t="s">
        <v>1073</v>
      </c>
      <c r="F600" t="s">
        <v>3361</v>
      </c>
      <c r="G600" t="s">
        <v>2746</v>
      </c>
      <c r="I600" t="s">
        <v>29</v>
      </c>
      <c r="J600" t="s">
        <v>3369</v>
      </c>
      <c r="K600" t="s">
        <v>605</v>
      </c>
      <c r="L600" t="s">
        <v>3375</v>
      </c>
      <c r="M600" t="s">
        <v>3364</v>
      </c>
      <c r="N600" t="s">
        <v>3365</v>
      </c>
      <c r="O600" t="s">
        <v>3366</v>
      </c>
      <c r="P600" t="s">
        <v>3372</v>
      </c>
    </row>
    <row r="601" spans="1:16" x14ac:dyDescent="0.3">
      <c r="A601" t="s">
        <v>1076</v>
      </c>
      <c r="B601" t="s">
        <v>29</v>
      </c>
      <c r="C601" t="s">
        <v>1073</v>
      </c>
      <c r="F601" t="s">
        <v>3361</v>
      </c>
      <c r="G601" t="s">
        <v>2746</v>
      </c>
      <c r="I601" t="s">
        <v>29</v>
      </c>
      <c r="J601" t="s">
        <v>3369</v>
      </c>
      <c r="K601" t="s">
        <v>605</v>
      </c>
      <c r="L601" t="s">
        <v>3375</v>
      </c>
      <c r="M601" t="s">
        <v>3364</v>
      </c>
      <c r="N601" t="s">
        <v>3365</v>
      </c>
      <c r="O601" t="s">
        <v>3366</v>
      </c>
      <c r="P601" t="s">
        <v>3372</v>
      </c>
    </row>
    <row r="602" spans="1:16" x14ac:dyDescent="0.3">
      <c r="A602" t="s">
        <v>1077</v>
      </c>
      <c r="B602" t="s">
        <v>29</v>
      </c>
      <c r="C602" t="s">
        <v>1073</v>
      </c>
      <c r="F602" t="s">
        <v>3361</v>
      </c>
      <c r="G602" t="s">
        <v>2746</v>
      </c>
      <c r="I602" t="s">
        <v>29</v>
      </c>
      <c r="J602" t="s">
        <v>3369</v>
      </c>
      <c r="K602" t="s">
        <v>605</v>
      </c>
      <c r="L602" t="s">
        <v>3375</v>
      </c>
      <c r="M602" t="s">
        <v>3364</v>
      </c>
      <c r="N602" t="s">
        <v>3365</v>
      </c>
      <c r="O602" t="s">
        <v>3366</v>
      </c>
      <c r="P602" t="s">
        <v>3372</v>
      </c>
    </row>
    <row r="603" spans="1:16" x14ac:dyDescent="0.3">
      <c r="A603" t="s">
        <v>628</v>
      </c>
      <c r="B603" t="s">
        <v>29</v>
      </c>
      <c r="C603" t="s">
        <v>1073</v>
      </c>
      <c r="F603" t="s">
        <v>3361</v>
      </c>
      <c r="G603" t="s">
        <v>2746</v>
      </c>
      <c r="I603" t="s">
        <v>29</v>
      </c>
      <c r="J603" t="s">
        <v>3369</v>
      </c>
      <c r="K603" t="s">
        <v>605</v>
      </c>
      <c r="L603" t="s">
        <v>3375</v>
      </c>
      <c r="M603" t="s">
        <v>3364</v>
      </c>
      <c r="N603" t="s">
        <v>3365</v>
      </c>
      <c r="O603" t="s">
        <v>3366</v>
      </c>
      <c r="P603" t="s">
        <v>3372</v>
      </c>
    </row>
    <row r="604" spans="1:16" x14ac:dyDescent="0.3">
      <c r="A604" t="s">
        <v>1078</v>
      </c>
      <c r="B604" t="s">
        <v>29</v>
      </c>
      <c r="C604" t="s">
        <v>1073</v>
      </c>
      <c r="F604" t="s">
        <v>3361</v>
      </c>
      <c r="G604" t="s">
        <v>2746</v>
      </c>
      <c r="I604" t="s">
        <v>29</v>
      </c>
      <c r="J604" t="s">
        <v>3369</v>
      </c>
      <c r="K604" t="s">
        <v>605</v>
      </c>
      <c r="L604" t="s">
        <v>3375</v>
      </c>
      <c r="M604" t="s">
        <v>3364</v>
      </c>
      <c r="N604" t="s">
        <v>3365</v>
      </c>
      <c r="O604" t="s">
        <v>3366</v>
      </c>
      <c r="P604" t="s">
        <v>3372</v>
      </c>
    </row>
    <row r="605" spans="1:16" x14ac:dyDescent="0.3">
      <c r="A605" t="s">
        <v>1079</v>
      </c>
      <c r="B605" t="s">
        <v>29</v>
      </c>
      <c r="C605" t="s">
        <v>1073</v>
      </c>
      <c r="F605" t="s">
        <v>3361</v>
      </c>
      <c r="G605" t="s">
        <v>2746</v>
      </c>
      <c r="I605" t="s">
        <v>29</v>
      </c>
      <c r="J605" t="s">
        <v>3369</v>
      </c>
      <c r="K605" t="s">
        <v>605</v>
      </c>
      <c r="L605" t="s">
        <v>3375</v>
      </c>
      <c r="M605" t="s">
        <v>3364</v>
      </c>
      <c r="N605" t="s">
        <v>3365</v>
      </c>
      <c r="O605" t="s">
        <v>3366</v>
      </c>
      <c r="P605" t="s">
        <v>3372</v>
      </c>
    </row>
    <row r="606" spans="1:16" x14ac:dyDescent="0.3">
      <c r="A606" t="s">
        <v>1080</v>
      </c>
      <c r="B606" t="s">
        <v>29</v>
      </c>
      <c r="C606" t="s">
        <v>1073</v>
      </c>
      <c r="F606" t="s">
        <v>3361</v>
      </c>
      <c r="G606" t="s">
        <v>2746</v>
      </c>
      <c r="I606" t="s">
        <v>29</v>
      </c>
      <c r="J606" t="s">
        <v>3369</v>
      </c>
      <c r="K606" t="s">
        <v>605</v>
      </c>
      <c r="L606" t="s">
        <v>3375</v>
      </c>
      <c r="M606" t="s">
        <v>3364</v>
      </c>
      <c r="N606" t="s">
        <v>3365</v>
      </c>
      <c r="O606" t="s">
        <v>3366</v>
      </c>
      <c r="P606" t="s">
        <v>3372</v>
      </c>
    </row>
    <row r="607" spans="1:16" x14ac:dyDescent="0.3">
      <c r="A607" t="s">
        <v>1081</v>
      </c>
      <c r="B607" t="s">
        <v>29</v>
      </c>
      <c r="C607" t="s">
        <v>1073</v>
      </c>
      <c r="F607" t="s">
        <v>3361</v>
      </c>
      <c r="G607" t="s">
        <v>2746</v>
      </c>
      <c r="I607" t="s">
        <v>29</v>
      </c>
      <c r="J607" t="s">
        <v>3369</v>
      </c>
      <c r="K607" t="s">
        <v>605</v>
      </c>
      <c r="L607" t="s">
        <v>3375</v>
      </c>
      <c r="M607" t="s">
        <v>3364</v>
      </c>
      <c r="N607" t="s">
        <v>3365</v>
      </c>
      <c r="O607" t="s">
        <v>3366</v>
      </c>
      <c r="P607" t="s">
        <v>3372</v>
      </c>
    </row>
    <row r="608" spans="1:16" x14ac:dyDescent="0.3">
      <c r="A608" t="s">
        <v>1083</v>
      </c>
      <c r="B608" t="s">
        <v>29</v>
      </c>
      <c r="C608" t="s">
        <v>1082</v>
      </c>
      <c r="F608" t="s">
        <v>3361</v>
      </c>
      <c r="G608" t="s">
        <v>2746</v>
      </c>
      <c r="I608" t="s">
        <v>29</v>
      </c>
      <c r="J608" t="s">
        <v>3369</v>
      </c>
      <c r="K608" t="s">
        <v>605</v>
      </c>
      <c r="L608" t="s">
        <v>3375</v>
      </c>
      <c r="M608" t="s">
        <v>3364</v>
      </c>
      <c r="N608" t="s">
        <v>3365</v>
      </c>
      <c r="O608" t="s">
        <v>3366</v>
      </c>
      <c r="P608" t="s">
        <v>3372</v>
      </c>
    </row>
    <row r="609" spans="1:16" x14ac:dyDescent="0.3">
      <c r="A609" t="s">
        <v>748</v>
      </c>
      <c r="B609" t="s">
        <v>29</v>
      </c>
      <c r="C609" t="s">
        <v>1082</v>
      </c>
      <c r="F609" t="s">
        <v>3361</v>
      </c>
      <c r="G609" t="s">
        <v>2746</v>
      </c>
      <c r="I609" t="s">
        <v>29</v>
      </c>
      <c r="J609" t="s">
        <v>3369</v>
      </c>
      <c r="K609" t="s">
        <v>605</v>
      </c>
      <c r="L609" t="s">
        <v>3375</v>
      </c>
      <c r="M609" t="s">
        <v>3364</v>
      </c>
      <c r="N609" t="s">
        <v>3365</v>
      </c>
      <c r="O609" t="s">
        <v>3366</v>
      </c>
      <c r="P609" t="s">
        <v>3372</v>
      </c>
    </row>
    <row r="610" spans="1:16" x14ac:dyDescent="0.3">
      <c r="A610" t="s">
        <v>1084</v>
      </c>
      <c r="B610" t="s">
        <v>29</v>
      </c>
      <c r="C610" t="s">
        <v>1082</v>
      </c>
      <c r="F610" t="s">
        <v>3361</v>
      </c>
      <c r="G610" t="s">
        <v>2746</v>
      </c>
      <c r="I610" t="s">
        <v>29</v>
      </c>
      <c r="J610" t="s">
        <v>3369</v>
      </c>
      <c r="K610" t="s">
        <v>605</v>
      </c>
      <c r="L610" t="s">
        <v>3375</v>
      </c>
      <c r="M610" t="s">
        <v>3364</v>
      </c>
      <c r="N610" t="s">
        <v>3365</v>
      </c>
      <c r="O610" t="s">
        <v>3366</v>
      </c>
      <c r="P610" t="s">
        <v>3372</v>
      </c>
    </row>
    <row r="611" spans="1:16" x14ac:dyDescent="0.3">
      <c r="A611" t="s">
        <v>1085</v>
      </c>
      <c r="B611" t="s">
        <v>29</v>
      </c>
      <c r="C611" t="s">
        <v>1082</v>
      </c>
      <c r="F611" t="s">
        <v>3361</v>
      </c>
      <c r="G611" t="s">
        <v>2746</v>
      </c>
      <c r="I611" t="s">
        <v>29</v>
      </c>
      <c r="J611" t="s">
        <v>3369</v>
      </c>
      <c r="K611" t="s">
        <v>605</v>
      </c>
      <c r="L611" t="s">
        <v>3375</v>
      </c>
      <c r="M611" t="s">
        <v>3364</v>
      </c>
      <c r="N611" t="s">
        <v>3365</v>
      </c>
      <c r="O611" t="s">
        <v>3366</v>
      </c>
      <c r="P611" t="s">
        <v>3372</v>
      </c>
    </row>
    <row r="612" spans="1:16" x14ac:dyDescent="0.3">
      <c r="A612" t="s">
        <v>1086</v>
      </c>
      <c r="B612" t="s">
        <v>29</v>
      </c>
      <c r="C612" t="s">
        <v>1082</v>
      </c>
      <c r="F612" t="s">
        <v>3361</v>
      </c>
      <c r="G612" t="s">
        <v>2746</v>
      </c>
      <c r="I612" t="s">
        <v>29</v>
      </c>
      <c r="J612" t="s">
        <v>3369</v>
      </c>
      <c r="K612" t="s">
        <v>605</v>
      </c>
      <c r="L612" t="s">
        <v>3375</v>
      </c>
      <c r="M612" t="s">
        <v>3364</v>
      </c>
      <c r="N612" t="s">
        <v>3365</v>
      </c>
      <c r="O612" t="s">
        <v>3366</v>
      </c>
      <c r="P612" t="s">
        <v>3372</v>
      </c>
    </row>
    <row r="613" spans="1:16" x14ac:dyDescent="0.3">
      <c r="A613" t="s">
        <v>337</v>
      </c>
      <c r="B613" t="s">
        <v>29</v>
      </c>
      <c r="C613" t="s">
        <v>1082</v>
      </c>
      <c r="F613" t="s">
        <v>3361</v>
      </c>
      <c r="G613" t="s">
        <v>2746</v>
      </c>
      <c r="I613" t="s">
        <v>29</v>
      </c>
      <c r="J613" t="s">
        <v>3362</v>
      </c>
      <c r="K613" t="s">
        <v>605</v>
      </c>
      <c r="L613" t="s">
        <v>3375</v>
      </c>
      <c r="M613" t="s">
        <v>3364</v>
      </c>
      <c r="N613" t="s">
        <v>3365</v>
      </c>
      <c r="O613" t="s">
        <v>3366</v>
      </c>
      <c r="P613" t="s">
        <v>3367</v>
      </c>
    </row>
    <row r="614" spans="1:16" x14ac:dyDescent="0.3">
      <c r="A614" t="s">
        <v>428</v>
      </c>
      <c r="B614" t="s">
        <v>29</v>
      </c>
      <c r="C614" t="s">
        <v>1082</v>
      </c>
      <c r="F614" t="s">
        <v>3361</v>
      </c>
      <c r="G614" t="s">
        <v>2746</v>
      </c>
      <c r="I614" t="s">
        <v>29</v>
      </c>
      <c r="J614" t="s">
        <v>3369</v>
      </c>
      <c r="K614" t="s">
        <v>605</v>
      </c>
      <c r="L614" t="s">
        <v>3375</v>
      </c>
      <c r="M614" t="s">
        <v>3364</v>
      </c>
      <c r="N614" t="s">
        <v>3365</v>
      </c>
      <c r="O614" t="s">
        <v>3366</v>
      </c>
      <c r="P614" t="s">
        <v>3372</v>
      </c>
    </row>
    <row r="615" spans="1:16" x14ac:dyDescent="0.3">
      <c r="A615" t="s">
        <v>1087</v>
      </c>
      <c r="B615" t="s">
        <v>29</v>
      </c>
      <c r="C615" t="s">
        <v>1082</v>
      </c>
      <c r="F615" t="s">
        <v>3361</v>
      </c>
      <c r="G615" t="s">
        <v>2746</v>
      </c>
      <c r="I615" t="s">
        <v>29</v>
      </c>
      <c r="J615" t="s">
        <v>3369</v>
      </c>
      <c r="K615" t="s">
        <v>605</v>
      </c>
      <c r="L615" t="s">
        <v>3375</v>
      </c>
      <c r="M615" t="s">
        <v>3364</v>
      </c>
      <c r="N615" t="s">
        <v>3365</v>
      </c>
      <c r="O615" t="s">
        <v>3366</v>
      </c>
      <c r="P615" t="s">
        <v>3372</v>
      </c>
    </row>
    <row r="616" spans="1:16" x14ac:dyDescent="0.3">
      <c r="A616" t="s">
        <v>1088</v>
      </c>
      <c r="B616" t="s">
        <v>29</v>
      </c>
      <c r="C616" t="s">
        <v>1082</v>
      </c>
      <c r="F616" t="s">
        <v>3361</v>
      </c>
      <c r="G616" t="s">
        <v>2746</v>
      </c>
      <c r="I616" t="s">
        <v>29</v>
      </c>
      <c r="J616" t="s">
        <v>3369</v>
      </c>
      <c r="K616" t="s">
        <v>605</v>
      </c>
      <c r="L616" t="s">
        <v>3375</v>
      </c>
      <c r="M616" t="s">
        <v>3364</v>
      </c>
      <c r="N616" t="s">
        <v>3365</v>
      </c>
      <c r="O616" t="s">
        <v>3366</v>
      </c>
      <c r="P616" t="s">
        <v>3372</v>
      </c>
    </row>
    <row r="617" spans="1:16" x14ac:dyDescent="0.3">
      <c r="A617" t="s">
        <v>742</v>
      </c>
      <c r="B617" t="s">
        <v>29</v>
      </c>
      <c r="C617" t="s">
        <v>1082</v>
      </c>
      <c r="F617" t="s">
        <v>3361</v>
      </c>
      <c r="G617" t="s">
        <v>2746</v>
      </c>
      <c r="I617" t="s">
        <v>29</v>
      </c>
      <c r="J617" t="s">
        <v>3369</v>
      </c>
      <c r="K617" t="s">
        <v>605</v>
      </c>
      <c r="L617" t="s">
        <v>3375</v>
      </c>
      <c r="M617" t="s">
        <v>3364</v>
      </c>
      <c r="N617" t="s">
        <v>3365</v>
      </c>
      <c r="O617" t="s">
        <v>3366</v>
      </c>
      <c r="P617" t="s">
        <v>3372</v>
      </c>
    </row>
    <row r="618" spans="1:16" x14ac:dyDescent="0.3">
      <c r="A618" t="s">
        <v>655</v>
      </c>
      <c r="B618" t="s">
        <v>29</v>
      </c>
      <c r="C618" t="s">
        <v>1089</v>
      </c>
      <c r="F618" t="s">
        <v>3361</v>
      </c>
      <c r="G618" t="s">
        <v>2746</v>
      </c>
      <c r="I618" t="s">
        <v>29</v>
      </c>
      <c r="J618" t="s">
        <v>3369</v>
      </c>
      <c r="K618" t="s">
        <v>605</v>
      </c>
      <c r="L618" t="s">
        <v>3375</v>
      </c>
      <c r="M618" t="s">
        <v>3364</v>
      </c>
      <c r="N618" t="s">
        <v>3365</v>
      </c>
      <c r="O618" t="s">
        <v>3366</v>
      </c>
      <c r="P618" t="s">
        <v>3372</v>
      </c>
    </row>
    <row r="619" spans="1:16" x14ac:dyDescent="0.3">
      <c r="A619" t="s">
        <v>1090</v>
      </c>
      <c r="B619" t="s">
        <v>29</v>
      </c>
      <c r="C619" t="s">
        <v>1089</v>
      </c>
      <c r="F619" t="s">
        <v>3361</v>
      </c>
      <c r="G619" t="s">
        <v>2746</v>
      </c>
      <c r="I619" t="s">
        <v>29</v>
      </c>
      <c r="J619" t="s">
        <v>3369</v>
      </c>
      <c r="K619" t="s">
        <v>605</v>
      </c>
      <c r="L619" t="s">
        <v>3375</v>
      </c>
      <c r="M619" t="s">
        <v>3364</v>
      </c>
      <c r="N619" t="s">
        <v>3365</v>
      </c>
      <c r="O619" t="s">
        <v>3366</v>
      </c>
      <c r="P619" t="s">
        <v>3372</v>
      </c>
    </row>
    <row r="620" spans="1:16" x14ac:dyDescent="0.3">
      <c r="A620" t="s">
        <v>1091</v>
      </c>
      <c r="B620" t="s">
        <v>29</v>
      </c>
      <c r="C620" t="s">
        <v>1089</v>
      </c>
      <c r="F620" t="s">
        <v>3361</v>
      </c>
      <c r="G620" t="s">
        <v>2746</v>
      </c>
      <c r="I620" t="s">
        <v>29</v>
      </c>
      <c r="J620" t="s">
        <v>3369</v>
      </c>
      <c r="K620" t="s">
        <v>605</v>
      </c>
      <c r="L620" t="s">
        <v>3375</v>
      </c>
      <c r="M620" t="s">
        <v>3364</v>
      </c>
      <c r="N620" t="s">
        <v>3365</v>
      </c>
      <c r="O620" t="s">
        <v>3366</v>
      </c>
      <c r="P620" t="s">
        <v>3372</v>
      </c>
    </row>
    <row r="621" spans="1:16" x14ac:dyDescent="0.3">
      <c r="A621" t="s">
        <v>1092</v>
      </c>
      <c r="B621" t="s">
        <v>29</v>
      </c>
      <c r="C621" t="s">
        <v>1089</v>
      </c>
      <c r="F621" t="s">
        <v>3361</v>
      </c>
      <c r="G621" t="s">
        <v>2746</v>
      </c>
      <c r="I621" t="s">
        <v>29</v>
      </c>
      <c r="J621" t="s">
        <v>3369</v>
      </c>
      <c r="K621" t="s">
        <v>605</v>
      </c>
      <c r="L621" t="s">
        <v>3375</v>
      </c>
      <c r="M621" t="s">
        <v>3364</v>
      </c>
      <c r="N621" t="s">
        <v>3365</v>
      </c>
      <c r="O621" t="s">
        <v>3366</v>
      </c>
      <c r="P621" t="s">
        <v>3372</v>
      </c>
    </row>
    <row r="622" spans="1:16" x14ac:dyDescent="0.3">
      <c r="A622" t="s">
        <v>752</v>
      </c>
      <c r="B622" t="s">
        <v>29</v>
      </c>
      <c r="C622" t="s">
        <v>1089</v>
      </c>
      <c r="F622" t="s">
        <v>3361</v>
      </c>
      <c r="G622" t="s">
        <v>2746</v>
      </c>
      <c r="I622" t="s">
        <v>29</v>
      </c>
      <c r="J622" t="s">
        <v>3369</v>
      </c>
      <c r="K622" t="s">
        <v>605</v>
      </c>
      <c r="L622" t="s">
        <v>3375</v>
      </c>
      <c r="M622" t="s">
        <v>3364</v>
      </c>
      <c r="N622" t="s">
        <v>3365</v>
      </c>
      <c r="O622" t="s">
        <v>3366</v>
      </c>
      <c r="P622" t="s">
        <v>3372</v>
      </c>
    </row>
    <row r="623" spans="1:16" x14ac:dyDescent="0.3">
      <c r="A623" t="s">
        <v>1093</v>
      </c>
      <c r="B623" t="s">
        <v>29</v>
      </c>
      <c r="C623" t="s">
        <v>1089</v>
      </c>
      <c r="F623" t="s">
        <v>3361</v>
      </c>
      <c r="G623" t="s">
        <v>2746</v>
      </c>
      <c r="I623" t="s">
        <v>29</v>
      </c>
      <c r="J623" t="s">
        <v>3369</v>
      </c>
      <c r="K623" t="s">
        <v>605</v>
      </c>
      <c r="L623" t="s">
        <v>3375</v>
      </c>
      <c r="M623" t="s">
        <v>3364</v>
      </c>
      <c r="N623" t="s">
        <v>3365</v>
      </c>
      <c r="O623" t="s">
        <v>3366</v>
      </c>
      <c r="P623" t="s">
        <v>3372</v>
      </c>
    </row>
    <row r="624" spans="1:16" x14ac:dyDescent="0.3">
      <c r="A624" t="s">
        <v>1094</v>
      </c>
      <c r="B624" t="s">
        <v>29</v>
      </c>
      <c r="C624" t="s">
        <v>1089</v>
      </c>
      <c r="F624" t="s">
        <v>3361</v>
      </c>
      <c r="G624" t="s">
        <v>2746</v>
      </c>
      <c r="I624" t="s">
        <v>29</v>
      </c>
      <c r="J624" t="s">
        <v>3369</v>
      </c>
      <c r="K624" t="s">
        <v>605</v>
      </c>
      <c r="L624" t="s">
        <v>3375</v>
      </c>
      <c r="M624" t="s">
        <v>3364</v>
      </c>
      <c r="N624" t="s">
        <v>3365</v>
      </c>
      <c r="O624" t="s">
        <v>3366</v>
      </c>
      <c r="P624" t="s">
        <v>3372</v>
      </c>
    </row>
    <row r="625" spans="1:16" x14ac:dyDescent="0.3">
      <c r="A625" t="s">
        <v>712</v>
      </c>
      <c r="B625" t="s">
        <v>29</v>
      </c>
      <c r="C625" t="s">
        <v>1089</v>
      </c>
      <c r="F625" t="s">
        <v>3361</v>
      </c>
      <c r="G625" t="s">
        <v>2746</v>
      </c>
      <c r="I625" t="s">
        <v>29</v>
      </c>
      <c r="J625" t="s">
        <v>3362</v>
      </c>
      <c r="K625" t="s">
        <v>605</v>
      </c>
      <c r="L625" t="s">
        <v>3375</v>
      </c>
      <c r="M625" t="s">
        <v>3364</v>
      </c>
      <c r="N625" t="s">
        <v>3365</v>
      </c>
      <c r="O625" t="s">
        <v>3366</v>
      </c>
      <c r="P625" t="s">
        <v>3367</v>
      </c>
    </row>
    <row r="626" spans="1:16" x14ac:dyDescent="0.3">
      <c r="A626" t="s">
        <v>1095</v>
      </c>
      <c r="B626" t="s">
        <v>29</v>
      </c>
      <c r="C626" t="s">
        <v>1089</v>
      </c>
      <c r="F626" t="s">
        <v>3361</v>
      </c>
      <c r="G626" t="s">
        <v>2746</v>
      </c>
      <c r="I626" t="s">
        <v>29</v>
      </c>
      <c r="J626" t="s">
        <v>3369</v>
      </c>
      <c r="K626" t="s">
        <v>605</v>
      </c>
      <c r="L626" t="s">
        <v>3375</v>
      </c>
      <c r="M626" t="s">
        <v>3364</v>
      </c>
      <c r="N626" t="s">
        <v>3365</v>
      </c>
      <c r="O626" t="s">
        <v>3366</v>
      </c>
      <c r="P626" t="s">
        <v>3372</v>
      </c>
    </row>
    <row r="627" spans="1:16" x14ac:dyDescent="0.3">
      <c r="A627" t="s">
        <v>1096</v>
      </c>
      <c r="B627" t="s">
        <v>29</v>
      </c>
      <c r="C627" t="s">
        <v>1089</v>
      </c>
      <c r="F627" t="s">
        <v>3361</v>
      </c>
      <c r="G627" t="s">
        <v>2746</v>
      </c>
      <c r="I627" t="s">
        <v>29</v>
      </c>
      <c r="J627" t="s">
        <v>3369</v>
      </c>
      <c r="K627" t="s">
        <v>605</v>
      </c>
      <c r="L627" t="s">
        <v>3375</v>
      </c>
      <c r="M627" t="s">
        <v>3364</v>
      </c>
      <c r="N627" t="s">
        <v>3365</v>
      </c>
      <c r="O627" t="s">
        <v>3366</v>
      </c>
      <c r="P627" t="s">
        <v>3372</v>
      </c>
    </row>
    <row r="628" spans="1:16" x14ac:dyDescent="0.3">
      <c r="A628" t="s">
        <v>1098</v>
      </c>
      <c r="B628" t="s">
        <v>29</v>
      </c>
      <c r="C628" t="s">
        <v>1097</v>
      </c>
      <c r="F628" t="s">
        <v>3361</v>
      </c>
      <c r="G628" t="s">
        <v>2746</v>
      </c>
      <c r="I628" t="s">
        <v>29</v>
      </c>
      <c r="J628" t="s">
        <v>3369</v>
      </c>
      <c r="K628" t="s">
        <v>605</v>
      </c>
      <c r="L628" t="s">
        <v>3375</v>
      </c>
      <c r="M628" t="s">
        <v>3364</v>
      </c>
      <c r="N628" t="s">
        <v>3365</v>
      </c>
      <c r="O628" t="s">
        <v>3366</v>
      </c>
      <c r="P628" t="s">
        <v>3372</v>
      </c>
    </row>
    <row r="629" spans="1:16" x14ac:dyDescent="0.3">
      <c r="A629" t="s">
        <v>668</v>
      </c>
      <c r="B629" t="s">
        <v>29</v>
      </c>
      <c r="C629" t="s">
        <v>1097</v>
      </c>
      <c r="F629" t="s">
        <v>3361</v>
      </c>
      <c r="G629" t="s">
        <v>2746</v>
      </c>
      <c r="I629" t="s">
        <v>29</v>
      </c>
      <c r="J629" t="s">
        <v>3369</v>
      </c>
      <c r="K629" t="s">
        <v>605</v>
      </c>
      <c r="L629" t="s">
        <v>3375</v>
      </c>
      <c r="M629" t="s">
        <v>3364</v>
      </c>
      <c r="N629" t="s">
        <v>3365</v>
      </c>
      <c r="O629" t="s">
        <v>3366</v>
      </c>
      <c r="P629" t="s">
        <v>3372</v>
      </c>
    </row>
    <row r="630" spans="1:16" x14ac:dyDescent="0.3">
      <c r="A630" t="s">
        <v>1099</v>
      </c>
      <c r="B630" t="s">
        <v>29</v>
      </c>
      <c r="C630" t="s">
        <v>1097</v>
      </c>
      <c r="F630" t="s">
        <v>3361</v>
      </c>
      <c r="G630" t="s">
        <v>2746</v>
      </c>
      <c r="I630" t="s">
        <v>29</v>
      </c>
      <c r="J630" t="s">
        <v>3369</v>
      </c>
      <c r="K630" t="s">
        <v>605</v>
      </c>
      <c r="L630" t="s">
        <v>3375</v>
      </c>
      <c r="M630" t="s">
        <v>3364</v>
      </c>
      <c r="N630" t="s">
        <v>3365</v>
      </c>
      <c r="O630" t="s">
        <v>3366</v>
      </c>
      <c r="P630" t="s">
        <v>3372</v>
      </c>
    </row>
    <row r="631" spans="1:16" x14ac:dyDescent="0.3">
      <c r="A631" t="s">
        <v>1100</v>
      </c>
      <c r="B631" t="s">
        <v>29</v>
      </c>
      <c r="C631" t="s">
        <v>1097</v>
      </c>
      <c r="F631" t="s">
        <v>3361</v>
      </c>
      <c r="G631" t="s">
        <v>2746</v>
      </c>
      <c r="I631" t="s">
        <v>29</v>
      </c>
      <c r="J631" t="s">
        <v>3369</v>
      </c>
      <c r="K631" t="s">
        <v>605</v>
      </c>
      <c r="L631" t="s">
        <v>3375</v>
      </c>
      <c r="M631" t="s">
        <v>3364</v>
      </c>
      <c r="N631" t="s">
        <v>3365</v>
      </c>
      <c r="O631" t="s">
        <v>3366</v>
      </c>
      <c r="P631" t="s">
        <v>3372</v>
      </c>
    </row>
    <row r="632" spans="1:16" x14ac:dyDescent="0.3">
      <c r="A632" t="s">
        <v>1101</v>
      </c>
      <c r="B632" t="s">
        <v>29</v>
      </c>
      <c r="C632" t="s">
        <v>1097</v>
      </c>
      <c r="F632" t="s">
        <v>3361</v>
      </c>
      <c r="G632" t="s">
        <v>2746</v>
      </c>
      <c r="I632" t="s">
        <v>29</v>
      </c>
      <c r="J632" t="s">
        <v>3369</v>
      </c>
      <c r="K632" t="s">
        <v>605</v>
      </c>
      <c r="L632" t="s">
        <v>3375</v>
      </c>
      <c r="M632" t="s">
        <v>3364</v>
      </c>
      <c r="N632" t="s">
        <v>3365</v>
      </c>
      <c r="O632" t="s">
        <v>3366</v>
      </c>
      <c r="P632" t="s">
        <v>3372</v>
      </c>
    </row>
    <row r="633" spans="1:16" x14ac:dyDescent="0.3">
      <c r="A633" t="s">
        <v>629</v>
      </c>
      <c r="B633" t="s">
        <v>29</v>
      </c>
      <c r="C633" t="s">
        <v>1097</v>
      </c>
      <c r="F633" t="s">
        <v>3361</v>
      </c>
      <c r="G633" t="s">
        <v>2746</v>
      </c>
      <c r="I633" t="s">
        <v>29</v>
      </c>
      <c r="J633" t="s">
        <v>3369</v>
      </c>
      <c r="K633" t="s">
        <v>605</v>
      </c>
      <c r="L633" t="s">
        <v>3375</v>
      </c>
      <c r="M633" t="s">
        <v>3364</v>
      </c>
      <c r="N633" t="s">
        <v>3365</v>
      </c>
      <c r="O633" t="s">
        <v>3366</v>
      </c>
      <c r="P633" t="s">
        <v>3372</v>
      </c>
    </row>
    <row r="634" spans="1:16" x14ac:dyDescent="0.3">
      <c r="A634" t="s">
        <v>886</v>
      </c>
      <c r="B634" t="s">
        <v>29</v>
      </c>
      <c r="C634" t="s">
        <v>1097</v>
      </c>
      <c r="F634" t="s">
        <v>3361</v>
      </c>
      <c r="G634" t="s">
        <v>2746</v>
      </c>
      <c r="I634" t="s">
        <v>29</v>
      </c>
      <c r="J634" t="s">
        <v>3369</v>
      </c>
      <c r="K634" t="s">
        <v>605</v>
      </c>
      <c r="L634" t="s">
        <v>3375</v>
      </c>
      <c r="M634" t="s">
        <v>3364</v>
      </c>
      <c r="N634" t="s">
        <v>3365</v>
      </c>
      <c r="O634" t="s">
        <v>3366</v>
      </c>
      <c r="P634" t="s">
        <v>3372</v>
      </c>
    </row>
    <row r="635" spans="1:16" x14ac:dyDescent="0.3">
      <c r="A635" t="s">
        <v>1102</v>
      </c>
      <c r="B635" t="s">
        <v>29</v>
      </c>
      <c r="C635" t="s">
        <v>1097</v>
      </c>
      <c r="F635" t="s">
        <v>3361</v>
      </c>
      <c r="G635" t="s">
        <v>2746</v>
      </c>
      <c r="I635" t="s">
        <v>29</v>
      </c>
      <c r="J635" t="s">
        <v>3369</v>
      </c>
      <c r="K635" t="s">
        <v>605</v>
      </c>
      <c r="L635" t="s">
        <v>3375</v>
      </c>
      <c r="M635" t="s">
        <v>3364</v>
      </c>
      <c r="N635" t="s">
        <v>3365</v>
      </c>
      <c r="O635" t="s">
        <v>3366</v>
      </c>
      <c r="P635" t="s">
        <v>3372</v>
      </c>
    </row>
    <row r="636" spans="1:16" x14ac:dyDescent="0.3">
      <c r="A636" t="s">
        <v>1103</v>
      </c>
      <c r="B636" t="s">
        <v>29</v>
      </c>
      <c r="C636" t="s">
        <v>1097</v>
      </c>
      <c r="F636" t="s">
        <v>3361</v>
      </c>
      <c r="G636" t="s">
        <v>2746</v>
      </c>
      <c r="I636" t="s">
        <v>29</v>
      </c>
      <c r="J636" t="s">
        <v>3369</v>
      </c>
      <c r="K636" t="s">
        <v>605</v>
      </c>
      <c r="L636" t="s">
        <v>3375</v>
      </c>
      <c r="M636" t="s">
        <v>3364</v>
      </c>
      <c r="N636" t="s">
        <v>3365</v>
      </c>
      <c r="O636" t="s">
        <v>3366</v>
      </c>
      <c r="P636" t="s">
        <v>3372</v>
      </c>
    </row>
    <row r="637" spans="1:16" x14ac:dyDescent="0.3">
      <c r="A637" t="s">
        <v>1104</v>
      </c>
      <c r="B637" t="s">
        <v>29</v>
      </c>
      <c r="C637" t="s">
        <v>1097</v>
      </c>
      <c r="F637" t="s">
        <v>3361</v>
      </c>
      <c r="G637" t="s">
        <v>2746</v>
      </c>
      <c r="I637" t="s">
        <v>29</v>
      </c>
      <c r="J637" t="s">
        <v>3369</v>
      </c>
      <c r="K637" t="s">
        <v>605</v>
      </c>
      <c r="L637" t="s">
        <v>3375</v>
      </c>
      <c r="M637" t="s">
        <v>3364</v>
      </c>
      <c r="N637" t="s">
        <v>3365</v>
      </c>
      <c r="O637" t="s">
        <v>3366</v>
      </c>
      <c r="P637" t="s">
        <v>3372</v>
      </c>
    </row>
    <row r="638" spans="1:16" x14ac:dyDescent="0.3">
      <c r="A638" t="s">
        <v>653</v>
      </c>
      <c r="B638" t="s">
        <v>29</v>
      </c>
      <c r="C638" t="s">
        <v>1105</v>
      </c>
      <c r="F638" t="s">
        <v>3361</v>
      </c>
      <c r="G638" t="s">
        <v>2746</v>
      </c>
      <c r="I638" t="s">
        <v>29</v>
      </c>
      <c r="J638" t="s">
        <v>3369</v>
      </c>
      <c r="K638" t="s">
        <v>605</v>
      </c>
      <c r="L638" t="s">
        <v>3375</v>
      </c>
      <c r="M638" t="s">
        <v>3364</v>
      </c>
      <c r="N638" t="s">
        <v>3365</v>
      </c>
      <c r="O638" t="s">
        <v>3366</v>
      </c>
      <c r="P638" t="s">
        <v>3372</v>
      </c>
    </row>
    <row r="639" spans="1:16" x14ac:dyDescent="0.3">
      <c r="A639" t="s">
        <v>665</v>
      </c>
      <c r="B639" t="s">
        <v>29</v>
      </c>
      <c r="C639" t="s">
        <v>1105</v>
      </c>
      <c r="F639" t="s">
        <v>3361</v>
      </c>
      <c r="G639" t="s">
        <v>2746</v>
      </c>
      <c r="I639" t="s">
        <v>29</v>
      </c>
      <c r="J639" t="s">
        <v>3369</v>
      </c>
      <c r="K639" t="s">
        <v>605</v>
      </c>
      <c r="L639" t="s">
        <v>3375</v>
      </c>
      <c r="M639" t="s">
        <v>3364</v>
      </c>
      <c r="N639" t="s">
        <v>3365</v>
      </c>
      <c r="O639" t="s">
        <v>3366</v>
      </c>
      <c r="P639" t="s">
        <v>3372</v>
      </c>
    </row>
    <row r="640" spans="1:16" x14ac:dyDescent="0.3">
      <c r="A640" t="s">
        <v>685</v>
      </c>
      <c r="B640" t="s">
        <v>29</v>
      </c>
      <c r="C640" t="s">
        <v>1105</v>
      </c>
      <c r="F640" t="s">
        <v>3361</v>
      </c>
      <c r="G640" t="s">
        <v>2746</v>
      </c>
      <c r="I640" t="s">
        <v>29</v>
      </c>
      <c r="J640" t="s">
        <v>3369</v>
      </c>
      <c r="K640" t="s">
        <v>605</v>
      </c>
      <c r="L640" t="s">
        <v>3375</v>
      </c>
      <c r="M640" t="s">
        <v>3364</v>
      </c>
      <c r="N640" t="s">
        <v>3365</v>
      </c>
      <c r="O640" t="s">
        <v>3366</v>
      </c>
      <c r="P640" t="s">
        <v>3372</v>
      </c>
    </row>
    <row r="641" spans="1:16" x14ac:dyDescent="0.3">
      <c r="A641" t="s">
        <v>683</v>
      </c>
      <c r="B641" t="s">
        <v>29</v>
      </c>
      <c r="C641" t="s">
        <v>1105</v>
      </c>
      <c r="F641" t="s">
        <v>3361</v>
      </c>
      <c r="G641" t="s">
        <v>2746</v>
      </c>
      <c r="I641" t="s">
        <v>29</v>
      </c>
      <c r="J641" t="s">
        <v>3369</v>
      </c>
      <c r="K641" t="s">
        <v>605</v>
      </c>
      <c r="L641" t="s">
        <v>3375</v>
      </c>
      <c r="M641" t="s">
        <v>3364</v>
      </c>
      <c r="N641" t="s">
        <v>3365</v>
      </c>
      <c r="O641" t="s">
        <v>3366</v>
      </c>
      <c r="P641" t="s">
        <v>3372</v>
      </c>
    </row>
    <row r="642" spans="1:16" x14ac:dyDescent="0.3">
      <c r="A642" t="s">
        <v>689</v>
      </c>
      <c r="B642" t="s">
        <v>29</v>
      </c>
      <c r="C642" t="s">
        <v>1105</v>
      </c>
      <c r="F642" t="s">
        <v>3361</v>
      </c>
      <c r="G642" t="s">
        <v>2746</v>
      </c>
      <c r="I642" t="s">
        <v>29</v>
      </c>
      <c r="J642" t="s">
        <v>3369</v>
      </c>
      <c r="K642" t="s">
        <v>605</v>
      </c>
      <c r="L642" t="s">
        <v>3375</v>
      </c>
      <c r="M642" t="s">
        <v>3364</v>
      </c>
      <c r="N642" t="s">
        <v>3365</v>
      </c>
      <c r="O642" t="s">
        <v>3366</v>
      </c>
      <c r="P642" t="s">
        <v>3372</v>
      </c>
    </row>
    <row r="643" spans="1:16" x14ac:dyDescent="0.3">
      <c r="A643" t="s">
        <v>638</v>
      </c>
      <c r="B643" t="s">
        <v>29</v>
      </c>
      <c r="C643" t="s">
        <v>1105</v>
      </c>
      <c r="F643" t="s">
        <v>3361</v>
      </c>
      <c r="G643" t="s">
        <v>2746</v>
      </c>
      <c r="I643" t="s">
        <v>29</v>
      </c>
      <c r="J643" t="s">
        <v>3362</v>
      </c>
      <c r="K643" t="s">
        <v>605</v>
      </c>
      <c r="L643" t="s">
        <v>3375</v>
      </c>
      <c r="M643" t="s">
        <v>3364</v>
      </c>
      <c r="N643" t="s">
        <v>3365</v>
      </c>
      <c r="O643" t="s">
        <v>3366</v>
      </c>
      <c r="P643" t="s">
        <v>3367</v>
      </c>
    </row>
    <row r="644" spans="1:16" x14ac:dyDescent="0.3">
      <c r="A644" t="s">
        <v>1106</v>
      </c>
      <c r="B644" t="s">
        <v>29</v>
      </c>
      <c r="C644" t="s">
        <v>1105</v>
      </c>
      <c r="F644" t="s">
        <v>3361</v>
      </c>
      <c r="G644" t="s">
        <v>2746</v>
      </c>
      <c r="I644" t="s">
        <v>29</v>
      </c>
      <c r="J644" t="s">
        <v>3369</v>
      </c>
      <c r="K644" t="s">
        <v>605</v>
      </c>
      <c r="L644" t="s">
        <v>3375</v>
      </c>
      <c r="M644" t="s">
        <v>3364</v>
      </c>
      <c r="N644" t="s">
        <v>3365</v>
      </c>
      <c r="O644" t="s">
        <v>3366</v>
      </c>
      <c r="P644" t="s">
        <v>3372</v>
      </c>
    </row>
    <row r="645" spans="1:16" x14ac:dyDescent="0.3">
      <c r="A645" t="s">
        <v>659</v>
      </c>
      <c r="B645" t="s">
        <v>29</v>
      </c>
      <c r="C645" t="s">
        <v>1105</v>
      </c>
      <c r="F645" t="s">
        <v>3361</v>
      </c>
      <c r="G645" t="s">
        <v>2746</v>
      </c>
      <c r="I645" t="s">
        <v>29</v>
      </c>
      <c r="J645" t="s">
        <v>3369</v>
      </c>
      <c r="K645" t="s">
        <v>605</v>
      </c>
      <c r="L645" t="s">
        <v>3375</v>
      </c>
      <c r="M645" t="s">
        <v>3364</v>
      </c>
      <c r="N645" t="s">
        <v>3365</v>
      </c>
      <c r="O645" t="s">
        <v>3366</v>
      </c>
      <c r="P645" t="s">
        <v>3372</v>
      </c>
    </row>
    <row r="646" spans="1:16" x14ac:dyDescent="0.3">
      <c r="A646" t="s">
        <v>1107</v>
      </c>
      <c r="B646" t="s">
        <v>29</v>
      </c>
      <c r="C646" t="s">
        <v>1105</v>
      </c>
      <c r="F646" t="s">
        <v>3361</v>
      </c>
      <c r="G646" t="s">
        <v>2746</v>
      </c>
      <c r="I646" t="s">
        <v>29</v>
      </c>
      <c r="J646" t="s">
        <v>3369</v>
      </c>
      <c r="K646" t="s">
        <v>605</v>
      </c>
      <c r="L646" t="s">
        <v>3375</v>
      </c>
      <c r="M646" t="s">
        <v>3364</v>
      </c>
      <c r="N646" t="s">
        <v>3365</v>
      </c>
      <c r="O646" t="s">
        <v>3366</v>
      </c>
      <c r="P646" t="s">
        <v>3372</v>
      </c>
    </row>
    <row r="647" spans="1:16" x14ac:dyDescent="0.3">
      <c r="A647" t="s">
        <v>1108</v>
      </c>
      <c r="B647" t="s">
        <v>29</v>
      </c>
      <c r="C647" t="s">
        <v>1105</v>
      </c>
      <c r="F647" t="s">
        <v>3361</v>
      </c>
      <c r="G647" t="s">
        <v>2746</v>
      </c>
      <c r="I647" t="s">
        <v>29</v>
      </c>
      <c r="J647" t="s">
        <v>3369</v>
      </c>
      <c r="K647" t="s">
        <v>605</v>
      </c>
      <c r="L647" t="s">
        <v>3375</v>
      </c>
      <c r="M647" t="s">
        <v>3364</v>
      </c>
      <c r="N647" t="s">
        <v>3365</v>
      </c>
      <c r="O647" t="s">
        <v>3366</v>
      </c>
      <c r="P647" t="s">
        <v>3372</v>
      </c>
    </row>
    <row r="648" spans="1:16" x14ac:dyDescent="0.3">
      <c r="A648" t="s">
        <v>1110</v>
      </c>
      <c r="B648" t="s">
        <v>29</v>
      </c>
      <c r="C648" t="s">
        <v>1109</v>
      </c>
      <c r="F648" t="s">
        <v>3361</v>
      </c>
      <c r="G648" t="s">
        <v>2746</v>
      </c>
      <c r="I648" t="s">
        <v>29</v>
      </c>
      <c r="J648" t="s">
        <v>3369</v>
      </c>
      <c r="K648" t="s">
        <v>605</v>
      </c>
      <c r="L648" t="s">
        <v>3375</v>
      </c>
      <c r="M648" t="s">
        <v>3364</v>
      </c>
      <c r="N648" t="s">
        <v>3365</v>
      </c>
      <c r="O648" t="s">
        <v>3366</v>
      </c>
      <c r="P648" t="s">
        <v>3372</v>
      </c>
    </row>
    <row r="649" spans="1:16" x14ac:dyDescent="0.3">
      <c r="A649" t="s">
        <v>1111</v>
      </c>
      <c r="B649" t="s">
        <v>29</v>
      </c>
      <c r="C649" t="s">
        <v>1109</v>
      </c>
      <c r="F649" t="s">
        <v>3361</v>
      </c>
      <c r="G649" t="s">
        <v>2746</v>
      </c>
      <c r="I649" t="s">
        <v>29</v>
      </c>
      <c r="J649" t="s">
        <v>3369</v>
      </c>
      <c r="K649" t="s">
        <v>605</v>
      </c>
      <c r="L649" t="s">
        <v>3375</v>
      </c>
      <c r="M649" t="s">
        <v>3364</v>
      </c>
      <c r="N649" t="s">
        <v>3365</v>
      </c>
      <c r="O649" t="s">
        <v>3366</v>
      </c>
      <c r="P649" t="s">
        <v>3372</v>
      </c>
    </row>
    <row r="650" spans="1:16" x14ac:dyDescent="0.3">
      <c r="A650" t="s">
        <v>1112</v>
      </c>
      <c r="B650" t="s">
        <v>29</v>
      </c>
      <c r="C650" t="s">
        <v>1109</v>
      </c>
      <c r="F650" t="s">
        <v>3361</v>
      </c>
      <c r="G650" t="s">
        <v>2746</v>
      </c>
      <c r="I650" t="s">
        <v>29</v>
      </c>
      <c r="J650" t="s">
        <v>3369</v>
      </c>
      <c r="K650" t="s">
        <v>605</v>
      </c>
      <c r="L650" t="s">
        <v>3375</v>
      </c>
      <c r="M650" t="s">
        <v>3364</v>
      </c>
      <c r="N650" t="s">
        <v>3365</v>
      </c>
      <c r="O650" t="s">
        <v>3366</v>
      </c>
      <c r="P650" t="s">
        <v>3372</v>
      </c>
    </row>
    <row r="651" spans="1:16" x14ac:dyDescent="0.3">
      <c r="A651" t="s">
        <v>1113</v>
      </c>
      <c r="B651" t="s">
        <v>29</v>
      </c>
      <c r="C651" t="s">
        <v>1109</v>
      </c>
      <c r="F651" t="s">
        <v>3361</v>
      </c>
      <c r="G651" t="s">
        <v>2746</v>
      </c>
      <c r="I651" t="s">
        <v>29</v>
      </c>
      <c r="J651" t="s">
        <v>3369</v>
      </c>
      <c r="K651" t="s">
        <v>605</v>
      </c>
      <c r="L651" t="s">
        <v>3375</v>
      </c>
      <c r="M651" t="s">
        <v>3364</v>
      </c>
      <c r="N651" t="s">
        <v>3365</v>
      </c>
      <c r="O651" t="s">
        <v>3366</v>
      </c>
      <c r="P651" t="s">
        <v>3372</v>
      </c>
    </row>
    <row r="652" spans="1:16" x14ac:dyDescent="0.3">
      <c r="A652" t="s">
        <v>667</v>
      </c>
      <c r="B652" t="s">
        <v>29</v>
      </c>
      <c r="C652" t="s">
        <v>1109</v>
      </c>
      <c r="F652" t="s">
        <v>3361</v>
      </c>
      <c r="G652" t="s">
        <v>2746</v>
      </c>
      <c r="I652" t="s">
        <v>29</v>
      </c>
      <c r="J652" t="s">
        <v>3369</v>
      </c>
      <c r="K652" t="s">
        <v>605</v>
      </c>
      <c r="L652" t="s">
        <v>3375</v>
      </c>
      <c r="M652" t="s">
        <v>3364</v>
      </c>
      <c r="N652" t="s">
        <v>3365</v>
      </c>
      <c r="O652" t="s">
        <v>3366</v>
      </c>
      <c r="P652" t="s">
        <v>3372</v>
      </c>
    </row>
    <row r="653" spans="1:16" x14ac:dyDescent="0.3">
      <c r="A653" t="s">
        <v>357</v>
      </c>
      <c r="B653" t="s">
        <v>29</v>
      </c>
      <c r="C653" t="s">
        <v>1109</v>
      </c>
      <c r="F653" t="s">
        <v>3361</v>
      </c>
      <c r="G653" t="s">
        <v>2746</v>
      </c>
      <c r="I653" t="s">
        <v>29</v>
      </c>
      <c r="J653" t="s">
        <v>3362</v>
      </c>
      <c r="K653" t="s">
        <v>605</v>
      </c>
      <c r="L653" t="s">
        <v>3375</v>
      </c>
      <c r="M653" t="s">
        <v>3364</v>
      </c>
      <c r="N653" t="s">
        <v>3365</v>
      </c>
      <c r="O653" t="s">
        <v>3366</v>
      </c>
      <c r="P653" t="s">
        <v>3367</v>
      </c>
    </row>
    <row r="654" spans="1:16" x14ac:dyDescent="0.3">
      <c r="A654" t="s">
        <v>1114</v>
      </c>
      <c r="B654" t="s">
        <v>29</v>
      </c>
      <c r="C654" t="s">
        <v>1109</v>
      </c>
      <c r="F654" t="s">
        <v>3361</v>
      </c>
      <c r="G654" t="s">
        <v>2746</v>
      </c>
      <c r="I654" t="s">
        <v>29</v>
      </c>
      <c r="J654" t="s">
        <v>3369</v>
      </c>
      <c r="K654" t="s">
        <v>605</v>
      </c>
      <c r="L654" t="s">
        <v>3375</v>
      </c>
      <c r="M654" t="s">
        <v>3364</v>
      </c>
      <c r="N654" t="s">
        <v>3365</v>
      </c>
      <c r="O654" t="s">
        <v>3366</v>
      </c>
      <c r="P654" t="s">
        <v>3372</v>
      </c>
    </row>
    <row r="655" spans="1:16" x14ac:dyDescent="0.3">
      <c r="A655" t="s">
        <v>1115</v>
      </c>
      <c r="B655" t="s">
        <v>29</v>
      </c>
      <c r="C655" t="s">
        <v>1109</v>
      </c>
      <c r="F655" t="s">
        <v>3361</v>
      </c>
      <c r="G655" t="s">
        <v>2746</v>
      </c>
      <c r="I655" t="s">
        <v>29</v>
      </c>
      <c r="J655" t="s">
        <v>3369</v>
      </c>
      <c r="K655" t="s">
        <v>605</v>
      </c>
      <c r="L655" t="s">
        <v>3375</v>
      </c>
      <c r="M655" t="s">
        <v>3364</v>
      </c>
      <c r="N655" t="s">
        <v>3365</v>
      </c>
      <c r="O655" t="s">
        <v>3366</v>
      </c>
      <c r="P655" t="s">
        <v>3372</v>
      </c>
    </row>
    <row r="656" spans="1:16" x14ac:dyDescent="0.3">
      <c r="A656" t="s">
        <v>1116</v>
      </c>
      <c r="B656" t="s">
        <v>29</v>
      </c>
      <c r="C656" t="s">
        <v>1109</v>
      </c>
      <c r="F656" t="s">
        <v>3361</v>
      </c>
      <c r="G656" t="s">
        <v>2746</v>
      </c>
      <c r="I656" t="s">
        <v>29</v>
      </c>
      <c r="J656" t="s">
        <v>3369</v>
      </c>
      <c r="K656" t="s">
        <v>605</v>
      </c>
      <c r="L656" t="s">
        <v>3375</v>
      </c>
      <c r="M656" t="s">
        <v>3364</v>
      </c>
      <c r="N656" t="s">
        <v>3365</v>
      </c>
      <c r="O656" t="s">
        <v>3366</v>
      </c>
      <c r="P656" t="s">
        <v>3372</v>
      </c>
    </row>
    <row r="657" spans="1:16" x14ac:dyDescent="0.3">
      <c r="A657" t="s">
        <v>1118</v>
      </c>
      <c r="B657" t="s">
        <v>29</v>
      </c>
      <c r="C657" t="s">
        <v>1117</v>
      </c>
      <c r="F657" t="s">
        <v>3361</v>
      </c>
      <c r="G657" t="s">
        <v>2746</v>
      </c>
      <c r="I657" t="s">
        <v>29</v>
      </c>
      <c r="J657" t="s">
        <v>3369</v>
      </c>
      <c r="K657" t="s">
        <v>605</v>
      </c>
      <c r="L657" t="s">
        <v>3375</v>
      </c>
      <c r="M657" t="s">
        <v>3364</v>
      </c>
      <c r="N657" t="s">
        <v>3365</v>
      </c>
      <c r="O657" t="s">
        <v>3366</v>
      </c>
      <c r="P657" t="s">
        <v>3372</v>
      </c>
    </row>
    <row r="658" spans="1:16" x14ac:dyDescent="0.3">
      <c r="A658" t="s">
        <v>757</v>
      </c>
      <c r="B658" t="s">
        <v>29</v>
      </c>
      <c r="C658" t="s">
        <v>1117</v>
      </c>
      <c r="F658" t="s">
        <v>3361</v>
      </c>
      <c r="G658" t="s">
        <v>2746</v>
      </c>
      <c r="I658" t="s">
        <v>29</v>
      </c>
      <c r="J658" t="s">
        <v>3369</v>
      </c>
      <c r="K658" t="s">
        <v>605</v>
      </c>
      <c r="L658" t="s">
        <v>3375</v>
      </c>
      <c r="M658" t="s">
        <v>3364</v>
      </c>
      <c r="N658" t="s">
        <v>3365</v>
      </c>
      <c r="O658" t="s">
        <v>3366</v>
      </c>
      <c r="P658" t="s">
        <v>3372</v>
      </c>
    </row>
    <row r="659" spans="1:16" x14ac:dyDescent="0.3">
      <c r="A659" t="s">
        <v>1119</v>
      </c>
      <c r="B659" t="s">
        <v>29</v>
      </c>
      <c r="C659" t="s">
        <v>1117</v>
      </c>
      <c r="F659" t="s">
        <v>3361</v>
      </c>
      <c r="G659" t="s">
        <v>2746</v>
      </c>
      <c r="I659" t="s">
        <v>29</v>
      </c>
      <c r="J659" t="s">
        <v>3369</v>
      </c>
      <c r="K659" t="s">
        <v>605</v>
      </c>
      <c r="L659" t="s">
        <v>3375</v>
      </c>
      <c r="M659" t="s">
        <v>3364</v>
      </c>
      <c r="N659" t="s">
        <v>3365</v>
      </c>
      <c r="O659" t="s">
        <v>3366</v>
      </c>
      <c r="P659" t="s">
        <v>3372</v>
      </c>
    </row>
    <row r="660" spans="1:16" x14ac:dyDescent="0.3">
      <c r="A660" t="s">
        <v>1120</v>
      </c>
      <c r="B660" t="s">
        <v>29</v>
      </c>
      <c r="C660" t="s">
        <v>1117</v>
      </c>
      <c r="F660" t="s">
        <v>3361</v>
      </c>
      <c r="G660" t="s">
        <v>2746</v>
      </c>
      <c r="I660" t="s">
        <v>29</v>
      </c>
      <c r="J660" t="s">
        <v>3369</v>
      </c>
      <c r="K660" t="s">
        <v>605</v>
      </c>
      <c r="L660" t="s">
        <v>3375</v>
      </c>
      <c r="M660" t="s">
        <v>3364</v>
      </c>
      <c r="N660" t="s">
        <v>3365</v>
      </c>
      <c r="O660" t="s">
        <v>3366</v>
      </c>
      <c r="P660" t="s">
        <v>3372</v>
      </c>
    </row>
    <row r="661" spans="1:16" x14ac:dyDescent="0.3">
      <c r="A661" t="s">
        <v>1121</v>
      </c>
      <c r="B661" t="s">
        <v>29</v>
      </c>
      <c r="C661" t="s">
        <v>1117</v>
      </c>
      <c r="F661" t="s">
        <v>3361</v>
      </c>
      <c r="G661" t="s">
        <v>2746</v>
      </c>
      <c r="I661" t="s">
        <v>29</v>
      </c>
      <c r="J661" t="s">
        <v>3369</v>
      </c>
      <c r="K661" t="s">
        <v>605</v>
      </c>
      <c r="L661" t="s">
        <v>3375</v>
      </c>
      <c r="M661" t="s">
        <v>3364</v>
      </c>
      <c r="N661" t="s">
        <v>3365</v>
      </c>
      <c r="O661" t="s">
        <v>3366</v>
      </c>
      <c r="P661" t="s">
        <v>3372</v>
      </c>
    </row>
    <row r="662" spans="1:16" x14ac:dyDescent="0.3">
      <c r="A662" t="s">
        <v>1122</v>
      </c>
      <c r="B662" t="s">
        <v>29</v>
      </c>
      <c r="C662" t="s">
        <v>1117</v>
      </c>
      <c r="F662" t="s">
        <v>3361</v>
      </c>
      <c r="G662" t="s">
        <v>2746</v>
      </c>
      <c r="I662" t="s">
        <v>29</v>
      </c>
      <c r="J662" t="s">
        <v>3369</v>
      </c>
      <c r="K662" t="s">
        <v>605</v>
      </c>
      <c r="L662" t="s">
        <v>3375</v>
      </c>
      <c r="M662" t="s">
        <v>3364</v>
      </c>
      <c r="N662" t="s">
        <v>3365</v>
      </c>
      <c r="O662" t="s">
        <v>3366</v>
      </c>
      <c r="P662" t="s">
        <v>3372</v>
      </c>
    </row>
    <row r="663" spans="1:16" x14ac:dyDescent="0.3">
      <c r="A663" t="s">
        <v>640</v>
      </c>
      <c r="B663" t="s">
        <v>29</v>
      </c>
      <c r="C663" t="s">
        <v>1117</v>
      </c>
      <c r="F663" t="s">
        <v>3361</v>
      </c>
      <c r="G663" t="s">
        <v>2746</v>
      </c>
      <c r="I663" t="s">
        <v>29</v>
      </c>
      <c r="J663" t="s">
        <v>3369</v>
      </c>
      <c r="K663" t="s">
        <v>605</v>
      </c>
      <c r="L663" t="s">
        <v>3375</v>
      </c>
      <c r="M663" t="s">
        <v>3364</v>
      </c>
      <c r="N663" t="s">
        <v>3365</v>
      </c>
      <c r="O663" t="s">
        <v>3366</v>
      </c>
      <c r="P663" t="s">
        <v>3372</v>
      </c>
    </row>
    <row r="664" spans="1:16" x14ac:dyDescent="0.3">
      <c r="A664" t="s">
        <v>1123</v>
      </c>
      <c r="B664" t="s">
        <v>29</v>
      </c>
      <c r="C664" t="s">
        <v>1117</v>
      </c>
      <c r="F664" t="s">
        <v>3361</v>
      </c>
      <c r="G664" t="s">
        <v>2746</v>
      </c>
      <c r="I664" t="s">
        <v>29</v>
      </c>
      <c r="J664" t="s">
        <v>3369</v>
      </c>
      <c r="K664" t="s">
        <v>605</v>
      </c>
      <c r="L664" t="s">
        <v>3375</v>
      </c>
      <c r="M664" t="s">
        <v>3364</v>
      </c>
      <c r="N664" t="s">
        <v>3365</v>
      </c>
      <c r="O664" t="s">
        <v>3366</v>
      </c>
      <c r="P664" t="s">
        <v>3372</v>
      </c>
    </row>
    <row r="665" spans="1:16" x14ac:dyDescent="0.3">
      <c r="A665" t="s">
        <v>672</v>
      </c>
      <c r="B665" t="s">
        <v>29</v>
      </c>
      <c r="C665" t="s">
        <v>1124</v>
      </c>
      <c r="F665" t="s">
        <v>3361</v>
      </c>
      <c r="G665" t="s">
        <v>2746</v>
      </c>
      <c r="I665" t="s">
        <v>29</v>
      </c>
      <c r="J665" t="s">
        <v>3369</v>
      </c>
      <c r="K665" t="s">
        <v>605</v>
      </c>
      <c r="L665" t="s">
        <v>3375</v>
      </c>
      <c r="M665" t="s">
        <v>3364</v>
      </c>
      <c r="N665" t="s">
        <v>3365</v>
      </c>
      <c r="O665" t="s">
        <v>3366</v>
      </c>
      <c r="P665" t="s">
        <v>3372</v>
      </c>
    </row>
    <row r="666" spans="1:16" x14ac:dyDescent="0.3">
      <c r="A666" t="s">
        <v>1125</v>
      </c>
      <c r="B666" t="s">
        <v>29</v>
      </c>
      <c r="C666" t="s">
        <v>1124</v>
      </c>
      <c r="F666" t="s">
        <v>3361</v>
      </c>
      <c r="G666" t="s">
        <v>2746</v>
      </c>
      <c r="I666" t="s">
        <v>29</v>
      </c>
      <c r="J666" t="s">
        <v>3369</v>
      </c>
      <c r="K666" t="s">
        <v>605</v>
      </c>
      <c r="L666" t="s">
        <v>3375</v>
      </c>
      <c r="M666" t="s">
        <v>3364</v>
      </c>
      <c r="N666" t="s">
        <v>3365</v>
      </c>
      <c r="O666" t="s">
        <v>3366</v>
      </c>
      <c r="P666" t="s">
        <v>3372</v>
      </c>
    </row>
    <row r="667" spans="1:16" x14ac:dyDescent="0.3">
      <c r="A667" t="s">
        <v>1126</v>
      </c>
      <c r="B667" t="s">
        <v>29</v>
      </c>
      <c r="C667" t="s">
        <v>1124</v>
      </c>
      <c r="F667" t="s">
        <v>3361</v>
      </c>
      <c r="G667" t="s">
        <v>2746</v>
      </c>
      <c r="I667" t="s">
        <v>29</v>
      </c>
      <c r="J667" t="s">
        <v>3369</v>
      </c>
      <c r="K667" t="s">
        <v>605</v>
      </c>
      <c r="L667" t="s">
        <v>3375</v>
      </c>
      <c r="M667" t="s">
        <v>3364</v>
      </c>
      <c r="N667" t="s">
        <v>3365</v>
      </c>
      <c r="O667" t="s">
        <v>3366</v>
      </c>
      <c r="P667" t="s">
        <v>3372</v>
      </c>
    </row>
    <row r="668" spans="1:16" x14ac:dyDescent="0.3">
      <c r="A668" t="s">
        <v>663</v>
      </c>
      <c r="B668" t="s">
        <v>29</v>
      </c>
      <c r="C668" t="s">
        <v>1124</v>
      </c>
      <c r="F668" t="s">
        <v>3361</v>
      </c>
      <c r="G668" t="s">
        <v>2746</v>
      </c>
      <c r="I668" t="s">
        <v>29</v>
      </c>
      <c r="J668" t="s">
        <v>3369</v>
      </c>
      <c r="K668" t="s">
        <v>605</v>
      </c>
      <c r="L668" t="s">
        <v>3375</v>
      </c>
      <c r="M668" t="s">
        <v>3364</v>
      </c>
      <c r="N668" t="s">
        <v>3365</v>
      </c>
      <c r="O668" t="s">
        <v>3366</v>
      </c>
      <c r="P668" t="s">
        <v>3372</v>
      </c>
    </row>
    <row r="669" spans="1:16" x14ac:dyDescent="0.3">
      <c r="A669" t="s">
        <v>1127</v>
      </c>
      <c r="B669" t="s">
        <v>29</v>
      </c>
      <c r="C669" t="s">
        <v>1124</v>
      </c>
      <c r="F669" t="s">
        <v>3361</v>
      </c>
      <c r="G669" t="s">
        <v>2746</v>
      </c>
      <c r="I669" t="s">
        <v>29</v>
      </c>
      <c r="J669" t="s">
        <v>3369</v>
      </c>
      <c r="K669" t="s">
        <v>605</v>
      </c>
      <c r="L669" t="s">
        <v>3375</v>
      </c>
      <c r="M669" t="s">
        <v>3364</v>
      </c>
      <c r="N669" t="s">
        <v>3365</v>
      </c>
      <c r="O669" t="s">
        <v>3366</v>
      </c>
      <c r="P669" t="s">
        <v>3372</v>
      </c>
    </row>
    <row r="670" spans="1:16" x14ac:dyDescent="0.3">
      <c r="A670" t="s">
        <v>790</v>
      </c>
      <c r="B670" t="s">
        <v>29</v>
      </c>
      <c r="C670" t="s">
        <v>1124</v>
      </c>
      <c r="F670" t="s">
        <v>3361</v>
      </c>
      <c r="G670" t="s">
        <v>2746</v>
      </c>
      <c r="I670" t="s">
        <v>29</v>
      </c>
      <c r="J670" t="s">
        <v>3369</v>
      </c>
      <c r="K670" t="s">
        <v>605</v>
      </c>
      <c r="L670" t="s">
        <v>3375</v>
      </c>
      <c r="M670" t="s">
        <v>3364</v>
      </c>
      <c r="N670" t="s">
        <v>3365</v>
      </c>
      <c r="O670" t="s">
        <v>3366</v>
      </c>
      <c r="P670" t="s">
        <v>3372</v>
      </c>
    </row>
    <row r="671" spans="1:16" x14ac:dyDescent="0.3">
      <c r="A671" t="s">
        <v>642</v>
      </c>
      <c r="B671" t="s">
        <v>29</v>
      </c>
      <c r="C671" t="s">
        <v>1124</v>
      </c>
      <c r="F671" t="s">
        <v>3361</v>
      </c>
      <c r="G671" t="s">
        <v>2746</v>
      </c>
      <c r="I671" t="s">
        <v>29</v>
      </c>
      <c r="J671" t="s">
        <v>3369</v>
      </c>
      <c r="K671" t="s">
        <v>605</v>
      </c>
      <c r="L671" t="s">
        <v>3375</v>
      </c>
      <c r="M671" t="s">
        <v>3364</v>
      </c>
      <c r="N671" t="s">
        <v>3365</v>
      </c>
      <c r="O671" t="s">
        <v>3366</v>
      </c>
      <c r="P671" t="s">
        <v>3372</v>
      </c>
    </row>
    <row r="672" spans="1:16" x14ac:dyDescent="0.3">
      <c r="A672" t="s">
        <v>703</v>
      </c>
      <c r="B672" t="s">
        <v>29</v>
      </c>
      <c r="C672" t="s">
        <v>1124</v>
      </c>
      <c r="F672" t="s">
        <v>3361</v>
      </c>
      <c r="G672" t="s">
        <v>2746</v>
      </c>
      <c r="I672" t="s">
        <v>29</v>
      </c>
      <c r="J672" t="s">
        <v>3369</v>
      </c>
      <c r="K672" t="s">
        <v>605</v>
      </c>
      <c r="L672" t="s">
        <v>3375</v>
      </c>
      <c r="M672" t="s">
        <v>3364</v>
      </c>
      <c r="N672" t="s">
        <v>3365</v>
      </c>
      <c r="O672" t="s">
        <v>3366</v>
      </c>
      <c r="P672" t="s">
        <v>3372</v>
      </c>
    </row>
    <row r="673" spans="1:16" x14ac:dyDescent="0.3">
      <c r="A673" t="s">
        <v>1128</v>
      </c>
      <c r="B673" t="s">
        <v>29</v>
      </c>
      <c r="C673" t="s">
        <v>1124</v>
      </c>
      <c r="F673" t="s">
        <v>3361</v>
      </c>
      <c r="G673" t="s">
        <v>2746</v>
      </c>
      <c r="I673" t="s">
        <v>29</v>
      </c>
      <c r="J673" t="s">
        <v>3369</v>
      </c>
      <c r="K673" t="s">
        <v>605</v>
      </c>
      <c r="L673" t="s">
        <v>3375</v>
      </c>
      <c r="M673" t="s">
        <v>3364</v>
      </c>
      <c r="N673" t="s">
        <v>3365</v>
      </c>
      <c r="O673" t="s">
        <v>3366</v>
      </c>
      <c r="P673" t="s">
        <v>3372</v>
      </c>
    </row>
    <row r="674" spans="1:16" x14ac:dyDescent="0.3">
      <c r="A674" t="s">
        <v>1129</v>
      </c>
      <c r="B674" t="s">
        <v>29</v>
      </c>
      <c r="C674" t="s">
        <v>1124</v>
      </c>
      <c r="F674" t="s">
        <v>3361</v>
      </c>
      <c r="G674" t="s">
        <v>2746</v>
      </c>
      <c r="I674" t="s">
        <v>29</v>
      </c>
      <c r="J674" t="s">
        <v>3369</v>
      </c>
      <c r="K674" t="s">
        <v>605</v>
      </c>
      <c r="L674" t="s">
        <v>3375</v>
      </c>
      <c r="M674" t="s">
        <v>3364</v>
      </c>
      <c r="N674" t="s">
        <v>3365</v>
      </c>
      <c r="O674" t="s">
        <v>3366</v>
      </c>
      <c r="P674" t="s">
        <v>3372</v>
      </c>
    </row>
    <row r="675" spans="1:16" x14ac:dyDescent="0.3">
      <c r="A675" t="s">
        <v>1131</v>
      </c>
      <c r="B675" t="s">
        <v>30</v>
      </c>
      <c r="C675" t="s">
        <v>1130</v>
      </c>
      <c r="F675" t="s">
        <v>3361</v>
      </c>
      <c r="G675" t="s">
        <v>2746</v>
      </c>
      <c r="I675" t="s">
        <v>30</v>
      </c>
      <c r="J675" t="s">
        <v>3369</v>
      </c>
      <c r="K675" t="s">
        <v>605</v>
      </c>
      <c r="L675" t="s">
        <v>3375</v>
      </c>
      <c r="M675" t="s">
        <v>3364</v>
      </c>
      <c r="N675" t="s">
        <v>3365</v>
      </c>
      <c r="O675" t="s">
        <v>3366</v>
      </c>
      <c r="P675" t="s">
        <v>3372</v>
      </c>
    </row>
    <row r="676" spans="1:16" x14ac:dyDescent="0.3">
      <c r="A676" t="s">
        <v>1132</v>
      </c>
      <c r="B676" t="s">
        <v>30</v>
      </c>
      <c r="C676" t="s">
        <v>1130</v>
      </c>
      <c r="F676" t="s">
        <v>3361</v>
      </c>
      <c r="G676" t="s">
        <v>2746</v>
      </c>
      <c r="I676" t="s">
        <v>30</v>
      </c>
      <c r="J676" t="s">
        <v>3369</v>
      </c>
      <c r="K676" t="s">
        <v>605</v>
      </c>
      <c r="L676" t="s">
        <v>3375</v>
      </c>
      <c r="M676" t="s">
        <v>3364</v>
      </c>
      <c r="N676" t="s">
        <v>3365</v>
      </c>
      <c r="O676" t="s">
        <v>3366</v>
      </c>
      <c r="P676" t="s">
        <v>3372</v>
      </c>
    </row>
    <row r="677" spans="1:16" x14ac:dyDescent="0.3">
      <c r="A677" t="s">
        <v>1133</v>
      </c>
      <c r="B677" t="s">
        <v>30</v>
      </c>
      <c r="C677" t="s">
        <v>1130</v>
      </c>
      <c r="F677" t="s">
        <v>3361</v>
      </c>
      <c r="G677" t="s">
        <v>2746</v>
      </c>
      <c r="I677" t="s">
        <v>30</v>
      </c>
      <c r="J677" t="s">
        <v>3369</v>
      </c>
      <c r="K677" t="s">
        <v>605</v>
      </c>
      <c r="L677" t="s">
        <v>3375</v>
      </c>
      <c r="M677" t="s">
        <v>3364</v>
      </c>
      <c r="N677" t="s">
        <v>3365</v>
      </c>
      <c r="O677" t="s">
        <v>3366</v>
      </c>
      <c r="P677" t="s">
        <v>3372</v>
      </c>
    </row>
    <row r="678" spans="1:16" x14ac:dyDescent="0.3">
      <c r="A678" t="s">
        <v>1134</v>
      </c>
      <c r="B678" t="s">
        <v>30</v>
      </c>
      <c r="C678" t="s">
        <v>1130</v>
      </c>
      <c r="F678" t="s">
        <v>3361</v>
      </c>
      <c r="G678" t="s">
        <v>2746</v>
      </c>
      <c r="I678" t="s">
        <v>30</v>
      </c>
      <c r="J678" t="s">
        <v>3369</v>
      </c>
      <c r="K678" t="s">
        <v>605</v>
      </c>
      <c r="L678" t="s">
        <v>3375</v>
      </c>
      <c r="M678" t="s">
        <v>3364</v>
      </c>
      <c r="N678" t="s">
        <v>3365</v>
      </c>
      <c r="O678" t="s">
        <v>3366</v>
      </c>
      <c r="P678" t="s">
        <v>3372</v>
      </c>
    </row>
    <row r="679" spans="1:16" x14ac:dyDescent="0.3">
      <c r="A679" t="s">
        <v>1135</v>
      </c>
      <c r="B679" t="s">
        <v>30</v>
      </c>
      <c r="C679" t="s">
        <v>1130</v>
      </c>
      <c r="F679" t="s">
        <v>3361</v>
      </c>
      <c r="G679" t="s">
        <v>2746</v>
      </c>
      <c r="I679" t="s">
        <v>30</v>
      </c>
      <c r="J679" t="s">
        <v>3369</v>
      </c>
      <c r="K679" t="s">
        <v>605</v>
      </c>
      <c r="L679" t="s">
        <v>3375</v>
      </c>
      <c r="M679" t="s">
        <v>3364</v>
      </c>
      <c r="N679" t="s">
        <v>3365</v>
      </c>
      <c r="O679" t="s">
        <v>3366</v>
      </c>
      <c r="P679" t="s">
        <v>3372</v>
      </c>
    </row>
    <row r="680" spans="1:16" x14ac:dyDescent="0.3">
      <c r="A680" t="s">
        <v>650</v>
      </c>
      <c r="B680" t="s">
        <v>30</v>
      </c>
      <c r="C680" t="s">
        <v>1130</v>
      </c>
      <c r="F680" t="s">
        <v>3361</v>
      </c>
      <c r="G680" t="s">
        <v>2746</v>
      </c>
      <c r="I680" t="s">
        <v>30</v>
      </c>
      <c r="J680" t="s">
        <v>3369</v>
      </c>
      <c r="K680" t="s">
        <v>605</v>
      </c>
      <c r="L680" t="s">
        <v>3375</v>
      </c>
      <c r="M680" t="s">
        <v>3364</v>
      </c>
      <c r="N680" t="s">
        <v>3365</v>
      </c>
      <c r="O680" t="s">
        <v>3366</v>
      </c>
      <c r="P680" t="s">
        <v>3372</v>
      </c>
    </row>
    <row r="681" spans="1:16" x14ac:dyDescent="0.3">
      <c r="A681" t="s">
        <v>651</v>
      </c>
      <c r="B681" t="s">
        <v>30</v>
      </c>
      <c r="C681" t="s">
        <v>1130</v>
      </c>
      <c r="F681" t="s">
        <v>3361</v>
      </c>
      <c r="G681" t="s">
        <v>2746</v>
      </c>
      <c r="I681" t="s">
        <v>30</v>
      </c>
      <c r="J681" t="s">
        <v>3369</v>
      </c>
      <c r="K681" t="s">
        <v>605</v>
      </c>
      <c r="L681" t="s">
        <v>3375</v>
      </c>
      <c r="M681" t="s">
        <v>3364</v>
      </c>
      <c r="N681" t="s">
        <v>3365</v>
      </c>
      <c r="O681" t="s">
        <v>3366</v>
      </c>
      <c r="P681" t="s">
        <v>3372</v>
      </c>
    </row>
    <row r="682" spans="1:16" x14ac:dyDescent="0.3">
      <c r="A682" t="s">
        <v>1136</v>
      </c>
      <c r="B682" t="s">
        <v>30</v>
      </c>
      <c r="C682" t="s">
        <v>1130</v>
      </c>
      <c r="F682" t="s">
        <v>3361</v>
      </c>
      <c r="G682" t="s">
        <v>2746</v>
      </c>
      <c r="I682" t="s">
        <v>30</v>
      </c>
      <c r="J682" t="s">
        <v>3369</v>
      </c>
      <c r="K682" t="s">
        <v>605</v>
      </c>
      <c r="L682" t="s">
        <v>3375</v>
      </c>
      <c r="M682" t="s">
        <v>3364</v>
      </c>
      <c r="N682" t="s">
        <v>3365</v>
      </c>
      <c r="O682" t="s">
        <v>3366</v>
      </c>
      <c r="P682" t="s">
        <v>3372</v>
      </c>
    </row>
    <row r="683" spans="1:16" x14ac:dyDescent="0.3">
      <c r="A683" t="s">
        <v>1138</v>
      </c>
      <c r="B683" t="s">
        <v>30</v>
      </c>
      <c r="C683" t="s">
        <v>1137</v>
      </c>
      <c r="F683" t="s">
        <v>3361</v>
      </c>
      <c r="G683" t="s">
        <v>2746</v>
      </c>
      <c r="I683" t="s">
        <v>30</v>
      </c>
      <c r="J683" t="s">
        <v>3369</v>
      </c>
      <c r="K683" t="s">
        <v>605</v>
      </c>
      <c r="L683" t="s">
        <v>3375</v>
      </c>
      <c r="M683" t="s">
        <v>3364</v>
      </c>
      <c r="N683" t="s">
        <v>3365</v>
      </c>
      <c r="O683" t="s">
        <v>3366</v>
      </c>
      <c r="P683" t="s">
        <v>3372</v>
      </c>
    </row>
    <row r="684" spans="1:16" x14ac:dyDescent="0.3">
      <c r="A684" t="s">
        <v>1139</v>
      </c>
      <c r="B684" t="s">
        <v>30</v>
      </c>
      <c r="C684" t="s">
        <v>1137</v>
      </c>
      <c r="F684" t="s">
        <v>3361</v>
      </c>
      <c r="G684" t="s">
        <v>2746</v>
      </c>
      <c r="I684" t="s">
        <v>30</v>
      </c>
      <c r="J684" t="s">
        <v>3369</v>
      </c>
      <c r="K684" t="s">
        <v>605</v>
      </c>
      <c r="L684" t="s">
        <v>3375</v>
      </c>
      <c r="M684" t="s">
        <v>3364</v>
      </c>
      <c r="N684" t="s">
        <v>3365</v>
      </c>
      <c r="O684" t="s">
        <v>3366</v>
      </c>
      <c r="P684" t="s">
        <v>3372</v>
      </c>
    </row>
    <row r="685" spans="1:16" x14ac:dyDescent="0.3">
      <c r="A685" t="s">
        <v>1140</v>
      </c>
      <c r="B685" t="s">
        <v>30</v>
      </c>
      <c r="C685" t="s">
        <v>1137</v>
      </c>
      <c r="F685" t="s">
        <v>3361</v>
      </c>
      <c r="G685" t="s">
        <v>2746</v>
      </c>
      <c r="I685" t="s">
        <v>30</v>
      </c>
      <c r="J685" t="s">
        <v>3369</v>
      </c>
      <c r="K685" t="s">
        <v>605</v>
      </c>
      <c r="L685" t="s">
        <v>3375</v>
      </c>
      <c r="M685" t="s">
        <v>3364</v>
      </c>
      <c r="N685" t="s">
        <v>3365</v>
      </c>
      <c r="O685" t="s">
        <v>3366</v>
      </c>
      <c r="P685" t="s">
        <v>3372</v>
      </c>
    </row>
    <row r="686" spans="1:16" x14ac:dyDescent="0.3">
      <c r="A686" t="s">
        <v>1141</v>
      </c>
      <c r="B686" t="s">
        <v>30</v>
      </c>
      <c r="C686" t="s">
        <v>1137</v>
      </c>
      <c r="F686" t="s">
        <v>3361</v>
      </c>
      <c r="G686" t="s">
        <v>2746</v>
      </c>
      <c r="I686" t="s">
        <v>30</v>
      </c>
      <c r="J686" t="s">
        <v>3369</v>
      </c>
      <c r="K686" t="s">
        <v>605</v>
      </c>
      <c r="L686" t="s">
        <v>3375</v>
      </c>
      <c r="M686" t="s">
        <v>3364</v>
      </c>
      <c r="N686" t="s">
        <v>3365</v>
      </c>
      <c r="O686" t="s">
        <v>3366</v>
      </c>
      <c r="P686" t="s">
        <v>3372</v>
      </c>
    </row>
    <row r="687" spans="1:16" x14ac:dyDescent="0.3">
      <c r="A687" t="s">
        <v>1142</v>
      </c>
      <c r="B687" t="s">
        <v>30</v>
      </c>
      <c r="C687" t="s">
        <v>1137</v>
      </c>
      <c r="F687" t="s">
        <v>3361</v>
      </c>
      <c r="G687" t="s">
        <v>2746</v>
      </c>
      <c r="I687" t="s">
        <v>30</v>
      </c>
      <c r="J687" t="s">
        <v>3369</v>
      </c>
      <c r="K687" t="s">
        <v>605</v>
      </c>
      <c r="L687" t="s">
        <v>3375</v>
      </c>
      <c r="M687" t="s">
        <v>3364</v>
      </c>
      <c r="N687" t="s">
        <v>3365</v>
      </c>
      <c r="O687" t="s">
        <v>3366</v>
      </c>
      <c r="P687" t="s">
        <v>3372</v>
      </c>
    </row>
    <row r="688" spans="1:16" x14ac:dyDescent="0.3">
      <c r="A688" t="s">
        <v>1143</v>
      </c>
      <c r="B688" t="s">
        <v>30</v>
      </c>
      <c r="C688" t="s">
        <v>1137</v>
      </c>
      <c r="F688" t="s">
        <v>3361</v>
      </c>
      <c r="G688" t="s">
        <v>2746</v>
      </c>
      <c r="I688" t="s">
        <v>30</v>
      </c>
      <c r="J688" t="s">
        <v>3369</v>
      </c>
      <c r="K688" t="s">
        <v>605</v>
      </c>
      <c r="L688" t="s">
        <v>3375</v>
      </c>
      <c r="M688" t="s">
        <v>3364</v>
      </c>
      <c r="N688" t="s">
        <v>3365</v>
      </c>
      <c r="O688" t="s">
        <v>3366</v>
      </c>
      <c r="P688" t="s">
        <v>3372</v>
      </c>
    </row>
    <row r="689" spans="1:16" x14ac:dyDescent="0.3">
      <c r="A689" t="s">
        <v>1145</v>
      </c>
      <c r="B689" t="s">
        <v>30</v>
      </c>
      <c r="C689" t="s">
        <v>1144</v>
      </c>
      <c r="F689" t="s">
        <v>3361</v>
      </c>
      <c r="G689" t="s">
        <v>2746</v>
      </c>
      <c r="I689" t="s">
        <v>30</v>
      </c>
      <c r="J689" t="s">
        <v>3369</v>
      </c>
      <c r="K689" t="s">
        <v>605</v>
      </c>
      <c r="L689" t="s">
        <v>3375</v>
      </c>
      <c r="M689" t="s">
        <v>3364</v>
      </c>
      <c r="N689" t="s">
        <v>3365</v>
      </c>
      <c r="O689" t="s">
        <v>3366</v>
      </c>
      <c r="P689" t="s">
        <v>3372</v>
      </c>
    </row>
    <row r="690" spans="1:16" x14ac:dyDescent="0.3">
      <c r="A690" t="s">
        <v>1146</v>
      </c>
      <c r="B690" t="s">
        <v>30</v>
      </c>
      <c r="C690" t="s">
        <v>1144</v>
      </c>
      <c r="F690" t="s">
        <v>3361</v>
      </c>
      <c r="G690" t="s">
        <v>2746</v>
      </c>
      <c r="I690" t="s">
        <v>30</v>
      </c>
      <c r="J690" t="s">
        <v>3369</v>
      </c>
      <c r="K690" t="s">
        <v>605</v>
      </c>
      <c r="L690" t="s">
        <v>3375</v>
      </c>
      <c r="M690" t="s">
        <v>3364</v>
      </c>
      <c r="N690" t="s">
        <v>3365</v>
      </c>
      <c r="O690" t="s">
        <v>3366</v>
      </c>
      <c r="P690" t="s">
        <v>3372</v>
      </c>
    </row>
    <row r="691" spans="1:16" x14ac:dyDescent="0.3">
      <c r="A691" t="s">
        <v>1147</v>
      </c>
      <c r="B691" t="s">
        <v>30</v>
      </c>
      <c r="C691" t="s">
        <v>1144</v>
      </c>
      <c r="F691" t="s">
        <v>3361</v>
      </c>
      <c r="G691" t="s">
        <v>2746</v>
      </c>
      <c r="I691" t="s">
        <v>30</v>
      </c>
      <c r="J691" t="s">
        <v>3369</v>
      </c>
      <c r="K691" t="s">
        <v>605</v>
      </c>
      <c r="L691" t="s">
        <v>3375</v>
      </c>
      <c r="M691" t="s">
        <v>3364</v>
      </c>
      <c r="N691" t="s">
        <v>3365</v>
      </c>
      <c r="O691" t="s">
        <v>3366</v>
      </c>
      <c r="P691" t="s">
        <v>3372</v>
      </c>
    </row>
    <row r="692" spans="1:16" x14ac:dyDescent="0.3">
      <c r="A692" t="s">
        <v>1148</v>
      </c>
      <c r="B692" t="s">
        <v>30</v>
      </c>
      <c r="C692" t="s">
        <v>1144</v>
      </c>
      <c r="F692" t="s">
        <v>3361</v>
      </c>
      <c r="G692" t="s">
        <v>2746</v>
      </c>
      <c r="I692" t="s">
        <v>30</v>
      </c>
      <c r="J692" t="s">
        <v>3369</v>
      </c>
      <c r="K692" t="s">
        <v>605</v>
      </c>
      <c r="L692" t="s">
        <v>3375</v>
      </c>
      <c r="M692" t="s">
        <v>3364</v>
      </c>
      <c r="N692" t="s">
        <v>3365</v>
      </c>
      <c r="O692" t="s">
        <v>3366</v>
      </c>
      <c r="P692" t="s">
        <v>3372</v>
      </c>
    </row>
    <row r="693" spans="1:16" x14ac:dyDescent="0.3">
      <c r="A693" t="s">
        <v>1149</v>
      </c>
      <c r="B693" t="s">
        <v>30</v>
      </c>
      <c r="C693" t="s">
        <v>1144</v>
      </c>
      <c r="F693" t="s">
        <v>3361</v>
      </c>
      <c r="G693" t="s">
        <v>2746</v>
      </c>
      <c r="I693" t="s">
        <v>30</v>
      </c>
      <c r="J693" t="s">
        <v>3369</v>
      </c>
      <c r="K693" t="s">
        <v>605</v>
      </c>
      <c r="L693" t="s">
        <v>3375</v>
      </c>
      <c r="M693" t="s">
        <v>3364</v>
      </c>
      <c r="N693" t="s">
        <v>3365</v>
      </c>
      <c r="O693" t="s">
        <v>3366</v>
      </c>
      <c r="P693" t="s">
        <v>3372</v>
      </c>
    </row>
    <row r="694" spans="1:16" x14ac:dyDescent="0.3">
      <c r="A694" t="s">
        <v>1150</v>
      </c>
      <c r="B694" t="s">
        <v>30</v>
      </c>
      <c r="C694" t="s">
        <v>643</v>
      </c>
      <c r="F694" t="s">
        <v>3361</v>
      </c>
      <c r="G694" t="s">
        <v>2746</v>
      </c>
      <c r="I694" t="s">
        <v>30</v>
      </c>
      <c r="J694" t="s">
        <v>3369</v>
      </c>
      <c r="K694" t="s">
        <v>605</v>
      </c>
      <c r="L694" t="s">
        <v>3375</v>
      </c>
      <c r="M694" t="s">
        <v>3364</v>
      </c>
      <c r="N694" t="s">
        <v>3365</v>
      </c>
      <c r="O694" t="s">
        <v>3366</v>
      </c>
      <c r="P694" t="s">
        <v>3372</v>
      </c>
    </row>
    <row r="695" spans="1:16" x14ac:dyDescent="0.3">
      <c r="A695" t="s">
        <v>1151</v>
      </c>
      <c r="B695" t="s">
        <v>30</v>
      </c>
      <c r="C695" t="s">
        <v>643</v>
      </c>
      <c r="F695" t="s">
        <v>3361</v>
      </c>
      <c r="G695" t="s">
        <v>2746</v>
      </c>
      <c r="I695" t="s">
        <v>30</v>
      </c>
      <c r="J695" t="s">
        <v>3369</v>
      </c>
      <c r="K695" t="s">
        <v>605</v>
      </c>
      <c r="L695" t="s">
        <v>3375</v>
      </c>
      <c r="M695" t="s">
        <v>3364</v>
      </c>
      <c r="N695" t="s">
        <v>3365</v>
      </c>
      <c r="O695" t="s">
        <v>3366</v>
      </c>
      <c r="P695" t="s">
        <v>3372</v>
      </c>
    </row>
    <row r="696" spans="1:16" x14ac:dyDescent="0.3">
      <c r="A696" t="s">
        <v>1152</v>
      </c>
      <c r="B696" t="s">
        <v>30</v>
      </c>
      <c r="C696" t="s">
        <v>643</v>
      </c>
      <c r="F696" t="s">
        <v>3361</v>
      </c>
      <c r="G696" t="s">
        <v>2746</v>
      </c>
      <c r="I696" t="s">
        <v>30</v>
      </c>
      <c r="J696" t="s">
        <v>3369</v>
      </c>
      <c r="K696" t="s">
        <v>605</v>
      </c>
      <c r="L696" t="s">
        <v>3375</v>
      </c>
      <c r="M696" t="s">
        <v>3364</v>
      </c>
      <c r="N696" t="s">
        <v>3365</v>
      </c>
      <c r="O696" t="s">
        <v>3366</v>
      </c>
      <c r="P696" t="s">
        <v>3372</v>
      </c>
    </row>
    <row r="697" spans="1:16" x14ac:dyDescent="0.3">
      <c r="A697" t="s">
        <v>813</v>
      </c>
      <c r="B697" t="s">
        <v>30</v>
      </c>
      <c r="C697" t="s">
        <v>643</v>
      </c>
      <c r="F697" t="s">
        <v>3361</v>
      </c>
      <c r="G697" t="s">
        <v>2746</v>
      </c>
      <c r="I697" t="s">
        <v>30</v>
      </c>
      <c r="J697" t="s">
        <v>3369</v>
      </c>
      <c r="K697" t="s">
        <v>605</v>
      </c>
      <c r="L697" t="s">
        <v>3375</v>
      </c>
      <c r="M697" t="s">
        <v>3364</v>
      </c>
      <c r="N697" t="s">
        <v>3365</v>
      </c>
      <c r="O697" t="s">
        <v>3366</v>
      </c>
      <c r="P697" t="s">
        <v>3372</v>
      </c>
    </row>
    <row r="698" spans="1:16" x14ac:dyDescent="0.3">
      <c r="A698" t="s">
        <v>1153</v>
      </c>
      <c r="B698" t="s">
        <v>30</v>
      </c>
      <c r="C698" t="s">
        <v>643</v>
      </c>
      <c r="F698" t="s">
        <v>3361</v>
      </c>
      <c r="G698" t="s">
        <v>2746</v>
      </c>
      <c r="I698" t="s">
        <v>30</v>
      </c>
      <c r="J698" t="s">
        <v>3369</v>
      </c>
      <c r="K698" t="s">
        <v>605</v>
      </c>
      <c r="L698" t="s">
        <v>3375</v>
      </c>
      <c r="M698" t="s">
        <v>3364</v>
      </c>
      <c r="N698" t="s">
        <v>3365</v>
      </c>
      <c r="O698" t="s">
        <v>3366</v>
      </c>
      <c r="P698" t="s">
        <v>3372</v>
      </c>
    </row>
    <row r="699" spans="1:16" x14ac:dyDescent="0.3">
      <c r="A699" t="s">
        <v>3390</v>
      </c>
      <c r="B699" t="s">
        <v>30</v>
      </c>
      <c r="C699" t="s">
        <v>1154</v>
      </c>
      <c r="F699" t="s">
        <v>3361</v>
      </c>
      <c r="G699" t="s">
        <v>2746</v>
      </c>
      <c r="I699" t="s">
        <v>30</v>
      </c>
      <c r="J699" t="s">
        <v>3369</v>
      </c>
      <c r="K699" t="s">
        <v>605</v>
      </c>
      <c r="L699" t="s">
        <v>3375</v>
      </c>
      <c r="M699" t="s">
        <v>3364</v>
      </c>
      <c r="N699" t="s">
        <v>3365</v>
      </c>
      <c r="O699" t="s">
        <v>3366</v>
      </c>
      <c r="P699" t="s">
        <v>3372</v>
      </c>
    </row>
    <row r="700" spans="1:16" x14ac:dyDescent="0.3">
      <c r="A700" t="s">
        <v>1156</v>
      </c>
      <c r="B700" t="s">
        <v>30</v>
      </c>
      <c r="C700" t="s">
        <v>1154</v>
      </c>
      <c r="F700" t="s">
        <v>3361</v>
      </c>
      <c r="G700" t="s">
        <v>2746</v>
      </c>
      <c r="I700" t="s">
        <v>30</v>
      </c>
      <c r="J700" t="s">
        <v>3369</v>
      </c>
      <c r="K700" t="s">
        <v>605</v>
      </c>
      <c r="L700" t="s">
        <v>3375</v>
      </c>
      <c r="M700" t="s">
        <v>3364</v>
      </c>
      <c r="N700" t="s">
        <v>3365</v>
      </c>
      <c r="O700" t="s">
        <v>3366</v>
      </c>
      <c r="P700" t="s">
        <v>3372</v>
      </c>
    </row>
    <row r="701" spans="1:16" x14ac:dyDescent="0.3">
      <c r="A701" t="s">
        <v>3391</v>
      </c>
      <c r="B701" t="s">
        <v>30</v>
      </c>
      <c r="C701" t="s">
        <v>1154</v>
      </c>
      <c r="F701" t="s">
        <v>3361</v>
      </c>
      <c r="G701" t="s">
        <v>2746</v>
      </c>
      <c r="I701" t="s">
        <v>30</v>
      </c>
      <c r="J701" t="s">
        <v>3369</v>
      </c>
      <c r="K701" t="s">
        <v>605</v>
      </c>
      <c r="L701" t="s">
        <v>3375</v>
      </c>
      <c r="M701" t="s">
        <v>3364</v>
      </c>
      <c r="N701" t="s">
        <v>3365</v>
      </c>
      <c r="O701" t="s">
        <v>3366</v>
      </c>
      <c r="P701" t="s">
        <v>3372</v>
      </c>
    </row>
    <row r="702" spans="1:16" x14ac:dyDescent="0.3">
      <c r="A702" t="s">
        <v>3392</v>
      </c>
      <c r="B702" t="s">
        <v>30</v>
      </c>
      <c r="C702" t="s">
        <v>1154</v>
      </c>
      <c r="F702" t="s">
        <v>3361</v>
      </c>
      <c r="G702" t="s">
        <v>2746</v>
      </c>
      <c r="I702" t="s">
        <v>30</v>
      </c>
      <c r="J702" t="s">
        <v>3369</v>
      </c>
      <c r="K702" t="s">
        <v>605</v>
      </c>
      <c r="L702" t="s">
        <v>3375</v>
      </c>
      <c r="M702" t="s">
        <v>3364</v>
      </c>
      <c r="N702" t="s">
        <v>3365</v>
      </c>
      <c r="O702" t="s">
        <v>3366</v>
      </c>
      <c r="P702" t="s">
        <v>3372</v>
      </c>
    </row>
    <row r="703" spans="1:16" x14ac:dyDescent="0.3">
      <c r="A703" t="s">
        <v>3393</v>
      </c>
      <c r="B703" t="s">
        <v>30</v>
      </c>
      <c r="C703" t="s">
        <v>1154</v>
      </c>
      <c r="F703" t="s">
        <v>3361</v>
      </c>
      <c r="G703" t="s">
        <v>2746</v>
      </c>
      <c r="I703" t="s">
        <v>30</v>
      </c>
      <c r="J703" t="s">
        <v>3369</v>
      </c>
      <c r="K703" t="s">
        <v>605</v>
      </c>
      <c r="L703" t="s">
        <v>3375</v>
      </c>
      <c r="M703" t="s">
        <v>3364</v>
      </c>
      <c r="N703" t="s">
        <v>3365</v>
      </c>
      <c r="O703" t="s">
        <v>3366</v>
      </c>
      <c r="P703" t="s">
        <v>3372</v>
      </c>
    </row>
    <row r="704" spans="1:16" x14ac:dyDescent="0.3">
      <c r="A704" t="s">
        <v>2749</v>
      </c>
      <c r="B704" t="s">
        <v>100</v>
      </c>
      <c r="D704" t="s">
        <v>2744</v>
      </c>
      <c r="E704" t="s">
        <v>2747</v>
      </c>
      <c r="F704" t="s">
        <v>3394</v>
      </c>
      <c r="G704" t="s">
        <v>2746</v>
      </c>
      <c r="H704" t="s">
        <v>3395</v>
      </c>
      <c r="I704" t="s">
        <v>3396</v>
      </c>
      <c r="J704" t="s">
        <v>3369</v>
      </c>
      <c r="K704" t="s">
        <v>1661</v>
      </c>
      <c r="L704" t="s">
        <v>3386</v>
      </c>
      <c r="M704" t="s">
        <v>3397</v>
      </c>
      <c r="N704" t="s">
        <v>3365</v>
      </c>
      <c r="O704" t="s">
        <v>3366</v>
      </c>
      <c r="P704" t="s">
        <v>3398</v>
      </c>
    </row>
    <row r="705" spans="1:16" x14ac:dyDescent="0.3">
      <c r="A705" t="s">
        <v>2751</v>
      </c>
      <c r="B705" t="s">
        <v>100</v>
      </c>
      <c r="D705" t="s">
        <v>2744</v>
      </c>
      <c r="E705" t="s">
        <v>2747</v>
      </c>
      <c r="F705" t="s">
        <v>3394</v>
      </c>
      <c r="G705" t="s">
        <v>2746</v>
      </c>
      <c r="H705" t="s">
        <v>3395</v>
      </c>
      <c r="I705" t="s">
        <v>3396</v>
      </c>
      <c r="J705" t="s">
        <v>3369</v>
      </c>
      <c r="K705" t="s">
        <v>1661</v>
      </c>
      <c r="L705" t="s">
        <v>3386</v>
      </c>
      <c r="M705" t="s">
        <v>3397</v>
      </c>
      <c r="N705" t="s">
        <v>3365</v>
      </c>
      <c r="O705" t="s">
        <v>3366</v>
      </c>
      <c r="P705" t="s">
        <v>3398</v>
      </c>
    </row>
    <row r="706" spans="1:16" x14ac:dyDescent="0.3">
      <c r="A706" t="s">
        <v>2750</v>
      </c>
      <c r="B706" t="s">
        <v>100</v>
      </c>
      <c r="D706" t="s">
        <v>2744</v>
      </c>
      <c r="E706" t="s">
        <v>2747</v>
      </c>
      <c r="F706" t="s">
        <v>3394</v>
      </c>
      <c r="G706" t="s">
        <v>2746</v>
      </c>
      <c r="H706" t="s">
        <v>3395</v>
      </c>
      <c r="I706" t="s">
        <v>3396</v>
      </c>
      <c r="J706" t="s">
        <v>3369</v>
      </c>
      <c r="K706" t="s">
        <v>1661</v>
      </c>
      <c r="L706" t="s">
        <v>3386</v>
      </c>
      <c r="M706" t="s">
        <v>3397</v>
      </c>
      <c r="N706" t="s">
        <v>3365</v>
      </c>
      <c r="O706" t="s">
        <v>3366</v>
      </c>
      <c r="P706" t="s">
        <v>3398</v>
      </c>
    </row>
    <row r="707" spans="1:16" x14ac:dyDescent="0.3">
      <c r="A707" t="s">
        <v>3399</v>
      </c>
      <c r="B707" t="s">
        <v>100</v>
      </c>
      <c r="D707" t="s">
        <v>2744</v>
      </c>
      <c r="E707" t="s">
        <v>2747</v>
      </c>
      <c r="F707" t="s">
        <v>3394</v>
      </c>
      <c r="G707" t="s">
        <v>2746</v>
      </c>
      <c r="H707" t="s">
        <v>3395</v>
      </c>
      <c r="I707" t="s">
        <v>3396</v>
      </c>
      <c r="J707" t="s">
        <v>3369</v>
      </c>
      <c r="K707" t="s">
        <v>1661</v>
      </c>
      <c r="L707" t="s">
        <v>3386</v>
      </c>
      <c r="M707" t="s">
        <v>3397</v>
      </c>
      <c r="N707" t="s">
        <v>3365</v>
      </c>
      <c r="O707" t="s">
        <v>3366</v>
      </c>
      <c r="P707" t="s">
        <v>3398</v>
      </c>
    </row>
    <row r="708" spans="1:16" x14ac:dyDescent="0.3">
      <c r="A708" t="s">
        <v>3400</v>
      </c>
      <c r="B708" t="s">
        <v>100</v>
      </c>
      <c r="D708" t="s">
        <v>2744</v>
      </c>
      <c r="E708" t="s">
        <v>2747</v>
      </c>
      <c r="F708" t="s">
        <v>3394</v>
      </c>
      <c r="G708" t="s">
        <v>2746</v>
      </c>
      <c r="H708" t="s">
        <v>3395</v>
      </c>
      <c r="I708" t="s">
        <v>3396</v>
      </c>
      <c r="J708" t="s">
        <v>3369</v>
      </c>
      <c r="K708" t="s">
        <v>1661</v>
      </c>
      <c r="L708" t="s">
        <v>3386</v>
      </c>
      <c r="M708" t="s">
        <v>3397</v>
      </c>
      <c r="N708" t="s">
        <v>3365</v>
      </c>
      <c r="O708" t="s">
        <v>3366</v>
      </c>
      <c r="P708" t="s">
        <v>3398</v>
      </c>
    </row>
    <row r="709" spans="1:16" x14ac:dyDescent="0.3">
      <c r="A709" t="s">
        <v>3401</v>
      </c>
      <c r="B709" t="s">
        <v>100</v>
      </c>
      <c r="D709" t="s">
        <v>2744</v>
      </c>
      <c r="E709" t="s">
        <v>2747</v>
      </c>
      <c r="F709" t="s">
        <v>3394</v>
      </c>
      <c r="G709" t="s">
        <v>2746</v>
      </c>
      <c r="H709" t="s">
        <v>3395</v>
      </c>
      <c r="I709" t="s">
        <v>3396</v>
      </c>
      <c r="J709" t="s">
        <v>3369</v>
      </c>
      <c r="K709" t="s">
        <v>1661</v>
      </c>
      <c r="L709" t="s">
        <v>3386</v>
      </c>
      <c r="M709" t="s">
        <v>3397</v>
      </c>
      <c r="N709" t="s">
        <v>3365</v>
      </c>
      <c r="O709" t="s">
        <v>3366</v>
      </c>
      <c r="P709" t="s">
        <v>3398</v>
      </c>
    </row>
    <row r="710" spans="1:16" x14ac:dyDescent="0.3">
      <c r="A710" t="s">
        <v>2748</v>
      </c>
      <c r="B710" t="s">
        <v>100</v>
      </c>
      <c r="D710" t="s">
        <v>2744</v>
      </c>
      <c r="E710" t="s">
        <v>2747</v>
      </c>
      <c r="F710" t="s">
        <v>3394</v>
      </c>
      <c r="G710" t="s">
        <v>2746</v>
      </c>
      <c r="H710" t="s">
        <v>3395</v>
      </c>
      <c r="I710" t="s">
        <v>3396</v>
      </c>
      <c r="J710" t="s">
        <v>3369</v>
      </c>
      <c r="K710" t="s">
        <v>1661</v>
      </c>
      <c r="L710" t="s">
        <v>3386</v>
      </c>
      <c r="M710" t="s">
        <v>3397</v>
      </c>
      <c r="N710" t="s">
        <v>3365</v>
      </c>
      <c r="O710" t="s">
        <v>3366</v>
      </c>
      <c r="P710" t="s">
        <v>3398</v>
      </c>
    </row>
    <row r="711" spans="1:16" x14ac:dyDescent="0.3">
      <c r="A711" t="s">
        <v>2757</v>
      </c>
      <c r="B711" t="s">
        <v>100</v>
      </c>
      <c r="D711" t="s">
        <v>2744</v>
      </c>
      <c r="E711" t="s">
        <v>2747</v>
      </c>
      <c r="F711" t="s">
        <v>3394</v>
      </c>
      <c r="G711" t="s">
        <v>2746</v>
      </c>
      <c r="H711" t="s">
        <v>3395</v>
      </c>
      <c r="I711" t="s">
        <v>3396</v>
      </c>
      <c r="J711" t="s">
        <v>3369</v>
      </c>
      <c r="K711" t="s">
        <v>1661</v>
      </c>
      <c r="L711" t="s">
        <v>3386</v>
      </c>
      <c r="M711" t="s">
        <v>3397</v>
      </c>
      <c r="N711" t="s">
        <v>3365</v>
      </c>
      <c r="O711" t="s">
        <v>3366</v>
      </c>
      <c r="P711" t="s">
        <v>3398</v>
      </c>
    </row>
    <row r="712" spans="1:16" x14ac:dyDescent="0.3">
      <c r="A712" t="s">
        <v>2755</v>
      </c>
      <c r="B712" t="s">
        <v>100</v>
      </c>
      <c r="D712" t="s">
        <v>2744</v>
      </c>
      <c r="E712" t="s">
        <v>2747</v>
      </c>
      <c r="F712" t="s">
        <v>3394</v>
      </c>
      <c r="G712" t="s">
        <v>2746</v>
      </c>
      <c r="H712" t="s">
        <v>3395</v>
      </c>
      <c r="I712" t="s">
        <v>3396</v>
      </c>
      <c r="J712" t="s">
        <v>3369</v>
      </c>
      <c r="K712" t="s">
        <v>1661</v>
      </c>
      <c r="L712" t="s">
        <v>3386</v>
      </c>
      <c r="M712" t="s">
        <v>3397</v>
      </c>
      <c r="N712" t="s">
        <v>3365</v>
      </c>
      <c r="O712" t="s">
        <v>3366</v>
      </c>
      <c r="P712" t="s">
        <v>3398</v>
      </c>
    </row>
    <row r="713" spans="1:16" x14ac:dyDescent="0.3">
      <c r="A713" t="s">
        <v>2756</v>
      </c>
      <c r="B713" t="s">
        <v>100</v>
      </c>
      <c r="D713" t="s">
        <v>2744</v>
      </c>
      <c r="E713" t="s">
        <v>2747</v>
      </c>
      <c r="F713" t="s">
        <v>3394</v>
      </c>
      <c r="G713" t="s">
        <v>2746</v>
      </c>
      <c r="H713" t="s">
        <v>3395</v>
      </c>
      <c r="I713" t="s">
        <v>3396</v>
      </c>
      <c r="J713" t="s">
        <v>3369</v>
      </c>
      <c r="K713" t="s">
        <v>1661</v>
      </c>
      <c r="L713" t="s">
        <v>3386</v>
      </c>
      <c r="M713" t="s">
        <v>3397</v>
      </c>
      <c r="N713" t="s">
        <v>3365</v>
      </c>
      <c r="O713" t="s">
        <v>3366</v>
      </c>
      <c r="P713" t="s">
        <v>3398</v>
      </c>
    </row>
    <row r="714" spans="1:16" x14ac:dyDescent="0.3">
      <c r="A714" t="s">
        <v>2758</v>
      </c>
      <c r="B714" t="s">
        <v>100</v>
      </c>
      <c r="D714" t="s">
        <v>2744</v>
      </c>
      <c r="E714" t="s">
        <v>2747</v>
      </c>
      <c r="F714" t="s">
        <v>3394</v>
      </c>
      <c r="G714" t="s">
        <v>2746</v>
      </c>
      <c r="H714" t="s">
        <v>3395</v>
      </c>
      <c r="I714" t="s">
        <v>3396</v>
      </c>
      <c r="J714" t="s">
        <v>3369</v>
      </c>
      <c r="K714" t="s">
        <v>1661</v>
      </c>
      <c r="L714" t="s">
        <v>3386</v>
      </c>
      <c r="M714" t="s">
        <v>3397</v>
      </c>
      <c r="N714" t="s">
        <v>3365</v>
      </c>
      <c r="O714" t="s">
        <v>3366</v>
      </c>
      <c r="P714" t="s">
        <v>3398</v>
      </c>
    </row>
    <row r="715" spans="1:16" x14ac:dyDescent="0.3">
      <c r="A715" t="s">
        <v>3402</v>
      </c>
      <c r="B715" t="s">
        <v>100</v>
      </c>
      <c r="D715" t="s">
        <v>2744</v>
      </c>
      <c r="E715" t="s">
        <v>2747</v>
      </c>
      <c r="F715" t="s">
        <v>3394</v>
      </c>
      <c r="G715" t="s">
        <v>2746</v>
      </c>
      <c r="H715" t="s">
        <v>3395</v>
      </c>
      <c r="I715" t="s">
        <v>3396</v>
      </c>
      <c r="J715" t="s">
        <v>3369</v>
      </c>
      <c r="K715" t="s">
        <v>1661</v>
      </c>
      <c r="L715" t="s">
        <v>3386</v>
      </c>
      <c r="M715" t="s">
        <v>3397</v>
      </c>
      <c r="N715" t="s">
        <v>3365</v>
      </c>
      <c r="O715" t="s">
        <v>3366</v>
      </c>
      <c r="P715" t="s">
        <v>3398</v>
      </c>
    </row>
    <row r="716" spans="1:16" x14ac:dyDescent="0.3">
      <c r="A716" t="s">
        <v>2759</v>
      </c>
      <c r="B716" t="s">
        <v>100</v>
      </c>
      <c r="D716" t="s">
        <v>2744</v>
      </c>
      <c r="E716" t="s">
        <v>2747</v>
      </c>
      <c r="F716" t="s">
        <v>3394</v>
      </c>
      <c r="G716" t="s">
        <v>2746</v>
      </c>
      <c r="H716" t="s">
        <v>3395</v>
      </c>
      <c r="I716" t="s">
        <v>3396</v>
      </c>
      <c r="J716" t="s">
        <v>3369</v>
      </c>
      <c r="K716" t="s">
        <v>1661</v>
      </c>
      <c r="L716" t="s">
        <v>3386</v>
      </c>
      <c r="M716" t="s">
        <v>3397</v>
      </c>
      <c r="N716" t="s">
        <v>3365</v>
      </c>
      <c r="O716" t="s">
        <v>3366</v>
      </c>
      <c r="P716" t="s">
        <v>3398</v>
      </c>
    </row>
    <row r="717" spans="1:16" x14ac:dyDescent="0.3">
      <c r="A717" t="s">
        <v>771</v>
      </c>
      <c r="B717" t="s">
        <v>100</v>
      </c>
      <c r="D717" t="s">
        <v>2744</v>
      </c>
      <c r="E717" t="s">
        <v>2747</v>
      </c>
      <c r="F717" t="s">
        <v>3394</v>
      </c>
      <c r="G717" t="s">
        <v>2746</v>
      </c>
      <c r="H717" t="s">
        <v>3395</v>
      </c>
      <c r="I717" t="s">
        <v>3396</v>
      </c>
      <c r="J717" t="s">
        <v>3369</v>
      </c>
      <c r="K717" t="s">
        <v>1661</v>
      </c>
      <c r="L717" t="s">
        <v>3386</v>
      </c>
      <c r="M717" t="s">
        <v>3397</v>
      </c>
      <c r="N717" t="s">
        <v>3365</v>
      </c>
      <c r="O717" t="s">
        <v>3366</v>
      </c>
      <c r="P717" t="s">
        <v>3398</v>
      </c>
    </row>
    <row r="718" spans="1:16" x14ac:dyDescent="0.3">
      <c r="A718" t="s">
        <v>2760</v>
      </c>
      <c r="B718" t="s">
        <v>100</v>
      </c>
      <c r="D718" t="s">
        <v>2744</v>
      </c>
      <c r="E718" t="s">
        <v>2747</v>
      </c>
      <c r="F718" t="s">
        <v>3394</v>
      </c>
      <c r="G718" t="s">
        <v>2746</v>
      </c>
      <c r="H718" t="s">
        <v>3395</v>
      </c>
      <c r="I718" t="s">
        <v>3396</v>
      </c>
      <c r="J718" t="s">
        <v>3369</v>
      </c>
      <c r="K718" t="s">
        <v>1661</v>
      </c>
      <c r="L718" t="s">
        <v>3386</v>
      </c>
      <c r="M718" t="s">
        <v>3397</v>
      </c>
      <c r="N718" t="s">
        <v>3365</v>
      </c>
      <c r="O718" t="s">
        <v>3366</v>
      </c>
      <c r="P718" t="s">
        <v>3398</v>
      </c>
    </row>
    <row r="719" spans="1:16" x14ac:dyDescent="0.3">
      <c r="A719" t="s">
        <v>2761</v>
      </c>
      <c r="B719" t="s">
        <v>100</v>
      </c>
      <c r="D719" t="s">
        <v>2744</v>
      </c>
      <c r="E719" t="s">
        <v>2747</v>
      </c>
      <c r="F719" t="s">
        <v>3394</v>
      </c>
      <c r="G719" t="s">
        <v>2746</v>
      </c>
      <c r="H719" t="s">
        <v>3395</v>
      </c>
      <c r="I719" t="s">
        <v>3396</v>
      </c>
      <c r="J719" t="s">
        <v>3369</v>
      </c>
      <c r="K719" t="s">
        <v>1661</v>
      </c>
      <c r="L719" t="s">
        <v>3386</v>
      </c>
      <c r="M719" t="s">
        <v>3397</v>
      </c>
      <c r="N719" t="s">
        <v>3365</v>
      </c>
      <c r="O719" t="s">
        <v>3366</v>
      </c>
      <c r="P719" t="s">
        <v>3398</v>
      </c>
    </row>
    <row r="720" spans="1:16" x14ac:dyDescent="0.3">
      <c r="A720" t="s">
        <v>3403</v>
      </c>
      <c r="B720" t="s">
        <v>100</v>
      </c>
      <c r="D720" t="s">
        <v>2744</v>
      </c>
      <c r="E720" t="s">
        <v>2747</v>
      </c>
      <c r="F720" t="s">
        <v>3394</v>
      </c>
      <c r="G720" t="s">
        <v>2746</v>
      </c>
      <c r="H720" t="s">
        <v>3395</v>
      </c>
      <c r="I720" t="s">
        <v>3396</v>
      </c>
      <c r="J720" t="s">
        <v>3369</v>
      </c>
      <c r="K720" t="s">
        <v>1661</v>
      </c>
      <c r="L720" t="s">
        <v>3386</v>
      </c>
      <c r="M720" t="s">
        <v>3397</v>
      </c>
      <c r="N720" t="s">
        <v>3365</v>
      </c>
      <c r="O720" t="s">
        <v>3366</v>
      </c>
      <c r="P720" t="s">
        <v>3398</v>
      </c>
    </row>
    <row r="721" spans="1:16" x14ac:dyDescent="0.3">
      <c r="A721" t="s">
        <v>3404</v>
      </c>
      <c r="B721" t="s">
        <v>100</v>
      </c>
      <c r="D721" t="s">
        <v>2744</v>
      </c>
      <c r="E721" t="s">
        <v>2747</v>
      </c>
      <c r="F721" t="s">
        <v>3394</v>
      </c>
      <c r="G721" t="s">
        <v>2746</v>
      </c>
      <c r="H721" t="s">
        <v>3395</v>
      </c>
      <c r="I721" t="s">
        <v>3396</v>
      </c>
      <c r="J721" t="s">
        <v>3369</v>
      </c>
      <c r="K721" t="s">
        <v>1661</v>
      </c>
      <c r="L721" t="s">
        <v>3386</v>
      </c>
      <c r="M721" t="s">
        <v>3397</v>
      </c>
      <c r="N721" t="s">
        <v>3365</v>
      </c>
      <c r="O721" t="s">
        <v>3366</v>
      </c>
      <c r="P721" t="s">
        <v>3398</v>
      </c>
    </row>
    <row r="722" spans="1:16" x14ac:dyDescent="0.3">
      <c r="A722" t="s">
        <v>2752</v>
      </c>
      <c r="B722" t="s">
        <v>100</v>
      </c>
      <c r="D722" t="s">
        <v>2744</v>
      </c>
      <c r="E722" t="s">
        <v>2747</v>
      </c>
      <c r="F722" t="s">
        <v>3394</v>
      </c>
      <c r="G722" t="s">
        <v>2746</v>
      </c>
      <c r="H722" t="s">
        <v>3395</v>
      </c>
      <c r="I722" t="s">
        <v>3396</v>
      </c>
      <c r="J722" t="s">
        <v>3369</v>
      </c>
      <c r="K722" t="s">
        <v>1661</v>
      </c>
      <c r="L722" t="s">
        <v>3386</v>
      </c>
      <c r="M722" t="s">
        <v>3397</v>
      </c>
      <c r="N722" t="s">
        <v>3365</v>
      </c>
      <c r="O722" t="s">
        <v>3366</v>
      </c>
      <c r="P722" t="s">
        <v>3398</v>
      </c>
    </row>
    <row r="723" spans="1:16" x14ac:dyDescent="0.3">
      <c r="A723" t="s">
        <v>3405</v>
      </c>
      <c r="B723" t="s">
        <v>100</v>
      </c>
      <c r="D723" t="s">
        <v>2744</v>
      </c>
      <c r="E723" t="s">
        <v>2747</v>
      </c>
      <c r="F723" t="s">
        <v>3394</v>
      </c>
      <c r="G723" t="s">
        <v>2746</v>
      </c>
      <c r="H723" t="s">
        <v>3395</v>
      </c>
      <c r="I723" t="s">
        <v>3396</v>
      </c>
      <c r="J723" t="s">
        <v>3369</v>
      </c>
      <c r="K723" t="s">
        <v>1661</v>
      </c>
      <c r="L723" t="s">
        <v>3386</v>
      </c>
      <c r="M723" t="s">
        <v>3397</v>
      </c>
      <c r="N723" t="s">
        <v>3365</v>
      </c>
      <c r="O723" t="s">
        <v>3366</v>
      </c>
      <c r="P723" t="s">
        <v>3398</v>
      </c>
    </row>
    <row r="724" spans="1:16" x14ac:dyDescent="0.3">
      <c r="A724" t="s">
        <v>2762</v>
      </c>
      <c r="B724" t="s">
        <v>100</v>
      </c>
      <c r="D724" t="s">
        <v>2744</v>
      </c>
      <c r="E724" t="s">
        <v>2747</v>
      </c>
      <c r="F724" t="s">
        <v>3394</v>
      </c>
      <c r="G724" t="s">
        <v>2746</v>
      </c>
      <c r="H724" t="s">
        <v>3395</v>
      </c>
      <c r="I724" t="s">
        <v>3396</v>
      </c>
      <c r="J724" t="s">
        <v>3369</v>
      </c>
      <c r="K724" t="s">
        <v>1661</v>
      </c>
      <c r="L724" t="s">
        <v>3386</v>
      </c>
      <c r="M724" t="s">
        <v>3397</v>
      </c>
      <c r="N724" t="s">
        <v>3365</v>
      </c>
      <c r="O724" t="s">
        <v>3366</v>
      </c>
      <c r="P724" t="s">
        <v>3398</v>
      </c>
    </row>
    <row r="725" spans="1:16" x14ac:dyDescent="0.3">
      <c r="A725" t="s">
        <v>3406</v>
      </c>
      <c r="B725" t="s">
        <v>100</v>
      </c>
      <c r="D725" t="s">
        <v>2744</v>
      </c>
      <c r="E725" t="s">
        <v>2747</v>
      </c>
      <c r="F725" t="s">
        <v>3394</v>
      </c>
      <c r="G725" t="s">
        <v>2746</v>
      </c>
      <c r="H725" t="s">
        <v>3395</v>
      </c>
      <c r="I725" t="s">
        <v>3396</v>
      </c>
      <c r="J725" t="s">
        <v>3369</v>
      </c>
      <c r="K725" t="s">
        <v>1661</v>
      </c>
      <c r="L725" t="s">
        <v>3386</v>
      </c>
      <c r="M725" t="s">
        <v>3397</v>
      </c>
      <c r="N725" t="s">
        <v>3365</v>
      </c>
      <c r="O725" t="s">
        <v>3366</v>
      </c>
      <c r="P725" t="s">
        <v>3398</v>
      </c>
    </row>
    <row r="726" spans="1:16" x14ac:dyDescent="0.3">
      <c r="A726" t="s">
        <v>3407</v>
      </c>
      <c r="B726" t="s">
        <v>100</v>
      </c>
      <c r="D726" t="s">
        <v>2744</v>
      </c>
      <c r="E726" t="s">
        <v>2747</v>
      </c>
      <c r="F726" t="s">
        <v>3394</v>
      </c>
      <c r="G726" t="s">
        <v>2746</v>
      </c>
      <c r="H726" t="s">
        <v>3395</v>
      </c>
      <c r="I726" t="s">
        <v>3396</v>
      </c>
      <c r="J726" t="s">
        <v>3369</v>
      </c>
      <c r="K726" t="s">
        <v>1661</v>
      </c>
      <c r="L726" t="s">
        <v>3386</v>
      </c>
      <c r="M726" t="s">
        <v>3397</v>
      </c>
      <c r="N726" t="s">
        <v>3365</v>
      </c>
      <c r="O726" t="s">
        <v>3366</v>
      </c>
      <c r="P726" t="s">
        <v>3398</v>
      </c>
    </row>
    <row r="727" spans="1:16" x14ac:dyDescent="0.3">
      <c r="A727" t="s">
        <v>2743</v>
      </c>
      <c r="B727" t="s">
        <v>100</v>
      </c>
      <c r="D727" t="s">
        <v>2744</v>
      </c>
      <c r="E727" t="s">
        <v>2747</v>
      </c>
      <c r="F727" t="s">
        <v>3394</v>
      </c>
      <c r="G727" t="s">
        <v>2746</v>
      </c>
      <c r="H727" t="s">
        <v>3395</v>
      </c>
      <c r="I727" t="s">
        <v>3396</v>
      </c>
      <c r="J727" t="s">
        <v>3369</v>
      </c>
      <c r="K727" t="s">
        <v>1661</v>
      </c>
      <c r="L727" t="s">
        <v>3386</v>
      </c>
      <c r="M727" t="s">
        <v>3397</v>
      </c>
      <c r="N727" t="s">
        <v>3365</v>
      </c>
      <c r="O727" t="s">
        <v>3366</v>
      </c>
      <c r="P727" t="s">
        <v>3398</v>
      </c>
    </row>
    <row r="728" spans="1:16" x14ac:dyDescent="0.3">
      <c r="A728" t="s">
        <v>3408</v>
      </c>
      <c r="B728" t="s">
        <v>100</v>
      </c>
      <c r="D728" t="s">
        <v>2744</v>
      </c>
      <c r="E728" t="s">
        <v>2747</v>
      </c>
      <c r="F728" t="s">
        <v>3394</v>
      </c>
      <c r="G728" t="s">
        <v>2746</v>
      </c>
      <c r="H728" t="s">
        <v>3395</v>
      </c>
      <c r="I728" t="s">
        <v>3396</v>
      </c>
      <c r="J728" t="s">
        <v>3369</v>
      </c>
      <c r="K728" t="s">
        <v>1661</v>
      </c>
      <c r="L728" t="s">
        <v>3386</v>
      </c>
      <c r="M728" t="s">
        <v>3397</v>
      </c>
      <c r="N728" t="s">
        <v>3365</v>
      </c>
      <c r="O728" t="s">
        <v>3366</v>
      </c>
      <c r="P728" t="s">
        <v>3398</v>
      </c>
    </row>
    <row r="729" spans="1:16" x14ac:dyDescent="0.3">
      <c r="A729" t="s">
        <v>2754</v>
      </c>
      <c r="B729" t="s">
        <v>100</v>
      </c>
      <c r="D729" t="s">
        <v>2744</v>
      </c>
      <c r="E729" t="s">
        <v>2747</v>
      </c>
      <c r="F729" t="s">
        <v>3394</v>
      </c>
      <c r="G729" t="s">
        <v>2746</v>
      </c>
      <c r="H729" t="s">
        <v>3395</v>
      </c>
      <c r="I729" t="s">
        <v>3396</v>
      </c>
      <c r="J729" t="s">
        <v>3369</v>
      </c>
      <c r="K729" t="s">
        <v>1661</v>
      </c>
      <c r="L729" t="s">
        <v>3386</v>
      </c>
      <c r="M729" t="s">
        <v>3397</v>
      </c>
      <c r="N729" t="s">
        <v>3365</v>
      </c>
      <c r="O729" t="s">
        <v>3366</v>
      </c>
      <c r="P729" t="s">
        <v>3398</v>
      </c>
    </row>
    <row r="730" spans="1:16" x14ac:dyDescent="0.3">
      <c r="A730" t="s">
        <v>3409</v>
      </c>
      <c r="B730" t="s">
        <v>100</v>
      </c>
      <c r="D730" t="s">
        <v>2744</v>
      </c>
      <c r="E730" t="s">
        <v>2747</v>
      </c>
      <c r="F730" t="s">
        <v>3394</v>
      </c>
      <c r="G730" t="s">
        <v>2746</v>
      </c>
      <c r="H730" t="s">
        <v>3395</v>
      </c>
      <c r="I730" t="s">
        <v>3396</v>
      </c>
      <c r="J730" t="s">
        <v>3369</v>
      </c>
      <c r="K730" t="s">
        <v>1661</v>
      </c>
      <c r="L730" t="s">
        <v>3386</v>
      </c>
      <c r="M730" t="s">
        <v>3397</v>
      </c>
      <c r="N730" t="s">
        <v>3365</v>
      </c>
      <c r="O730" t="s">
        <v>3366</v>
      </c>
      <c r="P730" t="s">
        <v>3398</v>
      </c>
    </row>
    <row r="731" spans="1:16" x14ac:dyDescent="0.3">
      <c r="A731" t="s">
        <v>3410</v>
      </c>
      <c r="B731" t="s">
        <v>100</v>
      </c>
      <c r="D731" t="s">
        <v>2744</v>
      </c>
      <c r="E731" t="s">
        <v>2747</v>
      </c>
      <c r="F731" t="s">
        <v>3394</v>
      </c>
      <c r="G731" t="s">
        <v>2746</v>
      </c>
      <c r="H731" t="s">
        <v>3395</v>
      </c>
      <c r="I731" t="s">
        <v>3396</v>
      </c>
      <c r="J731" t="s">
        <v>3369</v>
      </c>
      <c r="K731" t="s">
        <v>1661</v>
      </c>
      <c r="L731" t="s">
        <v>3386</v>
      </c>
      <c r="M731" t="s">
        <v>3397</v>
      </c>
      <c r="N731" t="s">
        <v>3365</v>
      </c>
      <c r="O731" t="s">
        <v>3366</v>
      </c>
      <c r="P731" t="s">
        <v>3398</v>
      </c>
    </row>
    <row r="732" spans="1:16" x14ac:dyDescent="0.3">
      <c r="A732" t="s">
        <v>3411</v>
      </c>
      <c r="B732" t="s">
        <v>100</v>
      </c>
      <c r="D732" t="s">
        <v>2744</v>
      </c>
      <c r="E732" t="s">
        <v>2747</v>
      </c>
      <c r="F732" t="s">
        <v>3394</v>
      </c>
      <c r="G732" t="s">
        <v>2746</v>
      </c>
      <c r="H732" t="s">
        <v>3395</v>
      </c>
      <c r="I732" t="s">
        <v>3396</v>
      </c>
      <c r="J732" t="s">
        <v>3369</v>
      </c>
      <c r="K732" t="s">
        <v>1661</v>
      </c>
      <c r="L732" t="s">
        <v>3386</v>
      </c>
      <c r="M732" t="s">
        <v>3397</v>
      </c>
      <c r="N732" t="s">
        <v>3365</v>
      </c>
      <c r="O732" t="s">
        <v>3366</v>
      </c>
      <c r="P732" t="s">
        <v>3398</v>
      </c>
    </row>
    <row r="733" spans="1:16" x14ac:dyDescent="0.3">
      <c r="A733" t="s">
        <v>3412</v>
      </c>
      <c r="B733" t="s">
        <v>100</v>
      </c>
      <c r="D733" t="s">
        <v>2744</v>
      </c>
      <c r="E733" t="s">
        <v>2747</v>
      </c>
      <c r="F733" t="s">
        <v>3394</v>
      </c>
      <c r="G733" t="s">
        <v>2746</v>
      </c>
      <c r="H733" t="s">
        <v>3395</v>
      </c>
      <c r="I733" t="s">
        <v>3396</v>
      </c>
      <c r="J733" t="s">
        <v>3369</v>
      </c>
      <c r="K733" t="s">
        <v>1661</v>
      </c>
      <c r="L733" t="s">
        <v>3386</v>
      </c>
      <c r="M733" t="s">
        <v>3397</v>
      </c>
      <c r="N733" t="s">
        <v>3365</v>
      </c>
      <c r="O733" t="s">
        <v>3366</v>
      </c>
      <c r="P733" t="s">
        <v>3398</v>
      </c>
    </row>
    <row r="734" spans="1:16" x14ac:dyDescent="0.3">
      <c r="A734" t="s">
        <v>2763</v>
      </c>
      <c r="B734" t="s">
        <v>100</v>
      </c>
      <c r="D734" t="s">
        <v>2744</v>
      </c>
      <c r="E734" t="s">
        <v>2747</v>
      </c>
      <c r="F734" t="s">
        <v>3394</v>
      </c>
      <c r="G734" t="s">
        <v>2746</v>
      </c>
      <c r="H734" t="s">
        <v>2745</v>
      </c>
      <c r="I734" t="s">
        <v>3396</v>
      </c>
      <c r="J734" t="s">
        <v>3369</v>
      </c>
      <c r="K734" t="s">
        <v>1661</v>
      </c>
      <c r="L734" t="s">
        <v>3386</v>
      </c>
      <c r="M734" t="s">
        <v>3397</v>
      </c>
      <c r="N734" t="s">
        <v>3365</v>
      </c>
      <c r="O734" t="s">
        <v>3366</v>
      </c>
      <c r="P734" t="s">
        <v>3398</v>
      </c>
    </row>
    <row r="735" spans="1:16" x14ac:dyDescent="0.3">
      <c r="A735" t="s">
        <v>2764</v>
      </c>
      <c r="B735" t="s">
        <v>100</v>
      </c>
      <c r="D735" t="s">
        <v>2744</v>
      </c>
      <c r="E735" t="s">
        <v>2747</v>
      </c>
      <c r="F735" t="s">
        <v>3394</v>
      </c>
      <c r="G735" t="s">
        <v>2746</v>
      </c>
      <c r="H735" t="s">
        <v>2745</v>
      </c>
      <c r="I735" t="s">
        <v>3396</v>
      </c>
      <c r="J735" t="s">
        <v>3369</v>
      </c>
      <c r="K735" t="s">
        <v>1661</v>
      </c>
      <c r="L735" t="s">
        <v>3386</v>
      </c>
      <c r="M735" t="s">
        <v>3397</v>
      </c>
      <c r="N735" t="s">
        <v>3365</v>
      </c>
      <c r="O735" t="s">
        <v>3366</v>
      </c>
      <c r="P735" t="s">
        <v>3398</v>
      </c>
    </row>
    <row r="736" spans="1:16" x14ac:dyDescent="0.3">
      <c r="A736" t="s">
        <v>2765</v>
      </c>
      <c r="B736" t="s">
        <v>100</v>
      </c>
      <c r="D736" t="s">
        <v>2744</v>
      </c>
      <c r="E736" t="s">
        <v>2747</v>
      </c>
      <c r="F736" t="s">
        <v>3394</v>
      </c>
      <c r="G736" t="s">
        <v>2746</v>
      </c>
      <c r="H736" t="s">
        <v>2745</v>
      </c>
      <c r="I736" t="s">
        <v>3396</v>
      </c>
      <c r="J736" t="s">
        <v>3369</v>
      </c>
      <c r="K736" t="s">
        <v>1661</v>
      </c>
      <c r="L736" t="s">
        <v>3386</v>
      </c>
      <c r="M736" t="s">
        <v>3397</v>
      </c>
      <c r="N736" t="s">
        <v>3365</v>
      </c>
      <c r="O736" t="s">
        <v>3366</v>
      </c>
      <c r="P736" t="s">
        <v>3398</v>
      </c>
    </row>
    <row r="737" spans="1:16" x14ac:dyDescent="0.3">
      <c r="A737" t="s">
        <v>2766</v>
      </c>
      <c r="B737" t="s">
        <v>100</v>
      </c>
      <c r="D737" t="s">
        <v>2744</v>
      </c>
      <c r="E737" t="s">
        <v>2747</v>
      </c>
      <c r="F737" t="s">
        <v>3394</v>
      </c>
      <c r="G737" t="s">
        <v>2746</v>
      </c>
      <c r="H737" t="s">
        <v>2745</v>
      </c>
      <c r="I737" t="s">
        <v>3396</v>
      </c>
      <c r="J737" t="s">
        <v>3369</v>
      </c>
      <c r="K737" t="s">
        <v>1661</v>
      </c>
      <c r="L737" t="s">
        <v>3386</v>
      </c>
      <c r="M737" t="s">
        <v>3397</v>
      </c>
      <c r="N737" t="s">
        <v>3365</v>
      </c>
      <c r="O737" t="s">
        <v>3366</v>
      </c>
      <c r="P737" t="s">
        <v>3398</v>
      </c>
    </row>
    <row r="738" spans="1:16" x14ac:dyDescent="0.3">
      <c r="A738" t="s">
        <v>2767</v>
      </c>
      <c r="B738" t="s">
        <v>100</v>
      </c>
      <c r="D738" t="s">
        <v>2744</v>
      </c>
      <c r="E738" t="s">
        <v>2747</v>
      </c>
      <c r="F738" t="s">
        <v>3394</v>
      </c>
      <c r="G738" t="s">
        <v>2746</v>
      </c>
      <c r="H738" t="s">
        <v>2745</v>
      </c>
      <c r="I738" t="s">
        <v>3396</v>
      </c>
      <c r="J738" t="s">
        <v>3369</v>
      </c>
      <c r="K738" t="s">
        <v>1661</v>
      </c>
      <c r="L738" t="s">
        <v>3386</v>
      </c>
      <c r="M738" t="s">
        <v>3397</v>
      </c>
      <c r="N738" t="s">
        <v>3365</v>
      </c>
      <c r="O738" t="s">
        <v>3366</v>
      </c>
      <c r="P738" t="s">
        <v>3398</v>
      </c>
    </row>
    <row r="739" spans="1:16" x14ac:dyDescent="0.3">
      <c r="A739" t="s">
        <v>2768</v>
      </c>
      <c r="B739" t="s">
        <v>100</v>
      </c>
      <c r="D739" t="s">
        <v>2744</v>
      </c>
      <c r="E739" t="s">
        <v>2747</v>
      </c>
      <c r="F739" t="s">
        <v>3394</v>
      </c>
      <c r="G739" t="s">
        <v>2746</v>
      </c>
      <c r="H739" t="s">
        <v>2745</v>
      </c>
      <c r="I739" t="s">
        <v>3396</v>
      </c>
      <c r="J739" t="s">
        <v>3369</v>
      </c>
      <c r="K739" t="s">
        <v>1661</v>
      </c>
      <c r="L739" t="s">
        <v>3386</v>
      </c>
      <c r="M739" t="s">
        <v>3397</v>
      </c>
      <c r="N739" t="s">
        <v>3365</v>
      </c>
      <c r="O739" t="s">
        <v>3366</v>
      </c>
      <c r="P739" t="s">
        <v>3398</v>
      </c>
    </row>
    <row r="740" spans="1:16" x14ac:dyDescent="0.3">
      <c r="A740" t="s">
        <v>2769</v>
      </c>
      <c r="B740" t="s">
        <v>100</v>
      </c>
      <c r="D740" t="s">
        <v>2744</v>
      </c>
      <c r="E740" t="s">
        <v>2747</v>
      </c>
      <c r="F740" t="s">
        <v>3394</v>
      </c>
      <c r="G740" t="s">
        <v>2746</v>
      </c>
      <c r="H740" t="s">
        <v>2745</v>
      </c>
      <c r="I740" t="s">
        <v>3396</v>
      </c>
      <c r="J740" t="s">
        <v>3369</v>
      </c>
      <c r="K740" t="s">
        <v>1661</v>
      </c>
      <c r="L740" t="s">
        <v>3386</v>
      </c>
      <c r="M740" t="s">
        <v>3397</v>
      </c>
      <c r="N740" t="s">
        <v>3365</v>
      </c>
      <c r="O740" t="s">
        <v>3366</v>
      </c>
      <c r="P740" t="s">
        <v>3398</v>
      </c>
    </row>
    <row r="741" spans="1:16" x14ac:dyDescent="0.3">
      <c r="A741" t="s">
        <v>2770</v>
      </c>
      <c r="B741" t="s">
        <v>100</v>
      </c>
      <c r="D741" t="s">
        <v>2744</v>
      </c>
      <c r="E741" t="s">
        <v>2747</v>
      </c>
      <c r="F741" t="s">
        <v>3394</v>
      </c>
      <c r="G741" t="s">
        <v>2746</v>
      </c>
      <c r="H741" t="s">
        <v>2745</v>
      </c>
      <c r="I741" t="s">
        <v>3396</v>
      </c>
      <c r="J741" t="s">
        <v>3369</v>
      </c>
      <c r="K741" t="s">
        <v>1661</v>
      </c>
      <c r="L741" t="s">
        <v>3386</v>
      </c>
      <c r="M741" t="s">
        <v>3397</v>
      </c>
      <c r="N741" t="s">
        <v>3365</v>
      </c>
      <c r="O741" t="s">
        <v>3366</v>
      </c>
      <c r="P741" t="s">
        <v>3398</v>
      </c>
    </row>
    <row r="742" spans="1:16" x14ac:dyDescent="0.3">
      <c r="A742" t="s">
        <v>2771</v>
      </c>
      <c r="B742" t="s">
        <v>100</v>
      </c>
      <c r="D742" t="s">
        <v>2744</v>
      </c>
      <c r="E742" t="s">
        <v>2747</v>
      </c>
      <c r="F742" t="s">
        <v>3394</v>
      </c>
      <c r="G742" t="s">
        <v>2746</v>
      </c>
      <c r="H742" t="s">
        <v>2745</v>
      </c>
      <c r="I742" t="s">
        <v>3396</v>
      </c>
      <c r="J742" t="s">
        <v>3369</v>
      </c>
      <c r="K742" t="s">
        <v>1661</v>
      </c>
      <c r="L742" t="s">
        <v>3386</v>
      </c>
      <c r="M742" t="s">
        <v>3397</v>
      </c>
      <c r="N742" t="s">
        <v>3365</v>
      </c>
      <c r="O742" t="s">
        <v>3366</v>
      </c>
      <c r="P742" t="s">
        <v>3398</v>
      </c>
    </row>
    <row r="743" spans="1:16" x14ac:dyDescent="0.3">
      <c r="A743" t="s">
        <v>2772</v>
      </c>
      <c r="B743" t="s">
        <v>100</v>
      </c>
      <c r="D743" t="s">
        <v>2744</v>
      </c>
      <c r="E743" t="s">
        <v>2747</v>
      </c>
      <c r="F743" t="s">
        <v>3394</v>
      </c>
      <c r="G743" t="s">
        <v>2746</v>
      </c>
      <c r="H743" t="s">
        <v>2745</v>
      </c>
      <c r="I743" t="s">
        <v>3396</v>
      </c>
      <c r="J743" t="s">
        <v>3369</v>
      </c>
      <c r="K743" t="s">
        <v>1661</v>
      </c>
      <c r="L743" t="s">
        <v>3386</v>
      </c>
      <c r="M743" t="s">
        <v>3397</v>
      </c>
      <c r="N743" t="s">
        <v>3365</v>
      </c>
      <c r="O743" t="s">
        <v>3366</v>
      </c>
      <c r="P743" t="s">
        <v>3398</v>
      </c>
    </row>
    <row r="744" spans="1:16" x14ac:dyDescent="0.3">
      <c r="A744" t="s">
        <v>2773</v>
      </c>
      <c r="B744" t="s">
        <v>100</v>
      </c>
      <c r="D744" t="s">
        <v>2744</v>
      </c>
      <c r="E744" t="s">
        <v>2747</v>
      </c>
      <c r="F744" t="s">
        <v>3394</v>
      </c>
      <c r="G744" t="s">
        <v>2746</v>
      </c>
      <c r="H744" t="s">
        <v>2745</v>
      </c>
      <c r="I744" t="s">
        <v>3396</v>
      </c>
      <c r="J744" t="s">
        <v>3369</v>
      </c>
      <c r="K744" t="s">
        <v>1661</v>
      </c>
      <c r="L744" t="s">
        <v>3386</v>
      </c>
      <c r="M744" t="s">
        <v>3397</v>
      </c>
      <c r="N744" t="s">
        <v>3365</v>
      </c>
      <c r="O744" t="s">
        <v>3366</v>
      </c>
      <c r="P744" t="s">
        <v>3398</v>
      </c>
    </row>
    <row r="745" spans="1:16" x14ac:dyDescent="0.3">
      <c r="A745" t="s">
        <v>2774</v>
      </c>
      <c r="B745" t="s">
        <v>100</v>
      </c>
      <c r="D745" t="s">
        <v>2744</v>
      </c>
      <c r="E745" t="s">
        <v>2747</v>
      </c>
      <c r="F745" t="s">
        <v>3394</v>
      </c>
      <c r="G745" t="s">
        <v>2746</v>
      </c>
      <c r="H745" t="s">
        <v>2745</v>
      </c>
      <c r="I745" t="s">
        <v>3396</v>
      </c>
      <c r="J745" t="s">
        <v>3369</v>
      </c>
      <c r="K745" t="s">
        <v>1661</v>
      </c>
      <c r="L745" t="s">
        <v>3386</v>
      </c>
      <c r="M745" t="s">
        <v>3397</v>
      </c>
      <c r="N745" t="s">
        <v>3365</v>
      </c>
      <c r="O745" t="s">
        <v>3366</v>
      </c>
      <c r="P745" t="s">
        <v>3398</v>
      </c>
    </row>
    <row r="746" spans="1:16" x14ac:dyDescent="0.3">
      <c r="A746" t="s">
        <v>2775</v>
      </c>
      <c r="B746" t="s">
        <v>100</v>
      </c>
      <c r="D746" t="s">
        <v>2744</v>
      </c>
      <c r="E746" t="s">
        <v>2747</v>
      </c>
      <c r="F746" t="s">
        <v>3394</v>
      </c>
      <c r="G746" t="s">
        <v>2746</v>
      </c>
      <c r="H746" t="s">
        <v>2745</v>
      </c>
      <c r="I746" t="s">
        <v>3396</v>
      </c>
      <c r="J746" t="s">
        <v>3369</v>
      </c>
      <c r="K746" t="s">
        <v>1661</v>
      </c>
      <c r="L746" t="s">
        <v>3386</v>
      </c>
      <c r="M746" t="s">
        <v>3397</v>
      </c>
      <c r="N746" t="s">
        <v>3365</v>
      </c>
      <c r="O746" t="s">
        <v>3366</v>
      </c>
      <c r="P746" t="s">
        <v>3398</v>
      </c>
    </row>
    <row r="747" spans="1:16" x14ac:dyDescent="0.3">
      <c r="A747" t="s">
        <v>2776</v>
      </c>
      <c r="B747" t="s">
        <v>100</v>
      </c>
      <c r="D747" t="s">
        <v>2744</v>
      </c>
      <c r="E747" t="s">
        <v>2747</v>
      </c>
      <c r="F747" t="s">
        <v>3394</v>
      </c>
      <c r="G747" t="s">
        <v>2746</v>
      </c>
      <c r="H747" t="s">
        <v>2745</v>
      </c>
      <c r="I747" t="s">
        <v>3396</v>
      </c>
      <c r="J747" t="s">
        <v>3369</v>
      </c>
      <c r="K747" t="s">
        <v>1661</v>
      </c>
      <c r="L747" t="s">
        <v>3386</v>
      </c>
      <c r="M747" t="s">
        <v>3397</v>
      </c>
      <c r="N747" t="s">
        <v>3365</v>
      </c>
      <c r="O747" t="s">
        <v>3366</v>
      </c>
      <c r="P747" t="s">
        <v>3398</v>
      </c>
    </row>
    <row r="748" spans="1:16" x14ac:dyDescent="0.3">
      <c r="A748" t="s">
        <v>2777</v>
      </c>
      <c r="B748" t="s">
        <v>100</v>
      </c>
      <c r="D748" t="s">
        <v>2744</v>
      </c>
      <c r="E748" t="s">
        <v>2747</v>
      </c>
      <c r="F748" t="s">
        <v>3394</v>
      </c>
      <c r="G748" t="s">
        <v>2746</v>
      </c>
      <c r="H748" t="s">
        <v>2745</v>
      </c>
      <c r="I748" t="s">
        <v>3396</v>
      </c>
      <c r="J748" t="s">
        <v>3369</v>
      </c>
      <c r="K748" t="s">
        <v>1661</v>
      </c>
      <c r="L748" t="s">
        <v>3386</v>
      </c>
      <c r="M748" t="s">
        <v>3397</v>
      </c>
      <c r="N748" t="s">
        <v>3365</v>
      </c>
      <c r="O748" t="s">
        <v>3366</v>
      </c>
      <c r="P748" t="s">
        <v>3398</v>
      </c>
    </row>
    <row r="749" spans="1:16" x14ac:dyDescent="0.3">
      <c r="A749" t="s">
        <v>2778</v>
      </c>
      <c r="B749" t="s">
        <v>100</v>
      </c>
      <c r="D749" t="s">
        <v>2744</v>
      </c>
      <c r="E749" t="s">
        <v>2747</v>
      </c>
      <c r="F749" t="s">
        <v>3394</v>
      </c>
      <c r="G749" t="s">
        <v>2746</v>
      </c>
      <c r="H749" t="s">
        <v>2745</v>
      </c>
      <c r="I749" t="s">
        <v>3396</v>
      </c>
      <c r="J749" t="s">
        <v>3369</v>
      </c>
      <c r="K749" t="s">
        <v>1661</v>
      </c>
      <c r="L749" t="s">
        <v>3386</v>
      </c>
      <c r="M749" t="s">
        <v>3397</v>
      </c>
      <c r="N749" t="s">
        <v>3365</v>
      </c>
      <c r="O749" t="s">
        <v>3366</v>
      </c>
      <c r="P749" t="s">
        <v>3398</v>
      </c>
    </row>
    <row r="750" spans="1:16" x14ac:dyDescent="0.3">
      <c r="A750" t="s">
        <v>2779</v>
      </c>
      <c r="B750" t="s">
        <v>100</v>
      </c>
      <c r="D750" t="s">
        <v>2744</v>
      </c>
      <c r="E750" t="s">
        <v>2747</v>
      </c>
      <c r="F750" t="s">
        <v>3394</v>
      </c>
      <c r="G750" t="s">
        <v>2746</v>
      </c>
      <c r="H750" t="s">
        <v>2745</v>
      </c>
      <c r="I750" t="s">
        <v>3396</v>
      </c>
      <c r="J750" t="s">
        <v>3369</v>
      </c>
      <c r="K750" t="s">
        <v>1661</v>
      </c>
      <c r="L750" t="s">
        <v>3386</v>
      </c>
      <c r="M750" t="s">
        <v>3397</v>
      </c>
      <c r="N750" t="s">
        <v>3365</v>
      </c>
      <c r="O750" t="s">
        <v>3366</v>
      </c>
      <c r="P750" t="s">
        <v>3398</v>
      </c>
    </row>
    <row r="751" spans="1:16" x14ac:dyDescent="0.3">
      <c r="A751" t="s">
        <v>2780</v>
      </c>
      <c r="B751" t="s">
        <v>100</v>
      </c>
      <c r="D751" t="s">
        <v>2744</v>
      </c>
      <c r="E751" t="s">
        <v>2747</v>
      </c>
      <c r="F751" t="s">
        <v>3394</v>
      </c>
      <c r="G751" t="s">
        <v>2746</v>
      </c>
      <c r="H751" t="s">
        <v>2745</v>
      </c>
      <c r="I751" t="s">
        <v>3396</v>
      </c>
      <c r="J751" t="s">
        <v>3369</v>
      </c>
      <c r="K751" t="s">
        <v>1661</v>
      </c>
      <c r="L751" t="s">
        <v>3386</v>
      </c>
      <c r="M751" t="s">
        <v>3397</v>
      </c>
      <c r="N751" t="s">
        <v>3365</v>
      </c>
      <c r="O751" t="s">
        <v>3366</v>
      </c>
      <c r="P751" t="s">
        <v>3398</v>
      </c>
    </row>
    <row r="752" spans="1:16" x14ac:dyDescent="0.3">
      <c r="A752" t="s">
        <v>2781</v>
      </c>
      <c r="B752" t="s">
        <v>100</v>
      </c>
      <c r="D752" t="s">
        <v>2744</v>
      </c>
      <c r="E752" t="s">
        <v>2747</v>
      </c>
      <c r="F752" t="s">
        <v>3394</v>
      </c>
      <c r="G752" t="s">
        <v>2746</v>
      </c>
      <c r="H752" t="s">
        <v>2745</v>
      </c>
      <c r="I752" t="s">
        <v>3396</v>
      </c>
      <c r="J752" t="s">
        <v>3369</v>
      </c>
      <c r="K752" t="s">
        <v>1661</v>
      </c>
      <c r="L752" t="s">
        <v>3386</v>
      </c>
      <c r="M752" t="s">
        <v>3397</v>
      </c>
      <c r="N752" t="s">
        <v>3365</v>
      </c>
      <c r="O752" t="s">
        <v>3366</v>
      </c>
      <c r="P752" t="s">
        <v>3398</v>
      </c>
    </row>
    <row r="753" spans="1:16" x14ac:dyDescent="0.3">
      <c r="A753" t="s">
        <v>2782</v>
      </c>
      <c r="B753" t="s">
        <v>100</v>
      </c>
      <c r="D753" t="s">
        <v>2744</v>
      </c>
      <c r="E753" t="s">
        <v>2747</v>
      </c>
      <c r="F753" t="s">
        <v>3394</v>
      </c>
      <c r="G753" t="s">
        <v>2746</v>
      </c>
      <c r="H753" t="s">
        <v>2745</v>
      </c>
      <c r="I753" t="s">
        <v>3396</v>
      </c>
      <c r="J753" t="s">
        <v>3369</v>
      </c>
      <c r="K753" t="s">
        <v>1661</v>
      </c>
      <c r="L753" t="s">
        <v>3386</v>
      </c>
      <c r="M753" t="s">
        <v>3397</v>
      </c>
      <c r="N753" t="s">
        <v>3365</v>
      </c>
      <c r="O753" t="s">
        <v>3366</v>
      </c>
      <c r="P753" t="s">
        <v>3398</v>
      </c>
    </row>
    <row r="754" spans="1:16" x14ac:dyDescent="0.3">
      <c r="A754" t="s">
        <v>2783</v>
      </c>
      <c r="B754" t="s">
        <v>100</v>
      </c>
      <c r="D754" t="s">
        <v>2744</v>
      </c>
      <c r="E754" t="s">
        <v>2747</v>
      </c>
      <c r="F754" t="s">
        <v>3394</v>
      </c>
      <c r="G754" t="s">
        <v>2746</v>
      </c>
      <c r="H754" t="s">
        <v>2745</v>
      </c>
      <c r="I754" t="s">
        <v>3396</v>
      </c>
      <c r="J754" t="s">
        <v>3369</v>
      </c>
      <c r="K754" t="s">
        <v>1661</v>
      </c>
      <c r="L754" t="s">
        <v>3386</v>
      </c>
      <c r="M754" t="s">
        <v>3397</v>
      </c>
      <c r="N754" t="s">
        <v>3365</v>
      </c>
      <c r="O754" t="s">
        <v>3366</v>
      </c>
      <c r="P754" t="s">
        <v>3398</v>
      </c>
    </row>
    <row r="755" spans="1:16" x14ac:dyDescent="0.3">
      <c r="A755" t="s">
        <v>2784</v>
      </c>
      <c r="B755" t="s">
        <v>100</v>
      </c>
      <c r="D755" t="s">
        <v>2744</v>
      </c>
      <c r="E755" t="s">
        <v>2747</v>
      </c>
      <c r="F755" t="s">
        <v>3394</v>
      </c>
      <c r="G755" t="s">
        <v>2746</v>
      </c>
      <c r="H755" t="s">
        <v>2745</v>
      </c>
      <c r="I755" t="s">
        <v>3396</v>
      </c>
      <c r="J755" t="s">
        <v>3369</v>
      </c>
      <c r="K755" t="s">
        <v>1661</v>
      </c>
      <c r="L755" t="s">
        <v>3386</v>
      </c>
      <c r="M755" t="s">
        <v>3397</v>
      </c>
      <c r="N755" t="s">
        <v>3365</v>
      </c>
      <c r="O755" t="s">
        <v>3366</v>
      </c>
      <c r="P755" t="s">
        <v>3398</v>
      </c>
    </row>
    <row r="756" spans="1:16" x14ac:dyDescent="0.3">
      <c r="A756" t="s">
        <v>2785</v>
      </c>
      <c r="B756" t="s">
        <v>100</v>
      </c>
      <c r="D756" t="s">
        <v>2744</v>
      </c>
      <c r="E756" t="s">
        <v>2747</v>
      </c>
      <c r="F756" t="s">
        <v>3394</v>
      </c>
      <c r="G756" t="s">
        <v>2746</v>
      </c>
      <c r="H756" t="s">
        <v>2745</v>
      </c>
      <c r="I756" t="s">
        <v>3396</v>
      </c>
      <c r="J756" t="s">
        <v>3369</v>
      </c>
      <c r="K756" t="s">
        <v>1661</v>
      </c>
      <c r="L756" t="s">
        <v>3386</v>
      </c>
      <c r="M756" t="s">
        <v>3397</v>
      </c>
      <c r="N756" t="s">
        <v>3365</v>
      </c>
      <c r="O756" t="s">
        <v>3366</v>
      </c>
      <c r="P756" t="s">
        <v>3398</v>
      </c>
    </row>
    <row r="757" spans="1:16" x14ac:dyDescent="0.3">
      <c r="A757" t="s">
        <v>2786</v>
      </c>
      <c r="B757" t="s">
        <v>100</v>
      </c>
      <c r="D757" t="s">
        <v>2744</v>
      </c>
      <c r="E757" t="s">
        <v>2747</v>
      </c>
      <c r="F757" t="s">
        <v>3394</v>
      </c>
      <c r="G757" t="s">
        <v>2746</v>
      </c>
      <c r="H757" t="s">
        <v>2745</v>
      </c>
      <c r="I757" t="s">
        <v>3396</v>
      </c>
      <c r="J757" t="s">
        <v>3369</v>
      </c>
      <c r="K757" t="s">
        <v>1661</v>
      </c>
      <c r="L757" t="s">
        <v>3386</v>
      </c>
      <c r="M757" t="s">
        <v>3397</v>
      </c>
      <c r="N757" t="s">
        <v>3365</v>
      </c>
      <c r="O757" t="s">
        <v>3366</v>
      </c>
      <c r="P757" t="s">
        <v>3398</v>
      </c>
    </row>
    <row r="758" spans="1:16" x14ac:dyDescent="0.3">
      <c r="A758" t="s">
        <v>2787</v>
      </c>
      <c r="B758" t="s">
        <v>100</v>
      </c>
      <c r="D758" t="s">
        <v>2744</v>
      </c>
      <c r="E758" t="s">
        <v>2747</v>
      </c>
      <c r="F758" t="s">
        <v>3394</v>
      </c>
      <c r="G758" t="s">
        <v>2746</v>
      </c>
      <c r="H758" t="s">
        <v>2745</v>
      </c>
      <c r="I758" t="s">
        <v>3396</v>
      </c>
      <c r="J758" t="s">
        <v>3369</v>
      </c>
      <c r="K758" t="s">
        <v>1661</v>
      </c>
      <c r="L758" t="s">
        <v>3386</v>
      </c>
      <c r="M758" t="s">
        <v>3397</v>
      </c>
      <c r="N758" t="s">
        <v>3365</v>
      </c>
      <c r="O758" t="s">
        <v>3366</v>
      </c>
      <c r="P758" t="s">
        <v>3398</v>
      </c>
    </row>
    <row r="759" spans="1:16" x14ac:dyDescent="0.3">
      <c r="A759" t="s">
        <v>2788</v>
      </c>
      <c r="B759" t="s">
        <v>100</v>
      </c>
      <c r="D759" t="s">
        <v>2744</v>
      </c>
      <c r="E759" t="s">
        <v>2747</v>
      </c>
      <c r="F759" t="s">
        <v>3394</v>
      </c>
      <c r="G759" t="s">
        <v>2746</v>
      </c>
      <c r="H759" t="s">
        <v>2745</v>
      </c>
      <c r="I759" t="s">
        <v>3396</v>
      </c>
      <c r="J759" t="s">
        <v>3369</v>
      </c>
      <c r="K759" t="s">
        <v>1661</v>
      </c>
      <c r="L759" t="s">
        <v>3386</v>
      </c>
      <c r="M759" t="s">
        <v>3397</v>
      </c>
      <c r="N759" t="s">
        <v>3365</v>
      </c>
      <c r="O759" t="s">
        <v>3366</v>
      </c>
      <c r="P759" t="s">
        <v>3398</v>
      </c>
    </row>
    <row r="760" spans="1:16" x14ac:dyDescent="0.3">
      <c r="A760" t="s">
        <v>2789</v>
      </c>
      <c r="B760" t="s">
        <v>100</v>
      </c>
      <c r="D760" t="s">
        <v>2744</v>
      </c>
      <c r="E760" t="s">
        <v>2747</v>
      </c>
      <c r="F760" t="s">
        <v>3394</v>
      </c>
      <c r="G760" t="s">
        <v>2746</v>
      </c>
      <c r="H760" t="s">
        <v>2745</v>
      </c>
      <c r="I760" t="s">
        <v>3396</v>
      </c>
      <c r="J760" t="s">
        <v>3369</v>
      </c>
      <c r="K760" t="s">
        <v>1661</v>
      </c>
      <c r="L760" t="s">
        <v>3386</v>
      </c>
      <c r="M760" t="s">
        <v>3397</v>
      </c>
      <c r="N760" t="s">
        <v>3365</v>
      </c>
      <c r="O760" t="s">
        <v>3366</v>
      </c>
      <c r="P760" t="s">
        <v>3398</v>
      </c>
    </row>
    <row r="761" spans="1:16" x14ac:dyDescent="0.3">
      <c r="A761" t="s">
        <v>2790</v>
      </c>
      <c r="B761" t="s">
        <v>100</v>
      </c>
      <c r="D761" t="s">
        <v>2744</v>
      </c>
      <c r="E761" t="s">
        <v>2747</v>
      </c>
      <c r="F761" t="s">
        <v>3394</v>
      </c>
      <c r="G761" t="s">
        <v>2746</v>
      </c>
      <c r="H761" t="s">
        <v>2745</v>
      </c>
      <c r="I761" t="s">
        <v>3396</v>
      </c>
      <c r="J761" t="s">
        <v>3369</v>
      </c>
      <c r="K761" t="s">
        <v>1661</v>
      </c>
      <c r="L761" t="s">
        <v>3386</v>
      </c>
      <c r="M761" t="s">
        <v>3397</v>
      </c>
      <c r="N761" t="s">
        <v>3365</v>
      </c>
      <c r="O761" t="s">
        <v>3366</v>
      </c>
      <c r="P761" t="s">
        <v>3398</v>
      </c>
    </row>
    <row r="762" spans="1:16" x14ac:dyDescent="0.3">
      <c r="A762" t="s">
        <v>2791</v>
      </c>
      <c r="B762" t="s">
        <v>100</v>
      </c>
      <c r="D762" t="s">
        <v>2744</v>
      </c>
      <c r="E762" t="s">
        <v>2747</v>
      </c>
      <c r="F762" t="s">
        <v>3394</v>
      </c>
      <c r="G762" t="s">
        <v>2746</v>
      </c>
      <c r="H762" t="s">
        <v>2745</v>
      </c>
      <c r="I762" t="s">
        <v>3396</v>
      </c>
      <c r="J762" t="s">
        <v>3369</v>
      </c>
      <c r="K762" t="s">
        <v>1661</v>
      </c>
      <c r="L762" t="s">
        <v>3386</v>
      </c>
      <c r="M762" t="s">
        <v>3397</v>
      </c>
      <c r="N762" t="s">
        <v>3365</v>
      </c>
      <c r="O762" t="s">
        <v>3366</v>
      </c>
      <c r="P762" t="s">
        <v>3398</v>
      </c>
    </row>
    <row r="763" spans="1:16" x14ac:dyDescent="0.3">
      <c r="A763" t="s">
        <v>2792</v>
      </c>
      <c r="B763" t="s">
        <v>100</v>
      </c>
      <c r="D763" t="s">
        <v>2744</v>
      </c>
      <c r="E763" t="s">
        <v>2747</v>
      </c>
      <c r="F763" t="s">
        <v>3394</v>
      </c>
      <c r="G763" t="s">
        <v>2746</v>
      </c>
      <c r="H763" t="s">
        <v>2745</v>
      </c>
      <c r="I763" t="s">
        <v>3396</v>
      </c>
      <c r="J763" t="s">
        <v>3369</v>
      </c>
      <c r="K763" t="s">
        <v>1661</v>
      </c>
      <c r="L763" t="s">
        <v>3386</v>
      </c>
      <c r="M763" t="s">
        <v>3397</v>
      </c>
      <c r="N763" t="s">
        <v>3365</v>
      </c>
      <c r="O763" t="s">
        <v>3366</v>
      </c>
      <c r="P763" t="s">
        <v>3398</v>
      </c>
    </row>
    <row r="764" spans="1:16" x14ac:dyDescent="0.3">
      <c r="A764" t="s">
        <v>2793</v>
      </c>
      <c r="B764" t="s">
        <v>100</v>
      </c>
      <c r="D764" t="s">
        <v>2744</v>
      </c>
      <c r="E764" t="s">
        <v>2747</v>
      </c>
      <c r="F764" t="s">
        <v>3394</v>
      </c>
      <c r="G764" t="s">
        <v>2746</v>
      </c>
      <c r="H764" t="s">
        <v>2745</v>
      </c>
      <c r="I764" t="s">
        <v>3396</v>
      </c>
      <c r="J764" t="s">
        <v>3369</v>
      </c>
      <c r="K764" t="s">
        <v>1661</v>
      </c>
      <c r="L764" t="s">
        <v>3386</v>
      </c>
      <c r="M764" t="s">
        <v>3397</v>
      </c>
      <c r="N764" t="s">
        <v>3365</v>
      </c>
      <c r="O764" t="s">
        <v>3366</v>
      </c>
      <c r="P764" t="s">
        <v>3398</v>
      </c>
    </row>
    <row r="765" spans="1:16" x14ac:dyDescent="0.3">
      <c r="A765" t="s">
        <v>2794</v>
      </c>
      <c r="B765" t="s">
        <v>100</v>
      </c>
      <c r="D765" t="s">
        <v>2744</v>
      </c>
      <c r="E765" t="s">
        <v>2747</v>
      </c>
      <c r="F765" t="s">
        <v>3394</v>
      </c>
      <c r="G765" t="s">
        <v>2746</v>
      </c>
      <c r="H765" t="s">
        <v>2745</v>
      </c>
      <c r="I765" t="s">
        <v>3396</v>
      </c>
      <c r="J765" t="s">
        <v>3369</v>
      </c>
      <c r="K765" t="s">
        <v>1661</v>
      </c>
      <c r="L765" t="s">
        <v>3386</v>
      </c>
      <c r="M765" t="s">
        <v>3397</v>
      </c>
      <c r="N765" t="s">
        <v>3365</v>
      </c>
      <c r="O765" t="s">
        <v>3366</v>
      </c>
      <c r="P765" t="s">
        <v>3398</v>
      </c>
    </row>
    <row r="766" spans="1:16" x14ac:dyDescent="0.3">
      <c r="A766" t="s">
        <v>2795</v>
      </c>
      <c r="B766" t="s">
        <v>100</v>
      </c>
      <c r="D766" t="s">
        <v>2796</v>
      </c>
      <c r="F766" t="s">
        <v>3394</v>
      </c>
      <c r="G766" t="s">
        <v>2746</v>
      </c>
      <c r="H766" t="s">
        <v>2797</v>
      </c>
      <c r="I766" t="s">
        <v>3396</v>
      </c>
      <c r="J766" t="s">
        <v>3369</v>
      </c>
      <c r="K766" t="s">
        <v>1661</v>
      </c>
      <c r="L766" t="s">
        <v>3386</v>
      </c>
      <c r="M766" t="s">
        <v>3397</v>
      </c>
      <c r="N766" t="s">
        <v>3365</v>
      </c>
      <c r="O766" t="s">
        <v>3366</v>
      </c>
      <c r="P766" t="s">
        <v>3398</v>
      </c>
    </row>
    <row r="767" spans="1:16" x14ac:dyDescent="0.3">
      <c r="A767" t="s">
        <v>2798</v>
      </c>
      <c r="B767" t="s">
        <v>100</v>
      </c>
      <c r="D767" t="s">
        <v>2796</v>
      </c>
      <c r="F767" t="s">
        <v>3394</v>
      </c>
      <c r="G767" t="s">
        <v>2746</v>
      </c>
      <c r="H767" t="s">
        <v>2797</v>
      </c>
      <c r="I767" t="s">
        <v>3396</v>
      </c>
      <c r="J767" t="s">
        <v>3369</v>
      </c>
      <c r="K767" t="s">
        <v>1661</v>
      </c>
      <c r="L767" t="s">
        <v>3386</v>
      </c>
      <c r="M767" t="s">
        <v>3397</v>
      </c>
      <c r="N767" t="s">
        <v>3365</v>
      </c>
      <c r="O767" t="s">
        <v>3366</v>
      </c>
      <c r="P767" t="s">
        <v>3398</v>
      </c>
    </row>
    <row r="768" spans="1:16" x14ac:dyDescent="0.3">
      <c r="A768" t="s">
        <v>2799</v>
      </c>
      <c r="B768" t="s">
        <v>100</v>
      </c>
      <c r="D768" t="s">
        <v>2796</v>
      </c>
      <c r="F768" t="s">
        <v>3394</v>
      </c>
      <c r="G768" t="s">
        <v>2746</v>
      </c>
      <c r="H768" t="s">
        <v>2797</v>
      </c>
      <c r="I768" t="s">
        <v>3396</v>
      </c>
      <c r="J768" t="s">
        <v>3369</v>
      </c>
      <c r="K768" t="s">
        <v>1661</v>
      </c>
      <c r="L768" t="s">
        <v>3386</v>
      </c>
      <c r="M768" t="s">
        <v>3397</v>
      </c>
      <c r="N768" t="s">
        <v>3365</v>
      </c>
      <c r="O768" t="s">
        <v>3366</v>
      </c>
      <c r="P768" t="s">
        <v>3398</v>
      </c>
    </row>
    <row r="769" spans="1:16" x14ac:dyDescent="0.3">
      <c r="A769" t="s">
        <v>2800</v>
      </c>
      <c r="B769" t="s">
        <v>100</v>
      </c>
      <c r="D769" t="s">
        <v>2796</v>
      </c>
      <c r="F769" t="s">
        <v>3394</v>
      </c>
      <c r="G769" t="s">
        <v>2746</v>
      </c>
      <c r="H769" t="s">
        <v>2797</v>
      </c>
      <c r="I769" t="s">
        <v>3396</v>
      </c>
      <c r="J769" t="s">
        <v>3369</v>
      </c>
      <c r="K769" t="s">
        <v>1661</v>
      </c>
      <c r="L769" t="s">
        <v>3386</v>
      </c>
      <c r="M769" t="s">
        <v>3397</v>
      </c>
      <c r="N769" t="s">
        <v>3365</v>
      </c>
      <c r="O769" t="s">
        <v>3366</v>
      </c>
      <c r="P769" t="s">
        <v>3398</v>
      </c>
    </row>
    <row r="770" spans="1:16" x14ac:dyDescent="0.3">
      <c r="A770" t="s">
        <v>2801</v>
      </c>
      <c r="B770" t="s">
        <v>100</v>
      </c>
      <c r="D770" t="s">
        <v>2796</v>
      </c>
      <c r="F770" t="s">
        <v>3394</v>
      </c>
      <c r="G770" t="s">
        <v>2746</v>
      </c>
      <c r="H770" t="s">
        <v>2797</v>
      </c>
      <c r="I770" t="s">
        <v>3396</v>
      </c>
      <c r="J770" t="s">
        <v>3369</v>
      </c>
      <c r="K770" t="s">
        <v>1661</v>
      </c>
      <c r="L770" t="s">
        <v>3386</v>
      </c>
      <c r="M770" t="s">
        <v>3397</v>
      </c>
      <c r="N770" t="s">
        <v>3365</v>
      </c>
      <c r="O770" t="s">
        <v>3366</v>
      </c>
      <c r="P770" t="s">
        <v>3398</v>
      </c>
    </row>
    <row r="771" spans="1:16" x14ac:dyDescent="0.3">
      <c r="A771" t="s">
        <v>2802</v>
      </c>
      <c r="B771" t="s">
        <v>100</v>
      </c>
      <c r="D771" t="s">
        <v>2796</v>
      </c>
      <c r="F771" t="s">
        <v>3394</v>
      </c>
      <c r="G771" t="s">
        <v>2746</v>
      </c>
      <c r="H771" t="s">
        <v>2797</v>
      </c>
      <c r="I771" t="s">
        <v>3396</v>
      </c>
      <c r="J771" t="s">
        <v>3369</v>
      </c>
      <c r="K771" t="s">
        <v>1661</v>
      </c>
      <c r="L771" t="s">
        <v>3386</v>
      </c>
      <c r="M771" t="s">
        <v>3397</v>
      </c>
      <c r="N771" t="s">
        <v>3365</v>
      </c>
      <c r="O771" t="s">
        <v>3366</v>
      </c>
      <c r="P771" t="s">
        <v>3398</v>
      </c>
    </row>
    <row r="772" spans="1:16" x14ac:dyDescent="0.3">
      <c r="A772" t="s">
        <v>2803</v>
      </c>
      <c r="B772" t="s">
        <v>100</v>
      </c>
      <c r="D772" t="s">
        <v>2796</v>
      </c>
      <c r="F772" t="s">
        <v>3394</v>
      </c>
      <c r="G772" t="s">
        <v>2746</v>
      </c>
      <c r="H772" t="s">
        <v>2797</v>
      </c>
      <c r="I772" t="s">
        <v>3396</v>
      </c>
      <c r="J772" t="s">
        <v>3369</v>
      </c>
      <c r="K772" t="s">
        <v>1661</v>
      </c>
      <c r="L772" t="s">
        <v>3386</v>
      </c>
      <c r="M772" t="s">
        <v>3397</v>
      </c>
      <c r="N772" t="s">
        <v>3365</v>
      </c>
      <c r="O772" t="s">
        <v>3366</v>
      </c>
      <c r="P772" t="s">
        <v>3398</v>
      </c>
    </row>
    <row r="773" spans="1:16" x14ac:dyDescent="0.3">
      <c r="A773" t="s">
        <v>2804</v>
      </c>
      <c r="B773" t="s">
        <v>100</v>
      </c>
      <c r="D773" t="s">
        <v>2796</v>
      </c>
      <c r="F773" t="s">
        <v>3394</v>
      </c>
      <c r="G773" t="s">
        <v>2746</v>
      </c>
      <c r="H773" t="s">
        <v>2797</v>
      </c>
      <c r="I773" t="s">
        <v>3396</v>
      </c>
      <c r="J773" t="s">
        <v>3369</v>
      </c>
      <c r="K773" t="s">
        <v>1661</v>
      </c>
      <c r="L773" t="s">
        <v>3386</v>
      </c>
      <c r="M773" t="s">
        <v>3397</v>
      </c>
      <c r="N773" t="s">
        <v>3365</v>
      </c>
      <c r="O773" t="s">
        <v>3366</v>
      </c>
      <c r="P773" t="s">
        <v>3398</v>
      </c>
    </row>
    <row r="774" spans="1:16" x14ac:dyDescent="0.3">
      <c r="A774" t="s">
        <v>2805</v>
      </c>
      <c r="B774" t="s">
        <v>100</v>
      </c>
      <c r="D774" t="s">
        <v>2796</v>
      </c>
      <c r="F774" t="s">
        <v>3394</v>
      </c>
      <c r="G774" t="s">
        <v>2746</v>
      </c>
      <c r="H774" t="s">
        <v>2797</v>
      </c>
      <c r="I774" t="s">
        <v>3396</v>
      </c>
      <c r="J774" t="s">
        <v>3369</v>
      </c>
      <c r="K774" t="s">
        <v>1661</v>
      </c>
      <c r="L774" t="s">
        <v>3386</v>
      </c>
      <c r="M774" t="s">
        <v>3397</v>
      </c>
      <c r="N774" t="s">
        <v>3365</v>
      </c>
      <c r="O774" t="s">
        <v>3366</v>
      </c>
      <c r="P774" t="s">
        <v>3398</v>
      </c>
    </row>
    <row r="775" spans="1:16" x14ac:dyDescent="0.3">
      <c r="A775" t="s">
        <v>2806</v>
      </c>
      <c r="B775" t="s">
        <v>100</v>
      </c>
      <c r="D775" t="s">
        <v>2796</v>
      </c>
      <c r="F775" t="s">
        <v>3394</v>
      </c>
      <c r="G775" t="s">
        <v>2746</v>
      </c>
      <c r="H775" t="s">
        <v>2797</v>
      </c>
      <c r="I775" t="s">
        <v>3396</v>
      </c>
      <c r="J775" t="s">
        <v>3369</v>
      </c>
      <c r="K775" t="s">
        <v>1661</v>
      </c>
      <c r="L775" t="s">
        <v>3386</v>
      </c>
      <c r="M775" t="s">
        <v>3397</v>
      </c>
      <c r="N775" t="s">
        <v>3365</v>
      </c>
      <c r="O775" t="s">
        <v>3366</v>
      </c>
      <c r="P775" t="s">
        <v>3398</v>
      </c>
    </row>
    <row r="776" spans="1:16" x14ac:dyDescent="0.3">
      <c r="A776" t="s">
        <v>2807</v>
      </c>
      <c r="B776" t="s">
        <v>100</v>
      </c>
      <c r="D776" t="s">
        <v>2796</v>
      </c>
      <c r="F776" t="s">
        <v>3394</v>
      </c>
      <c r="G776" t="s">
        <v>2746</v>
      </c>
      <c r="H776" t="s">
        <v>2797</v>
      </c>
      <c r="I776" t="s">
        <v>3396</v>
      </c>
      <c r="J776" t="s">
        <v>3369</v>
      </c>
      <c r="K776" t="s">
        <v>1661</v>
      </c>
      <c r="L776" t="s">
        <v>3386</v>
      </c>
      <c r="M776" t="s">
        <v>3397</v>
      </c>
      <c r="N776" t="s">
        <v>3365</v>
      </c>
      <c r="O776" t="s">
        <v>3366</v>
      </c>
      <c r="P776" t="s">
        <v>3398</v>
      </c>
    </row>
    <row r="777" spans="1:16" x14ac:dyDescent="0.3">
      <c r="A777" t="s">
        <v>2808</v>
      </c>
      <c r="B777" t="s">
        <v>100</v>
      </c>
      <c r="D777" t="s">
        <v>2796</v>
      </c>
      <c r="F777" t="s">
        <v>3394</v>
      </c>
      <c r="G777" t="s">
        <v>2746</v>
      </c>
      <c r="H777" t="s">
        <v>2797</v>
      </c>
      <c r="I777" t="s">
        <v>3396</v>
      </c>
      <c r="J777" t="s">
        <v>3369</v>
      </c>
      <c r="K777" t="s">
        <v>1661</v>
      </c>
      <c r="L777" t="s">
        <v>3386</v>
      </c>
      <c r="M777" t="s">
        <v>3397</v>
      </c>
      <c r="N777" t="s">
        <v>3365</v>
      </c>
      <c r="O777" t="s">
        <v>3366</v>
      </c>
      <c r="P777" t="s">
        <v>3398</v>
      </c>
    </row>
    <row r="778" spans="1:16" x14ac:dyDescent="0.3">
      <c r="A778" t="s">
        <v>2809</v>
      </c>
      <c r="B778" t="s">
        <v>100</v>
      </c>
      <c r="D778" t="s">
        <v>2796</v>
      </c>
      <c r="F778" t="s">
        <v>3394</v>
      </c>
      <c r="G778" t="s">
        <v>2746</v>
      </c>
      <c r="H778" t="s">
        <v>2797</v>
      </c>
      <c r="I778" t="s">
        <v>3396</v>
      </c>
      <c r="J778" t="s">
        <v>3369</v>
      </c>
      <c r="K778" t="s">
        <v>1661</v>
      </c>
      <c r="L778" t="s">
        <v>3386</v>
      </c>
      <c r="M778" t="s">
        <v>3397</v>
      </c>
      <c r="N778" t="s">
        <v>3365</v>
      </c>
      <c r="O778" t="s">
        <v>3366</v>
      </c>
      <c r="P778" t="s">
        <v>3398</v>
      </c>
    </row>
    <row r="779" spans="1:16" x14ac:dyDescent="0.3">
      <c r="A779" t="s">
        <v>2810</v>
      </c>
      <c r="B779" t="s">
        <v>100</v>
      </c>
      <c r="D779" t="s">
        <v>2796</v>
      </c>
      <c r="F779" t="s">
        <v>3394</v>
      </c>
      <c r="G779" t="s">
        <v>2746</v>
      </c>
      <c r="H779" t="s">
        <v>2797</v>
      </c>
      <c r="I779" t="s">
        <v>3396</v>
      </c>
      <c r="J779" t="s">
        <v>3369</v>
      </c>
      <c r="K779" t="s">
        <v>1661</v>
      </c>
      <c r="L779" t="s">
        <v>3386</v>
      </c>
      <c r="M779" t="s">
        <v>3397</v>
      </c>
      <c r="N779" t="s">
        <v>3365</v>
      </c>
      <c r="O779" t="s">
        <v>3366</v>
      </c>
      <c r="P779" t="s">
        <v>3398</v>
      </c>
    </row>
    <row r="780" spans="1:16" x14ac:dyDescent="0.3">
      <c r="A780" t="s">
        <v>2811</v>
      </c>
      <c r="B780" t="s">
        <v>100</v>
      </c>
      <c r="D780" t="s">
        <v>2796</v>
      </c>
      <c r="F780" t="s">
        <v>3394</v>
      </c>
      <c r="G780" t="s">
        <v>2746</v>
      </c>
      <c r="H780" t="s">
        <v>2797</v>
      </c>
      <c r="I780" t="s">
        <v>3396</v>
      </c>
      <c r="J780" t="s">
        <v>3369</v>
      </c>
      <c r="K780" t="s">
        <v>1661</v>
      </c>
      <c r="L780" t="s">
        <v>3386</v>
      </c>
      <c r="M780" t="s">
        <v>3397</v>
      </c>
      <c r="N780" t="s">
        <v>3365</v>
      </c>
      <c r="O780" t="s">
        <v>3366</v>
      </c>
      <c r="P780" t="s">
        <v>3398</v>
      </c>
    </row>
    <row r="781" spans="1:16" x14ac:dyDescent="0.3">
      <c r="A781" t="s">
        <v>2812</v>
      </c>
      <c r="B781" t="s">
        <v>100</v>
      </c>
      <c r="D781" t="s">
        <v>2796</v>
      </c>
      <c r="F781" t="s">
        <v>3394</v>
      </c>
      <c r="G781" t="s">
        <v>2746</v>
      </c>
      <c r="H781" t="s">
        <v>2797</v>
      </c>
      <c r="I781" t="s">
        <v>3396</v>
      </c>
      <c r="J781" t="s">
        <v>3369</v>
      </c>
      <c r="K781" t="s">
        <v>1661</v>
      </c>
      <c r="L781" t="s">
        <v>3386</v>
      </c>
      <c r="M781" t="s">
        <v>3397</v>
      </c>
      <c r="N781" t="s">
        <v>3365</v>
      </c>
      <c r="O781" t="s">
        <v>3366</v>
      </c>
      <c r="P781" t="s">
        <v>3398</v>
      </c>
    </row>
    <row r="782" spans="1:16" x14ac:dyDescent="0.3">
      <c r="A782" t="s">
        <v>2813</v>
      </c>
      <c r="B782" t="s">
        <v>100</v>
      </c>
      <c r="D782" t="s">
        <v>2796</v>
      </c>
      <c r="F782" t="s">
        <v>3394</v>
      </c>
      <c r="G782" t="s">
        <v>2746</v>
      </c>
      <c r="H782" t="s">
        <v>2797</v>
      </c>
      <c r="I782" t="s">
        <v>3396</v>
      </c>
      <c r="J782" t="s">
        <v>3369</v>
      </c>
      <c r="K782" t="s">
        <v>1661</v>
      </c>
      <c r="L782" t="s">
        <v>3386</v>
      </c>
      <c r="M782" t="s">
        <v>3397</v>
      </c>
      <c r="N782" t="s">
        <v>3365</v>
      </c>
      <c r="O782" t="s">
        <v>3366</v>
      </c>
      <c r="P782" t="s">
        <v>3398</v>
      </c>
    </row>
    <row r="783" spans="1:16" x14ac:dyDescent="0.3">
      <c r="A783" t="s">
        <v>2814</v>
      </c>
      <c r="B783" t="s">
        <v>100</v>
      </c>
      <c r="D783" t="s">
        <v>2796</v>
      </c>
      <c r="F783" t="s">
        <v>3394</v>
      </c>
      <c r="G783" t="s">
        <v>2746</v>
      </c>
      <c r="H783" t="s">
        <v>2797</v>
      </c>
      <c r="I783" t="s">
        <v>3396</v>
      </c>
      <c r="J783" t="s">
        <v>3369</v>
      </c>
      <c r="K783" t="s">
        <v>1661</v>
      </c>
      <c r="L783" t="s">
        <v>3386</v>
      </c>
      <c r="M783" t="s">
        <v>3397</v>
      </c>
      <c r="N783" t="s">
        <v>3365</v>
      </c>
      <c r="O783" t="s">
        <v>3366</v>
      </c>
      <c r="P783" t="s">
        <v>3398</v>
      </c>
    </row>
    <row r="784" spans="1:16" x14ac:dyDescent="0.3">
      <c r="A784" t="s">
        <v>2815</v>
      </c>
      <c r="B784" t="s">
        <v>100</v>
      </c>
      <c r="D784" t="s">
        <v>2796</v>
      </c>
      <c r="F784" t="s">
        <v>3394</v>
      </c>
      <c r="G784" t="s">
        <v>2746</v>
      </c>
      <c r="H784" t="s">
        <v>2797</v>
      </c>
      <c r="I784" t="s">
        <v>3396</v>
      </c>
      <c r="J784" t="s">
        <v>3369</v>
      </c>
      <c r="K784" t="s">
        <v>1661</v>
      </c>
      <c r="L784" t="s">
        <v>3386</v>
      </c>
      <c r="M784" t="s">
        <v>3397</v>
      </c>
      <c r="N784" t="s">
        <v>3365</v>
      </c>
      <c r="O784" t="s">
        <v>3366</v>
      </c>
      <c r="P784" t="s">
        <v>3398</v>
      </c>
    </row>
    <row r="785" spans="1:16" x14ac:dyDescent="0.3">
      <c r="A785" t="s">
        <v>2816</v>
      </c>
      <c r="B785" t="s">
        <v>100</v>
      </c>
      <c r="D785" t="s">
        <v>2796</v>
      </c>
      <c r="F785" t="s">
        <v>3394</v>
      </c>
      <c r="G785" t="s">
        <v>2746</v>
      </c>
      <c r="H785" t="s">
        <v>2797</v>
      </c>
      <c r="I785" t="s">
        <v>3396</v>
      </c>
      <c r="J785" t="s">
        <v>3369</v>
      </c>
      <c r="K785" t="s">
        <v>1661</v>
      </c>
      <c r="L785" t="s">
        <v>3386</v>
      </c>
      <c r="M785" t="s">
        <v>3397</v>
      </c>
      <c r="N785" t="s">
        <v>3365</v>
      </c>
      <c r="O785" t="s">
        <v>3366</v>
      </c>
      <c r="P785" t="s">
        <v>3398</v>
      </c>
    </row>
    <row r="786" spans="1:16" x14ac:dyDescent="0.3">
      <c r="A786" t="s">
        <v>2817</v>
      </c>
      <c r="B786" t="s">
        <v>100</v>
      </c>
      <c r="D786" t="s">
        <v>2796</v>
      </c>
      <c r="F786" t="s">
        <v>3394</v>
      </c>
      <c r="G786" t="s">
        <v>2746</v>
      </c>
      <c r="H786" t="s">
        <v>2797</v>
      </c>
      <c r="I786" t="s">
        <v>3396</v>
      </c>
      <c r="J786" t="s">
        <v>3369</v>
      </c>
      <c r="K786" t="s">
        <v>1661</v>
      </c>
      <c r="L786" t="s">
        <v>3386</v>
      </c>
      <c r="M786" t="s">
        <v>3397</v>
      </c>
      <c r="N786" t="s">
        <v>3365</v>
      </c>
      <c r="O786" t="s">
        <v>3366</v>
      </c>
      <c r="P786" t="s">
        <v>3398</v>
      </c>
    </row>
    <row r="787" spans="1:16" x14ac:dyDescent="0.3">
      <c r="A787" t="s">
        <v>2818</v>
      </c>
      <c r="B787" t="s">
        <v>100</v>
      </c>
      <c r="D787" t="s">
        <v>2796</v>
      </c>
      <c r="F787" t="s">
        <v>3394</v>
      </c>
      <c r="G787" t="s">
        <v>2746</v>
      </c>
      <c r="H787" t="s">
        <v>2797</v>
      </c>
      <c r="I787" t="s">
        <v>3396</v>
      </c>
      <c r="J787" t="s">
        <v>3369</v>
      </c>
      <c r="K787" t="s">
        <v>1661</v>
      </c>
      <c r="L787" t="s">
        <v>3386</v>
      </c>
      <c r="M787" t="s">
        <v>3397</v>
      </c>
      <c r="N787" t="s">
        <v>3365</v>
      </c>
      <c r="O787" t="s">
        <v>3366</v>
      </c>
      <c r="P787" t="s">
        <v>3398</v>
      </c>
    </row>
    <row r="788" spans="1:16" x14ac:dyDescent="0.3">
      <c r="A788" t="s">
        <v>2819</v>
      </c>
      <c r="B788" t="s">
        <v>100</v>
      </c>
      <c r="D788" t="s">
        <v>2796</v>
      </c>
      <c r="F788" t="s">
        <v>3394</v>
      </c>
      <c r="G788" t="s">
        <v>2746</v>
      </c>
      <c r="H788" t="s">
        <v>2797</v>
      </c>
      <c r="I788" t="s">
        <v>3396</v>
      </c>
      <c r="J788" t="s">
        <v>3369</v>
      </c>
      <c r="K788" t="s">
        <v>1661</v>
      </c>
      <c r="L788" t="s">
        <v>3386</v>
      </c>
      <c r="M788" t="s">
        <v>3397</v>
      </c>
      <c r="N788" t="s">
        <v>3365</v>
      </c>
      <c r="O788" t="s">
        <v>3366</v>
      </c>
      <c r="P788" t="s">
        <v>3398</v>
      </c>
    </row>
    <row r="789" spans="1:16" x14ac:dyDescent="0.3">
      <c r="A789" t="s">
        <v>2820</v>
      </c>
      <c r="B789" t="s">
        <v>100</v>
      </c>
      <c r="D789" t="s">
        <v>2796</v>
      </c>
      <c r="F789" t="s">
        <v>3394</v>
      </c>
      <c r="G789" t="s">
        <v>2746</v>
      </c>
      <c r="H789" t="s">
        <v>2797</v>
      </c>
      <c r="I789" t="s">
        <v>3396</v>
      </c>
      <c r="J789" t="s">
        <v>3369</v>
      </c>
      <c r="K789" t="s">
        <v>1661</v>
      </c>
      <c r="L789" t="s">
        <v>3386</v>
      </c>
      <c r="M789" t="s">
        <v>3397</v>
      </c>
      <c r="N789" t="s">
        <v>3365</v>
      </c>
      <c r="O789" t="s">
        <v>3366</v>
      </c>
      <c r="P789" t="s">
        <v>3398</v>
      </c>
    </row>
    <row r="790" spans="1:16" x14ac:dyDescent="0.3">
      <c r="A790" t="s">
        <v>2821</v>
      </c>
      <c r="B790" t="s">
        <v>100</v>
      </c>
      <c r="D790" t="s">
        <v>2796</v>
      </c>
      <c r="F790" t="s">
        <v>3394</v>
      </c>
      <c r="G790" t="s">
        <v>2746</v>
      </c>
      <c r="H790" t="s">
        <v>2797</v>
      </c>
      <c r="I790" t="s">
        <v>3396</v>
      </c>
      <c r="J790" t="s">
        <v>3369</v>
      </c>
      <c r="K790" t="s">
        <v>1661</v>
      </c>
      <c r="L790" t="s">
        <v>3386</v>
      </c>
      <c r="M790" t="s">
        <v>3397</v>
      </c>
      <c r="N790" t="s">
        <v>3365</v>
      </c>
      <c r="O790" t="s">
        <v>3366</v>
      </c>
      <c r="P790" t="s">
        <v>3398</v>
      </c>
    </row>
    <row r="791" spans="1:16" x14ac:dyDescent="0.3">
      <c r="A791" t="s">
        <v>2822</v>
      </c>
      <c r="B791" t="s">
        <v>100</v>
      </c>
      <c r="D791" t="s">
        <v>2796</v>
      </c>
      <c r="F791" t="s">
        <v>3394</v>
      </c>
      <c r="G791" t="s">
        <v>2746</v>
      </c>
      <c r="H791" t="s">
        <v>2797</v>
      </c>
      <c r="I791" t="s">
        <v>3396</v>
      </c>
      <c r="J791" t="s">
        <v>3369</v>
      </c>
      <c r="K791" t="s">
        <v>1661</v>
      </c>
      <c r="L791" t="s">
        <v>3386</v>
      </c>
      <c r="M791" t="s">
        <v>3397</v>
      </c>
      <c r="N791" t="s">
        <v>3365</v>
      </c>
      <c r="O791" t="s">
        <v>3366</v>
      </c>
      <c r="P791" t="s">
        <v>3398</v>
      </c>
    </row>
    <row r="792" spans="1:16" x14ac:dyDescent="0.3">
      <c r="A792" t="s">
        <v>2823</v>
      </c>
      <c r="B792" t="s">
        <v>100</v>
      </c>
      <c r="D792" t="s">
        <v>2796</v>
      </c>
      <c r="F792" t="s">
        <v>3394</v>
      </c>
      <c r="G792" t="s">
        <v>2746</v>
      </c>
      <c r="H792" t="s">
        <v>2797</v>
      </c>
      <c r="I792" t="s">
        <v>3396</v>
      </c>
      <c r="J792" t="s">
        <v>3369</v>
      </c>
      <c r="K792" t="s">
        <v>1661</v>
      </c>
      <c r="L792" t="s">
        <v>3386</v>
      </c>
      <c r="M792" t="s">
        <v>3397</v>
      </c>
      <c r="N792" t="s">
        <v>3365</v>
      </c>
      <c r="O792" t="s">
        <v>3366</v>
      </c>
      <c r="P792" t="s">
        <v>3398</v>
      </c>
    </row>
    <row r="793" spans="1:16" x14ac:dyDescent="0.3">
      <c r="A793" t="s">
        <v>2824</v>
      </c>
      <c r="B793" t="s">
        <v>100</v>
      </c>
      <c r="D793" t="s">
        <v>2796</v>
      </c>
      <c r="F793" t="s">
        <v>3394</v>
      </c>
      <c r="G793" t="s">
        <v>2746</v>
      </c>
      <c r="H793" t="s">
        <v>2797</v>
      </c>
      <c r="I793" t="s">
        <v>3396</v>
      </c>
      <c r="J793" t="s">
        <v>3369</v>
      </c>
      <c r="K793" t="s">
        <v>1661</v>
      </c>
      <c r="L793" t="s">
        <v>3386</v>
      </c>
      <c r="M793" t="s">
        <v>3397</v>
      </c>
      <c r="N793" t="s">
        <v>3365</v>
      </c>
      <c r="O793" t="s">
        <v>3366</v>
      </c>
      <c r="P793" t="s">
        <v>3398</v>
      </c>
    </row>
    <row r="794" spans="1:16" x14ac:dyDescent="0.3">
      <c r="A794" t="s">
        <v>2825</v>
      </c>
      <c r="B794" t="s">
        <v>100</v>
      </c>
      <c r="D794" t="s">
        <v>2796</v>
      </c>
      <c r="F794" t="s">
        <v>3394</v>
      </c>
      <c r="G794" t="s">
        <v>2746</v>
      </c>
      <c r="H794" t="s">
        <v>2797</v>
      </c>
      <c r="I794" t="s">
        <v>3396</v>
      </c>
      <c r="J794" t="s">
        <v>3369</v>
      </c>
      <c r="K794" t="s">
        <v>1661</v>
      </c>
      <c r="L794" t="s">
        <v>3386</v>
      </c>
      <c r="M794" t="s">
        <v>3397</v>
      </c>
      <c r="N794" t="s">
        <v>3365</v>
      </c>
      <c r="O794" t="s">
        <v>3366</v>
      </c>
      <c r="P794" t="s">
        <v>3398</v>
      </c>
    </row>
    <row r="795" spans="1:16" x14ac:dyDescent="0.3">
      <c r="A795" t="s">
        <v>2826</v>
      </c>
      <c r="B795" t="s">
        <v>100</v>
      </c>
      <c r="D795" t="s">
        <v>2796</v>
      </c>
      <c r="F795" t="s">
        <v>3394</v>
      </c>
      <c r="G795" t="s">
        <v>2746</v>
      </c>
      <c r="H795" t="s">
        <v>2797</v>
      </c>
      <c r="I795" t="s">
        <v>3396</v>
      </c>
      <c r="J795" t="s">
        <v>3369</v>
      </c>
      <c r="K795" t="s">
        <v>1661</v>
      </c>
      <c r="L795" t="s">
        <v>3386</v>
      </c>
      <c r="M795" t="s">
        <v>3397</v>
      </c>
      <c r="N795" t="s">
        <v>3365</v>
      </c>
      <c r="O795" t="s">
        <v>3366</v>
      </c>
      <c r="P795" t="s">
        <v>3398</v>
      </c>
    </row>
    <row r="796" spans="1:16" x14ac:dyDescent="0.3">
      <c r="A796" t="s">
        <v>2827</v>
      </c>
      <c r="B796" t="s">
        <v>100</v>
      </c>
      <c r="D796" t="s">
        <v>2828</v>
      </c>
      <c r="F796" t="s">
        <v>3394</v>
      </c>
      <c r="G796" t="s">
        <v>2746</v>
      </c>
      <c r="H796" t="s">
        <v>2829</v>
      </c>
      <c r="I796" t="s">
        <v>3396</v>
      </c>
      <c r="J796" t="s">
        <v>3369</v>
      </c>
      <c r="K796" t="s">
        <v>1661</v>
      </c>
      <c r="L796" t="s">
        <v>3386</v>
      </c>
      <c r="M796" t="s">
        <v>3397</v>
      </c>
      <c r="N796" t="s">
        <v>3365</v>
      </c>
      <c r="O796" t="s">
        <v>3366</v>
      </c>
      <c r="P796" t="s">
        <v>3398</v>
      </c>
    </row>
    <row r="797" spans="1:16" x14ac:dyDescent="0.3">
      <c r="A797" t="s">
        <v>2830</v>
      </c>
      <c r="B797" t="s">
        <v>100</v>
      </c>
      <c r="D797" t="s">
        <v>2828</v>
      </c>
      <c r="F797" t="s">
        <v>3394</v>
      </c>
      <c r="G797" t="s">
        <v>2746</v>
      </c>
      <c r="H797" t="s">
        <v>2829</v>
      </c>
      <c r="I797" t="s">
        <v>3396</v>
      </c>
      <c r="J797" t="s">
        <v>3369</v>
      </c>
      <c r="K797" t="s">
        <v>1661</v>
      </c>
      <c r="L797" t="s">
        <v>3386</v>
      </c>
      <c r="M797" t="s">
        <v>3397</v>
      </c>
      <c r="N797" t="s">
        <v>3365</v>
      </c>
      <c r="O797" t="s">
        <v>3366</v>
      </c>
      <c r="P797" t="s">
        <v>3398</v>
      </c>
    </row>
    <row r="798" spans="1:16" x14ac:dyDescent="0.3">
      <c r="A798" t="s">
        <v>2831</v>
      </c>
      <c r="B798" t="s">
        <v>100</v>
      </c>
      <c r="D798" t="s">
        <v>2828</v>
      </c>
      <c r="F798" t="s">
        <v>3394</v>
      </c>
      <c r="G798" t="s">
        <v>2746</v>
      </c>
      <c r="H798" t="s">
        <v>2829</v>
      </c>
      <c r="I798" t="s">
        <v>3396</v>
      </c>
      <c r="J798" t="s">
        <v>3369</v>
      </c>
      <c r="K798" t="s">
        <v>1661</v>
      </c>
      <c r="L798" t="s">
        <v>3386</v>
      </c>
      <c r="M798" t="s">
        <v>3397</v>
      </c>
      <c r="N798" t="s">
        <v>3365</v>
      </c>
      <c r="O798" t="s">
        <v>3366</v>
      </c>
      <c r="P798" t="s">
        <v>3398</v>
      </c>
    </row>
    <row r="799" spans="1:16" x14ac:dyDescent="0.3">
      <c r="A799" t="s">
        <v>2832</v>
      </c>
      <c r="B799" t="s">
        <v>100</v>
      </c>
      <c r="D799" t="s">
        <v>2828</v>
      </c>
      <c r="F799" t="s">
        <v>3394</v>
      </c>
      <c r="G799" t="s">
        <v>2746</v>
      </c>
      <c r="H799" t="s">
        <v>2829</v>
      </c>
      <c r="I799" t="s">
        <v>3396</v>
      </c>
      <c r="J799" t="s">
        <v>3369</v>
      </c>
      <c r="K799" t="s">
        <v>1661</v>
      </c>
      <c r="L799" t="s">
        <v>3386</v>
      </c>
      <c r="M799" t="s">
        <v>3397</v>
      </c>
      <c r="N799" t="s">
        <v>3365</v>
      </c>
      <c r="O799" t="s">
        <v>3366</v>
      </c>
      <c r="P799" t="s">
        <v>3398</v>
      </c>
    </row>
    <row r="800" spans="1:16" x14ac:dyDescent="0.3">
      <c r="A800" t="s">
        <v>2833</v>
      </c>
      <c r="B800" t="s">
        <v>100</v>
      </c>
      <c r="D800" t="s">
        <v>2828</v>
      </c>
      <c r="F800" t="s">
        <v>3394</v>
      </c>
      <c r="G800" t="s">
        <v>2746</v>
      </c>
      <c r="H800" t="s">
        <v>2829</v>
      </c>
      <c r="I800" t="s">
        <v>3396</v>
      </c>
      <c r="J800" t="s">
        <v>3369</v>
      </c>
      <c r="K800" t="s">
        <v>1661</v>
      </c>
      <c r="L800" t="s">
        <v>3386</v>
      </c>
      <c r="M800" t="s">
        <v>3397</v>
      </c>
      <c r="N800" t="s">
        <v>3365</v>
      </c>
      <c r="O800" t="s">
        <v>3366</v>
      </c>
      <c r="P800" t="s">
        <v>3398</v>
      </c>
    </row>
    <row r="801" spans="1:16" x14ac:dyDescent="0.3">
      <c r="A801" t="s">
        <v>2834</v>
      </c>
      <c r="B801" t="s">
        <v>100</v>
      </c>
      <c r="D801" t="s">
        <v>2828</v>
      </c>
      <c r="F801" t="s">
        <v>3394</v>
      </c>
      <c r="G801" t="s">
        <v>2746</v>
      </c>
      <c r="H801" t="s">
        <v>2829</v>
      </c>
      <c r="I801" t="s">
        <v>3396</v>
      </c>
      <c r="J801" t="s">
        <v>3369</v>
      </c>
      <c r="K801" t="s">
        <v>1661</v>
      </c>
      <c r="L801" t="s">
        <v>3386</v>
      </c>
      <c r="M801" t="s">
        <v>3397</v>
      </c>
      <c r="N801" t="s">
        <v>3365</v>
      </c>
      <c r="O801" t="s">
        <v>3366</v>
      </c>
      <c r="P801" t="s">
        <v>3398</v>
      </c>
    </row>
    <row r="802" spans="1:16" x14ac:dyDescent="0.3">
      <c r="A802" t="s">
        <v>2835</v>
      </c>
      <c r="B802" t="s">
        <v>100</v>
      </c>
      <c r="D802" t="s">
        <v>2828</v>
      </c>
      <c r="F802" t="s">
        <v>3394</v>
      </c>
      <c r="G802" t="s">
        <v>2746</v>
      </c>
      <c r="H802" t="s">
        <v>2829</v>
      </c>
      <c r="I802" t="s">
        <v>3396</v>
      </c>
      <c r="J802" t="s">
        <v>3369</v>
      </c>
      <c r="K802" t="s">
        <v>1661</v>
      </c>
      <c r="L802" t="s">
        <v>3386</v>
      </c>
      <c r="M802" t="s">
        <v>3397</v>
      </c>
      <c r="N802" t="s">
        <v>3365</v>
      </c>
      <c r="O802" t="s">
        <v>3366</v>
      </c>
      <c r="P802" t="s">
        <v>3398</v>
      </c>
    </row>
    <row r="803" spans="1:16" x14ac:dyDescent="0.3">
      <c r="A803" t="s">
        <v>2836</v>
      </c>
      <c r="B803" t="s">
        <v>100</v>
      </c>
      <c r="D803" t="s">
        <v>2828</v>
      </c>
      <c r="F803" t="s">
        <v>3394</v>
      </c>
      <c r="G803" t="s">
        <v>2746</v>
      </c>
      <c r="H803" t="s">
        <v>2829</v>
      </c>
      <c r="I803" t="s">
        <v>3396</v>
      </c>
      <c r="J803" t="s">
        <v>3369</v>
      </c>
      <c r="K803" t="s">
        <v>1661</v>
      </c>
      <c r="L803" t="s">
        <v>3386</v>
      </c>
      <c r="M803" t="s">
        <v>3397</v>
      </c>
      <c r="N803" t="s">
        <v>3365</v>
      </c>
      <c r="O803" t="s">
        <v>3366</v>
      </c>
      <c r="P803" t="s">
        <v>3398</v>
      </c>
    </row>
    <row r="804" spans="1:16" x14ac:dyDescent="0.3">
      <c r="A804" t="s">
        <v>2837</v>
      </c>
      <c r="B804" t="s">
        <v>100</v>
      </c>
      <c r="D804" t="s">
        <v>2828</v>
      </c>
      <c r="F804" t="s">
        <v>3394</v>
      </c>
      <c r="G804" t="s">
        <v>2746</v>
      </c>
      <c r="H804" t="s">
        <v>2829</v>
      </c>
      <c r="I804" t="s">
        <v>3396</v>
      </c>
      <c r="J804" t="s">
        <v>3369</v>
      </c>
      <c r="K804" t="s">
        <v>1661</v>
      </c>
      <c r="L804" t="s">
        <v>3386</v>
      </c>
      <c r="M804" t="s">
        <v>3397</v>
      </c>
      <c r="N804" t="s">
        <v>3365</v>
      </c>
      <c r="O804" t="s">
        <v>3366</v>
      </c>
      <c r="P804" t="s">
        <v>3398</v>
      </c>
    </row>
    <row r="805" spans="1:16" x14ac:dyDescent="0.3">
      <c r="A805" t="s">
        <v>2838</v>
      </c>
      <c r="B805" t="s">
        <v>100</v>
      </c>
      <c r="D805" t="s">
        <v>2828</v>
      </c>
      <c r="F805" t="s">
        <v>3394</v>
      </c>
      <c r="G805" t="s">
        <v>2746</v>
      </c>
      <c r="H805" t="s">
        <v>2829</v>
      </c>
      <c r="I805" t="s">
        <v>3396</v>
      </c>
      <c r="J805" t="s">
        <v>3369</v>
      </c>
      <c r="K805" t="s">
        <v>1661</v>
      </c>
      <c r="L805" t="s">
        <v>3386</v>
      </c>
      <c r="M805" t="s">
        <v>3397</v>
      </c>
      <c r="N805" t="s">
        <v>3365</v>
      </c>
      <c r="O805" t="s">
        <v>3366</v>
      </c>
      <c r="P805" t="s">
        <v>3398</v>
      </c>
    </row>
    <row r="806" spans="1:16" x14ac:dyDescent="0.3">
      <c r="A806" t="s">
        <v>2839</v>
      </c>
      <c r="B806" t="s">
        <v>100</v>
      </c>
      <c r="D806" t="s">
        <v>2828</v>
      </c>
      <c r="F806" t="s">
        <v>3394</v>
      </c>
      <c r="G806" t="s">
        <v>2746</v>
      </c>
      <c r="H806" t="s">
        <v>2829</v>
      </c>
      <c r="I806" t="s">
        <v>3396</v>
      </c>
      <c r="J806" t="s">
        <v>3369</v>
      </c>
      <c r="K806" t="s">
        <v>1661</v>
      </c>
      <c r="L806" t="s">
        <v>3386</v>
      </c>
      <c r="M806" t="s">
        <v>3397</v>
      </c>
      <c r="N806" t="s">
        <v>3365</v>
      </c>
      <c r="O806" t="s">
        <v>3366</v>
      </c>
      <c r="P806" t="s">
        <v>3398</v>
      </c>
    </row>
    <row r="807" spans="1:16" x14ac:dyDescent="0.3">
      <c r="A807" t="s">
        <v>2840</v>
      </c>
      <c r="B807" t="s">
        <v>100</v>
      </c>
      <c r="D807" t="s">
        <v>2828</v>
      </c>
      <c r="F807" t="s">
        <v>3394</v>
      </c>
      <c r="G807" t="s">
        <v>2746</v>
      </c>
      <c r="H807" t="s">
        <v>2829</v>
      </c>
      <c r="I807" t="s">
        <v>3396</v>
      </c>
      <c r="J807" t="s">
        <v>3369</v>
      </c>
      <c r="K807" t="s">
        <v>1661</v>
      </c>
      <c r="L807" t="s">
        <v>3386</v>
      </c>
      <c r="M807" t="s">
        <v>3397</v>
      </c>
      <c r="N807" t="s">
        <v>3365</v>
      </c>
      <c r="O807" t="s">
        <v>3366</v>
      </c>
      <c r="P807" t="s">
        <v>3398</v>
      </c>
    </row>
    <row r="808" spans="1:16" x14ac:dyDescent="0.3">
      <c r="A808" t="s">
        <v>2841</v>
      </c>
      <c r="B808" t="s">
        <v>100</v>
      </c>
      <c r="D808" t="s">
        <v>2828</v>
      </c>
      <c r="F808" t="s">
        <v>3394</v>
      </c>
      <c r="G808" t="s">
        <v>2746</v>
      </c>
      <c r="H808" t="s">
        <v>2829</v>
      </c>
      <c r="I808" t="s">
        <v>3396</v>
      </c>
      <c r="J808" t="s">
        <v>3369</v>
      </c>
      <c r="K808" t="s">
        <v>1661</v>
      </c>
      <c r="L808" t="s">
        <v>3386</v>
      </c>
      <c r="M808" t="s">
        <v>3397</v>
      </c>
      <c r="N808" t="s">
        <v>3365</v>
      </c>
      <c r="O808" t="s">
        <v>3366</v>
      </c>
      <c r="P808" t="s">
        <v>3398</v>
      </c>
    </row>
    <row r="809" spans="1:16" x14ac:dyDescent="0.3">
      <c r="A809" t="s">
        <v>2842</v>
      </c>
      <c r="B809" t="s">
        <v>100</v>
      </c>
      <c r="D809" t="s">
        <v>2828</v>
      </c>
      <c r="F809" t="s">
        <v>3394</v>
      </c>
      <c r="G809" t="s">
        <v>2746</v>
      </c>
      <c r="H809" t="s">
        <v>2829</v>
      </c>
      <c r="I809" t="s">
        <v>3396</v>
      </c>
      <c r="J809" t="s">
        <v>3369</v>
      </c>
      <c r="K809" t="s">
        <v>1661</v>
      </c>
      <c r="L809" t="s">
        <v>3386</v>
      </c>
      <c r="M809" t="s">
        <v>3397</v>
      </c>
      <c r="N809" t="s">
        <v>3365</v>
      </c>
      <c r="O809" t="s">
        <v>3366</v>
      </c>
      <c r="P809" t="s">
        <v>3398</v>
      </c>
    </row>
    <row r="810" spans="1:16" x14ac:dyDescent="0.3">
      <c r="A810" t="s">
        <v>2843</v>
      </c>
      <c r="B810" t="s">
        <v>100</v>
      </c>
      <c r="D810" t="s">
        <v>2828</v>
      </c>
      <c r="F810" t="s">
        <v>3394</v>
      </c>
      <c r="G810" t="s">
        <v>2746</v>
      </c>
      <c r="H810" t="s">
        <v>2829</v>
      </c>
      <c r="I810" t="s">
        <v>3396</v>
      </c>
      <c r="J810" t="s">
        <v>3369</v>
      </c>
      <c r="K810" t="s">
        <v>1661</v>
      </c>
      <c r="L810" t="s">
        <v>3386</v>
      </c>
      <c r="M810" t="s">
        <v>3397</v>
      </c>
      <c r="N810" t="s">
        <v>3365</v>
      </c>
      <c r="O810" t="s">
        <v>3366</v>
      </c>
      <c r="P810" t="s">
        <v>3398</v>
      </c>
    </row>
    <row r="811" spans="1:16" x14ac:dyDescent="0.3">
      <c r="A811" t="s">
        <v>2844</v>
      </c>
      <c r="B811" t="s">
        <v>100</v>
      </c>
      <c r="D811" t="s">
        <v>2828</v>
      </c>
      <c r="F811" t="s">
        <v>3394</v>
      </c>
      <c r="G811" t="s">
        <v>2746</v>
      </c>
      <c r="H811" t="s">
        <v>2829</v>
      </c>
      <c r="I811" t="s">
        <v>3396</v>
      </c>
      <c r="J811" t="s">
        <v>3369</v>
      </c>
      <c r="K811" t="s">
        <v>1661</v>
      </c>
      <c r="L811" t="s">
        <v>3386</v>
      </c>
      <c r="M811" t="s">
        <v>3397</v>
      </c>
      <c r="N811" t="s">
        <v>3365</v>
      </c>
      <c r="O811" t="s">
        <v>3366</v>
      </c>
      <c r="P811" t="s">
        <v>3398</v>
      </c>
    </row>
    <row r="812" spans="1:16" x14ac:dyDescent="0.3">
      <c r="A812" t="s">
        <v>2845</v>
      </c>
      <c r="B812" t="s">
        <v>100</v>
      </c>
      <c r="D812" t="s">
        <v>2828</v>
      </c>
      <c r="F812" t="s">
        <v>3394</v>
      </c>
      <c r="G812" t="s">
        <v>2746</v>
      </c>
      <c r="H812" t="s">
        <v>2829</v>
      </c>
      <c r="I812" t="s">
        <v>3396</v>
      </c>
      <c r="J812" t="s">
        <v>3369</v>
      </c>
      <c r="K812" t="s">
        <v>1661</v>
      </c>
      <c r="L812" t="s">
        <v>3386</v>
      </c>
      <c r="M812" t="s">
        <v>3397</v>
      </c>
      <c r="N812" t="s">
        <v>3365</v>
      </c>
      <c r="O812" t="s">
        <v>3366</v>
      </c>
      <c r="P812" t="s">
        <v>3398</v>
      </c>
    </row>
    <row r="813" spans="1:16" x14ac:dyDescent="0.3">
      <c r="A813" t="s">
        <v>2846</v>
      </c>
      <c r="B813" t="s">
        <v>100</v>
      </c>
      <c r="D813" t="s">
        <v>2828</v>
      </c>
      <c r="F813" t="s">
        <v>3394</v>
      </c>
      <c r="G813" t="s">
        <v>2746</v>
      </c>
      <c r="H813" t="s">
        <v>2829</v>
      </c>
      <c r="I813" t="s">
        <v>3396</v>
      </c>
      <c r="J813" t="s">
        <v>3369</v>
      </c>
      <c r="K813" t="s">
        <v>1661</v>
      </c>
      <c r="L813" t="s">
        <v>3386</v>
      </c>
      <c r="M813" t="s">
        <v>3397</v>
      </c>
      <c r="N813" t="s">
        <v>3365</v>
      </c>
      <c r="O813" t="s">
        <v>3366</v>
      </c>
      <c r="P813" t="s">
        <v>3398</v>
      </c>
    </row>
    <row r="814" spans="1:16" x14ac:dyDescent="0.3">
      <c r="A814" t="s">
        <v>2847</v>
      </c>
      <c r="B814" t="s">
        <v>100</v>
      </c>
      <c r="D814" t="s">
        <v>2828</v>
      </c>
      <c r="F814" t="s">
        <v>3394</v>
      </c>
      <c r="G814" t="s">
        <v>2746</v>
      </c>
      <c r="H814" t="s">
        <v>2829</v>
      </c>
      <c r="I814" t="s">
        <v>3396</v>
      </c>
      <c r="J814" t="s">
        <v>3369</v>
      </c>
      <c r="K814" t="s">
        <v>1661</v>
      </c>
      <c r="L814" t="s">
        <v>3386</v>
      </c>
      <c r="M814" t="s">
        <v>3397</v>
      </c>
      <c r="N814" t="s">
        <v>3365</v>
      </c>
      <c r="O814" t="s">
        <v>3366</v>
      </c>
      <c r="P814" t="s">
        <v>3398</v>
      </c>
    </row>
    <row r="815" spans="1:16" x14ac:dyDescent="0.3">
      <c r="A815" t="s">
        <v>2848</v>
      </c>
      <c r="B815" t="s">
        <v>100</v>
      </c>
      <c r="D815" t="s">
        <v>2828</v>
      </c>
      <c r="F815" t="s">
        <v>3394</v>
      </c>
      <c r="G815" t="s">
        <v>2746</v>
      </c>
      <c r="H815" t="s">
        <v>2829</v>
      </c>
      <c r="I815" t="s">
        <v>3396</v>
      </c>
      <c r="J815" t="s">
        <v>3369</v>
      </c>
      <c r="K815" t="s">
        <v>1661</v>
      </c>
      <c r="L815" t="s">
        <v>3386</v>
      </c>
      <c r="M815" t="s">
        <v>3397</v>
      </c>
      <c r="N815" t="s">
        <v>3365</v>
      </c>
      <c r="O815" t="s">
        <v>3366</v>
      </c>
      <c r="P815" t="s">
        <v>3398</v>
      </c>
    </row>
    <row r="816" spans="1:16" x14ac:dyDescent="0.3">
      <c r="A816" t="s">
        <v>2849</v>
      </c>
      <c r="B816" t="s">
        <v>100</v>
      </c>
      <c r="D816" t="s">
        <v>2828</v>
      </c>
      <c r="F816" t="s">
        <v>3394</v>
      </c>
      <c r="G816" t="s">
        <v>2746</v>
      </c>
      <c r="H816" t="s">
        <v>2829</v>
      </c>
      <c r="I816" t="s">
        <v>3396</v>
      </c>
      <c r="J816" t="s">
        <v>3369</v>
      </c>
      <c r="K816" t="s">
        <v>1661</v>
      </c>
      <c r="L816" t="s">
        <v>3386</v>
      </c>
      <c r="M816" t="s">
        <v>3397</v>
      </c>
      <c r="N816" t="s">
        <v>3365</v>
      </c>
      <c r="O816" t="s">
        <v>3366</v>
      </c>
      <c r="P816" t="s">
        <v>3398</v>
      </c>
    </row>
    <row r="817" spans="1:16" x14ac:dyDescent="0.3">
      <c r="A817" t="s">
        <v>2850</v>
      </c>
      <c r="B817" t="s">
        <v>100</v>
      </c>
      <c r="D817" t="s">
        <v>2828</v>
      </c>
      <c r="F817" t="s">
        <v>3394</v>
      </c>
      <c r="G817" t="s">
        <v>2746</v>
      </c>
      <c r="H817" t="s">
        <v>2829</v>
      </c>
      <c r="I817" t="s">
        <v>3396</v>
      </c>
      <c r="J817" t="s">
        <v>3369</v>
      </c>
      <c r="K817" t="s">
        <v>1661</v>
      </c>
      <c r="L817" t="s">
        <v>3386</v>
      </c>
      <c r="M817" t="s">
        <v>3397</v>
      </c>
      <c r="N817" t="s">
        <v>3365</v>
      </c>
      <c r="O817" t="s">
        <v>3366</v>
      </c>
      <c r="P817" t="s">
        <v>3398</v>
      </c>
    </row>
    <row r="818" spans="1:16" x14ac:dyDescent="0.3">
      <c r="A818" t="s">
        <v>2851</v>
      </c>
      <c r="B818" t="s">
        <v>100</v>
      </c>
      <c r="D818" t="s">
        <v>2828</v>
      </c>
      <c r="F818" t="s">
        <v>3394</v>
      </c>
      <c r="G818" t="s">
        <v>2746</v>
      </c>
      <c r="H818" t="s">
        <v>2829</v>
      </c>
      <c r="I818" t="s">
        <v>3396</v>
      </c>
      <c r="J818" t="s">
        <v>3369</v>
      </c>
      <c r="K818" t="s">
        <v>1661</v>
      </c>
      <c r="L818" t="s">
        <v>3386</v>
      </c>
      <c r="M818" t="s">
        <v>3397</v>
      </c>
      <c r="N818" t="s">
        <v>3365</v>
      </c>
      <c r="O818" t="s">
        <v>3366</v>
      </c>
      <c r="P818" t="s">
        <v>3398</v>
      </c>
    </row>
    <row r="819" spans="1:16" x14ac:dyDescent="0.3">
      <c r="A819" t="s">
        <v>2852</v>
      </c>
      <c r="B819" t="s">
        <v>100</v>
      </c>
      <c r="D819" t="s">
        <v>2828</v>
      </c>
      <c r="F819" t="s">
        <v>3394</v>
      </c>
      <c r="G819" t="s">
        <v>2746</v>
      </c>
      <c r="H819" t="s">
        <v>2829</v>
      </c>
      <c r="I819" t="s">
        <v>3396</v>
      </c>
      <c r="J819" t="s">
        <v>3369</v>
      </c>
      <c r="K819" t="s">
        <v>1661</v>
      </c>
      <c r="L819" t="s">
        <v>3386</v>
      </c>
      <c r="M819" t="s">
        <v>3397</v>
      </c>
      <c r="N819" t="s">
        <v>3365</v>
      </c>
      <c r="O819" t="s">
        <v>3366</v>
      </c>
      <c r="P819" t="s">
        <v>3398</v>
      </c>
    </row>
    <row r="820" spans="1:16" x14ac:dyDescent="0.3">
      <c r="A820" t="s">
        <v>2853</v>
      </c>
      <c r="B820" t="s">
        <v>100</v>
      </c>
      <c r="D820" t="s">
        <v>2854</v>
      </c>
      <c r="F820" t="s">
        <v>3394</v>
      </c>
      <c r="G820" t="s">
        <v>2746</v>
      </c>
      <c r="H820" t="s">
        <v>695</v>
      </c>
      <c r="I820" t="s">
        <v>3396</v>
      </c>
      <c r="J820" t="s">
        <v>3369</v>
      </c>
      <c r="K820" t="s">
        <v>1661</v>
      </c>
      <c r="L820" t="s">
        <v>2043</v>
      </c>
      <c r="M820" t="s">
        <v>3397</v>
      </c>
      <c r="N820" t="s">
        <v>3365</v>
      </c>
      <c r="O820" t="s">
        <v>3366</v>
      </c>
      <c r="P820" t="s">
        <v>3398</v>
      </c>
    </row>
    <row r="821" spans="1:16" x14ac:dyDescent="0.3">
      <c r="A821" t="s">
        <v>2855</v>
      </c>
      <c r="B821" t="s">
        <v>100</v>
      </c>
      <c r="D821" t="s">
        <v>2854</v>
      </c>
      <c r="F821" t="s">
        <v>3394</v>
      </c>
      <c r="G821" t="s">
        <v>2746</v>
      </c>
      <c r="H821" t="s">
        <v>695</v>
      </c>
      <c r="I821" t="s">
        <v>3396</v>
      </c>
      <c r="J821" t="s">
        <v>3369</v>
      </c>
      <c r="K821" t="s">
        <v>1661</v>
      </c>
      <c r="L821" t="s">
        <v>2043</v>
      </c>
      <c r="M821" t="s">
        <v>3397</v>
      </c>
      <c r="N821" t="s">
        <v>3365</v>
      </c>
      <c r="O821" t="s">
        <v>3366</v>
      </c>
      <c r="P821" t="s">
        <v>3398</v>
      </c>
    </row>
    <row r="822" spans="1:16" x14ac:dyDescent="0.3">
      <c r="A822" t="s">
        <v>2856</v>
      </c>
      <c r="B822" t="s">
        <v>100</v>
      </c>
      <c r="D822" t="s">
        <v>2854</v>
      </c>
      <c r="F822" t="s">
        <v>3394</v>
      </c>
      <c r="G822" t="s">
        <v>2746</v>
      </c>
      <c r="H822" t="s">
        <v>695</v>
      </c>
      <c r="I822" t="s">
        <v>3396</v>
      </c>
      <c r="J822" t="s">
        <v>3369</v>
      </c>
      <c r="K822" t="s">
        <v>1661</v>
      </c>
      <c r="L822" t="s">
        <v>2043</v>
      </c>
      <c r="M822" t="s">
        <v>3397</v>
      </c>
      <c r="N822" t="s">
        <v>3365</v>
      </c>
      <c r="O822" t="s">
        <v>3366</v>
      </c>
      <c r="P822" t="s">
        <v>3398</v>
      </c>
    </row>
    <row r="823" spans="1:16" x14ac:dyDescent="0.3">
      <c r="A823" t="s">
        <v>2857</v>
      </c>
      <c r="B823" t="s">
        <v>100</v>
      </c>
      <c r="D823" t="s">
        <v>2854</v>
      </c>
      <c r="F823" t="s">
        <v>3394</v>
      </c>
      <c r="G823" t="s">
        <v>2746</v>
      </c>
      <c r="H823" t="s">
        <v>695</v>
      </c>
      <c r="I823" t="s">
        <v>3396</v>
      </c>
      <c r="J823" t="s">
        <v>3369</v>
      </c>
      <c r="K823" t="s">
        <v>1661</v>
      </c>
      <c r="L823" t="s">
        <v>2043</v>
      </c>
      <c r="M823" t="s">
        <v>3397</v>
      </c>
      <c r="N823" t="s">
        <v>3365</v>
      </c>
      <c r="O823" t="s">
        <v>3366</v>
      </c>
      <c r="P823" t="s">
        <v>3398</v>
      </c>
    </row>
    <row r="824" spans="1:16" x14ac:dyDescent="0.3">
      <c r="A824" t="s">
        <v>2858</v>
      </c>
      <c r="B824" t="s">
        <v>100</v>
      </c>
      <c r="D824" t="s">
        <v>2854</v>
      </c>
      <c r="F824" t="s">
        <v>3394</v>
      </c>
      <c r="G824" t="s">
        <v>2746</v>
      </c>
      <c r="H824" t="s">
        <v>695</v>
      </c>
      <c r="I824" t="s">
        <v>3396</v>
      </c>
      <c r="J824" t="s">
        <v>3369</v>
      </c>
      <c r="K824" t="s">
        <v>1661</v>
      </c>
      <c r="L824" t="s">
        <v>2043</v>
      </c>
      <c r="M824" t="s">
        <v>3397</v>
      </c>
      <c r="N824" t="s">
        <v>3365</v>
      </c>
      <c r="O824" t="s">
        <v>3366</v>
      </c>
      <c r="P824" t="s">
        <v>3398</v>
      </c>
    </row>
    <row r="825" spans="1:16" x14ac:dyDescent="0.3">
      <c r="A825" t="s">
        <v>2859</v>
      </c>
      <c r="B825" t="s">
        <v>100</v>
      </c>
      <c r="D825" t="s">
        <v>2854</v>
      </c>
      <c r="F825" t="s">
        <v>3394</v>
      </c>
      <c r="G825" t="s">
        <v>2746</v>
      </c>
      <c r="H825" t="s">
        <v>695</v>
      </c>
      <c r="I825" t="s">
        <v>3396</v>
      </c>
      <c r="J825" t="s">
        <v>3369</v>
      </c>
      <c r="K825" t="s">
        <v>1661</v>
      </c>
      <c r="L825" t="s">
        <v>2043</v>
      </c>
      <c r="M825" t="s">
        <v>3397</v>
      </c>
      <c r="N825" t="s">
        <v>3365</v>
      </c>
      <c r="O825" t="s">
        <v>3366</v>
      </c>
      <c r="P825" t="s">
        <v>3398</v>
      </c>
    </row>
    <row r="826" spans="1:16" x14ac:dyDescent="0.3">
      <c r="A826" t="s">
        <v>2860</v>
      </c>
      <c r="B826" t="s">
        <v>100</v>
      </c>
      <c r="D826" t="s">
        <v>2854</v>
      </c>
      <c r="F826" t="s">
        <v>3394</v>
      </c>
      <c r="G826" t="s">
        <v>2746</v>
      </c>
      <c r="H826" t="s">
        <v>695</v>
      </c>
      <c r="I826" t="s">
        <v>3396</v>
      </c>
      <c r="J826" t="s">
        <v>3369</v>
      </c>
      <c r="K826" t="s">
        <v>1661</v>
      </c>
      <c r="L826" t="s">
        <v>2043</v>
      </c>
      <c r="M826" t="s">
        <v>3397</v>
      </c>
      <c r="N826" t="s">
        <v>3365</v>
      </c>
      <c r="O826" t="s">
        <v>3366</v>
      </c>
      <c r="P826" t="s">
        <v>3398</v>
      </c>
    </row>
    <row r="827" spans="1:16" x14ac:dyDescent="0.3">
      <c r="A827" t="s">
        <v>2861</v>
      </c>
      <c r="B827" t="s">
        <v>100</v>
      </c>
      <c r="D827" t="s">
        <v>2854</v>
      </c>
      <c r="F827" t="s">
        <v>3394</v>
      </c>
      <c r="G827" t="s">
        <v>2746</v>
      </c>
      <c r="H827" t="s">
        <v>695</v>
      </c>
      <c r="I827" t="s">
        <v>3396</v>
      </c>
      <c r="J827" t="s">
        <v>3369</v>
      </c>
      <c r="K827" t="s">
        <v>1661</v>
      </c>
      <c r="L827" t="s">
        <v>2043</v>
      </c>
      <c r="M827" t="s">
        <v>3397</v>
      </c>
      <c r="N827" t="s">
        <v>3365</v>
      </c>
      <c r="O827" t="s">
        <v>3366</v>
      </c>
      <c r="P827" t="s">
        <v>3398</v>
      </c>
    </row>
    <row r="828" spans="1:16" x14ac:dyDescent="0.3">
      <c r="A828" t="s">
        <v>2862</v>
      </c>
      <c r="B828" t="s">
        <v>100</v>
      </c>
      <c r="D828" t="s">
        <v>2854</v>
      </c>
      <c r="F828" t="s">
        <v>3394</v>
      </c>
      <c r="G828" t="s">
        <v>2746</v>
      </c>
      <c r="H828" t="s">
        <v>695</v>
      </c>
      <c r="I828" t="s">
        <v>3396</v>
      </c>
      <c r="J828" t="s">
        <v>3369</v>
      </c>
      <c r="K828" t="s">
        <v>1661</v>
      </c>
      <c r="L828" t="s">
        <v>2043</v>
      </c>
      <c r="M828" t="s">
        <v>3397</v>
      </c>
      <c r="N828" t="s">
        <v>3365</v>
      </c>
      <c r="O828" t="s">
        <v>3366</v>
      </c>
      <c r="P828" t="s">
        <v>3398</v>
      </c>
    </row>
    <row r="829" spans="1:16" x14ac:dyDescent="0.3">
      <c r="A829" t="s">
        <v>2863</v>
      </c>
      <c r="B829" t="s">
        <v>100</v>
      </c>
      <c r="D829" t="s">
        <v>2854</v>
      </c>
      <c r="F829" t="s">
        <v>3394</v>
      </c>
      <c r="G829" t="s">
        <v>2746</v>
      </c>
      <c r="H829" t="s">
        <v>695</v>
      </c>
      <c r="I829" t="s">
        <v>3396</v>
      </c>
      <c r="J829" t="s">
        <v>3369</v>
      </c>
      <c r="K829" t="s">
        <v>1661</v>
      </c>
      <c r="L829" t="s">
        <v>2043</v>
      </c>
      <c r="M829" t="s">
        <v>3397</v>
      </c>
      <c r="N829" t="s">
        <v>3365</v>
      </c>
      <c r="O829" t="s">
        <v>3366</v>
      </c>
      <c r="P829" t="s">
        <v>3398</v>
      </c>
    </row>
    <row r="830" spans="1:16" x14ac:dyDescent="0.3">
      <c r="A830" t="s">
        <v>2864</v>
      </c>
      <c r="B830" t="s">
        <v>100</v>
      </c>
      <c r="D830" t="s">
        <v>2854</v>
      </c>
      <c r="F830" t="s">
        <v>3394</v>
      </c>
      <c r="G830" t="s">
        <v>2746</v>
      </c>
      <c r="H830" t="s">
        <v>695</v>
      </c>
      <c r="I830" t="s">
        <v>3396</v>
      </c>
      <c r="J830" t="s">
        <v>3369</v>
      </c>
      <c r="K830" t="s">
        <v>1661</v>
      </c>
      <c r="L830" t="s">
        <v>2043</v>
      </c>
      <c r="M830" t="s">
        <v>3397</v>
      </c>
      <c r="N830" t="s">
        <v>3365</v>
      </c>
      <c r="O830" t="s">
        <v>3366</v>
      </c>
      <c r="P830" t="s">
        <v>3398</v>
      </c>
    </row>
    <row r="831" spans="1:16" x14ac:dyDescent="0.3">
      <c r="A831" t="s">
        <v>2865</v>
      </c>
      <c r="B831" t="s">
        <v>100</v>
      </c>
      <c r="D831" t="s">
        <v>2854</v>
      </c>
      <c r="F831" t="s">
        <v>3394</v>
      </c>
      <c r="G831" t="s">
        <v>2746</v>
      </c>
      <c r="H831" t="s">
        <v>695</v>
      </c>
      <c r="I831" t="s">
        <v>3396</v>
      </c>
      <c r="J831" t="s">
        <v>3369</v>
      </c>
      <c r="K831" t="s">
        <v>1661</v>
      </c>
      <c r="L831" t="s">
        <v>2043</v>
      </c>
      <c r="M831" t="s">
        <v>3397</v>
      </c>
      <c r="N831" t="s">
        <v>3365</v>
      </c>
      <c r="O831" t="s">
        <v>3366</v>
      </c>
      <c r="P831" t="s">
        <v>3398</v>
      </c>
    </row>
    <row r="832" spans="1:16" x14ac:dyDescent="0.3">
      <c r="A832" t="s">
        <v>2866</v>
      </c>
      <c r="B832" t="s">
        <v>100</v>
      </c>
      <c r="D832" t="s">
        <v>2854</v>
      </c>
      <c r="F832" t="s">
        <v>3394</v>
      </c>
      <c r="G832" t="s">
        <v>2746</v>
      </c>
      <c r="H832" t="s">
        <v>695</v>
      </c>
      <c r="I832" t="s">
        <v>3396</v>
      </c>
      <c r="J832" t="s">
        <v>3369</v>
      </c>
      <c r="K832" t="s">
        <v>1661</v>
      </c>
      <c r="L832" t="s">
        <v>2043</v>
      </c>
      <c r="M832" t="s">
        <v>3397</v>
      </c>
      <c r="N832" t="s">
        <v>3365</v>
      </c>
      <c r="O832" t="s">
        <v>3366</v>
      </c>
      <c r="P832" t="s">
        <v>3398</v>
      </c>
    </row>
    <row r="833" spans="1:16" x14ac:dyDescent="0.3">
      <c r="A833" t="s">
        <v>2867</v>
      </c>
      <c r="B833" t="s">
        <v>100</v>
      </c>
      <c r="D833" t="s">
        <v>2854</v>
      </c>
      <c r="F833" t="s">
        <v>3394</v>
      </c>
      <c r="G833" t="s">
        <v>2746</v>
      </c>
      <c r="H833" t="s">
        <v>695</v>
      </c>
      <c r="I833" t="s">
        <v>3396</v>
      </c>
      <c r="J833" t="s">
        <v>3369</v>
      </c>
      <c r="K833" t="s">
        <v>1661</v>
      </c>
      <c r="L833" t="s">
        <v>2043</v>
      </c>
      <c r="M833" t="s">
        <v>3397</v>
      </c>
      <c r="N833" t="s">
        <v>3365</v>
      </c>
      <c r="O833" t="s">
        <v>3366</v>
      </c>
      <c r="P833" t="s">
        <v>3398</v>
      </c>
    </row>
    <row r="834" spans="1:16" x14ac:dyDescent="0.3">
      <c r="A834" t="s">
        <v>357</v>
      </c>
      <c r="B834" t="s">
        <v>100</v>
      </c>
      <c r="D834" t="s">
        <v>2854</v>
      </c>
      <c r="F834" t="s">
        <v>3394</v>
      </c>
      <c r="G834" t="s">
        <v>2746</v>
      </c>
      <c r="H834" t="s">
        <v>695</v>
      </c>
      <c r="I834" t="s">
        <v>3396</v>
      </c>
      <c r="J834" t="s">
        <v>3369</v>
      </c>
      <c r="K834" t="s">
        <v>1661</v>
      </c>
      <c r="L834" t="s">
        <v>2043</v>
      </c>
      <c r="M834" t="s">
        <v>3397</v>
      </c>
      <c r="N834" t="s">
        <v>3365</v>
      </c>
      <c r="O834" t="s">
        <v>3366</v>
      </c>
      <c r="P834" t="s">
        <v>3398</v>
      </c>
    </row>
    <row r="835" spans="1:16" x14ac:dyDescent="0.3">
      <c r="A835" t="s">
        <v>2868</v>
      </c>
      <c r="B835" t="s">
        <v>100</v>
      </c>
      <c r="D835" t="s">
        <v>2854</v>
      </c>
      <c r="F835" t="s">
        <v>3394</v>
      </c>
      <c r="G835" t="s">
        <v>2746</v>
      </c>
      <c r="H835" t="s">
        <v>695</v>
      </c>
      <c r="I835" t="s">
        <v>3396</v>
      </c>
      <c r="J835" t="s">
        <v>3369</v>
      </c>
      <c r="K835" t="s">
        <v>1661</v>
      </c>
      <c r="L835" t="s">
        <v>2043</v>
      </c>
      <c r="M835" t="s">
        <v>3397</v>
      </c>
      <c r="N835" t="s">
        <v>3365</v>
      </c>
      <c r="O835" t="s">
        <v>3366</v>
      </c>
      <c r="P835" t="s">
        <v>3398</v>
      </c>
    </row>
    <row r="836" spans="1:16" x14ac:dyDescent="0.3">
      <c r="A836" t="s">
        <v>2869</v>
      </c>
      <c r="B836" t="s">
        <v>100</v>
      </c>
      <c r="D836" t="s">
        <v>2854</v>
      </c>
      <c r="F836" t="s">
        <v>3394</v>
      </c>
      <c r="G836" t="s">
        <v>2746</v>
      </c>
      <c r="H836" t="s">
        <v>695</v>
      </c>
      <c r="I836" t="s">
        <v>3396</v>
      </c>
      <c r="J836" t="s">
        <v>3369</v>
      </c>
      <c r="K836" t="s">
        <v>1661</v>
      </c>
      <c r="L836" t="s">
        <v>2043</v>
      </c>
      <c r="M836" t="s">
        <v>3397</v>
      </c>
      <c r="N836" t="s">
        <v>3365</v>
      </c>
      <c r="O836" t="s">
        <v>3366</v>
      </c>
      <c r="P836" t="s">
        <v>3398</v>
      </c>
    </row>
    <row r="837" spans="1:16" x14ac:dyDescent="0.3">
      <c r="A837" t="s">
        <v>638</v>
      </c>
      <c r="B837" t="s">
        <v>100</v>
      </c>
      <c r="D837" t="s">
        <v>2854</v>
      </c>
      <c r="F837" t="s">
        <v>3394</v>
      </c>
      <c r="G837" t="s">
        <v>2746</v>
      </c>
      <c r="H837" t="s">
        <v>695</v>
      </c>
      <c r="I837" t="s">
        <v>3396</v>
      </c>
      <c r="J837" t="s">
        <v>3369</v>
      </c>
      <c r="K837" t="s">
        <v>1661</v>
      </c>
      <c r="L837" t="s">
        <v>2043</v>
      </c>
      <c r="M837" t="s">
        <v>3397</v>
      </c>
      <c r="N837" t="s">
        <v>3365</v>
      </c>
      <c r="O837" t="s">
        <v>3366</v>
      </c>
      <c r="P837" t="s">
        <v>3398</v>
      </c>
    </row>
    <row r="838" spans="1:16" x14ac:dyDescent="0.3">
      <c r="A838" t="s">
        <v>2870</v>
      </c>
      <c r="B838" t="s">
        <v>100</v>
      </c>
      <c r="D838" t="s">
        <v>2854</v>
      </c>
      <c r="F838" t="s">
        <v>3394</v>
      </c>
      <c r="G838" t="s">
        <v>2746</v>
      </c>
      <c r="H838" t="s">
        <v>695</v>
      </c>
      <c r="I838" t="s">
        <v>3396</v>
      </c>
      <c r="J838" t="s">
        <v>3369</v>
      </c>
      <c r="K838" t="s">
        <v>1661</v>
      </c>
      <c r="L838" t="s">
        <v>2043</v>
      </c>
      <c r="M838" t="s">
        <v>3397</v>
      </c>
      <c r="N838" t="s">
        <v>3365</v>
      </c>
      <c r="O838" t="s">
        <v>3366</v>
      </c>
      <c r="P838" t="s">
        <v>3398</v>
      </c>
    </row>
    <row r="839" spans="1:16" x14ac:dyDescent="0.3">
      <c r="A839" t="s">
        <v>2871</v>
      </c>
      <c r="B839" t="s">
        <v>100</v>
      </c>
      <c r="D839" t="s">
        <v>2854</v>
      </c>
      <c r="F839" t="s">
        <v>3394</v>
      </c>
      <c r="G839" t="s">
        <v>2746</v>
      </c>
      <c r="H839" t="s">
        <v>695</v>
      </c>
      <c r="I839" t="s">
        <v>3396</v>
      </c>
      <c r="J839" t="s">
        <v>3369</v>
      </c>
      <c r="K839" t="s">
        <v>1661</v>
      </c>
      <c r="L839" t="s">
        <v>2043</v>
      </c>
      <c r="M839" t="s">
        <v>3397</v>
      </c>
      <c r="N839" t="s">
        <v>3365</v>
      </c>
      <c r="O839" t="s">
        <v>3366</v>
      </c>
      <c r="P839" t="s">
        <v>3398</v>
      </c>
    </row>
    <row r="840" spans="1:16" x14ac:dyDescent="0.3">
      <c r="A840" t="s">
        <v>360</v>
      </c>
      <c r="B840" t="s">
        <v>100</v>
      </c>
      <c r="D840" t="s">
        <v>2854</v>
      </c>
      <c r="F840" t="s">
        <v>3394</v>
      </c>
      <c r="G840" t="s">
        <v>2746</v>
      </c>
      <c r="H840" t="s">
        <v>695</v>
      </c>
      <c r="I840" t="s">
        <v>3396</v>
      </c>
      <c r="J840" t="s">
        <v>3369</v>
      </c>
      <c r="K840" t="s">
        <v>1661</v>
      </c>
      <c r="L840" t="s">
        <v>2043</v>
      </c>
      <c r="M840" t="s">
        <v>3397</v>
      </c>
      <c r="N840" t="s">
        <v>3365</v>
      </c>
      <c r="O840" t="s">
        <v>3366</v>
      </c>
      <c r="P840" t="s">
        <v>3398</v>
      </c>
    </row>
    <row r="841" spans="1:16" x14ac:dyDescent="0.3">
      <c r="A841" t="s">
        <v>2872</v>
      </c>
      <c r="B841" t="s">
        <v>100</v>
      </c>
      <c r="D841" t="s">
        <v>2854</v>
      </c>
      <c r="F841" t="s">
        <v>3394</v>
      </c>
      <c r="G841" t="s">
        <v>2746</v>
      </c>
      <c r="H841" t="s">
        <v>695</v>
      </c>
      <c r="I841" t="s">
        <v>3396</v>
      </c>
      <c r="J841" t="s">
        <v>3369</v>
      </c>
      <c r="K841" t="s">
        <v>1661</v>
      </c>
      <c r="L841" t="s">
        <v>2043</v>
      </c>
      <c r="M841" t="s">
        <v>3397</v>
      </c>
      <c r="N841" t="s">
        <v>3365</v>
      </c>
      <c r="O841" t="s">
        <v>3366</v>
      </c>
      <c r="P841" t="s">
        <v>3398</v>
      </c>
    </row>
    <row r="842" spans="1:16" x14ac:dyDescent="0.3">
      <c r="A842" t="s">
        <v>2873</v>
      </c>
      <c r="B842" t="s">
        <v>100</v>
      </c>
      <c r="D842" t="s">
        <v>2854</v>
      </c>
      <c r="F842" t="s">
        <v>3394</v>
      </c>
      <c r="G842" t="s">
        <v>2746</v>
      </c>
      <c r="H842" t="s">
        <v>695</v>
      </c>
      <c r="I842" t="s">
        <v>3396</v>
      </c>
      <c r="J842" t="s">
        <v>3369</v>
      </c>
      <c r="K842" t="s">
        <v>1661</v>
      </c>
      <c r="L842" t="s">
        <v>2043</v>
      </c>
      <c r="M842" t="s">
        <v>3397</v>
      </c>
      <c r="N842" t="s">
        <v>3365</v>
      </c>
      <c r="O842" t="s">
        <v>3366</v>
      </c>
      <c r="P842" t="s">
        <v>3398</v>
      </c>
    </row>
    <row r="843" spans="1:16" x14ac:dyDescent="0.3">
      <c r="A843" t="s">
        <v>337</v>
      </c>
      <c r="B843" t="s">
        <v>100</v>
      </c>
      <c r="D843" t="s">
        <v>2854</v>
      </c>
      <c r="F843" t="s">
        <v>3394</v>
      </c>
      <c r="G843" t="s">
        <v>2746</v>
      </c>
      <c r="H843" t="s">
        <v>695</v>
      </c>
      <c r="I843" t="s">
        <v>3396</v>
      </c>
      <c r="J843" t="s">
        <v>3369</v>
      </c>
      <c r="K843" t="s">
        <v>1661</v>
      </c>
      <c r="L843" t="s">
        <v>2043</v>
      </c>
      <c r="M843" t="s">
        <v>3397</v>
      </c>
      <c r="N843" t="s">
        <v>3365</v>
      </c>
      <c r="O843" t="s">
        <v>3366</v>
      </c>
      <c r="P843" t="s">
        <v>3398</v>
      </c>
    </row>
    <row r="844" spans="1:16" x14ac:dyDescent="0.3">
      <c r="A844" t="s">
        <v>2874</v>
      </c>
      <c r="B844" t="s">
        <v>100</v>
      </c>
      <c r="D844" t="s">
        <v>2854</v>
      </c>
      <c r="F844" t="s">
        <v>3394</v>
      </c>
      <c r="G844" t="s">
        <v>2746</v>
      </c>
      <c r="H844" t="s">
        <v>695</v>
      </c>
      <c r="I844" t="s">
        <v>3396</v>
      </c>
      <c r="J844" t="s">
        <v>3369</v>
      </c>
      <c r="K844" t="s">
        <v>1661</v>
      </c>
      <c r="L844" t="s">
        <v>2043</v>
      </c>
      <c r="M844" t="s">
        <v>3397</v>
      </c>
      <c r="N844" t="s">
        <v>3365</v>
      </c>
      <c r="O844" t="s">
        <v>3366</v>
      </c>
      <c r="P844" t="s">
        <v>3398</v>
      </c>
    </row>
    <row r="845" spans="1:16" x14ac:dyDescent="0.3">
      <c r="A845" t="s">
        <v>2875</v>
      </c>
      <c r="B845" t="s">
        <v>100</v>
      </c>
      <c r="D845" t="s">
        <v>2854</v>
      </c>
      <c r="F845" t="s">
        <v>3394</v>
      </c>
      <c r="G845" t="s">
        <v>2746</v>
      </c>
      <c r="H845" t="s">
        <v>695</v>
      </c>
      <c r="I845" t="s">
        <v>3396</v>
      </c>
      <c r="J845" t="s">
        <v>3369</v>
      </c>
      <c r="K845" t="s">
        <v>1661</v>
      </c>
      <c r="L845" t="s">
        <v>2043</v>
      </c>
      <c r="M845" t="s">
        <v>3397</v>
      </c>
      <c r="N845" t="s">
        <v>3365</v>
      </c>
      <c r="O845" t="s">
        <v>3366</v>
      </c>
      <c r="P845" t="s">
        <v>3398</v>
      </c>
    </row>
    <row r="846" spans="1:16" x14ac:dyDescent="0.3">
      <c r="A846" t="s">
        <v>2876</v>
      </c>
      <c r="B846" t="s">
        <v>100</v>
      </c>
      <c r="D846" t="s">
        <v>2854</v>
      </c>
      <c r="F846" t="s">
        <v>3394</v>
      </c>
      <c r="G846" t="s">
        <v>2746</v>
      </c>
      <c r="H846" t="s">
        <v>695</v>
      </c>
      <c r="I846" t="s">
        <v>3396</v>
      </c>
      <c r="J846" t="s">
        <v>3369</v>
      </c>
      <c r="K846" t="s">
        <v>1661</v>
      </c>
      <c r="L846" t="s">
        <v>2043</v>
      </c>
      <c r="M846" t="s">
        <v>3397</v>
      </c>
      <c r="N846" t="s">
        <v>3365</v>
      </c>
      <c r="O846" t="s">
        <v>3366</v>
      </c>
      <c r="P846" t="s">
        <v>3398</v>
      </c>
    </row>
    <row r="847" spans="1:16" x14ac:dyDescent="0.3">
      <c r="A847" t="s">
        <v>2877</v>
      </c>
      <c r="B847" t="s">
        <v>100</v>
      </c>
      <c r="D847" t="s">
        <v>2854</v>
      </c>
      <c r="F847" t="s">
        <v>3394</v>
      </c>
      <c r="G847" t="s">
        <v>2746</v>
      </c>
      <c r="H847" t="s">
        <v>695</v>
      </c>
      <c r="I847" t="s">
        <v>3396</v>
      </c>
      <c r="J847" t="s">
        <v>3369</v>
      </c>
      <c r="K847" t="s">
        <v>1661</v>
      </c>
      <c r="L847" t="s">
        <v>2043</v>
      </c>
      <c r="M847" t="s">
        <v>3397</v>
      </c>
      <c r="N847" t="s">
        <v>3365</v>
      </c>
      <c r="O847" t="s">
        <v>3366</v>
      </c>
      <c r="P847" t="s">
        <v>3398</v>
      </c>
    </row>
    <row r="848" spans="1:16" x14ac:dyDescent="0.3">
      <c r="A848" t="s">
        <v>2878</v>
      </c>
      <c r="B848" t="s">
        <v>100</v>
      </c>
      <c r="D848" t="s">
        <v>2854</v>
      </c>
      <c r="F848" t="s">
        <v>3394</v>
      </c>
      <c r="G848" t="s">
        <v>2746</v>
      </c>
      <c r="H848" t="s">
        <v>695</v>
      </c>
      <c r="I848" t="s">
        <v>3396</v>
      </c>
      <c r="J848" t="s">
        <v>3369</v>
      </c>
      <c r="K848" t="s">
        <v>1661</v>
      </c>
      <c r="L848" t="s">
        <v>2043</v>
      </c>
      <c r="M848" t="s">
        <v>3397</v>
      </c>
      <c r="N848" t="s">
        <v>3365</v>
      </c>
      <c r="O848" t="s">
        <v>3366</v>
      </c>
      <c r="P848" t="s">
        <v>3398</v>
      </c>
    </row>
    <row r="849" spans="1:16" x14ac:dyDescent="0.3">
      <c r="A849" t="s">
        <v>2879</v>
      </c>
      <c r="B849" t="s">
        <v>100</v>
      </c>
      <c r="D849" t="s">
        <v>2854</v>
      </c>
      <c r="F849" t="s">
        <v>3394</v>
      </c>
      <c r="G849" t="s">
        <v>2746</v>
      </c>
      <c r="H849" t="s">
        <v>695</v>
      </c>
      <c r="I849" t="s">
        <v>3396</v>
      </c>
      <c r="J849" t="s">
        <v>3369</v>
      </c>
      <c r="K849" t="s">
        <v>1661</v>
      </c>
      <c r="L849" t="s">
        <v>2043</v>
      </c>
      <c r="M849" t="s">
        <v>3397</v>
      </c>
      <c r="N849" t="s">
        <v>3365</v>
      </c>
      <c r="O849" t="s">
        <v>3366</v>
      </c>
      <c r="P849" t="s">
        <v>3398</v>
      </c>
    </row>
    <row r="850" spans="1:16" x14ac:dyDescent="0.3">
      <c r="A850" t="s">
        <v>740</v>
      </c>
      <c r="B850" t="s">
        <v>100</v>
      </c>
      <c r="D850" t="s">
        <v>2854</v>
      </c>
      <c r="F850" t="s">
        <v>3394</v>
      </c>
      <c r="G850" t="s">
        <v>2746</v>
      </c>
      <c r="H850" t="s">
        <v>695</v>
      </c>
      <c r="I850" t="s">
        <v>3396</v>
      </c>
      <c r="J850" t="s">
        <v>3369</v>
      </c>
      <c r="K850" t="s">
        <v>1661</v>
      </c>
      <c r="L850" t="s">
        <v>2043</v>
      </c>
      <c r="M850" t="s">
        <v>3397</v>
      </c>
      <c r="N850" t="s">
        <v>3365</v>
      </c>
      <c r="O850" t="s">
        <v>3366</v>
      </c>
      <c r="P850" t="s">
        <v>3398</v>
      </c>
    </row>
    <row r="851" spans="1:16" x14ac:dyDescent="0.3">
      <c r="A851" t="s">
        <v>2880</v>
      </c>
      <c r="B851" t="s">
        <v>100</v>
      </c>
      <c r="D851" t="s">
        <v>2854</v>
      </c>
      <c r="F851" t="s">
        <v>3394</v>
      </c>
      <c r="G851" t="s">
        <v>2746</v>
      </c>
      <c r="H851" t="s">
        <v>695</v>
      </c>
      <c r="I851" t="s">
        <v>3396</v>
      </c>
      <c r="J851" t="s">
        <v>3369</v>
      </c>
      <c r="K851" t="s">
        <v>1661</v>
      </c>
      <c r="L851" t="s">
        <v>2043</v>
      </c>
      <c r="M851" t="s">
        <v>3397</v>
      </c>
      <c r="N851" t="s">
        <v>3365</v>
      </c>
      <c r="O851" t="s">
        <v>3366</v>
      </c>
      <c r="P851" t="s">
        <v>3398</v>
      </c>
    </row>
    <row r="852" spans="1:16" x14ac:dyDescent="0.3">
      <c r="A852" t="s">
        <v>2881</v>
      </c>
      <c r="B852" t="s">
        <v>100</v>
      </c>
      <c r="D852" t="s">
        <v>2854</v>
      </c>
      <c r="F852" t="s">
        <v>3394</v>
      </c>
      <c r="G852" t="s">
        <v>2746</v>
      </c>
      <c r="H852" t="s">
        <v>695</v>
      </c>
      <c r="I852" t="s">
        <v>3396</v>
      </c>
      <c r="J852" t="s">
        <v>3369</v>
      </c>
      <c r="K852" t="s">
        <v>1661</v>
      </c>
      <c r="L852" t="s">
        <v>2043</v>
      </c>
      <c r="M852" t="s">
        <v>3397</v>
      </c>
      <c r="N852" t="s">
        <v>3365</v>
      </c>
      <c r="O852" t="s">
        <v>3366</v>
      </c>
      <c r="P852" t="s">
        <v>3398</v>
      </c>
    </row>
    <row r="853" spans="1:16" x14ac:dyDescent="0.3">
      <c r="A853" t="s">
        <v>2882</v>
      </c>
      <c r="B853" t="s">
        <v>100</v>
      </c>
      <c r="D853" t="s">
        <v>2854</v>
      </c>
      <c r="F853" t="s">
        <v>3394</v>
      </c>
      <c r="G853" t="s">
        <v>2746</v>
      </c>
      <c r="H853" t="s">
        <v>695</v>
      </c>
      <c r="I853" t="s">
        <v>3396</v>
      </c>
      <c r="J853" t="s">
        <v>3369</v>
      </c>
      <c r="K853" t="s">
        <v>1661</v>
      </c>
      <c r="L853" t="s">
        <v>2043</v>
      </c>
      <c r="M853" t="s">
        <v>3397</v>
      </c>
      <c r="N853" t="s">
        <v>3365</v>
      </c>
      <c r="O853" t="s">
        <v>3366</v>
      </c>
      <c r="P853" t="s">
        <v>3398</v>
      </c>
    </row>
    <row r="854" spans="1:16" x14ac:dyDescent="0.3">
      <c r="A854" t="s">
        <v>2883</v>
      </c>
      <c r="B854" t="s">
        <v>100</v>
      </c>
      <c r="D854" t="s">
        <v>2854</v>
      </c>
      <c r="F854" t="s">
        <v>3394</v>
      </c>
      <c r="G854" t="s">
        <v>2746</v>
      </c>
      <c r="H854" t="s">
        <v>695</v>
      </c>
      <c r="I854" t="s">
        <v>3396</v>
      </c>
      <c r="J854" t="s">
        <v>3369</v>
      </c>
      <c r="K854" t="s">
        <v>1661</v>
      </c>
      <c r="L854" t="s">
        <v>2043</v>
      </c>
      <c r="M854" t="s">
        <v>3397</v>
      </c>
      <c r="N854" t="s">
        <v>3365</v>
      </c>
      <c r="O854" t="s">
        <v>3366</v>
      </c>
      <c r="P854" t="s">
        <v>3398</v>
      </c>
    </row>
    <row r="855" spans="1:16" x14ac:dyDescent="0.3">
      <c r="A855" t="s">
        <v>2884</v>
      </c>
      <c r="B855" t="s">
        <v>100</v>
      </c>
      <c r="D855" t="s">
        <v>2854</v>
      </c>
      <c r="F855" t="s">
        <v>3394</v>
      </c>
      <c r="G855" t="s">
        <v>2746</v>
      </c>
      <c r="H855" t="s">
        <v>695</v>
      </c>
      <c r="I855" t="s">
        <v>3396</v>
      </c>
      <c r="J855" t="s">
        <v>3369</v>
      </c>
      <c r="K855" t="s">
        <v>1661</v>
      </c>
      <c r="L855" t="s">
        <v>2043</v>
      </c>
      <c r="M855" t="s">
        <v>3397</v>
      </c>
      <c r="N855" t="s">
        <v>3365</v>
      </c>
      <c r="O855" t="s">
        <v>3366</v>
      </c>
      <c r="P855" t="s">
        <v>3398</v>
      </c>
    </row>
    <row r="856" spans="1:16" x14ac:dyDescent="0.3">
      <c r="A856" t="s">
        <v>2885</v>
      </c>
      <c r="B856" t="s">
        <v>456</v>
      </c>
      <c r="D856" t="s">
        <v>2744</v>
      </c>
      <c r="E856" t="s">
        <v>2886</v>
      </c>
      <c r="F856" t="s">
        <v>3394</v>
      </c>
      <c r="G856" t="s">
        <v>2746</v>
      </c>
      <c r="H856" t="s">
        <v>1078</v>
      </c>
      <c r="I856" t="s">
        <v>3396</v>
      </c>
      <c r="J856" t="s">
        <v>3369</v>
      </c>
      <c r="K856" t="s">
        <v>3387</v>
      </c>
      <c r="L856" t="s">
        <v>3388</v>
      </c>
      <c r="M856" t="s">
        <v>3397</v>
      </c>
      <c r="N856" t="s">
        <v>3365</v>
      </c>
      <c r="O856" t="s">
        <v>3376</v>
      </c>
      <c r="P856" t="s">
        <v>3398</v>
      </c>
    </row>
    <row r="857" spans="1:16" x14ac:dyDescent="0.3">
      <c r="A857" t="s">
        <v>2887</v>
      </c>
      <c r="B857" t="s">
        <v>456</v>
      </c>
      <c r="D857" t="s">
        <v>2744</v>
      </c>
      <c r="E857" t="s">
        <v>2886</v>
      </c>
      <c r="F857" t="s">
        <v>3394</v>
      </c>
      <c r="G857" t="s">
        <v>2746</v>
      </c>
      <c r="H857" t="s">
        <v>1078</v>
      </c>
      <c r="I857" t="s">
        <v>3396</v>
      </c>
      <c r="J857" t="s">
        <v>3369</v>
      </c>
      <c r="K857" t="s">
        <v>3387</v>
      </c>
      <c r="L857" t="s">
        <v>3388</v>
      </c>
      <c r="M857" t="s">
        <v>3397</v>
      </c>
      <c r="N857" t="s">
        <v>3365</v>
      </c>
      <c r="O857" t="s">
        <v>3376</v>
      </c>
      <c r="P857" t="s">
        <v>3398</v>
      </c>
    </row>
    <row r="858" spans="1:16" x14ac:dyDescent="0.3">
      <c r="A858" t="s">
        <v>2888</v>
      </c>
      <c r="B858" t="s">
        <v>456</v>
      </c>
      <c r="D858" t="s">
        <v>2744</v>
      </c>
      <c r="E858" t="s">
        <v>2886</v>
      </c>
      <c r="F858" t="s">
        <v>3394</v>
      </c>
      <c r="G858" t="s">
        <v>2746</v>
      </c>
      <c r="H858" t="s">
        <v>1078</v>
      </c>
      <c r="I858" t="s">
        <v>3396</v>
      </c>
      <c r="J858" t="s">
        <v>3369</v>
      </c>
      <c r="K858" t="s">
        <v>3387</v>
      </c>
      <c r="L858" t="s">
        <v>3388</v>
      </c>
      <c r="M858" t="s">
        <v>3397</v>
      </c>
      <c r="N858" t="s">
        <v>3365</v>
      </c>
      <c r="O858" t="s">
        <v>3376</v>
      </c>
      <c r="P858" t="s">
        <v>3398</v>
      </c>
    </row>
    <row r="859" spans="1:16" x14ac:dyDescent="0.3">
      <c r="A859" t="s">
        <v>2889</v>
      </c>
      <c r="B859" t="s">
        <v>456</v>
      </c>
      <c r="D859" t="s">
        <v>2744</v>
      </c>
      <c r="E859" t="s">
        <v>2886</v>
      </c>
      <c r="F859" t="s">
        <v>3394</v>
      </c>
      <c r="G859" t="s">
        <v>2746</v>
      </c>
      <c r="H859" t="s">
        <v>1078</v>
      </c>
      <c r="I859" t="s">
        <v>3396</v>
      </c>
      <c r="J859" t="s">
        <v>3369</v>
      </c>
      <c r="K859" t="s">
        <v>3387</v>
      </c>
      <c r="L859" t="s">
        <v>3388</v>
      </c>
      <c r="M859" t="s">
        <v>3397</v>
      </c>
      <c r="N859" t="s">
        <v>3365</v>
      </c>
      <c r="O859" t="s">
        <v>3376</v>
      </c>
      <c r="P859" t="s">
        <v>3398</v>
      </c>
    </row>
    <row r="860" spans="1:16" x14ac:dyDescent="0.3">
      <c r="A860" t="s">
        <v>2890</v>
      </c>
      <c r="B860" t="s">
        <v>456</v>
      </c>
      <c r="D860" t="s">
        <v>2744</v>
      </c>
      <c r="E860" t="s">
        <v>2886</v>
      </c>
      <c r="F860" t="s">
        <v>3394</v>
      </c>
      <c r="G860" t="s">
        <v>2746</v>
      </c>
      <c r="H860" t="s">
        <v>1078</v>
      </c>
      <c r="I860" t="s">
        <v>3396</v>
      </c>
      <c r="J860" t="s">
        <v>3369</v>
      </c>
      <c r="K860" t="s">
        <v>3387</v>
      </c>
      <c r="L860" t="s">
        <v>3388</v>
      </c>
      <c r="M860" t="s">
        <v>3397</v>
      </c>
      <c r="N860" t="s">
        <v>3365</v>
      </c>
      <c r="O860" t="s">
        <v>3376</v>
      </c>
      <c r="P860" t="s">
        <v>3398</v>
      </c>
    </row>
    <row r="861" spans="1:16" x14ac:dyDescent="0.3">
      <c r="A861" t="s">
        <v>2891</v>
      </c>
      <c r="B861" t="s">
        <v>456</v>
      </c>
      <c r="D861" t="s">
        <v>2744</v>
      </c>
      <c r="E861" t="s">
        <v>2886</v>
      </c>
      <c r="F861" t="s">
        <v>3394</v>
      </c>
      <c r="G861" t="s">
        <v>2746</v>
      </c>
      <c r="H861" t="s">
        <v>1078</v>
      </c>
      <c r="I861" t="s">
        <v>3396</v>
      </c>
      <c r="J861" t="s">
        <v>3369</v>
      </c>
      <c r="K861" t="s">
        <v>3387</v>
      </c>
      <c r="L861" t="s">
        <v>3388</v>
      </c>
      <c r="M861" t="s">
        <v>3397</v>
      </c>
      <c r="N861" t="s">
        <v>3365</v>
      </c>
      <c r="O861" t="s">
        <v>3376</v>
      </c>
      <c r="P861" t="s">
        <v>3398</v>
      </c>
    </row>
    <row r="862" spans="1:16" x14ac:dyDescent="0.3">
      <c r="A862" t="s">
        <v>2892</v>
      </c>
      <c r="B862" t="s">
        <v>456</v>
      </c>
      <c r="D862" t="s">
        <v>2744</v>
      </c>
      <c r="E862" t="s">
        <v>2886</v>
      </c>
      <c r="F862" t="s">
        <v>3394</v>
      </c>
      <c r="G862" t="s">
        <v>2746</v>
      </c>
      <c r="H862" t="s">
        <v>1078</v>
      </c>
      <c r="I862" t="s">
        <v>3396</v>
      </c>
      <c r="J862" t="s">
        <v>3369</v>
      </c>
      <c r="K862" t="s">
        <v>3387</v>
      </c>
      <c r="L862" t="s">
        <v>3388</v>
      </c>
      <c r="M862" t="s">
        <v>3397</v>
      </c>
      <c r="N862" t="s">
        <v>3365</v>
      </c>
      <c r="O862" t="s">
        <v>3376</v>
      </c>
      <c r="P862" t="s">
        <v>3398</v>
      </c>
    </row>
    <row r="863" spans="1:16" x14ac:dyDescent="0.3">
      <c r="A863" t="s">
        <v>2893</v>
      </c>
      <c r="B863" t="s">
        <v>456</v>
      </c>
      <c r="D863" t="s">
        <v>2744</v>
      </c>
      <c r="E863" t="s">
        <v>2886</v>
      </c>
      <c r="F863" t="s">
        <v>3394</v>
      </c>
      <c r="G863" t="s">
        <v>2746</v>
      </c>
      <c r="H863" t="s">
        <v>1078</v>
      </c>
      <c r="I863" t="s">
        <v>3396</v>
      </c>
      <c r="J863" t="s">
        <v>3369</v>
      </c>
      <c r="K863" t="s">
        <v>3387</v>
      </c>
      <c r="L863" t="s">
        <v>3388</v>
      </c>
      <c r="M863" t="s">
        <v>3397</v>
      </c>
      <c r="N863" t="s">
        <v>3365</v>
      </c>
      <c r="O863" t="s">
        <v>3376</v>
      </c>
      <c r="P863" t="s">
        <v>3398</v>
      </c>
    </row>
    <row r="864" spans="1:16" x14ac:dyDescent="0.3">
      <c r="A864" t="s">
        <v>2894</v>
      </c>
      <c r="B864" t="s">
        <v>456</v>
      </c>
      <c r="D864" t="s">
        <v>2744</v>
      </c>
      <c r="E864" t="s">
        <v>2886</v>
      </c>
      <c r="F864" t="s">
        <v>3394</v>
      </c>
      <c r="G864" t="s">
        <v>2746</v>
      </c>
      <c r="H864" t="s">
        <v>1078</v>
      </c>
      <c r="I864" t="s">
        <v>3396</v>
      </c>
      <c r="J864" t="s">
        <v>3369</v>
      </c>
      <c r="K864" t="s">
        <v>3387</v>
      </c>
      <c r="L864" t="s">
        <v>3388</v>
      </c>
      <c r="M864" t="s">
        <v>3397</v>
      </c>
      <c r="N864" t="s">
        <v>3365</v>
      </c>
      <c r="O864" t="s">
        <v>3376</v>
      </c>
      <c r="P864" t="s">
        <v>3398</v>
      </c>
    </row>
    <row r="865" spans="1:16" x14ac:dyDescent="0.3">
      <c r="A865" t="s">
        <v>2895</v>
      </c>
      <c r="B865" t="s">
        <v>456</v>
      </c>
      <c r="D865" t="s">
        <v>2744</v>
      </c>
      <c r="E865" t="s">
        <v>2886</v>
      </c>
      <c r="F865" t="s">
        <v>3394</v>
      </c>
      <c r="G865" t="s">
        <v>2746</v>
      </c>
      <c r="H865" t="s">
        <v>1078</v>
      </c>
      <c r="I865" t="s">
        <v>3396</v>
      </c>
      <c r="J865" t="s">
        <v>3369</v>
      </c>
      <c r="K865" t="s">
        <v>3387</v>
      </c>
      <c r="L865" t="s">
        <v>3388</v>
      </c>
      <c r="M865" t="s">
        <v>3397</v>
      </c>
      <c r="N865" t="s">
        <v>3365</v>
      </c>
      <c r="O865" t="s">
        <v>3376</v>
      </c>
      <c r="P865" t="s">
        <v>3398</v>
      </c>
    </row>
    <row r="866" spans="1:16" x14ac:dyDescent="0.3">
      <c r="A866" t="s">
        <v>2896</v>
      </c>
      <c r="B866" t="s">
        <v>456</v>
      </c>
      <c r="D866" t="s">
        <v>2744</v>
      </c>
      <c r="E866" t="s">
        <v>2886</v>
      </c>
      <c r="F866" t="s">
        <v>3394</v>
      </c>
      <c r="G866" t="s">
        <v>2746</v>
      </c>
      <c r="H866" t="s">
        <v>1078</v>
      </c>
      <c r="I866" t="s">
        <v>3396</v>
      </c>
      <c r="J866" t="s">
        <v>3369</v>
      </c>
      <c r="K866" t="s">
        <v>3387</v>
      </c>
      <c r="L866" t="s">
        <v>3388</v>
      </c>
      <c r="M866" t="s">
        <v>3397</v>
      </c>
      <c r="N866" t="s">
        <v>3365</v>
      </c>
      <c r="O866" t="s">
        <v>3376</v>
      </c>
      <c r="P866" t="s">
        <v>3398</v>
      </c>
    </row>
    <row r="867" spans="1:16" x14ac:dyDescent="0.3">
      <c r="A867" t="s">
        <v>2897</v>
      </c>
      <c r="B867" t="s">
        <v>456</v>
      </c>
      <c r="D867" t="s">
        <v>2744</v>
      </c>
      <c r="E867" t="s">
        <v>2886</v>
      </c>
      <c r="F867" t="s">
        <v>3394</v>
      </c>
      <c r="G867" t="s">
        <v>2746</v>
      </c>
      <c r="H867" t="s">
        <v>1078</v>
      </c>
      <c r="I867" t="s">
        <v>3396</v>
      </c>
      <c r="J867" t="s">
        <v>3369</v>
      </c>
      <c r="K867" t="s">
        <v>3387</v>
      </c>
      <c r="L867" t="s">
        <v>3388</v>
      </c>
      <c r="M867" t="s">
        <v>3397</v>
      </c>
      <c r="N867" t="s">
        <v>3365</v>
      </c>
      <c r="O867" t="s">
        <v>3376</v>
      </c>
      <c r="P867" t="s">
        <v>3398</v>
      </c>
    </row>
    <row r="868" spans="1:16" x14ac:dyDescent="0.3">
      <c r="A868" t="s">
        <v>2898</v>
      </c>
      <c r="B868" t="s">
        <v>456</v>
      </c>
      <c r="D868" t="s">
        <v>2744</v>
      </c>
      <c r="E868" t="s">
        <v>2886</v>
      </c>
      <c r="F868" t="s">
        <v>3394</v>
      </c>
      <c r="G868" t="s">
        <v>2746</v>
      </c>
      <c r="H868" t="s">
        <v>1078</v>
      </c>
      <c r="I868" t="s">
        <v>3396</v>
      </c>
      <c r="J868" t="s">
        <v>3369</v>
      </c>
      <c r="K868" t="s">
        <v>3387</v>
      </c>
      <c r="L868" t="s">
        <v>3388</v>
      </c>
      <c r="M868" t="s">
        <v>3397</v>
      </c>
      <c r="N868" t="s">
        <v>3365</v>
      </c>
      <c r="O868" t="s">
        <v>3376</v>
      </c>
      <c r="P868" t="s">
        <v>3398</v>
      </c>
    </row>
    <row r="869" spans="1:16" x14ac:dyDescent="0.3">
      <c r="A869" t="s">
        <v>2899</v>
      </c>
      <c r="B869" t="s">
        <v>456</v>
      </c>
      <c r="D869" t="s">
        <v>2744</v>
      </c>
      <c r="E869" t="s">
        <v>2886</v>
      </c>
      <c r="F869" t="s">
        <v>3394</v>
      </c>
      <c r="G869" t="s">
        <v>2746</v>
      </c>
      <c r="H869" t="s">
        <v>1078</v>
      </c>
      <c r="I869" t="s">
        <v>3396</v>
      </c>
      <c r="J869" t="s">
        <v>3369</v>
      </c>
      <c r="K869" t="s">
        <v>3387</v>
      </c>
      <c r="L869" t="s">
        <v>3388</v>
      </c>
      <c r="M869" t="s">
        <v>3397</v>
      </c>
      <c r="N869" t="s">
        <v>3365</v>
      </c>
      <c r="O869" t="s">
        <v>3376</v>
      </c>
      <c r="P869" t="s">
        <v>3398</v>
      </c>
    </row>
    <row r="870" spans="1:16" x14ac:dyDescent="0.3">
      <c r="A870" t="s">
        <v>2539</v>
      </c>
      <c r="B870" t="s">
        <v>456</v>
      </c>
      <c r="D870" t="s">
        <v>2744</v>
      </c>
      <c r="E870" t="s">
        <v>2886</v>
      </c>
      <c r="F870" t="s">
        <v>3394</v>
      </c>
      <c r="G870" t="s">
        <v>2746</v>
      </c>
      <c r="H870" t="s">
        <v>1078</v>
      </c>
      <c r="I870" t="s">
        <v>3396</v>
      </c>
      <c r="J870" t="s">
        <v>3369</v>
      </c>
      <c r="K870" t="s">
        <v>3387</v>
      </c>
      <c r="L870" t="s">
        <v>3388</v>
      </c>
      <c r="M870" t="s">
        <v>3397</v>
      </c>
      <c r="N870" t="s">
        <v>3365</v>
      </c>
      <c r="O870" t="s">
        <v>3376</v>
      </c>
      <c r="P870" t="s">
        <v>3398</v>
      </c>
    </row>
    <row r="871" spans="1:16" x14ac:dyDescent="0.3">
      <c r="A871" t="s">
        <v>2900</v>
      </c>
      <c r="B871" t="s">
        <v>456</v>
      </c>
      <c r="D871" t="s">
        <v>2744</v>
      </c>
      <c r="E871" t="s">
        <v>2886</v>
      </c>
      <c r="F871" t="s">
        <v>3394</v>
      </c>
      <c r="G871" t="s">
        <v>2746</v>
      </c>
      <c r="H871" t="s">
        <v>1078</v>
      </c>
      <c r="I871" t="s">
        <v>3396</v>
      </c>
      <c r="J871" t="s">
        <v>3369</v>
      </c>
      <c r="K871" t="s">
        <v>3387</v>
      </c>
      <c r="L871" t="s">
        <v>3388</v>
      </c>
      <c r="M871" t="s">
        <v>3397</v>
      </c>
      <c r="N871" t="s">
        <v>3365</v>
      </c>
      <c r="O871" t="s">
        <v>3376</v>
      </c>
      <c r="P871" t="s">
        <v>3398</v>
      </c>
    </row>
    <row r="872" spans="1:16" x14ac:dyDescent="0.3">
      <c r="A872" t="s">
        <v>2901</v>
      </c>
      <c r="B872" t="s">
        <v>456</v>
      </c>
      <c r="D872" t="s">
        <v>2744</v>
      </c>
      <c r="E872" t="s">
        <v>2886</v>
      </c>
      <c r="F872" t="s">
        <v>3394</v>
      </c>
      <c r="G872" t="s">
        <v>2746</v>
      </c>
      <c r="H872" t="s">
        <v>1078</v>
      </c>
      <c r="I872" t="s">
        <v>3396</v>
      </c>
      <c r="J872" t="s">
        <v>3369</v>
      </c>
      <c r="K872" t="s">
        <v>3387</v>
      </c>
      <c r="L872" t="s">
        <v>3388</v>
      </c>
      <c r="M872" t="s">
        <v>3397</v>
      </c>
      <c r="N872" t="s">
        <v>3365</v>
      </c>
      <c r="O872" t="s">
        <v>3376</v>
      </c>
      <c r="P872" t="s">
        <v>3398</v>
      </c>
    </row>
    <row r="873" spans="1:16" x14ac:dyDescent="0.3">
      <c r="A873" t="s">
        <v>2902</v>
      </c>
      <c r="B873" t="s">
        <v>456</v>
      </c>
      <c r="D873" t="s">
        <v>2744</v>
      </c>
      <c r="E873" t="s">
        <v>2886</v>
      </c>
      <c r="F873" t="s">
        <v>3394</v>
      </c>
      <c r="G873" t="s">
        <v>2746</v>
      </c>
      <c r="H873" t="s">
        <v>1078</v>
      </c>
      <c r="I873" t="s">
        <v>3396</v>
      </c>
      <c r="J873" t="s">
        <v>3369</v>
      </c>
      <c r="K873" t="s">
        <v>3387</v>
      </c>
      <c r="L873" t="s">
        <v>3388</v>
      </c>
      <c r="M873" t="s">
        <v>3397</v>
      </c>
      <c r="N873" t="s">
        <v>3365</v>
      </c>
      <c r="O873" t="s">
        <v>3376</v>
      </c>
      <c r="P873" t="s">
        <v>3398</v>
      </c>
    </row>
    <row r="874" spans="1:16" x14ac:dyDescent="0.3">
      <c r="A874" t="s">
        <v>2903</v>
      </c>
      <c r="B874" t="s">
        <v>456</v>
      </c>
      <c r="D874" t="s">
        <v>2744</v>
      </c>
      <c r="E874" t="s">
        <v>2886</v>
      </c>
      <c r="F874" t="s">
        <v>3394</v>
      </c>
      <c r="G874" t="s">
        <v>2746</v>
      </c>
      <c r="H874" t="s">
        <v>1078</v>
      </c>
      <c r="I874" t="s">
        <v>3396</v>
      </c>
      <c r="J874" t="s">
        <v>3369</v>
      </c>
      <c r="K874" t="s">
        <v>3387</v>
      </c>
      <c r="L874" t="s">
        <v>3388</v>
      </c>
      <c r="M874" t="s">
        <v>3397</v>
      </c>
      <c r="N874" t="s">
        <v>3365</v>
      </c>
      <c r="O874" t="s">
        <v>3376</v>
      </c>
      <c r="P874" t="s">
        <v>3398</v>
      </c>
    </row>
    <row r="875" spans="1:16" x14ac:dyDescent="0.3">
      <c r="A875" t="s">
        <v>2904</v>
      </c>
      <c r="B875" t="s">
        <v>456</v>
      </c>
      <c r="D875" t="s">
        <v>2744</v>
      </c>
      <c r="E875" t="s">
        <v>2886</v>
      </c>
      <c r="F875" t="s">
        <v>3394</v>
      </c>
      <c r="G875" t="s">
        <v>2746</v>
      </c>
      <c r="H875" t="s">
        <v>1078</v>
      </c>
      <c r="I875" t="s">
        <v>3396</v>
      </c>
      <c r="J875" t="s">
        <v>3369</v>
      </c>
      <c r="K875" t="s">
        <v>3387</v>
      </c>
      <c r="L875" t="s">
        <v>3388</v>
      </c>
      <c r="M875" t="s">
        <v>3397</v>
      </c>
      <c r="N875" t="s">
        <v>3365</v>
      </c>
      <c r="O875" t="s">
        <v>3376</v>
      </c>
      <c r="P875" t="s">
        <v>3398</v>
      </c>
    </row>
    <row r="876" spans="1:16" x14ac:dyDescent="0.3">
      <c r="A876" t="s">
        <v>2905</v>
      </c>
      <c r="B876" t="s">
        <v>456</v>
      </c>
      <c r="D876" t="s">
        <v>2744</v>
      </c>
      <c r="E876" t="s">
        <v>2886</v>
      </c>
      <c r="F876" t="s">
        <v>3394</v>
      </c>
      <c r="G876" t="s">
        <v>2746</v>
      </c>
      <c r="H876" t="s">
        <v>1078</v>
      </c>
      <c r="I876" t="s">
        <v>3396</v>
      </c>
      <c r="J876" t="s">
        <v>3369</v>
      </c>
      <c r="K876" t="s">
        <v>3387</v>
      </c>
      <c r="L876" t="s">
        <v>3388</v>
      </c>
      <c r="M876" t="s">
        <v>3397</v>
      </c>
      <c r="N876" t="s">
        <v>3365</v>
      </c>
      <c r="O876" t="s">
        <v>3376</v>
      </c>
      <c r="P876" t="s">
        <v>3398</v>
      </c>
    </row>
    <row r="877" spans="1:16" x14ac:dyDescent="0.3">
      <c r="A877" t="s">
        <v>2906</v>
      </c>
      <c r="B877" t="s">
        <v>456</v>
      </c>
      <c r="D877" t="s">
        <v>2744</v>
      </c>
      <c r="E877" t="s">
        <v>2886</v>
      </c>
      <c r="F877" t="s">
        <v>3394</v>
      </c>
      <c r="G877" t="s">
        <v>2746</v>
      </c>
      <c r="H877" t="s">
        <v>1078</v>
      </c>
      <c r="I877" t="s">
        <v>3396</v>
      </c>
      <c r="J877" t="s">
        <v>3369</v>
      </c>
      <c r="K877" t="s">
        <v>3387</v>
      </c>
      <c r="L877" t="s">
        <v>3388</v>
      </c>
      <c r="M877" t="s">
        <v>3397</v>
      </c>
      <c r="N877" t="s">
        <v>3365</v>
      </c>
      <c r="O877" t="s">
        <v>3376</v>
      </c>
      <c r="P877" t="s">
        <v>3398</v>
      </c>
    </row>
    <row r="878" spans="1:16" x14ac:dyDescent="0.3">
      <c r="A878" t="s">
        <v>2907</v>
      </c>
      <c r="B878" t="s">
        <v>456</v>
      </c>
      <c r="D878" t="s">
        <v>2744</v>
      </c>
      <c r="E878" t="s">
        <v>2886</v>
      </c>
      <c r="F878" t="s">
        <v>3394</v>
      </c>
      <c r="G878" t="s">
        <v>2746</v>
      </c>
      <c r="H878" t="s">
        <v>1078</v>
      </c>
      <c r="I878" t="s">
        <v>3396</v>
      </c>
      <c r="J878" t="s">
        <v>3369</v>
      </c>
      <c r="K878" t="s">
        <v>3387</v>
      </c>
      <c r="L878" t="s">
        <v>3388</v>
      </c>
      <c r="M878" t="s">
        <v>3397</v>
      </c>
      <c r="N878" t="s">
        <v>3365</v>
      </c>
      <c r="O878" t="s">
        <v>3376</v>
      </c>
      <c r="P878" t="s">
        <v>3398</v>
      </c>
    </row>
    <row r="879" spans="1:16" x14ac:dyDescent="0.3">
      <c r="A879" t="s">
        <v>2908</v>
      </c>
      <c r="B879" t="s">
        <v>456</v>
      </c>
      <c r="D879" t="s">
        <v>2744</v>
      </c>
      <c r="E879" t="s">
        <v>2886</v>
      </c>
      <c r="F879" t="s">
        <v>3394</v>
      </c>
      <c r="G879" t="s">
        <v>2746</v>
      </c>
      <c r="H879" t="s">
        <v>1078</v>
      </c>
      <c r="I879" t="s">
        <v>3396</v>
      </c>
      <c r="J879" t="s">
        <v>3369</v>
      </c>
      <c r="K879" t="s">
        <v>3387</v>
      </c>
      <c r="L879" t="s">
        <v>3388</v>
      </c>
      <c r="M879" t="s">
        <v>3397</v>
      </c>
      <c r="N879" t="s">
        <v>3365</v>
      </c>
      <c r="O879" t="s">
        <v>3376</v>
      </c>
      <c r="P879" t="s">
        <v>3398</v>
      </c>
    </row>
    <row r="880" spans="1:16" x14ac:dyDescent="0.3">
      <c r="A880" t="s">
        <v>2909</v>
      </c>
      <c r="B880" t="s">
        <v>456</v>
      </c>
      <c r="D880" t="s">
        <v>2744</v>
      </c>
      <c r="E880" t="s">
        <v>2886</v>
      </c>
      <c r="F880" t="s">
        <v>3394</v>
      </c>
      <c r="G880" t="s">
        <v>2746</v>
      </c>
      <c r="H880" t="s">
        <v>1078</v>
      </c>
      <c r="I880" t="s">
        <v>3396</v>
      </c>
      <c r="J880" t="s">
        <v>3369</v>
      </c>
      <c r="K880" t="s">
        <v>3387</v>
      </c>
      <c r="L880" t="s">
        <v>3388</v>
      </c>
      <c r="M880" t="s">
        <v>3397</v>
      </c>
      <c r="N880" t="s">
        <v>3365</v>
      </c>
      <c r="O880" t="s">
        <v>3376</v>
      </c>
      <c r="P880" t="s">
        <v>3398</v>
      </c>
    </row>
    <row r="881" spans="1:16" x14ac:dyDescent="0.3">
      <c r="A881" t="s">
        <v>2910</v>
      </c>
      <c r="B881" t="s">
        <v>456</v>
      </c>
      <c r="D881" t="s">
        <v>2744</v>
      </c>
      <c r="E881" t="s">
        <v>2886</v>
      </c>
      <c r="F881" t="s">
        <v>3394</v>
      </c>
      <c r="G881" t="s">
        <v>2746</v>
      </c>
      <c r="H881" t="s">
        <v>2704</v>
      </c>
      <c r="I881" t="s">
        <v>3396</v>
      </c>
      <c r="J881" t="s">
        <v>3369</v>
      </c>
      <c r="K881" t="s">
        <v>3387</v>
      </c>
      <c r="L881" t="s">
        <v>3388</v>
      </c>
      <c r="M881" t="s">
        <v>3397</v>
      </c>
      <c r="N881" t="s">
        <v>3365</v>
      </c>
      <c r="O881" t="s">
        <v>3376</v>
      </c>
      <c r="P881" t="s">
        <v>3398</v>
      </c>
    </row>
    <row r="882" spans="1:16" x14ac:dyDescent="0.3">
      <c r="A882" t="s">
        <v>2911</v>
      </c>
      <c r="B882" t="s">
        <v>456</v>
      </c>
      <c r="D882" t="s">
        <v>2744</v>
      </c>
      <c r="E882" t="s">
        <v>2886</v>
      </c>
      <c r="F882" t="s">
        <v>3394</v>
      </c>
      <c r="G882" t="s">
        <v>2746</v>
      </c>
      <c r="H882" t="s">
        <v>2704</v>
      </c>
      <c r="I882" t="s">
        <v>3396</v>
      </c>
      <c r="J882" t="s">
        <v>3369</v>
      </c>
      <c r="K882" t="s">
        <v>3387</v>
      </c>
      <c r="L882" t="s">
        <v>3388</v>
      </c>
      <c r="M882" t="s">
        <v>3397</v>
      </c>
      <c r="N882" t="s">
        <v>3365</v>
      </c>
      <c r="O882" t="s">
        <v>3376</v>
      </c>
      <c r="P882" t="s">
        <v>3398</v>
      </c>
    </row>
    <row r="883" spans="1:16" x14ac:dyDescent="0.3">
      <c r="A883" t="s">
        <v>2912</v>
      </c>
      <c r="B883" t="s">
        <v>456</v>
      </c>
      <c r="D883" t="s">
        <v>2744</v>
      </c>
      <c r="E883" t="s">
        <v>2886</v>
      </c>
      <c r="F883" t="s">
        <v>3394</v>
      </c>
      <c r="G883" t="s">
        <v>2746</v>
      </c>
      <c r="H883" t="s">
        <v>2704</v>
      </c>
      <c r="I883" t="s">
        <v>3396</v>
      </c>
      <c r="J883" t="s">
        <v>3369</v>
      </c>
      <c r="K883" t="s">
        <v>3387</v>
      </c>
      <c r="L883" t="s">
        <v>3388</v>
      </c>
      <c r="M883" t="s">
        <v>3397</v>
      </c>
      <c r="N883" t="s">
        <v>3365</v>
      </c>
      <c r="O883" t="s">
        <v>3376</v>
      </c>
      <c r="P883" t="s">
        <v>3398</v>
      </c>
    </row>
    <row r="884" spans="1:16" x14ac:dyDescent="0.3">
      <c r="A884" t="s">
        <v>2913</v>
      </c>
      <c r="B884" t="s">
        <v>456</v>
      </c>
      <c r="D884" t="s">
        <v>2744</v>
      </c>
      <c r="E884" t="s">
        <v>2886</v>
      </c>
      <c r="F884" t="s">
        <v>3394</v>
      </c>
      <c r="G884" t="s">
        <v>2746</v>
      </c>
      <c r="H884" t="s">
        <v>2704</v>
      </c>
      <c r="I884" t="s">
        <v>3396</v>
      </c>
      <c r="J884" t="s">
        <v>3369</v>
      </c>
      <c r="K884" t="s">
        <v>3387</v>
      </c>
      <c r="L884" t="s">
        <v>3388</v>
      </c>
      <c r="M884" t="s">
        <v>3397</v>
      </c>
      <c r="N884" t="s">
        <v>3365</v>
      </c>
      <c r="O884" t="s">
        <v>3376</v>
      </c>
      <c r="P884" t="s">
        <v>3398</v>
      </c>
    </row>
    <row r="885" spans="1:16" x14ac:dyDescent="0.3">
      <c r="A885" t="s">
        <v>2914</v>
      </c>
      <c r="B885" t="s">
        <v>456</v>
      </c>
      <c r="D885" t="s">
        <v>2744</v>
      </c>
      <c r="E885" t="s">
        <v>2886</v>
      </c>
      <c r="F885" t="s">
        <v>3394</v>
      </c>
      <c r="G885" t="s">
        <v>2746</v>
      </c>
      <c r="H885" t="s">
        <v>2704</v>
      </c>
      <c r="I885" t="s">
        <v>3396</v>
      </c>
      <c r="J885" t="s">
        <v>3369</v>
      </c>
      <c r="K885" t="s">
        <v>3387</v>
      </c>
      <c r="L885" t="s">
        <v>3388</v>
      </c>
      <c r="M885" t="s">
        <v>3397</v>
      </c>
      <c r="N885" t="s">
        <v>3365</v>
      </c>
      <c r="O885" t="s">
        <v>3376</v>
      </c>
      <c r="P885" t="s">
        <v>3398</v>
      </c>
    </row>
    <row r="886" spans="1:16" x14ac:dyDescent="0.3">
      <c r="A886" t="s">
        <v>2915</v>
      </c>
      <c r="B886" t="s">
        <v>456</v>
      </c>
      <c r="D886" t="s">
        <v>2744</v>
      </c>
      <c r="E886" t="s">
        <v>2886</v>
      </c>
      <c r="F886" t="s">
        <v>3394</v>
      </c>
      <c r="G886" t="s">
        <v>2746</v>
      </c>
      <c r="H886" t="s">
        <v>2704</v>
      </c>
      <c r="I886" t="s">
        <v>3396</v>
      </c>
      <c r="J886" t="s">
        <v>3369</v>
      </c>
      <c r="K886" t="s">
        <v>3387</v>
      </c>
      <c r="L886" t="s">
        <v>3388</v>
      </c>
      <c r="M886" t="s">
        <v>3397</v>
      </c>
      <c r="N886" t="s">
        <v>3365</v>
      </c>
      <c r="O886" t="s">
        <v>3376</v>
      </c>
      <c r="P886" t="s">
        <v>3398</v>
      </c>
    </row>
    <row r="887" spans="1:16" x14ac:dyDescent="0.3">
      <c r="A887" t="s">
        <v>2916</v>
      </c>
      <c r="B887" t="s">
        <v>456</v>
      </c>
      <c r="D887" t="s">
        <v>2744</v>
      </c>
      <c r="E887" t="s">
        <v>2886</v>
      </c>
      <c r="F887" t="s">
        <v>3394</v>
      </c>
      <c r="G887" t="s">
        <v>2746</v>
      </c>
      <c r="H887" t="s">
        <v>1078</v>
      </c>
      <c r="I887" t="s">
        <v>3396</v>
      </c>
      <c r="J887" t="s">
        <v>3369</v>
      </c>
      <c r="K887" t="s">
        <v>3387</v>
      </c>
      <c r="L887" t="s">
        <v>3388</v>
      </c>
      <c r="M887" t="s">
        <v>3397</v>
      </c>
      <c r="N887" t="s">
        <v>3365</v>
      </c>
      <c r="O887" t="s">
        <v>3376</v>
      </c>
      <c r="P887" t="s">
        <v>3398</v>
      </c>
    </row>
    <row r="888" spans="1:16" x14ac:dyDescent="0.3">
      <c r="A888" t="s">
        <v>2917</v>
      </c>
      <c r="B888" t="s">
        <v>456</v>
      </c>
      <c r="D888" t="s">
        <v>2744</v>
      </c>
      <c r="E888" t="s">
        <v>2886</v>
      </c>
      <c r="F888" t="s">
        <v>3394</v>
      </c>
      <c r="G888" t="s">
        <v>2746</v>
      </c>
      <c r="H888" t="s">
        <v>1078</v>
      </c>
      <c r="I888" t="s">
        <v>3396</v>
      </c>
      <c r="J888" t="s">
        <v>3369</v>
      </c>
      <c r="K888" t="s">
        <v>3387</v>
      </c>
      <c r="L888" t="s">
        <v>3388</v>
      </c>
      <c r="M888" t="s">
        <v>3397</v>
      </c>
      <c r="N888" t="s">
        <v>3365</v>
      </c>
      <c r="O888" t="s">
        <v>3376</v>
      </c>
      <c r="P888" t="s">
        <v>3398</v>
      </c>
    </row>
    <row r="889" spans="1:16" x14ac:dyDescent="0.3">
      <c r="A889" t="s">
        <v>2918</v>
      </c>
      <c r="B889" t="s">
        <v>456</v>
      </c>
      <c r="D889" t="s">
        <v>2744</v>
      </c>
      <c r="E889" t="s">
        <v>2886</v>
      </c>
      <c r="F889" t="s">
        <v>3394</v>
      </c>
      <c r="G889" t="s">
        <v>2746</v>
      </c>
      <c r="H889" t="s">
        <v>1078</v>
      </c>
      <c r="I889" t="s">
        <v>3396</v>
      </c>
      <c r="J889" t="s">
        <v>3369</v>
      </c>
      <c r="K889" t="s">
        <v>3387</v>
      </c>
      <c r="L889" t="s">
        <v>3388</v>
      </c>
      <c r="M889" t="s">
        <v>3397</v>
      </c>
      <c r="N889" t="s">
        <v>3365</v>
      </c>
      <c r="O889" t="s">
        <v>3376</v>
      </c>
      <c r="P889" t="s">
        <v>3398</v>
      </c>
    </row>
    <row r="890" spans="1:16" x14ac:dyDescent="0.3">
      <c r="A890" t="s">
        <v>2919</v>
      </c>
      <c r="B890" t="s">
        <v>456</v>
      </c>
      <c r="D890" t="s">
        <v>2744</v>
      </c>
      <c r="E890" t="s">
        <v>2886</v>
      </c>
      <c r="F890" t="s">
        <v>3394</v>
      </c>
      <c r="G890" t="s">
        <v>2746</v>
      </c>
      <c r="H890" t="s">
        <v>1078</v>
      </c>
      <c r="I890" t="s">
        <v>3396</v>
      </c>
      <c r="J890" t="s">
        <v>3369</v>
      </c>
      <c r="K890" t="s">
        <v>3387</v>
      </c>
      <c r="L890" t="s">
        <v>3388</v>
      </c>
      <c r="M890" t="s">
        <v>3397</v>
      </c>
      <c r="N890" t="s">
        <v>3365</v>
      </c>
      <c r="O890" t="s">
        <v>3376</v>
      </c>
      <c r="P890" t="s">
        <v>3398</v>
      </c>
    </row>
    <row r="891" spans="1:16" x14ac:dyDescent="0.3">
      <c r="A891" t="s">
        <v>2920</v>
      </c>
      <c r="B891" t="s">
        <v>456</v>
      </c>
      <c r="D891" t="s">
        <v>2744</v>
      </c>
      <c r="E891" t="s">
        <v>2886</v>
      </c>
      <c r="F891" t="s">
        <v>3394</v>
      </c>
      <c r="G891" t="s">
        <v>2746</v>
      </c>
      <c r="H891" t="s">
        <v>1078</v>
      </c>
      <c r="I891" t="s">
        <v>3396</v>
      </c>
      <c r="J891" t="s">
        <v>3369</v>
      </c>
      <c r="K891" t="s">
        <v>3387</v>
      </c>
      <c r="L891" t="s">
        <v>3388</v>
      </c>
      <c r="M891" t="s">
        <v>3397</v>
      </c>
      <c r="N891" t="s">
        <v>3365</v>
      </c>
      <c r="O891" t="s">
        <v>3376</v>
      </c>
      <c r="P891" t="s">
        <v>3398</v>
      </c>
    </row>
    <row r="892" spans="1:16" x14ac:dyDescent="0.3">
      <c r="A892" t="s">
        <v>2921</v>
      </c>
      <c r="B892" t="s">
        <v>456</v>
      </c>
      <c r="D892" t="s">
        <v>2744</v>
      </c>
      <c r="E892" t="s">
        <v>2886</v>
      </c>
      <c r="F892" t="s">
        <v>3394</v>
      </c>
      <c r="G892" t="s">
        <v>2746</v>
      </c>
      <c r="H892" t="s">
        <v>1078</v>
      </c>
      <c r="I892" t="s">
        <v>3396</v>
      </c>
      <c r="J892" t="s">
        <v>3369</v>
      </c>
      <c r="K892" t="s">
        <v>3387</v>
      </c>
      <c r="L892" t="s">
        <v>3388</v>
      </c>
      <c r="M892" t="s">
        <v>3397</v>
      </c>
      <c r="N892" t="s">
        <v>3365</v>
      </c>
      <c r="O892" t="s">
        <v>3376</v>
      </c>
      <c r="P892" t="s">
        <v>3398</v>
      </c>
    </row>
    <row r="893" spans="1:16" x14ac:dyDescent="0.3">
      <c r="A893" t="s">
        <v>2922</v>
      </c>
      <c r="B893" t="s">
        <v>456</v>
      </c>
      <c r="D893" t="s">
        <v>2744</v>
      </c>
      <c r="E893" t="s">
        <v>2886</v>
      </c>
      <c r="F893" t="s">
        <v>3394</v>
      </c>
      <c r="G893" t="s">
        <v>2746</v>
      </c>
      <c r="H893" t="s">
        <v>1052</v>
      </c>
      <c r="I893" t="s">
        <v>3396</v>
      </c>
      <c r="J893" t="s">
        <v>3369</v>
      </c>
      <c r="K893" t="s">
        <v>3387</v>
      </c>
      <c r="L893" t="s">
        <v>3388</v>
      </c>
      <c r="M893" t="s">
        <v>3397</v>
      </c>
      <c r="N893" t="s">
        <v>3365</v>
      </c>
      <c r="O893" t="s">
        <v>3376</v>
      </c>
      <c r="P893" t="s">
        <v>3398</v>
      </c>
    </row>
    <row r="894" spans="1:16" x14ac:dyDescent="0.3">
      <c r="A894" t="s">
        <v>2923</v>
      </c>
      <c r="B894" t="s">
        <v>456</v>
      </c>
      <c r="D894" t="s">
        <v>2744</v>
      </c>
      <c r="E894" t="s">
        <v>2886</v>
      </c>
      <c r="F894" t="s">
        <v>3394</v>
      </c>
      <c r="G894" t="s">
        <v>2746</v>
      </c>
      <c r="H894" t="s">
        <v>1052</v>
      </c>
      <c r="I894" t="s">
        <v>3396</v>
      </c>
      <c r="J894" t="s">
        <v>3369</v>
      </c>
      <c r="K894" t="s">
        <v>3387</v>
      </c>
      <c r="L894" t="s">
        <v>3388</v>
      </c>
      <c r="M894" t="s">
        <v>3397</v>
      </c>
      <c r="N894" t="s">
        <v>3365</v>
      </c>
      <c r="O894" t="s">
        <v>3376</v>
      </c>
      <c r="P894" t="s">
        <v>3398</v>
      </c>
    </row>
    <row r="895" spans="1:16" x14ac:dyDescent="0.3">
      <c r="A895" t="s">
        <v>2924</v>
      </c>
      <c r="B895" t="s">
        <v>456</v>
      </c>
      <c r="D895" t="s">
        <v>2744</v>
      </c>
      <c r="E895" t="s">
        <v>2886</v>
      </c>
      <c r="F895" t="s">
        <v>3394</v>
      </c>
      <c r="G895" t="s">
        <v>2746</v>
      </c>
      <c r="H895" t="s">
        <v>1052</v>
      </c>
      <c r="I895" t="s">
        <v>3396</v>
      </c>
      <c r="J895" t="s">
        <v>3369</v>
      </c>
      <c r="K895" t="s">
        <v>3387</v>
      </c>
      <c r="L895" t="s">
        <v>3388</v>
      </c>
      <c r="M895" t="s">
        <v>3397</v>
      </c>
      <c r="N895" t="s">
        <v>3365</v>
      </c>
      <c r="O895" t="s">
        <v>3376</v>
      </c>
      <c r="P895" t="s">
        <v>3398</v>
      </c>
    </row>
    <row r="896" spans="1:16" x14ac:dyDescent="0.3">
      <c r="A896" t="s">
        <v>2925</v>
      </c>
      <c r="B896" t="s">
        <v>456</v>
      </c>
      <c r="D896" t="s">
        <v>2744</v>
      </c>
      <c r="E896" t="s">
        <v>2886</v>
      </c>
      <c r="F896" t="s">
        <v>3394</v>
      </c>
      <c r="G896" t="s">
        <v>2746</v>
      </c>
      <c r="H896" t="s">
        <v>1052</v>
      </c>
      <c r="I896" t="s">
        <v>3396</v>
      </c>
      <c r="J896" t="s">
        <v>3369</v>
      </c>
      <c r="K896" t="s">
        <v>3387</v>
      </c>
      <c r="L896" t="s">
        <v>3388</v>
      </c>
      <c r="M896" t="s">
        <v>3397</v>
      </c>
      <c r="N896" t="s">
        <v>3365</v>
      </c>
      <c r="O896" t="s">
        <v>3376</v>
      </c>
      <c r="P896" t="s">
        <v>3398</v>
      </c>
    </row>
    <row r="897" spans="1:16" x14ac:dyDescent="0.3">
      <c r="A897" t="s">
        <v>2926</v>
      </c>
      <c r="B897" t="s">
        <v>456</v>
      </c>
      <c r="D897" t="s">
        <v>2744</v>
      </c>
      <c r="E897" t="s">
        <v>2886</v>
      </c>
      <c r="F897" t="s">
        <v>3394</v>
      </c>
      <c r="G897" t="s">
        <v>2746</v>
      </c>
      <c r="H897" t="s">
        <v>1052</v>
      </c>
      <c r="I897" t="s">
        <v>3396</v>
      </c>
      <c r="J897" t="s">
        <v>3369</v>
      </c>
      <c r="K897" t="s">
        <v>3387</v>
      </c>
      <c r="L897" t="s">
        <v>3388</v>
      </c>
      <c r="M897" t="s">
        <v>3397</v>
      </c>
      <c r="N897" t="s">
        <v>3365</v>
      </c>
      <c r="O897" t="s">
        <v>3376</v>
      </c>
      <c r="P897" t="s">
        <v>3398</v>
      </c>
    </row>
    <row r="898" spans="1:16" x14ac:dyDescent="0.3">
      <c r="A898" t="s">
        <v>2927</v>
      </c>
      <c r="B898" t="s">
        <v>456</v>
      </c>
      <c r="D898" t="s">
        <v>2744</v>
      </c>
      <c r="E898" t="s">
        <v>2886</v>
      </c>
      <c r="F898" t="s">
        <v>3394</v>
      </c>
      <c r="G898" t="s">
        <v>2746</v>
      </c>
      <c r="H898" t="s">
        <v>1052</v>
      </c>
      <c r="I898" t="s">
        <v>3396</v>
      </c>
      <c r="J898" t="s">
        <v>3369</v>
      </c>
      <c r="K898" t="s">
        <v>3387</v>
      </c>
      <c r="L898" t="s">
        <v>3388</v>
      </c>
      <c r="M898" t="s">
        <v>3397</v>
      </c>
      <c r="N898" t="s">
        <v>3365</v>
      </c>
      <c r="O898" t="s">
        <v>3376</v>
      </c>
      <c r="P898" t="s">
        <v>3398</v>
      </c>
    </row>
    <row r="899" spans="1:16" x14ac:dyDescent="0.3">
      <c r="A899" t="s">
        <v>2928</v>
      </c>
      <c r="B899" t="s">
        <v>456</v>
      </c>
      <c r="D899" t="s">
        <v>2744</v>
      </c>
      <c r="E899" t="s">
        <v>2886</v>
      </c>
      <c r="F899" t="s">
        <v>3394</v>
      </c>
      <c r="G899" t="s">
        <v>2746</v>
      </c>
      <c r="H899" t="s">
        <v>1052</v>
      </c>
      <c r="I899" t="s">
        <v>3396</v>
      </c>
      <c r="J899" t="s">
        <v>3369</v>
      </c>
      <c r="K899" t="s">
        <v>3387</v>
      </c>
      <c r="L899" t="s">
        <v>3388</v>
      </c>
      <c r="M899" t="s">
        <v>3397</v>
      </c>
      <c r="N899" t="s">
        <v>3365</v>
      </c>
      <c r="O899" t="s">
        <v>3376</v>
      </c>
      <c r="P899" t="s">
        <v>3398</v>
      </c>
    </row>
    <row r="900" spans="1:16" x14ac:dyDescent="0.3">
      <c r="A900" t="s">
        <v>2929</v>
      </c>
      <c r="B900" t="s">
        <v>456</v>
      </c>
      <c r="D900" t="s">
        <v>2744</v>
      </c>
      <c r="E900" t="s">
        <v>2886</v>
      </c>
      <c r="F900" t="s">
        <v>3394</v>
      </c>
      <c r="G900" t="s">
        <v>2746</v>
      </c>
      <c r="H900" t="s">
        <v>2930</v>
      </c>
      <c r="I900" t="s">
        <v>3396</v>
      </c>
      <c r="J900" t="s">
        <v>3369</v>
      </c>
      <c r="K900" t="s">
        <v>3387</v>
      </c>
      <c r="L900" t="s">
        <v>3388</v>
      </c>
      <c r="M900" t="s">
        <v>3397</v>
      </c>
      <c r="N900" t="s">
        <v>3365</v>
      </c>
      <c r="O900" t="s">
        <v>3376</v>
      </c>
      <c r="P900" t="s">
        <v>3398</v>
      </c>
    </row>
    <row r="901" spans="1:16" x14ac:dyDescent="0.3">
      <c r="A901" t="s">
        <v>2931</v>
      </c>
      <c r="B901" t="s">
        <v>456</v>
      </c>
      <c r="D901" t="s">
        <v>2744</v>
      </c>
      <c r="E901" t="s">
        <v>2886</v>
      </c>
      <c r="F901" t="s">
        <v>3394</v>
      </c>
      <c r="G901" t="s">
        <v>2746</v>
      </c>
      <c r="H901" t="s">
        <v>2930</v>
      </c>
      <c r="I901" t="s">
        <v>3396</v>
      </c>
      <c r="J901" t="s">
        <v>3369</v>
      </c>
      <c r="K901" t="s">
        <v>3387</v>
      </c>
      <c r="L901" t="s">
        <v>3388</v>
      </c>
      <c r="M901" t="s">
        <v>3397</v>
      </c>
      <c r="N901" t="s">
        <v>3365</v>
      </c>
      <c r="O901" t="s">
        <v>3376</v>
      </c>
      <c r="P901" t="s">
        <v>3398</v>
      </c>
    </row>
    <row r="902" spans="1:16" x14ac:dyDescent="0.3">
      <c r="A902" t="s">
        <v>2932</v>
      </c>
      <c r="B902" t="s">
        <v>456</v>
      </c>
      <c r="D902" t="s">
        <v>2744</v>
      </c>
      <c r="E902" t="s">
        <v>2886</v>
      </c>
      <c r="F902" t="s">
        <v>3394</v>
      </c>
      <c r="G902" t="s">
        <v>2746</v>
      </c>
      <c r="H902" t="s">
        <v>2930</v>
      </c>
      <c r="I902" t="s">
        <v>3396</v>
      </c>
      <c r="J902" t="s">
        <v>3369</v>
      </c>
      <c r="K902" t="s">
        <v>3387</v>
      </c>
      <c r="L902" t="s">
        <v>3388</v>
      </c>
      <c r="M902" t="s">
        <v>3397</v>
      </c>
      <c r="N902" t="s">
        <v>3365</v>
      </c>
      <c r="O902" t="s">
        <v>3376</v>
      </c>
      <c r="P902" t="s">
        <v>3398</v>
      </c>
    </row>
    <row r="903" spans="1:16" x14ac:dyDescent="0.3">
      <c r="A903" t="s">
        <v>2933</v>
      </c>
      <c r="B903" t="s">
        <v>456</v>
      </c>
      <c r="D903" t="s">
        <v>2744</v>
      </c>
      <c r="E903" t="s">
        <v>2886</v>
      </c>
      <c r="F903" t="s">
        <v>3394</v>
      </c>
      <c r="G903" t="s">
        <v>2746</v>
      </c>
      <c r="H903" t="s">
        <v>2930</v>
      </c>
      <c r="I903" t="s">
        <v>3396</v>
      </c>
      <c r="J903" t="s">
        <v>3369</v>
      </c>
      <c r="K903" t="s">
        <v>3387</v>
      </c>
      <c r="L903" t="s">
        <v>3388</v>
      </c>
      <c r="M903" t="s">
        <v>3397</v>
      </c>
      <c r="N903" t="s">
        <v>3365</v>
      </c>
      <c r="O903" t="s">
        <v>3376</v>
      </c>
      <c r="P903" t="s">
        <v>3398</v>
      </c>
    </row>
    <row r="904" spans="1:16" x14ac:dyDescent="0.3">
      <c r="A904" t="s">
        <v>2934</v>
      </c>
      <c r="B904" t="s">
        <v>456</v>
      </c>
      <c r="D904" t="s">
        <v>2744</v>
      </c>
      <c r="E904" t="s">
        <v>2886</v>
      </c>
      <c r="F904" t="s">
        <v>3394</v>
      </c>
      <c r="G904" t="s">
        <v>2746</v>
      </c>
      <c r="H904" t="s">
        <v>2930</v>
      </c>
      <c r="I904" t="s">
        <v>3396</v>
      </c>
      <c r="J904" t="s">
        <v>3369</v>
      </c>
      <c r="K904" t="s">
        <v>3387</v>
      </c>
      <c r="L904" t="s">
        <v>3388</v>
      </c>
      <c r="M904" t="s">
        <v>3397</v>
      </c>
      <c r="N904" t="s">
        <v>3365</v>
      </c>
      <c r="O904" t="s">
        <v>3376</v>
      </c>
      <c r="P904" t="s">
        <v>3398</v>
      </c>
    </row>
    <row r="905" spans="1:16" x14ac:dyDescent="0.3">
      <c r="A905" t="s">
        <v>2935</v>
      </c>
      <c r="B905" t="s">
        <v>456</v>
      </c>
      <c r="D905" t="s">
        <v>2744</v>
      </c>
      <c r="E905" t="s">
        <v>2886</v>
      </c>
      <c r="F905" t="s">
        <v>3394</v>
      </c>
      <c r="G905" t="s">
        <v>2746</v>
      </c>
      <c r="H905" t="s">
        <v>2930</v>
      </c>
      <c r="I905" t="s">
        <v>3396</v>
      </c>
      <c r="J905" t="s">
        <v>3369</v>
      </c>
      <c r="K905" t="s">
        <v>3387</v>
      </c>
      <c r="L905" t="s">
        <v>3388</v>
      </c>
      <c r="M905" t="s">
        <v>3397</v>
      </c>
      <c r="N905" t="s">
        <v>3365</v>
      </c>
      <c r="O905" t="s">
        <v>3376</v>
      </c>
      <c r="P905" t="s">
        <v>3398</v>
      </c>
    </row>
    <row r="906" spans="1:16" x14ac:dyDescent="0.3">
      <c r="A906" t="s">
        <v>2936</v>
      </c>
      <c r="B906" t="s">
        <v>456</v>
      </c>
      <c r="D906" t="s">
        <v>2744</v>
      </c>
      <c r="E906" t="s">
        <v>2886</v>
      </c>
      <c r="F906" t="s">
        <v>3394</v>
      </c>
      <c r="G906" t="s">
        <v>2746</v>
      </c>
      <c r="H906" t="s">
        <v>1078</v>
      </c>
      <c r="I906" t="s">
        <v>3396</v>
      </c>
      <c r="J906" t="s">
        <v>3369</v>
      </c>
      <c r="K906" t="s">
        <v>3387</v>
      </c>
      <c r="L906" t="s">
        <v>3388</v>
      </c>
      <c r="M906" t="s">
        <v>3397</v>
      </c>
      <c r="N906" t="s">
        <v>3365</v>
      </c>
      <c r="O906" t="s">
        <v>3376</v>
      </c>
      <c r="P906" t="s">
        <v>3398</v>
      </c>
    </row>
    <row r="907" spans="1:16" x14ac:dyDescent="0.3">
      <c r="A907" t="s">
        <v>2937</v>
      </c>
      <c r="B907" t="s">
        <v>456</v>
      </c>
      <c r="D907" t="s">
        <v>2744</v>
      </c>
      <c r="E907" t="s">
        <v>2886</v>
      </c>
      <c r="F907" t="s">
        <v>3394</v>
      </c>
      <c r="G907" t="s">
        <v>2746</v>
      </c>
      <c r="H907" t="s">
        <v>1078</v>
      </c>
      <c r="I907" t="s">
        <v>3396</v>
      </c>
      <c r="J907" t="s">
        <v>3369</v>
      </c>
      <c r="K907" t="s">
        <v>3387</v>
      </c>
      <c r="L907" t="s">
        <v>3388</v>
      </c>
      <c r="M907" t="s">
        <v>3397</v>
      </c>
      <c r="N907" t="s">
        <v>3365</v>
      </c>
      <c r="O907" t="s">
        <v>3376</v>
      </c>
      <c r="P907" t="s">
        <v>3398</v>
      </c>
    </row>
    <row r="908" spans="1:16" x14ac:dyDescent="0.3">
      <c r="A908" t="s">
        <v>2938</v>
      </c>
      <c r="B908" t="s">
        <v>456</v>
      </c>
      <c r="D908" t="s">
        <v>2744</v>
      </c>
      <c r="E908" t="s">
        <v>2886</v>
      </c>
      <c r="F908" t="s">
        <v>3394</v>
      </c>
      <c r="G908" t="s">
        <v>2746</v>
      </c>
      <c r="H908" t="s">
        <v>1078</v>
      </c>
      <c r="I908" t="s">
        <v>3396</v>
      </c>
      <c r="J908" t="s">
        <v>3369</v>
      </c>
      <c r="K908" t="s">
        <v>3387</v>
      </c>
      <c r="L908" t="s">
        <v>3388</v>
      </c>
      <c r="M908" t="s">
        <v>3397</v>
      </c>
      <c r="N908" t="s">
        <v>3365</v>
      </c>
      <c r="O908" t="s">
        <v>3376</v>
      </c>
      <c r="P908" t="s">
        <v>3398</v>
      </c>
    </row>
    <row r="909" spans="1:16" x14ac:dyDescent="0.3">
      <c r="A909" t="s">
        <v>2939</v>
      </c>
      <c r="B909" t="s">
        <v>456</v>
      </c>
      <c r="D909" t="s">
        <v>2744</v>
      </c>
      <c r="E909" t="s">
        <v>2886</v>
      </c>
      <c r="F909" t="s">
        <v>3394</v>
      </c>
      <c r="G909" t="s">
        <v>2746</v>
      </c>
      <c r="H909" t="s">
        <v>1078</v>
      </c>
      <c r="I909" t="s">
        <v>3396</v>
      </c>
      <c r="J909" t="s">
        <v>3369</v>
      </c>
      <c r="K909" t="s">
        <v>3387</v>
      </c>
      <c r="L909" t="s">
        <v>3388</v>
      </c>
      <c r="M909" t="s">
        <v>3397</v>
      </c>
      <c r="N909" t="s">
        <v>3365</v>
      </c>
      <c r="O909" t="s">
        <v>3376</v>
      </c>
      <c r="P909" t="s">
        <v>3398</v>
      </c>
    </row>
    <row r="910" spans="1:16" x14ac:dyDescent="0.3">
      <c r="A910" t="s">
        <v>2940</v>
      </c>
      <c r="B910" t="s">
        <v>456</v>
      </c>
      <c r="D910" t="s">
        <v>2744</v>
      </c>
      <c r="E910" t="s">
        <v>2886</v>
      </c>
      <c r="F910" t="s">
        <v>3394</v>
      </c>
      <c r="G910" t="s">
        <v>2746</v>
      </c>
      <c r="H910" t="s">
        <v>1078</v>
      </c>
      <c r="I910" t="s">
        <v>3396</v>
      </c>
      <c r="J910" t="s">
        <v>3369</v>
      </c>
      <c r="K910" t="s">
        <v>3387</v>
      </c>
      <c r="L910" t="s">
        <v>3388</v>
      </c>
      <c r="M910" t="s">
        <v>3397</v>
      </c>
      <c r="N910" t="s">
        <v>3365</v>
      </c>
      <c r="O910" t="s">
        <v>3376</v>
      </c>
      <c r="P910" t="s">
        <v>3398</v>
      </c>
    </row>
    <row r="911" spans="1:16" x14ac:dyDescent="0.3">
      <c r="A911" t="s">
        <v>2941</v>
      </c>
      <c r="B911" t="s">
        <v>456</v>
      </c>
      <c r="D911" t="s">
        <v>2744</v>
      </c>
      <c r="E911" t="s">
        <v>2886</v>
      </c>
      <c r="F911" t="s">
        <v>3394</v>
      </c>
      <c r="G911" t="s">
        <v>2746</v>
      </c>
      <c r="H911" t="s">
        <v>1078</v>
      </c>
      <c r="I911" t="s">
        <v>3396</v>
      </c>
      <c r="J911" t="s">
        <v>3369</v>
      </c>
      <c r="K911" t="s">
        <v>3387</v>
      </c>
      <c r="L911" t="s">
        <v>3388</v>
      </c>
      <c r="M911" t="s">
        <v>3397</v>
      </c>
      <c r="N911" t="s">
        <v>3365</v>
      </c>
      <c r="O911" t="s">
        <v>3376</v>
      </c>
      <c r="P911" t="s">
        <v>3398</v>
      </c>
    </row>
    <row r="912" spans="1:16" x14ac:dyDescent="0.3">
      <c r="A912" t="s">
        <v>2942</v>
      </c>
      <c r="B912" t="s">
        <v>456</v>
      </c>
      <c r="D912" t="s">
        <v>2796</v>
      </c>
      <c r="F912" t="s">
        <v>3394</v>
      </c>
      <c r="G912" t="s">
        <v>2746</v>
      </c>
      <c r="H912" t="s">
        <v>2704</v>
      </c>
      <c r="I912" t="s">
        <v>3396</v>
      </c>
      <c r="J912" t="s">
        <v>3369</v>
      </c>
      <c r="K912" t="s">
        <v>3387</v>
      </c>
      <c r="L912" t="s">
        <v>3388</v>
      </c>
      <c r="M912" t="s">
        <v>3397</v>
      </c>
      <c r="N912" t="s">
        <v>3365</v>
      </c>
      <c r="O912" t="s">
        <v>3376</v>
      </c>
      <c r="P912" t="s">
        <v>3398</v>
      </c>
    </row>
    <row r="913" spans="1:16" x14ac:dyDescent="0.3">
      <c r="A913" t="s">
        <v>2943</v>
      </c>
      <c r="B913" t="s">
        <v>456</v>
      </c>
      <c r="D913" t="s">
        <v>2796</v>
      </c>
      <c r="F913" t="s">
        <v>3394</v>
      </c>
      <c r="G913" t="s">
        <v>2746</v>
      </c>
      <c r="H913" t="s">
        <v>2704</v>
      </c>
      <c r="I913" t="s">
        <v>3396</v>
      </c>
      <c r="J913" t="s">
        <v>3369</v>
      </c>
      <c r="K913" t="s">
        <v>3387</v>
      </c>
      <c r="L913" t="s">
        <v>3388</v>
      </c>
      <c r="M913" t="s">
        <v>3397</v>
      </c>
      <c r="N913" t="s">
        <v>3365</v>
      </c>
      <c r="O913" t="s">
        <v>3376</v>
      </c>
      <c r="P913" t="s">
        <v>3398</v>
      </c>
    </row>
    <row r="914" spans="1:16" x14ac:dyDescent="0.3">
      <c r="A914" t="s">
        <v>2944</v>
      </c>
      <c r="B914" t="s">
        <v>456</v>
      </c>
      <c r="D914" t="s">
        <v>2796</v>
      </c>
      <c r="F914" t="s">
        <v>3394</v>
      </c>
      <c r="G914" t="s">
        <v>2746</v>
      </c>
      <c r="H914" t="s">
        <v>2704</v>
      </c>
      <c r="I914" t="s">
        <v>3396</v>
      </c>
      <c r="J914" t="s">
        <v>3369</v>
      </c>
      <c r="K914" t="s">
        <v>3387</v>
      </c>
      <c r="L914" t="s">
        <v>3388</v>
      </c>
      <c r="M914" t="s">
        <v>3397</v>
      </c>
      <c r="N914" t="s">
        <v>3365</v>
      </c>
      <c r="O914" t="s">
        <v>3376</v>
      </c>
      <c r="P914" t="s">
        <v>3398</v>
      </c>
    </row>
    <row r="915" spans="1:16" x14ac:dyDescent="0.3">
      <c r="A915" t="s">
        <v>2945</v>
      </c>
      <c r="B915" t="s">
        <v>456</v>
      </c>
      <c r="D915" t="s">
        <v>2796</v>
      </c>
      <c r="F915" t="s">
        <v>3394</v>
      </c>
      <c r="G915" t="s">
        <v>2746</v>
      </c>
      <c r="H915" t="s">
        <v>2704</v>
      </c>
      <c r="I915" t="s">
        <v>3396</v>
      </c>
      <c r="J915" t="s">
        <v>3369</v>
      </c>
      <c r="K915" t="s">
        <v>3387</v>
      </c>
      <c r="L915" t="s">
        <v>3388</v>
      </c>
      <c r="M915" t="s">
        <v>3397</v>
      </c>
      <c r="N915" t="s">
        <v>3365</v>
      </c>
      <c r="O915" t="s">
        <v>3376</v>
      </c>
      <c r="P915" t="s">
        <v>3398</v>
      </c>
    </row>
    <row r="916" spans="1:16" x14ac:dyDescent="0.3">
      <c r="A916" t="s">
        <v>2946</v>
      </c>
      <c r="B916" t="s">
        <v>456</v>
      </c>
      <c r="D916" t="s">
        <v>2796</v>
      </c>
      <c r="F916" t="s">
        <v>3394</v>
      </c>
      <c r="G916" t="s">
        <v>2746</v>
      </c>
      <c r="H916" t="s">
        <v>2704</v>
      </c>
      <c r="I916" t="s">
        <v>3396</v>
      </c>
      <c r="J916" t="s">
        <v>3369</v>
      </c>
      <c r="K916" t="s">
        <v>3387</v>
      </c>
      <c r="L916" t="s">
        <v>3388</v>
      </c>
      <c r="M916" t="s">
        <v>3397</v>
      </c>
      <c r="N916" t="s">
        <v>3365</v>
      </c>
      <c r="O916" t="s">
        <v>3376</v>
      </c>
      <c r="P916" t="s">
        <v>3398</v>
      </c>
    </row>
    <row r="917" spans="1:16" x14ac:dyDescent="0.3">
      <c r="A917" t="s">
        <v>2947</v>
      </c>
      <c r="B917" t="s">
        <v>456</v>
      </c>
      <c r="D917" t="s">
        <v>2796</v>
      </c>
      <c r="F917" t="s">
        <v>3394</v>
      </c>
      <c r="G917" t="s">
        <v>2746</v>
      </c>
      <c r="H917" t="s">
        <v>2704</v>
      </c>
      <c r="I917" t="s">
        <v>3396</v>
      </c>
      <c r="J917" t="s">
        <v>3369</v>
      </c>
      <c r="K917" t="s">
        <v>3387</v>
      </c>
      <c r="L917" t="s">
        <v>3388</v>
      </c>
      <c r="M917" t="s">
        <v>3397</v>
      </c>
      <c r="N917" t="s">
        <v>3365</v>
      </c>
      <c r="O917" t="s">
        <v>3376</v>
      </c>
      <c r="P917" t="s">
        <v>3398</v>
      </c>
    </row>
    <row r="918" spans="1:16" x14ac:dyDescent="0.3">
      <c r="A918" t="s">
        <v>2948</v>
      </c>
      <c r="B918" t="s">
        <v>456</v>
      </c>
      <c r="D918" t="s">
        <v>2796</v>
      </c>
      <c r="F918" t="s">
        <v>3394</v>
      </c>
      <c r="G918" t="s">
        <v>2746</v>
      </c>
      <c r="H918" t="s">
        <v>2704</v>
      </c>
      <c r="I918" t="s">
        <v>3396</v>
      </c>
      <c r="J918" t="s">
        <v>3369</v>
      </c>
      <c r="K918" t="s">
        <v>3387</v>
      </c>
      <c r="L918" t="s">
        <v>3388</v>
      </c>
      <c r="M918" t="s">
        <v>3397</v>
      </c>
      <c r="N918" t="s">
        <v>3365</v>
      </c>
      <c r="O918" t="s">
        <v>3376</v>
      </c>
      <c r="P918" t="s">
        <v>3398</v>
      </c>
    </row>
    <row r="919" spans="1:16" x14ac:dyDescent="0.3">
      <c r="A919" t="s">
        <v>2949</v>
      </c>
      <c r="B919" t="s">
        <v>456</v>
      </c>
      <c r="D919" t="s">
        <v>2796</v>
      </c>
      <c r="F919" t="s">
        <v>3394</v>
      </c>
      <c r="G919" t="s">
        <v>2746</v>
      </c>
      <c r="H919" t="s">
        <v>2704</v>
      </c>
      <c r="I919" t="s">
        <v>3396</v>
      </c>
      <c r="J919" t="s">
        <v>3369</v>
      </c>
      <c r="K919" t="s">
        <v>3387</v>
      </c>
      <c r="L919" t="s">
        <v>3388</v>
      </c>
      <c r="M919" t="s">
        <v>3397</v>
      </c>
      <c r="N919" t="s">
        <v>3365</v>
      </c>
      <c r="O919" t="s">
        <v>3376</v>
      </c>
      <c r="P919" t="s">
        <v>3398</v>
      </c>
    </row>
    <row r="920" spans="1:16" x14ac:dyDescent="0.3">
      <c r="A920" t="s">
        <v>2950</v>
      </c>
      <c r="B920" t="s">
        <v>456</v>
      </c>
      <c r="D920" t="s">
        <v>2796</v>
      </c>
      <c r="F920" t="s">
        <v>3394</v>
      </c>
      <c r="G920" t="s">
        <v>2746</v>
      </c>
      <c r="H920" t="s">
        <v>2704</v>
      </c>
      <c r="I920" t="s">
        <v>3396</v>
      </c>
      <c r="J920" t="s">
        <v>3369</v>
      </c>
      <c r="K920" t="s">
        <v>3387</v>
      </c>
      <c r="L920" t="s">
        <v>3388</v>
      </c>
      <c r="M920" t="s">
        <v>3397</v>
      </c>
      <c r="N920" t="s">
        <v>3365</v>
      </c>
      <c r="O920" t="s">
        <v>3376</v>
      </c>
      <c r="P920" t="s">
        <v>3398</v>
      </c>
    </row>
    <row r="921" spans="1:16" x14ac:dyDescent="0.3">
      <c r="A921" t="s">
        <v>2951</v>
      </c>
      <c r="B921" t="s">
        <v>456</v>
      </c>
      <c r="D921" t="s">
        <v>2796</v>
      </c>
      <c r="F921" t="s">
        <v>3394</v>
      </c>
      <c r="G921" t="s">
        <v>2746</v>
      </c>
      <c r="H921" t="s">
        <v>2704</v>
      </c>
      <c r="I921" t="s">
        <v>3396</v>
      </c>
      <c r="J921" t="s">
        <v>3369</v>
      </c>
      <c r="K921" t="s">
        <v>3387</v>
      </c>
      <c r="L921" t="s">
        <v>3388</v>
      </c>
      <c r="M921" t="s">
        <v>3397</v>
      </c>
      <c r="N921" t="s">
        <v>3365</v>
      </c>
      <c r="O921" t="s">
        <v>3376</v>
      </c>
      <c r="P921" t="s">
        <v>3398</v>
      </c>
    </row>
    <row r="922" spans="1:16" x14ac:dyDescent="0.3">
      <c r="A922" t="s">
        <v>2952</v>
      </c>
      <c r="B922" t="s">
        <v>456</v>
      </c>
      <c r="D922" t="s">
        <v>2796</v>
      </c>
      <c r="F922" t="s">
        <v>3394</v>
      </c>
      <c r="G922" t="s">
        <v>2746</v>
      </c>
      <c r="H922" t="s">
        <v>2704</v>
      </c>
      <c r="I922" t="s">
        <v>3396</v>
      </c>
      <c r="J922" t="s">
        <v>3369</v>
      </c>
      <c r="K922" t="s">
        <v>3387</v>
      </c>
      <c r="L922" t="s">
        <v>3388</v>
      </c>
      <c r="M922" t="s">
        <v>3397</v>
      </c>
      <c r="N922" t="s">
        <v>3365</v>
      </c>
      <c r="O922" t="s">
        <v>3376</v>
      </c>
      <c r="P922" t="s">
        <v>3398</v>
      </c>
    </row>
    <row r="923" spans="1:16" x14ac:dyDescent="0.3">
      <c r="A923" t="s">
        <v>2953</v>
      </c>
      <c r="B923" t="s">
        <v>456</v>
      </c>
      <c r="D923" t="s">
        <v>2796</v>
      </c>
      <c r="F923" t="s">
        <v>3394</v>
      </c>
      <c r="G923" t="s">
        <v>2746</v>
      </c>
      <c r="H923" t="s">
        <v>2704</v>
      </c>
      <c r="I923" t="s">
        <v>3396</v>
      </c>
      <c r="J923" t="s">
        <v>3369</v>
      </c>
      <c r="K923" t="s">
        <v>3387</v>
      </c>
      <c r="L923" t="s">
        <v>3388</v>
      </c>
      <c r="M923" t="s">
        <v>3397</v>
      </c>
      <c r="N923" t="s">
        <v>3365</v>
      </c>
      <c r="O923" t="s">
        <v>3376</v>
      </c>
      <c r="P923" t="s">
        <v>3398</v>
      </c>
    </row>
    <row r="924" spans="1:16" x14ac:dyDescent="0.3">
      <c r="A924" t="s">
        <v>2954</v>
      </c>
      <c r="B924" t="s">
        <v>456</v>
      </c>
      <c r="D924" t="s">
        <v>2796</v>
      </c>
      <c r="F924" t="s">
        <v>3394</v>
      </c>
      <c r="G924" t="s">
        <v>2746</v>
      </c>
      <c r="H924" t="s">
        <v>2704</v>
      </c>
      <c r="I924" t="s">
        <v>3396</v>
      </c>
      <c r="J924" t="s">
        <v>3369</v>
      </c>
      <c r="K924" t="s">
        <v>3387</v>
      </c>
      <c r="L924" t="s">
        <v>3388</v>
      </c>
      <c r="M924" t="s">
        <v>3397</v>
      </c>
      <c r="N924" t="s">
        <v>3365</v>
      </c>
      <c r="O924" t="s">
        <v>3376</v>
      </c>
      <c r="P924" t="s">
        <v>3398</v>
      </c>
    </row>
    <row r="925" spans="1:16" x14ac:dyDescent="0.3">
      <c r="A925" t="s">
        <v>2955</v>
      </c>
      <c r="B925" t="s">
        <v>456</v>
      </c>
      <c r="D925" t="s">
        <v>2796</v>
      </c>
      <c r="F925" t="s">
        <v>3394</v>
      </c>
      <c r="G925" t="s">
        <v>2746</v>
      </c>
      <c r="H925" t="s">
        <v>2704</v>
      </c>
      <c r="I925" t="s">
        <v>3396</v>
      </c>
      <c r="J925" t="s">
        <v>3369</v>
      </c>
      <c r="K925" t="s">
        <v>3387</v>
      </c>
      <c r="L925" t="s">
        <v>3388</v>
      </c>
      <c r="M925" t="s">
        <v>3397</v>
      </c>
      <c r="N925" t="s">
        <v>3365</v>
      </c>
      <c r="O925" t="s">
        <v>3376</v>
      </c>
      <c r="P925" t="s">
        <v>3398</v>
      </c>
    </row>
    <row r="926" spans="1:16" x14ac:dyDescent="0.3">
      <c r="A926" t="s">
        <v>2956</v>
      </c>
      <c r="B926" t="s">
        <v>456</v>
      </c>
      <c r="D926" t="s">
        <v>2796</v>
      </c>
      <c r="F926" t="s">
        <v>3394</v>
      </c>
      <c r="G926" t="s">
        <v>2746</v>
      </c>
      <c r="H926" t="s">
        <v>2704</v>
      </c>
      <c r="I926" t="s">
        <v>3396</v>
      </c>
      <c r="J926" t="s">
        <v>3369</v>
      </c>
      <c r="K926" t="s">
        <v>3387</v>
      </c>
      <c r="L926" t="s">
        <v>3388</v>
      </c>
      <c r="M926" t="s">
        <v>3397</v>
      </c>
      <c r="N926" t="s">
        <v>3365</v>
      </c>
      <c r="O926" t="s">
        <v>3376</v>
      </c>
      <c r="P926" t="s">
        <v>3398</v>
      </c>
    </row>
    <row r="927" spans="1:16" x14ac:dyDescent="0.3">
      <c r="A927" t="s">
        <v>2957</v>
      </c>
      <c r="B927" t="s">
        <v>456</v>
      </c>
      <c r="D927" t="s">
        <v>2796</v>
      </c>
      <c r="F927" t="s">
        <v>3394</v>
      </c>
      <c r="G927" t="s">
        <v>2746</v>
      </c>
      <c r="H927" t="s">
        <v>2704</v>
      </c>
      <c r="I927" t="s">
        <v>3396</v>
      </c>
      <c r="J927" t="s">
        <v>3369</v>
      </c>
      <c r="K927" t="s">
        <v>3387</v>
      </c>
      <c r="L927" t="s">
        <v>3388</v>
      </c>
      <c r="M927" t="s">
        <v>3397</v>
      </c>
      <c r="N927" t="s">
        <v>3365</v>
      </c>
      <c r="O927" t="s">
        <v>3376</v>
      </c>
      <c r="P927" t="s">
        <v>3398</v>
      </c>
    </row>
    <row r="928" spans="1:16" x14ac:dyDescent="0.3">
      <c r="A928" t="s">
        <v>2958</v>
      </c>
      <c r="B928" t="s">
        <v>456</v>
      </c>
      <c r="D928" t="s">
        <v>2796</v>
      </c>
      <c r="F928" t="s">
        <v>3394</v>
      </c>
      <c r="G928" t="s">
        <v>2746</v>
      </c>
      <c r="H928" t="s">
        <v>2704</v>
      </c>
      <c r="I928" t="s">
        <v>3396</v>
      </c>
      <c r="J928" t="s">
        <v>3369</v>
      </c>
      <c r="K928" t="s">
        <v>3387</v>
      </c>
      <c r="L928" t="s">
        <v>3388</v>
      </c>
      <c r="M928" t="s">
        <v>3397</v>
      </c>
      <c r="N928" t="s">
        <v>3365</v>
      </c>
      <c r="O928" t="s">
        <v>3376</v>
      </c>
      <c r="P928" t="s">
        <v>3398</v>
      </c>
    </row>
    <row r="929" spans="1:16" x14ac:dyDescent="0.3">
      <c r="A929" t="s">
        <v>2959</v>
      </c>
      <c r="B929" t="s">
        <v>456</v>
      </c>
      <c r="D929" t="s">
        <v>2796</v>
      </c>
      <c r="F929" t="s">
        <v>3394</v>
      </c>
      <c r="G929" t="s">
        <v>2746</v>
      </c>
      <c r="H929" t="s">
        <v>2704</v>
      </c>
      <c r="I929" t="s">
        <v>3396</v>
      </c>
      <c r="J929" t="s">
        <v>3369</v>
      </c>
      <c r="K929" t="s">
        <v>3387</v>
      </c>
      <c r="L929" t="s">
        <v>3388</v>
      </c>
      <c r="M929" t="s">
        <v>3397</v>
      </c>
      <c r="N929" t="s">
        <v>3365</v>
      </c>
      <c r="O929" t="s">
        <v>3376</v>
      </c>
      <c r="P929" t="s">
        <v>3398</v>
      </c>
    </row>
    <row r="930" spans="1:16" x14ac:dyDescent="0.3">
      <c r="A930" t="s">
        <v>2960</v>
      </c>
      <c r="B930" t="s">
        <v>456</v>
      </c>
      <c r="D930" t="s">
        <v>2796</v>
      </c>
      <c r="F930" t="s">
        <v>3394</v>
      </c>
      <c r="G930" t="s">
        <v>2746</v>
      </c>
      <c r="H930" t="s">
        <v>2704</v>
      </c>
      <c r="I930" t="s">
        <v>3396</v>
      </c>
      <c r="J930" t="s">
        <v>3369</v>
      </c>
      <c r="K930" t="s">
        <v>3387</v>
      </c>
      <c r="L930" t="s">
        <v>3388</v>
      </c>
      <c r="M930" t="s">
        <v>3397</v>
      </c>
      <c r="N930" t="s">
        <v>3365</v>
      </c>
      <c r="O930" t="s">
        <v>3376</v>
      </c>
      <c r="P930" t="s">
        <v>3398</v>
      </c>
    </row>
    <row r="931" spans="1:16" x14ac:dyDescent="0.3">
      <c r="A931" t="s">
        <v>2961</v>
      </c>
      <c r="B931" t="s">
        <v>456</v>
      </c>
      <c r="D931" t="s">
        <v>2796</v>
      </c>
      <c r="F931" t="s">
        <v>3394</v>
      </c>
      <c r="G931" t="s">
        <v>2746</v>
      </c>
      <c r="H931" t="s">
        <v>2704</v>
      </c>
      <c r="I931" t="s">
        <v>3396</v>
      </c>
      <c r="J931" t="s">
        <v>3369</v>
      </c>
      <c r="K931" t="s">
        <v>3387</v>
      </c>
      <c r="L931" t="s">
        <v>3388</v>
      </c>
      <c r="M931" t="s">
        <v>3397</v>
      </c>
      <c r="N931" t="s">
        <v>3365</v>
      </c>
      <c r="O931" t="s">
        <v>3376</v>
      </c>
      <c r="P931" t="s">
        <v>3398</v>
      </c>
    </row>
    <row r="932" spans="1:16" x14ac:dyDescent="0.3">
      <c r="A932" t="s">
        <v>2962</v>
      </c>
      <c r="B932" t="s">
        <v>456</v>
      </c>
      <c r="D932" t="s">
        <v>2796</v>
      </c>
      <c r="F932" t="s">
        <v>3394</v>
      </c>
      <c r="G932" t="s">
        <v>2746</v>
      </c>
      <c r="H932" t="s">
        <v>2704</v>
      </c>
      <c r="I932" t="s">
        <v>3396</v>
      </c>
      <c r="J932" t="s">
        <v>3369</v>
      </c>
      <c r="K932" t="s">
        <v>3387</v>
      </c>
      <c r="L932" t="s">
        <v>3388</v>
      </c>
      <c r="M932" t="s">
        <v>3397</v>
      </c>
      <c r="N932" t="s">
        <v>3365</v>
      </c>
      <c r="O932" t="s">
        <v>3376</v>
      </c>
      <c r="P932" t="s">
        <v>3398</v>
      </c>
    </row>
    <row r="933" spans="1:16" x14ac:dyDescent="0.3">
      <c r="A933" t="s">
        <v>2963</v>
      </c>
      <c r="B933" t="s">
        <v>456</v>
      </c>
      <c r="D933" t="s">
        <v>2796</v>
      </c>
      <c r="F933" t="s">
        <v>3394</v>
      </c>
      <c r="G933" t="s">
        <v>2746</v>
      </c>
      <c r="H933" t="s">
        <v>2704</v>
      </c>
      <c r="I933" t="s">
        <v>3396</v>
      </c>
      <c r="J933" t="s">
        <v>3369</v>
      </c>
      <c r="K933" t="s">
        <v>3387</v>
      </c>
      <c r="L933" t="s">
        <v>3388</v>
      </c>
      <c r="M933" t="s">
        <v>3397</v>
      </c>
      <c r="N933" t="s">
        <v>3365</v>
      </c>
      <c r="O933" t="s">
        <v>3376</v>
      </c>
      <c r="P933" t="s">
        <v>3398</v>
      </c>
    </row>
    <row r="934" spans="1:16" x14ac:dyDescent="0.3">
      <c r="A934" t="s">
        <v>2964</v>
      </c>
      <c r="B934" t="s">
        <v>456</v>
      </c>
      <c r="D934" t="s">
        <v>2796</v>
      </c>
      <c r="F934" t="s">
        <v>3394</v>
      </c>
      <c r="G934" t="s">
        <v>2746</v>
      </c>
      <c r="H934" t="s">
        <v>2704</v>
      </c>
      <c r="I934" t="s">
        <v>3396</v>
      </c>
      <c r="J934" t="s">
        <v>3369</v>
      </c>
      <c r="K934" t="s">
        <v>3387</v>
      </c>
      <c r="L934" t="s">
        <v>3388</v>
      </c>
      <c r="M934" t="s">
        <v>3397</v>
      </c>
      <c r="N934" t="s">
        <v>3365</v>
      </c>
      <c r="O934" t="s">
        <v>3376</v>
      </c>
      <c r="P934" t="s">
        <v>3398</v>
      </c>
    </row>
    <row r="935" spans="1:16" x14ac:dyDescent="0.3">
      <c r="A935" t="s">
        <v>2965</v>
      </c>
      <c r="B935" t="s">
        <v>456</v>
      </c>
      <c r="D935" t="s">
        <v>2796</v>
      </c>
      <c r="F935" t="s">
        <v>3394</v>
      </c>
      <c r="G935" t="s">
        <v>2746</v>
      </c>
      <c r="H935" t="s">
        <v>2704</v>
      </c>
      <c r="I935" t="s">
        <v>3396</v>
      </c>
      <c r="J935" t="s">
        <v>3369</v>
      </c>
      <c r="K935" t="s">
        <v>3387</v>
      </c>
      <c r="L935" t="s">
        <v>3388</v>
      </c>
      <c r="M935" t="s">
        <v>3397</v>
      </c>
      <c r="N935" t="s">
        <v>3365</v>
      </c>
      <c r="O935" t="s">
        <v>3376</v>
      </c>
      <c r="P935" t="s">
        <v>3398</v>
      </c>
    </row>
    <row r="936" spans="1:16" x14ac:dyDescent="0.3">
      <c r="A936" t="s">
        <v>2966</v>
      </c>
      <c r="B936" t="s">
        <v>456</v>
      </c>
      <c r="D936" t="s">
        <v>2796</v>
      </c>
      <c r="F936" t="s">
        <v>3394</v>
      </c>
      <c r="G936" t="s">
        <v>2746</v>
      </c>
      <c r="H936" t="s">
        <v>2704</v>
      </c>
      <c r="I936" t="s">
        <v>3396</v>
      </c>
      <c r="J936" t="s">
        <v>3369</v>
      </c>
      <c r="K936" t="s">
        <v>3387</v>
      </c>
      <c r="L936" t="s">
        <v>3388</v>
      </c>
      <c r="M936" t="s">
        <v>3397</v>
      </c>
      <c r="N936" t="s">
        <v>3365</v>
      </c>
      <c r="O936" t="s">
        <v>3376</v>
      </c>
      <c r="P936" t="s">
        <v>3398</v>
      </c>
    </row>
    <row r="937" spans="1:16" x14ac:dyDescent="0.3">
      <c r="A937" t="s">
        <v>2967</v>
      </c>
      <c r="B937" t="s">
        <v>456</v>
      </c>
      <c r="D937" t="s">
        <v>2796</v>
      </c>
      <c r="F937" t="s">
        <v>3394</v>
      </c>
      <c r="G937" t="s">
        <v>2746</v>
      </c>
      <c r="H937" t="s">
        <v>2704</v>
      </c>
      <c r="I937" t="s">
        <v>3396</v>
      </c>
      <c r="J937" t="s">
        <v>3369</v>
      </c>
      <c r="K937" t="s">
        <v>3387</v>
      </c>
      <c r="L937" t="s">
        <v>3388</v>
      </c>
      <c r="M937" t="s">
        <v>3397</v>
      </c>
      <c r="N937" t="s">
        <v>3365</v>
      </c>
      <c r="O937" t="s">
        <v>3376</v>
      </c>
      <c r="P937" t="s">
        <v>3398</v>
      </c>
    </row>
    <row r="938" spans="1:16" x14ac:dyDescent="0.3">
      <c r="A938" t="s">
        <v>2968</v>
      </c>
      <c r="B938" t="s">
        <v>456</v>
      </c>
      <c r="D938" t="s">
        <v>2796</v>
      </c>
      <c r="F938" t="s">
        <v>3394</v>
      </c>
      <c r="G938" t="s">
        <v>2746</v>
      </c>
      <c r="H938" t="s">
        <v>2704</v>
      </c>
      <c r="I938" t="s">
        <v>3396</v>
      </c>
      <c r="J938" t="s">
        <v>3369</v>
      </c>
      <c r="K938" t="s">
        <v>3387</v>
      </c>
      <c r="L938" t="s">
        <v>3388</v>
      </c>
      <c r="M938" t="s">
        <v>3397</v>
      </c>
      <c r="N938" t="s">
        <v>3365</v>
      </c>
      <c r="O938" t="s">
        <v>3376</v>
      </c>
      <c r="P938" t="s">
        <v>3398</v>
      </c>
    </row>
    <row r="939" spans="1:16" x14ac:dyDescent="0.3">
      <c r="A939" t="s">
        <v>2969</v>
      </c>
      <c r="B939" t="s">
        <v>456</v>
      </c>
      <c r="D939" t="s">
        <v>2796</v>
      </c>
      <c r="F939" t="s">
        <v>3394</v>
      </c>
      <c r="G939" t="s">
        <v>2746</v>
      </c>
      <c r="H939" t="s">
        <v>2704</v>
      </c>
      <c r="I939" t="s">
        <v>3396</v>
      </c>
      <c r="J939" t="s">
        <v>3369</v>
      </c>
      <c r="K939" t="s">
        <v>3387</v>
      </c>
      <c r="L939" t="s">
        <v>3388</v>
      </c>
      <c r="M939" t="s">
        <v>3397</v>
      </c>
      <c r="N939" t="s">
        <v>3365</v>
      </c>
      <c r="O939" t="s">
        <v>3376</v>
      </c>
      <c r="P939" t="s">
        <v>3398</v>
      </c>
    </row>
    <row r="940" spans="1:16" x14ac:dyDescent="0.3">
      <c r="A940" t="s">
        <v>2970</v>
      </c>
      <c r="B940" t="s">
        <v>456</v>
      </c>
      <c r="D940" t="s">
        <v>2796</v>
      </c>
      <c r="F940" t="s">
        <v>3394</v>
      </c>
      <c r="G940" t="s">
        <v>2746</v>
      </c>
      <c r="H940" t="s">
        <v>2704</v>
      </c>
      <c r="I940" t="s">
        <v>3396</v>
      </c>
      <c r="J940" t="s">
        <v>3369</v>
      </c>
      <c r="K940" t="s">
        <v>3387</v>
      </c>
      <c r="L940" t="s">
        <v>3388</v>
      </c>
      <c r="M940" t="s">
        <v>3397</v>
      </c>
      <c r="N940" t="s">
        <v>3365</v>
      </c>
      <c r="O940" t="s">
        <v>3376</v>
      </c>
      <c r="P940" t="s">
        <v>3398</v>
      </c>
    </row>
    <row r="941" spans="1:16" x14ac:dyDescent="0.3">
      <c r="A941" t="s">
        <v>2971</v>
      </c>
      <c r="B941" t="s">
        <v>456</v>
      </c>
      <c r="D941" t="s">
        <v>2796</v>
      </c>
      <c r="F941" t="s">
        <v>3394</v>
      </c>
      <c r="G941" t="s">
        <v>2746</v>
      </c>
      <c r="H941" t="s">
        <v>2972</v>
      </c>
      <c r="I941" t="s">
        <v>3396</v>
      </c>
      <c r="J941" t="s">
        <v>3369</v>
      </c>
      <c r="K941" t="s">
        <v>3387</v>
      </c>
      <c r="L941" t="s">
        <v>3388</v>
      </c>
      <c r="M941" t="s">
        <v>3397</v>
      </c>
      <c r="N941" t="s">
        <v>3365</v>
      </c>
      <c r="O941" t="s">
        <v>3376</v>
      </c>
      <c r="P941" t="s">
        <v>3398</v>
      </c>
    </row>
    <row r="942" spans="1:16" x14ac:dyDescent="0.3">
      <c r="A942" t="s">
        <v>2973</v>
      </c>
      <c r="B942" t="s">
        <v>456</v>
      </c>
      <c r="D942" t="s">
        <v>2796</v>
      </c>
      <c r="F942" t="s">
        <v>3394</v>
      </c>
      <c r="G942" t="s">
        <v>2746</v>
      </c>
      <c r="H942" t="s">
        <v>2972</v>
      </c>
      <c r="I942" t="s">
        <v>3396</v>
      </c>
      <c r="J942" t="s">
        <v>3369</v>
      </c>
      <c r="K942" t="s">
        <v>3387</v>
      </c>
      <c r="L942" t="s">
        <v>3388</v>
      </c>
      <c r="M942" t="s">
        <v>3397</v>
      </c>
      <c r="N942" t="s">
        <v>3365</v>
      </c>
      <c r="O942" t="s">
        <v>3376</v>
      </c>
      <c r="P942" t="s">
        <v>3398</v>
      </c>
    </row>
    <row r="943" spans="1:16" x14ac:dyDescent="0.3">
      <c r="A943" t="s">
        <v>2974</v>
      </c>
      <c r="B943" t="s">
        <v>456</v>
      </c>
      <c r="D943" t="s">
        <v>2796</v>
      </c>
      <c r="F943" t="s">
        <v>3394</v>
      </c>
      <c r="G943" t="s">
        <v>2746</v>
      </c>
      <c r="H943" t="s">
        <v>2972</v>
      </c>
      <c r="I943" t="s">
        <v>3396</v>
      </c>
      <c r="J943" t="s">
        <v>3369</v>
      </c>
      <c r="K943" t="s">
        <v>3387</v>
      </c>
      <c r="L943" t="s">
        <v>3388</v>
      </c>
      <c r="M943" t="s">
        <v>3397</v>
      </c>
      <c r="N943" t="s">
        <v>3365</v>
      </c>
      <c r="O943" t="s">
        <v>3376</v>
      </c>
      <c r="P943" t="s">
        <v>3398</v>
      </c>
    </row>
    <row r="944" spans="1:16" x14ac:dyDescent="0.3">
      <c r="A944" t="s">
        <v>2975</v>
      </c>
      <c r="B944" t="s">
        <v>456</v>
      </c>
      <c r="D944" t="s">
        <v>2796</v>
      </c>
      <c r="F944" t="s">
        <v>3394</v>
      </c>
      <c r="G944" t="s">
        <v>2746</v>
      </c>
      <c r="H944" t="s">
        <v>2972</v>
      </c>
      <c r="I944" t="s">
        <v>3396</v>
      </c>
      <c r="J944" t="s">
        <v>3369</v>
      </c>
      <c r="K944" t="s">
        <v>3387</v>
      </c>
      <c r="L944" t="s">
        <v>3388</v>
      </c>
      <c r="M944" t="s">
        <v>3397</v>
      </c>
      <c r="N944" t="s">
        <v>3365</v>
      </c>
      <c r="O944" t="s">
        <v>3376</v>
      </c>
      <c r="P944" t="s">
        <v>3398</v>
      </c>
    </row>
    <row r="945" spans="1:16" x14ac:dyDescent="0.3">
      <c r="A945" t="s">
        <v>895</v>
      </c>
      <c r="B945" t="s">
        <v>456</v>
      </c>
      <c r="D945" t="s">
        <v>2796</v>
      </c>
      <c r="F945" t="s">
        <v>3394</v>
      </c>
      <c r="G945" t="s">
        <v>2746</v>
      </c>
      <c r="H945" t="s">
        <v>2972</v>
      </c>
      <c r="I945" t="s">
        <v>3396</v>
      </c>
      <c r="J945" t="s">
        <v>3369</v>
      </c>
      <c r="K945" t="s">
        <v>3387</v>
      </c>
      <c r="L945" t="s">
        <v>3388</v>
      </c>
      <c r="M945" t="s">
        <v>3397</v>
      </c>
      <c r="N945" t="s">
        <v>3365</v>
      </c>
      <c r="O945" t="s">
        <v>3376</v>
      </c>
      <c r="P945" t="s">
        <v>3398</v>
      </c>
    </row>
    <row r="946" spans="1:16" x14ac:dyDescent="0.3">
      <c r="A946" t="s">
        <v>2976</v>
      </c>
      <c r="B946" t="s">
        <v>456</v>
      </c>
      <c r="D946" t="s">
        <v>2828</v>
      </c>
      <c r="F946" t="s">
        <v>3394</v>
      </c>
      <c r="G946" t="s">
        <v>2746</v>
      </c>
      <c r="H946" t="s">
        <v>2976</v>
      </c>
      <c r="I946" t="s">
        <v>3396</v>
      </c>
      <c r="J946" t="s">
        <v>3369</v>
      </c>
      <c r="K946" t="s">
        <v>3387</v>
      </c>
      <c r="L946" t="s">
        <v>3388</v>
      </c>
      <c r="M946" t="s">
        <v>3397</v>
      </c>
      <c r="N946" t="s">
        <v>3365</v>
      </c>
      <c r="O946" t="s">
        <v>3376</v>
      </c>
      <c r="P946" t="s">
        <v>3398</v>
      </c>
    </row>
    <row r="947" spans="1:16" x14ac:dyDescent="0.3">
      <c r="A947" t="s">
        <v>2977</v>
      </c>
      <c r="B947" t="s">
        <v>456</v>
      </c>
      <c r="D947" t="s">
        <v>2828</v>
      </c>
      <c r="F947" t="s">
        <v>3394</v>
      </c>
      <c r="G947" t="s">
        <v>2746</v>
      </c>
      <c r="H947" t="s">
        <v>2976</v>
      </c>
      <c r="I947" t="s">
        <v>3396</v>
      </c>
      <c r="J947" t="s">
        <v>3369</v>
      </c>
      <c r="K947" t="s">
        <v>3387</v>
      </c>
      <c r="L947" t="s">
        <v>3388</v>
      </c>
      <c r="M947" t="s">
        <v>3397</v>
      </c>
      <c r="N947" t="s">
        <v>3365</v>
      </c>
      <c r="O947" t="s">
        <v>3376</v>
      </c>
      <c r="P947" t="s">
        <v>3398</v>
      </c>
    </row>
    <row r="948" spans="1:16" x14ac:dyDescent="0.3">
      <c r="A948" t="s">
        <v>2978</v>
      </c>
      <c r="B948" t="s">
        <v>456</v>
      </c>
      <c r="D948" t="s">
        <v>2828</v>
      </c>
      <c r="F948" t="s">
        <v>3394</v>
      </c>
      <c r="G948" t="s">
        <v>2746</v>
      </c>
      <c r="H948" t="s">
        <v>2976</v>
      </c>
      <c r="I948" t="s">
        <v>3396</v>
      </c>
      <c r="J948" t="s">
        <v>3369</v>
      </c>
      <c r="K948" t="s">
        <v>3387</v>
      </c>
      <c r="L948" t="s">
        <v>3388</v>
      </c>
      <c r="M948" t="s">
        <v>3397</v>
      </c>
      <c r="N948" t="s">
        <v>3365</v>
      </c>
      <c r="O948" t="s">
        <v>3376</v>
      </c>
      <c r="P948" t="s">
        <v>3398</v>
      </c>
    </row>
    <row r="949" spans="1:16" x14ac:dyDescent="0.3">
      <c r="A949" t="s">
        <v>2979</v>
      </c>
      <c r="B949" t="s">
        <v>456</v>
      </c>
      <c r="D949" t="s">
        <v>2828</v>
      </c>
      <c r="F949" t="s">
        <v>3394</v>
      </c>
      <c r="G949" t="s">
        <v>2746</v>
      </c>
      <c r="H949" t="s">
        <v>2976</v>
      </c>
      <c r="I949" t="s">
        <v>3396</v>
      </c>
      <c r="J949" t="s">
        <v>3369</v>
      </c>
      <c r="K949" t="s">
        <v>3387</v>
      </c>
      <c r="L949" t="s">
        <v>3388</v>
      </c>
      <c r="M949" t="s">
        <v>3397</v>
      </c>
      <c r="N949" t="s">
        <v>3365</v>
      </c>
      <c r="O949" t="s">
        <v>3376</v>
      </c>
      <c r="P949" t="s">
        <v>3398</v>
      </c>
    </row>
    <row r="950" spans="1:16" x14ac:dyDescent="0.3">
      <c r="A950" t="s">
        <v>2980</v>
      </c>
      <c r="B950" t="s">
        <v>456</v>
      </c>
      <c r="D950" t="s">
        <v>2828</v>
      </c>
      <c r="F950" t="s">
        <v>3394</v>
      </c>
      <c r="G950" t="s">
        <v>2746</v>
      </c>
      <c r="H950" t="s">
        <v>2976</v>
      </c>
      <c r="I950" t="s">
        <v>3396</v>
      </c>
      <c r="J950" t="s">
        <v>3369</v>
      </c>
      <c r="K950" t="s">
        <v>3387</v>
      </c>
      <c r="L950" t="s">
        <v>3388</v>
      </c>
      <c r="M950" t="s">
        <v>3397</v>
      </c>
      <c r="N950" t="s">
        <v>3365</v>
      </c>
      <c r="O950" t="s">
        <v>3376</v>
      </c>
      <c r="P950" t="s">
        <v>3398</v>
      </c>
    </row>
    <row r="951" spans="1:16" x14ac:dyDescent="0.3">
      <c r="A951" t="s">
        <v>2981</v>
      </c>
      <c r="B951" t="s">
        <v>456</v>
      </c>
      <c r="D951" t="s">
        <v>2828</v>
      </c>
      <c r="F951" t="s">
        <v>3394</v>
      </c>
      <c r="G951" t="s">
        <v>2746</v>
      </c>
      <c r="H951" t="s">
        <v>2976</v>
      </c>
      <c r="I951" t="s">
        <v>3396</v>
      </c>
      <c r="J951" t="s">
        <v>3369</v>
      </c>
      <c r="K951" t="s">
        <v>3387</v>
      </c>
      <c r="L951" t="s">
        <v>3388</v>
      </c>
      <c r="M951" t="s">
        <v>3397</v>
      </c>
      <c r="N951" t="s">
        <v>3365</v>
      </c>
      <c r="O951" t="s">
        <v>3376</v>
      </c>
      <c r="P951" t="s">
        <v>3398</v>
      </c>
    </row>
    <row r="952" spans="1:16" x14ac:dyDescent="0.3">
      <c r="A952" t="s">
        <v>2982</v>
      </c>
      <c r="B952" t="s">
        <v>456</v>
      </c>
      <c r="D952" t="s">
        <v>2828</v>
      </c>
      <c r="F952" t="s">
        <v>3394</v>
      </c>
      <c r="G952" t="s">
        <v>2746</v>
      </c>
      <c r="H952" t="s">
        <v>2976</v>
      </c>
      <c r="I952" t="s">
        <v>3396</v>
      </c>
      <c r="J952" t="s">
        <v>3369</v>
      </c>
      <c r="K952" t="s">
        <v>3387</v>
      </c>
      <c r="L952" t="s">
        <v>3388</v>
      </c>
      <c r="M952" t="s">
        <v>3397</v>
      </c>
      <c r="N952" t="s">
        <v>3365</v>
      </c>
      <c r="O952" t="s">
        <v>3376</v>
      </c>
      <c r="P952" t="s">
        <v>3398</v>
      </c>
    </row>
    <row r="953" spans="1:16" x14ac:dyDescent="0.3">
      <c r="A953" t="s">
        <v>2983</v>
      </c>
      <c r="B953" t="s">
        <v>456</v>
      </c>
      <c r="D953" t="s">
        <v>2828</v>
      </c>
      <c r="F953" t="s">
        <v>3394</v>
      </c>
      <c r="G953" t="s">
        <v>2746</v>
      </c>
      <c r="H953" t="s">
        <v>909</v>
      </c>
      <c r="I953" t="s">
        <v>3396</v>
      </c>
      <c r="J953" t="s">
        <v>3369</v>
      </c>
      <c r="K953" t="s">
        <v>3387</v>
      </c>
      <c r="L953" t="s">
        <v>3388</v>
      </c>
      <c r="M953" t="s">
        <v>3397</v>
      </c>
      <c r="N953" t="s">
        <v>3365</v>
      </c>
      <c r="O953" t="s">
        <v>3376</v>
      </c>
      <c r="P953" t="s">
        <v>3398</v>
      </c>
    </row>
    <row r="954" spans="1:16" x14ac:dyDescent="0.3">
      <c r="A954" t="s">
        <v>2984</v>
      </c>
      <c r="B954" t="s">
        <v>456</v>
      </c>
      <c r="D954" t="s">
        <v>2828</v>
      </c>
      <c r="F954" t="s">
        <v>3394</v>
      </c>
      <c r="G954" t="s">
        <v>2746</v>
      </c>
      <c r="H954" t="s">
        <v>909</v>
      </c>
      <c r="I954" t="s">
        <v>3396</v>
      </c>
      <c r="J954" t="s">
        <v>3369</v>
      </c>
      <c r="K954" t="s">
        <v>3387</v>
      </c>
      <c r="L954" t="s">
        <v>3388</v>
      </c>
      <c r="M954" t="s">
        <v>3397</v>
      </c>
      <c r="N954" t="s">
        <v>3365</v>
      </c>
      <c r="O954" t="s">
        <v>3376</v>
      </c>
      <c r="P954" t="s">
        <v>3398</v>
      </c>
    </row>
    <row r="955" spans="1:16" x14ac:dyDescent="0.3">
      <c r="A955" t="s">
        <v>2985</v>
      </c>
      <c r="B955" t="s">
        <v>456</v>
      </c>
      <c r="D955" t="s">
        <v>2828</v>
      </c>
      <c r="F955" t="s">
        <v>3394</v>
      </c>
      <c r="G955" t="s">
        <v>2746</v>
      </c>
      <c r="H955" t="s">
        <v>909</v>
      </c>
      <c r="I955" t="s">
        <v>3396</v>
      </c>
      <c r="J955" t="s">
        <v>3369</v>
      </c>
      <c r="K955" t="s">
        <v>3387</v>
      </c>
      <c r="L955" t="s">
        <v>3388</v>
      </c>
      <c r="M955" t="s">
        <v>3397</v>
      </c>
      <c r="N955" t="s">
        <v>3365</v>
      </c>
      <c r="O955" t="s">
        <v>3376</v>
      </c>
      <c r="P955" t="s">
        <v>3398</v>
      </c>
    </row>
    <row r="956" spans="1:16" x14ac:dyDescent="0.3">
      <c r="A956" t="s">
        <v>2986</v>
      </c>
      <c r="B956" t="s">
        <v>456</v>
      </c>
      <c r="D956" t="s">
        <v>2828</v>
      </c>
      <c r="F956" t="s">
        <v>3394</v>
      </c>
      <c r="G956" t="s">
        <v>2746</v>
      </c>
      <c r="H956" t="s">
        <v>909</v>
      </c>
      <c r="I956" t="s">
        <v>3396</v>
      </c>
      <c r="J956" t="s">
        <v>3369</v>
      </c>
      <c r="K956" t="s">
        <v>3387</v>
      </c>
      <c r="L956" t="s">
        <v>3388</v>
      </c>
      <c r="M956" t="s">
        <v>3397</v>
      </c>
      <c r="N956" t="s">
        <v>3365</v>
      </c>
      <c r="O956" t="s">
        <v>3376</v>
      </c>
      <c r="P956" t="s">
        <v>3398</v>
      </c>
    </row>
    <row r="957" spans="1:16" x14ac:dyDescent="0.3">
      <c r="A957" t="s">
        <v>2987</v>
      </c>
      <c r="B957" t="s">
        <v>456</v>
      </c>
      <c r="D957" t="s">
        <v>2828</v>
      </c>
      <c r="F957" t="s">
        <v>3394</v>
      </c>
      <c r="G957" t="s">
        <v>2746</v>
      </c>
      <c r="H957" t="s">
        <v>909</v>
      </c>
      <c r="I957" t="s">
        <v>3396</v>
      </c>
      <c r="J957" t="s">
        <v>3369</v>
      </c>
      <c r="K957" t="s">
        <v>3387</v>
      </c>
      <c r="L957" t="s">
        <v>3388</v>
      </c>
      <c r="M957" t="s">
        <v>3397</v>
      </c>
      <c r="N957" t="s">
        <v>3365</v>
      </c>
      <c r="O957" t="s">
        <v>3376</v>
      </c>
      <c r="P957" t="s">
        <v>3398</v>
      </c>
    </row>
    <row r="958" spans="1:16" x14ac:dyDescent="0.3">
      <c r="A958" t="s">
        <v>2988</v>
      </c>
      <c r="B958" t="s">
        <v>456</v>
      </c>
      <c r="D958" t="s">
        <v>2828</v>
      </c>
      <c r="F958" t="s">
        <v>3394</v>
      </c>
      <c r="G958" t="s">
        <v>2746</v>
      </c>
      <c r="H958" t="s">
        <v>909</v>
      </c>
      <c r="I958" t="s">
        <v>3396</v>
      </c>
      <c r="J958" t="s">
        <v>3369</v>
      </c>
      <c r="K958" t="s">
        <v>3387</v>
      </c>
      <c r="L958" t="s">
        <v>3388</v>
      </c>
      <c r="M958" t="s">
        <v>3397</v>
      </c>
      <c r="N958" t="s">
        <v>3365</v>
      </c>
      <c r="O958" t="s">
        <v>3376</v>
      </c>
      <c r="P958" t="s">
        <v>3398</v>
      </c>
    </row>
    <row r="959" spans="1:16" x14ac:dyDescent="0.3">
      <c r="A959" t="s">
        <v>2989</v>
      </c>
      <c r="B959" t="s">
        <v>456</v>
      </c>
      <c r="D959" t="s">
        <v>2828</v>
      </c>
      <c r="F959" t="s">
        <v>3394</v>
      </c>
      <c r="G959" t="s">
        <v>2746</v>
      </c>
      <c r="H959" t="s">
        <v>2976</v>
      </c>
      <c r="I959" t="s">
        <v>3396</v>
      </c>
      <c r="J959" t="s">
        <v>3369</v>
      </c>
      <c r="K959" t="s">
        <v>3387</v>
      </c>
      <c r="L959" t="s">
        <v>3388</v>
      </c>
      <c r="M959" t="s">
        <v>3397</v>
      </c>
      <c r="N959" t="s">
        <v>3365</v>
      </c>
      <c r="O959" t="s">
        <v>3376</v>
      </c>
      <c r="P959" t="s">
        <v>3398</v>
      </c>
    </row>
    <row r="960" spans="1:16" x14ac:dyDescent="0.3">
      <c r="A960" t="s">
        <v>2990</v>
      </c>
      <c r="B960" t="s">
        <v>456</v>
      </c>
      <c r="D960" t="s">
        <v>2828</v>
      </c>
      <c r="F960" t="s">
        <v>3394</v>
      </c>
      <c r="G960" t="s">
        <v>2746</v>
      </c>
      <c r="H960" t="s">
        <v>2976</v>
      </c>
      <c r="I960" t="s">
        <v>3396</v>
      </c>
      <c r="J960" t="s">
        <v>3369</v>
      </c>
      <c r="K960" t="s">
        <v>3387</v>
      </c>
      <c r="L960" t="s">
        <v>3388</v>
      </c>
      <c r="M960" t="s">
        <v>3397</v>
      </c>
      <c r="N960" t="s">
        <v>3365</v>
      </c>
      <c r="O960" t="s">
        <v>3376</v>
      </c>
      <c r="P960" t="s">
        <v>3398</v>
      </c>
    </row>
    <row r="961" spans="1:16" x14ac:dyDescent="0.3">
      <c r="A961" t="s">
        <v>2991</v>
      </c>
      <c r="B961" t="s">
        <v>456</v>
      </c>
      <c r="D961" t="s">
        <v>2828</v>
      </c>
      <c r="F961" t="s">
        <v>3394</v>
      </c>
      <c r="G961" t="s">
        <v>2746</v>
      </c>
      <c r="H961" t="s">
        <v>2976</v>
      </c>
      <c r="I961" t="s">
        <v>3396</v>
      </c>
      <c r="J961" t="s">
        <v>3369</v>
      </c>
      <c r="K961" t="s">
        <v>3387</v>
      </c>
      <c r="L961" t="s">
        <v>3388</v>
      </c>
      <c r="M961" t="s">
        <v>3397</v>
      </c>
      <c r="N961" t="s">
        <v>3365</v>
      </c>
      <c r="O961" t="s">
        <v>3376</v>
      </c>
      <c r="P961" t="s">
        <v>3398</v>
      </c>
    </row>
    <row r="962" spans="1:16" x14ac:dyDescent="0.3">
      <c r="A962" t="s">
        <v>2992</v>
      </c>
      <c r="B962" t="s">
        <v>456</v>
      </c>
      <c r="D962" t="s">
        <v>2828</v>
      </c>
      <c r="F962" t="s">
        <v>3394</v>
      </c>
      <c r="G962" t="s">
        <v>2746</v>
      </c>
      <c r="H962" t="s">
        <v>877</v>
      </c>
      <c r="I962" t="s">
        <v>3396</v>
      </c>
      <c r="J962" t="s">
        <v>3369</v>
      </c>
      <c r="K962" t="s">
        <v>3387</v>
      </c>
      <c r="L962" t="s">
        <v>3388</v>
      </c>
      <c r="M962" t="s">
        <v>3397</v>
      </c>
      <c r="N962" t="s">
        <v>3365</v>
      </c>
      <c r="O962" t="s">
        <v>3376</v>
      </c>
      <c r="P962" t="s">
        <v>3398</v>
      </c>
    </row>
    <row r="963" spans="1:16" x14ac:dyDescent="0.3">
      <c r="A963" t="s">
        <v>2993</v>
      </c>
      <c r="B963" t="s">
        <v>456</v>
      </c>
      <c r="D963" t="s">
        <v>2828</v>
      </c>
      <c r="F963" t="s">
        <v>3394</v>
      </c>
      <c r="G963" t="s">
        <v>2746</v>
      </c>
      <c r="H963" t="s">
        <v>877</v>
      </c>
      <c r="I963" t="s">
        <v>3396</v>
      </c>
      <c r="J963" t="s">
        <v>3369</v>
      </c>
      <c r="K963" t="s">
        <v>3387</v>
      </c>
      <c r="L963" t="s">
        <v>3388</v>
      </c>
      <c r="M963" t="s">
        <v>3397</v>
      </c>
      <c r="N963" t="s">
        <v>3365</v>
      </c>
      <c r="O963" t="s">
        <v>3376</v>
      </c>
      <c r="P963" t="s">
        <v>3398</v>
      </c>
    </row>
    <row r="964" spans="1:16" x14ac:dyDescent="0.3">
      <c r="A964" t="s">
        <v>2994</v>
      </c>
      <c r="B964" t="s">
        <v>456</v>
      </c>
      <c r="D964" t="s">
        <v>2828</v>
      </c>
      <c r="F964" t="s">
        <v>3394</v>
      </c>
      <c r="G964" t="s">
        <v>2746</v>
      </c>
      <c r="H964" t="s">
        <v>877</v>
      </c>
      <c r="I964" t="s">
        <v>3396</v>
      </c>
      <c r="J964" t="s">
        <v>3369</v>
      </c>
      <c r="K964" t="s">
        <v>3387</v>
      </c>
      <c r="L964" t="s">
        <v>3388</v>
      </c>
      <c r="M964" t="s">
        <v>3397</v>
      </c>
      <c r="N964" t="s">
        <v>3365</v>
      </c>
      <c r="O964" t="s">
        <v>3376</v>
      </c>
      <c r="P964" t="s">
        <v>3398</v>
      </c>
    </row>
    <row r="965" spans="1:16" x14ac:dyDescent="0.3">
      <c r="A965" t="s">
        <v>2995</v>
      </c>
      <c r="B965" t="s">
        <v>456</v>
      </c>
      <c r="D965" t="s">
        <v>2828</v>
      </c>
      <c r="F965" t="s">
        <v>3394</v>
      </c>
      <c r="G965" t="s">
        <v>2746</v>
      </c>
      <c r="H965" t="s">
        <v>877</v>
      </c>
      <c r="I965" t="s">
        <v>3396</v>
      </c>
      <c r="J965" t="s">
        <v>3369</v>
      </c>
      <c r="K965" t="s">
        <v>3387</v>
      </c>
      <c r="L965" t="s">
        <v>3388</v>
      </c>
      <c r="M965" t="s">
        <v>3397</v>
      </c>
      <c r="N965" t="s">
        <v>3365</v>
      </c>
      <c r="O965" t="s">
        <v>3376</v>
      </c>
      <c r="P965" t="s">
        <v>3398</v>
      </c>
    </row>
    <row r="966" spans="1:16" x14ac:dyDescent="0.3">
      <c r="A966" t="s">
        <v>2996</v>
      </c>
      <c r="B966" t="s">
        <v>456</v>
      </c>
      <c r="D966" t="s">
        <v>2828</v>
      </c>
      <c r="F966" t="s">
        <v>3394</v>
      </c>
      <c r="G966" t="s">
        <v>2746</v>
      </c>
      <c r="H966" t="s">
        <v>877</v>
      </c>
      <c r="I966" t="s">
        <v>3396</v>
      </c>
      <c r="J966" t="s">
        <v>3369</v>
      </c>
      <c r="K966" t="s">
        <v>3387</v>
      </c>
      <c r="L966" t="s">
        <v>3388</v>
      </c>
      <c r="M966" t="s">
        <v>3397</v>
      </c>
      <c r="N966" t="s">
        <v>3365</v>
      </c>
      <c r="O966" t="s">
        <v>3376</v>
      </c>
      <c r="P966" t="s">
        <v>3398</v>
      </c>
    </row>
    <row r="967" spans="1:16" x14ac:dyDescent="0.3">
      <c r="A967" t="s">
        <v>2997</v>
      </c>
      <c r="B967" t="s">
        <v>456</v>
      </c>
      <c r="D967" t="s">
        <v>2828</v>
      </c>
      <c r="F967" t="s">
        <v>3394</v>
      </c>
      <c r="G967" t="s">
        <v>2746</v>
      </c>
      <c r="H967" t="s">
        <v>877</v>
      </c>
      <c r="I967" t="s">
        <v>3396</v>
      </c>
      <c r="J967" t="s">
        <v>3369</v>
      </c>
      <c r="K967" t="s">
        <v>3387</v>
      </c>
      <c r="L967" t="s">
        <v>3388</v>
      </c>
      <c r="M967" t="s">
        <v>3397</v>
      </c>
      <c r="N967" t="s">
        <v>3365</v>
      </c>
      <c r="O967" t="s">
        <v>3376</v>
      </c>
      <c r="P967" t="s">
        <v>3398</v>
      </c>
    </row>
    <row r="968" spans="1:16" x14ac:dyDescent="0.3">
      <c r="A968" t="s">
        <v>2998</v>
      </c>
      <c r="B968" t="s">
        <v>456</v>
      </c>
      <c r="D968" t="s">
        <v>2828</v>
      </c>
      <c r="F968" t="s">
        <v>3394</v>
      </c>
      <c r="G968" t="s">
        <v>2746</v>
      </c>
      <c r="H968" t="s">
        <v>877</v>
      </c>
      <c r="I968" t="s">
        <v>3396</v>
      </c>
      <c r="J968" t="s">
        <v>3369</v>
      </c>
      <c r="K968" t="s">
        <v>3387</v>
      </c>
      <c r="L968" t="s">
        <v>3388</v>
      </c>
      <c r="M968" t="s">
        <v>3397</v>
      </c>
      <c r="N968" t="s">
        <v>3365</v>
      </c>
      <c r="O968" t="s">
        <v>3376</v>
      </c>
      <c r="P968" t="s">
        <v>3398</v>
      </c>
    </row>
    <row r="969" spans="1:16" x14ac:dyDescent="0.3">
      <c r="A969" t="s">
        <v>2999</v>
      </c>
      <c r="B969" t="s">
        <v>456</v>
      </c>
      <c r="D969" t="s">
        <v>2828</v>
      </c>
      <c r="F969" t="s">
        <v>3394</v>
      </c>
      <c r="G969" t="s">
        <v>2746</v>
      </c>
      <c r="H969" t="s">
        <v>877</v>
      </c>
      <c r="I969" t="s">
        <v>3396</v>
      </c>
      <c r="J969" t="s">
        <v>3369</v>
      </c>
      <c r="K969" t="s">
        <v>3387</v>
      </c>
      <c r="L969" t="s">
        <v>3388</v>
      </c>
      <c r="M969" t="s">
        <v>3397</v>
      </c>
      <c r="N969" t="s">
        <v>3365</v>
      </c>
      <c r="O969" t="s">
        <v>3376</v>
      </c>
      <c r="P969" t="s">
        <v>3398</v>
      </c>
    </row>
    <row r="970" spans="1:16" x14ac:dyDescent="0.3">
      <c r="A970" t="s">
        <v>3000</v>
      </c>
      <c r="B970" t="s">
        <v>456</v>
      </c>
      <c r="D970" t="s">
        <v>2828</v>
      </c>
      <c r="F970" t="s">
        <v>3394</v>
      </c>
      <c r="G970" t="s">
        <v>2746</v>
      </c>
      <c r="H970" t="s">
        <v>877</v>
      </c>
      <c r="I970" t="s">
        <v>3396</v>
      </c>
      <c r="J970" t="s">
        <v>3369</v>
      </c>
      <c r="K970" t="s">
        <v>3387</v>
      </c>
      <c r="L970" t="s">
        <v>3388</v>
      </c>
      <c r="M970" t="s">
        <v>3397</v>
      </c>
      <c r="N970" t="s">
        <v>3365</v>
      </c>
      <c r="O970" t="s">
        <v>3376</v>
      </c>
      <c r="P970" t="s">
        <v>3398</v>
      </c>
    </row>
    <row r="971" spans="1:16" x14ac:dyDescent="0.3">
      <c r="A971" t="s">
        <v>3001</v>
      </c>
      <c r="B971" t="s">
        <v>456</v>
      </c>
      <c r="D971" t="s">
        <v>2828</v>
      </c>
      <c r="F971" t="s">
        <v>3394</v>
      </c>
      <c r="G971" t="s">
        <v>2746</v>
      </c>
      <c r="H971" t="s">
        <v>2976</v>
      </c>
      <c r="I971" t="s">
        <v>3396</v>
      </c>
      <c r="J971" t="s">
        <v>3369</v>
      </c>
      <c r="K971" t="s">
        <v>3387</v>
      </c>
      <c r="L971" t="s">
        <v>3388</v>
      </c>
      <c r="M971" t="s">
        <v>3397</v>
      </c>
      <c r="N971" t="s">
        <v>3365</v>
      </c>
      <c r="O971" t="s">
        <v>3376</v>
      </c>
      <c r="P971" t="s">
        <v>3398</v>
      </c>
    </row>
    <row r="972" spans="1:16" x14ac:dyDescent="0.3">
      <c r="A972" t="s">
        <v>3002</v>
      </c>
      <c r="B972" t="s">
        <v>456</v>
      </c>
      <c r="D972" t="s">
        <v>2828</v>
      </c>
      <c r="F972" t="s">
        <v>3394</v>
      </c>
      <c r="G972" t="s">
        <v>2746</v>
      </c>
      <c r="H972" t="s">
        <v>2976</v>
      </c>
      <c r="I972" t="s">
        <v>3396</v>
      </c>
      <c r="J972" t="s">
        <v>3369</v>
      </c>
      <c r="K972" t="s">
        <v>3387</v>
      </c>
      <c r="L972" t="s">
        <v>3388</v>
      </c>
      <c r="M972" t="s">
        <v>3397</v>
      </c>
      <c r="N972" t="s">
        <v>3365</v>
      </c>
      <c r="O972" t="s">
        <v>3376</v>
      </c>
      <c r="P972" t="s">
        <v>3398</v>
      </c>
    </row>
    <row r="973" spans="1:16" x14ac:dyDescent="0.3">
      <c r="A973" t="s">
        <v>3003</v>
      </c>
      <c r="B973" t="s">
        <v>456</v>
      </c>
      <c r="D973" t="s">
        <v>2828</v>
      </c>
      <c r="F973" t="s">
        <v>3394</v>
      </c>
      <c r="G973" t="s">
        <v>2746</v>
      </c>
      <c r="H973" t="s">
        <v>2976</v>
      </c>
      <c r="I973" t="s">
        <v>3396</v>
      </c>
      <c r="J973" t="s">
        <v>3369</v>
      </c>
      <c r="K973" t="s">
        <v>3387</v>
      </c>
      <c r="L973" t="s">
        <v>3388</v>
      </c>
      <c r="M973" t="s">
        <v>3397</v>
      </c>
      <c r="N973" t="s">
        <v>3365</v>
      </c>
      <c r="O973" t="s">
        <v>3376</v>
      </c>
      <c r="P973" t="s">
        <v>3398</v>
      </c>
    </row>
    <row r="974" spans="1:16" x14ac:dyDescent="0.3">
      <c r="A974" t="s">
        <v>3004</v>
      </c>
      <c r="B974" t="s">
        <v>456</v>
      </c>
      <c r="D974" t="s">
        <v>2828</v>
      </c>
      <c r="F974" t="s">
        <v>3394</v>
      </c>
      <c r="G974" t="s">
        <v>2746</v>
      </c>
      <c r="H974" t="s">
        <v>2976</v>
      </c>
      <c r="I974" t="s">
        <v>3396</v>
      </c>
      <c r="J974" t="s">
        <v>3369</v>
      </c>
      <c r="K974" t="s">
        <v>3387</v>
      </c>
      <c r="L974" t="s">
        <v>3388</v>
      </c>
      <c r="M974" t="s">
        <v>3397</v>
      </c>
      <c r="N974" t="s">
        <v>3365</v>
      </c>
      <c r="O974" t="s">
        <v>3376</v>
      </c>
      <c r="P974" t="s">
        <v>3398</v>
      </c>
    </row>
    <row r="975" spans="1:16" x14ac:dyDescent="0.3">
      <c r="A975" t="s">
        <v>3005</v>
      </c>
      <c r="B975" t="s">
        <v>456</v>
      </c>
      <c r="D975" t="s">
        <v>2828</v>
      </c>
      <c r="F975" t="s">
        <v>3394</v>
      </c>
      <c r="G975" t="s">
        <v>2746</v>
      </c>
      <c r="H975" t="s">
        <v>2976</v>
      </c>
      <c r="I975" t="s">
        <v>3396</v>
      </c>
      <c r="J975" t="s">
        <v>3369</v>
      </c>
      <c r="K975" t="s">
        <v>3387</v>
      </c>
      <c r="L975" t="s">
        <v>3388</v>
      </c>
      <c r="M975" t="s">
        <v>3397</v>
      </c>
      <c r="N975" t="s">
        <v>3365</v>
      </c>
      <c r="O975" t="s">
        <v>3376</v>
      </c>
      <c r="P975" t="s">
        <v>3398</v>
      </c>
    </row>
    <row r="976" spans="1:16" x14ac:dyDescent="0.3">
      <c r="A976" t="s">
        <v>3006</v>
      </c>
      <c r="B976" t="s">
        <v>456</v>
      </c>
      <c r="D976" t="s">
        <v>2828</v>
      </c>
      <c r="F976" t="s">
        <v>3394</v>
      </c>
      <c r="G976" t="s">
        <v>2746</v>
      </c>
      <c r="H976" t="s">
        <v>2976</v>
      </c>
      <c r="I976" t="s">
        <v>3396</v>
      </c>
      <c r="J976" t="s">
        <v>3369</v>
      </c>
      <c r="K976" t="s">
        <v>3387</v>
      </c>
      <c r="L976" t="s">
        <v>3388</v>
      </c>
      <c r="M976" t="s">
        <v>3397</v>
      </c>
      <c r="N976" t="s">
        <v>3365</v>
      </c>
      <c r="O976" t="s">
        <v>3376</v>
      </c>
      <c r="P976" t="s">
        <v>3398</v>
      </c>
    </row>
    <row r="977" spans="1:16" x14ac:dyDescent="0.3">
      <c r="A977" t="s">
        <v>3007</v>
      </c>
      <c r="B977" t="s">
        <v>456</v>
      </c>
      <c r="D977" t="s">
        <v>2828</v>
      </c>
      <c r="F977" t="s">
        <v>3394</v>
      </c>
      <c r="G977" t="s">
        <v>2746</v>
      </c>
      <c r="H977" t="s">
        <v>877</v>
      </c>
      <c r="I977" t="s">
        <v>3396</v>
      </c>
      <c r="J977" t="s">
        <v>3369</v>
      </c>
      <c r="K977" t="s">
        <v>3387</v>
      </c>
      <c r="L977" t="s">
        <v>3388</v>
      </c>
      <c r="M977" t="s">
        <v>3397</v>
      </c>
      <c r="N977" t="s">
        <v>3365</v>
      </c>
      <c r="O977" t="s">
        <v>3376</v>
      </c>
      <c r="P977" t="s">
        <v>3398</v>
      </c>
    </row>
    <row r="978" spans="1:16" x14ac:dyDescent="0.3">
      <c r="A978" t="s">
        <v>3008</v>
      </c>
      <c r="B978" t="s">
        <v>456</v>
      </c>
      <c r="D978" t="s">
        <v>2828</v>
      </c>
      <c r="F978" t="s">
        <v>3394</v>
      </c>
      <c r="G978" t="s">
        <v>2746</v>
      </c>
      <c r="H978" t="s">
        <v>877</v>
      </c>
      <c r="I978" t="s">
        <v>3396</v>
      </c>
      <c r="J978" t="s">
        <v>3369</v>
      </c>
      <c r="K978" t="s">
        <v>3387</v>
      </c>
      <c r="L978" t="s">
        <v>3388</v>
      </c>
      <c r="M978" t="s">
        <v>3397</v>
      </c>
      <c r="N978" t="s">
        <v>3365</v>
      </c>
      <c r="O978" t="s">
        <v>3376</v>
      </c>
      <c r="P978" t="s">
        <v>3398</v>
      </c>
    </row>
    <row r="979" spans="1:16" x14ac:dyDescent="0.3">
      <c r="A979" t="s">
        <v>3009</v>
      </c>
      <c r="B979" t="s">
        <v>456</v>
      </c>
      <c r="D979" t="s">
        <v>2828</v>
      </c>
      <c r="F979" t="s">
        <v>3394</v>
      </c>
      <c r="G979" t="s">
        <v>2746</v>
      </c>
      <c r="H979" t="s">
        <v>877</v>
      </c>
      <c r="I979" t="s">
        <v>3396</v>
      </c>
      <c r="J979" t="s">
        <v>3369</v>
      </c>
      <c r="K979" t="s">
        <v>3387</v>
      </c>
      <c r="L979" t="s">
        <v>3388</v>
      </c>
      <c r="M979" t="s">
        <v>3397</v>
      </c>
      <c r="N979" t="s">
        <v>3365</v>
      </c>
      <c r="O979" t="s">
        <v>3376</v>
      </c>
      <c r="P979" t="s">
        <v>3398</v>
      </c>
    </row>
    <row r="980" spans="1:16" x14ac:dyDescent="0.3">
      <c r="A980" t="s">
        <v>3010</v>
      </c>
      <c r="B980" t="s">
        <v>456</v>
      </c>
      <c r="D980" t="s">
        <v>2828</v>
      </c>
      <c r="F980" t="s">
        <v>3394</v>
      </c>
      <c r="G980" t="s">
        <v>2746</v>
      </c>
      <c r="H980" t="s">
        <v>877</v>
      </c>
      <c r="I980" t="s">
        <v>3396</v>
      </c>
      <c r="J980" t="s">
        <v>3369</v>
      </c>
      <c r="K980" t="s">
        <v>3387</v>
      </c>
      <c r="L980" t="s">
        <v>3388</v>
      </c>
      <c r="M980" t="s">
        <v>3397</v>
      </c>
      <c r="N980" t="s">
        <v>3365</v>
      </c>
      <c r="O980" t="s">
        <v>3376</v>
      </c>
      <c r="P980" t="s">
        <v>3398</v>
      </c>
    </row>
    <row r="981" spans="1:16" x14ac:dyDescent="0.3">
      <c r="A981" t="s">
        <v>3011</v>
      </c>
      <c r="B981" t="s">
        <v>456</v>
      </c>
      <c r="D981" t="s">
        <v>2828</v>
      </c>
      <c r="F981" t="s">
        <v>3394</v>
      </c>
      <c r="G981" t="s">
        <v>2746</v>
      </c>
      <c r="H981" t="s">
        <v>877</v>
      </c>
      <c r="I981" t="s">
        <v>3396</v>
      </c>
      <c r="J981" t="s">
        <v>3369</v>
      </c>
      <c r="K981" t="s">
        <v>3387</v>
      </c>
      <c r="L981" t="s">
        <v>3388</v>
      </c>
      <c r="M981" t="s">
        <v>3397</v>
      </c>
      <c r="N981" t="s">
        <v>3365</v>
      </c>
      <c r="O981" t="s">
        <v>3376</v>
      </c>
      <c r="P981" t="s">
        <v>3398</v>
      </c>
    </row>
    <row r="982" spans="1:16" x14ac:dyDescent="0.3">
      <c r="A982" t="s">
        <v>3012</v>
      </c>
      <c r="B982" t="s">
        <v>456</v>
      </c>
      <c r="D982" t="s">
        <v>2828</v>
      </c>
      <c r="F982" t="s">
        <v>3394</v>
      </c>
      <c r="G982" t="s">
        <v>2746</v>
      </c>
      <c r="H982" t="s">
        <v>877</v>
      </c>
      <c r="I982" t="s">
        <v>3396</v>
      </c>
      <c r="J982" t="s">
        <v>3369</v>
      </c>
      <c r="K982" t="s">
        <v>3387</v>
      </c>
      <c r="L982" t="s">
        <v>3388</v>
      </c>
      <c r="M982" t="s">
        <v>3397</v>
      </c>
      <c r="N982" t="s">
        <v>3365</v>
      </c>
      <c r="O982" t="s">
        <v>3376</v>
      </c>
      <c r="P982" t="s">
        <v>3398</v>
      </c>
    </row>
    <row r="983" spans="1:16" x14ac:dyDescent="0.3">
      <c r="A983" t="s">
        <v>3013</v>
      </c>
      <c r="B983" t="s">
        <v>456</v>
      </c>
      <c r="D983" t="s">
        <v>2828</v>
      </c>
      <c r="F983" t="s">
        <v>3394</v>
      </c>
      <c r="G983" t="s">
        <v>2746</v>
      </c>
      <c r="H983" t="s">
        <v>877</v>
      </c>
      <c r="I983" t="s">
        <v>3396</v>
      </c>
      <c r="J983" t="s">
        <v>3369</v>
      </c>
      <c r="K983" t="s">
        <v>3387</v>
      </c>
      <c r="L983" t="s">
        <v>3388</v>
      </c>
      <c r="M983" t="s">
        <v>3397</v>
      </c>
      <c r="N983" t="s">
        <v>3365</v>
      </c>
      <c r="O983" t="s">
        <v>3376</v>
      </c>
      <c r="P983" t="s">
        <v>3398</v>
      </c>
    </row>
    <row r="984" spans="1:16" x14ac:dyDescent="0.3">
      <c r="A984" t="s">
        <v>3014</v>
      </c>
      <c r="B984" t="s">
        <v>456</v>
      </c>
      <c r="D984" t="s">
        <v>2828</v>
      </c>
      <c r="F984" t="s">
        <v>3394</v>
      </c>
      <c r="G984" t="s">
        <v>2746</v>
      </c>
      <c r="H984" t="s">
        <v>877</v>
      </c>
      <c r="I984" t="s">
        <v>3396</v>
      </c>
      <c r="J984" t="s">
        <v>3369</v>
      </c>
      <c r="K984" t="s">
        <v>3387</v>
      </c>
      <c r="L984" t="s">
        <v>3388</v>
      </c>
      <c r="M984" t="s">
        <v>3397</v>
      </c>
      <c r="N984" t="s">
        <v>3365</v>
      </c>
      <c r="O984" t="s">
        <v>3376</v>
      </c>
      <c r="P984" t="s">
        <v>3398</v>
      </c>
    </row>
    <row r="985" spans="1:16" x14ac:dyDescent="0.3">
      <c r="A985" t="s">
        <v>3015</v>
      </c>
      <c r="B985" t="s">
        <v>456</v>
      </c>
      <c r="D985" t="s">
        <v>2828</v>
      </c>
      <c r="F985" t="s">
        <v>3394</v>
      </c>
      <c r="G985" t="s">
        <v>2746</v>
      </c>
      <c r="H985" t="s">
        <v>877</v>
      </c>
      <c r="I985" t="s">
        <v>3396</v>
      </c>
      <c r="J985" t="s">
        <v>3369</v>
      </c>
      <c r="K985" t="s">
        <v>3387</v>
      </c>
      <c r="L985" t="s">
        <v>3388</v>
      </c>
      <c r="M985" t="s">
        <v>3397</v>
      </c>
      <c r="N985" t="s">
        <v>3365</v>
      </c>
      <c r="O985" t="s">
        <v>3376</v>
      </c>
      <c r="P985" t="s">
        <v>3398</v>
      </c>
    </row>
    <row r="986" spans="1:16" x14ac:dyDescent="0.3">
      <c r="A986" t="s">
        <v>3016</v>
      </c>
      <c r="B986" t="s">
        <v>456</v>
      </c>
      <c r="D986" t="s">
        <v>2828</v>
      </c>
      <c r="F986" t="s">
        <v>3394</v>
      </c>
      <c r="G986" t="s">
        <v>2746</v>
      </c>
      <c r="H986" t="s">
        <v>877</v>
      </c>
      <c r="I986" t="s">
        <v>3396</v>
      </c>
      <c r="J986" t="s">
        <v>3369</v>
      </c>
      <c r="K986" t="s">
        <v>3387</v>
      </c>
      <c r="L986" t="s">
        <v>3388</v>
      </c>
      <c r="M986" t="s">
        <v>3397</v>
      </c>
      <c r="N986" t="s">
        <v>3365</v>
      </c>
      <c r="O986" t="s">
        <v>3376</v>
      </c>
      <c r="P986" t="s">
        <v>3398</v>
      </c>
    </row>
    <row r="987" spans="1:16" x14ac:dyDescent="0.3">
      <c r="A987" t="s">
        <v>3017</v>
      </c>
      <c r="B987" t="s">
        <v>456</v>
      </c>
      <c r="D987" t="s">
        <v>2828</v>
      </c>
      <c r="F987" t="s">
        <v>3394</v>
      </c>
      <c r="G987" t="s">
        <v>2746</v>
      </c>
      <c r="H987" t="s">
        <v>877</v>
      </c>
      <c r="I987" t="s">
        <v>3396</v>
      </c>
      <c r="J987" t="s">
        <v>3369</v>
      </c>
      <c r="K987" t="s">
        <v>3387</v>
      </c>
      <c r="L987" t="s">
        <v>3388</v>
      </c>
      <c r="M987" t="s">
        <v>3397</v>
      </c>
      <c r="N987" t="s">
        <v>3365</v>
      </c>
      <c r="O987" t="s">
        <v>3376</v>
      </c>
      <c r="P987" t="s">
        <v>3398</v>
      </c>
    </row>
    <row r="988" spans="1:16" x14ac:dyDescent="0.3">
      <c r="A988" t="s">
        <v>3018</v>
      </c>
      <c r="B988" t="s">
        <v>456</v>
      </c>
      <c r="D988" t="s">
        <v>2828</v>
      </c>
      <c r="F988" t="s">
        <v>3394</v>
      </c>
      <c r="G988" t="s">
        <v>2746</v>
      </c>
      <c r="H988" t="s">
        <v>877</v>
      </c>
      <c r="I988" t="s">
        <v>3396</v>
      </c>
      <c r="J988" t="s">
        <v>3369</v>
      </c>
      <c r="K988" t="s">
        <v>3387</v>
      </c>
      <c r="L988" t="s">
        <v>3388</v>
      </c>
      <c r="M988" t="s">
        <v>3397</v>
      </c>
      <c r="N988" t="s">
        <v>3365</v>
      </c>
      <c r="O988" t="s">
        <v>3376</v>
      </c>
      <c r="P988" t="s">
        <v>3398</v>
      </c>
    </row>
    <row r="989" spans="1:16" x14ac:dyDescent="0.3">
      <c r="A989" t="s">
        <v>3019</v>
      </c>
      <c r="B989" t="s">
        <v>456</v>
      </c>
      <c r="D989" t="s">
        <v>2828</v>
      </c>
      <c r="F989" t="s">
        <v>3394</v>
      </c>
      <c r="G989" t="s">
        <v>2746</v>
      </c>
      <c r="H989" t="s">
        <v>877</v>
      </c>
      <c r="I989" t="s">
        <v>3396</v>
      </c>
      <c r="J989" t="s">
        <v>3369</v>
      </c>
      <c r="K989" t="s">
        <v>3387</v>
      </c>
      <c r="L989" t="s">
        <v>3388</v>
      </c>
      <c r="M989" t="s">
        <v>3397</v>
      </c>
      <c r="N989" t="s">
        <v>3365</v>
      </c>
      <c r="O989" t="s">
        <v>3376</v>
      </c>
      <c r="P989" t="s">
        <v>3398</v>
      </c>
    </row>
    <row r="990" spans="1:16" x14ac:dyDescent="0.3">
      <c r="A990" t="s">
        <v>3020</v>
      </c>
      <c r="B990" t="s">
        <v>456</v>
      </c>
      <c r="D990" t="s">
        <v>2854</v>
      </c>
      <c r="F990" t="s">
        <v>3394</v>
      </c>
      <c r="G990" t="s">
        <v>2746</v>
      </c>
      <c r="H990" t="s">
        <v>3021</v>
      </c>
      <c r="I990" t="s">
        <v>3396</v>
      </c>
      <c r="J990" t="s">
        <v>3369</v>
      </c>
      <c r="K990" t="s">
        <v>3387</v>
      </c>
      <c r="L990" t="s">
        <v>3388</v>
      </c>
      <c r="M990" t="s">
        <v>3397</v>
      </c>
      <c r="N990" t="s">
        <v>3365</v>
      </c>
      <c r="O990" t="s">
        <v>3376</v>
      </c>
      <c r="P990" t="s">
        <v>3398</v>
      </c>
    </row>
    <row r="991" spans="1:16" x14ac:dyDescent="0.3">
      <c r="A991" t="s">
        <v>3022</v>
      </c>
      <c r="B991" t="s">
        <v>456</v>
      </c>
      <c r="D991" t="s">
        <v>2854</v>
      </c>
      <c r="F991" t="s">
        <v>3394</v>
      </c>
      <c r="G991" t="s">
        <v>2746</v>
      </c>
      <c r="H991" t="s">
        <v>3021</v>
      </c>
      <c r="I991" t="s">
        <v>3396</v>
      </c>
      <c r="J991" t="s">
        <v>3369</v>
      </c>
      <c r="K991" t="s">
        <v>3387</v>
      </c>
      <c r="L991" t="s">
        <v>3388</v>
      </c>
      <c r="M991" t="s">
        <v>3397</v>
      </c>
      <c r="N991" t="s">
        <v>3365</v>
      </c>
      <c r="O991" t="s">
        <v>3376</v>
      </c>
      <c r="P991" t="s">
        <v>3398</v>
      </c>
    </row>
    <row r="992" spans="1:16" x14ac:dyDescent="0.3">
      <c r="A992" t="s">
        <v>3023</v>
      </c>
      <c r="B992" t="s">
        <v>456</v>
      </c>
      <c r="D992" t="s">
        <v>2854</v>
      </c>
      <c r="F992" t="s">
        <v>3394</v>
      </c>
      <c r="G992" t="s">
        <v>2746</v>
      </c>
      <c r="H992" t="s">
        <v>3021</v>
      </c>
      <c r="I992" t="s">
        <v>3396</v>
      </c>
      <c r="J992" t="s">
        <v>3369</v>
      </c>
      <c r="K992" t="s">
        <v>3387</v>
      </c>
      <c r="L992" t="s">
        <v>3388</v>
      </c>
      <c r="M992" t="s">
        <v>3397</v>
      </c>
      <c r="N992" t="s">
        <v>3365</v>
      </c>
      <c r="O992" t="s">
        <v>3376</v>
      </c>
      <c r="P992" t="s">
        <v>3398</v>
      </c>
    </row>
    <row r="993" spans="1:16" x14ac:dyDescent="0.3">
      <c r="A993" t="s">
        <v>3024</v>
      </c>
      <c r="B993" t="s">
        <v>456</v>
      </c>
      <c r="D993" t="s">
        <v>2854</v>
      </c>
      <c r="F993" t="s">
        <v>3394</v>
      </c>
      <c r="G993" t="s">
        <v>2746</v>
      </c>
      <c r="H993" t="s">
        <v>3021</v>
      </c>
      <c r="I993" t="s">
        <v>3396</v>
      </c>
      <c r="J993" t="s">
        <v>3369</v>
      </c>
      <c r="K993" t="s">
        <v>3387</v>
      </c>
      <c r="L993" t="s">
        <v>3388</v>
      </c>
      <c r="M993" t="s">
        <v>3397</v>
      </c>
      <c r="N993" t="s">
        <v>3365</v>
      </c>
      <c r="O993" t="s">
        <v>3376</v>
      </c>
      <c r="P993" t="s">
        <v>3398</v>
      </c>
    </row>
    <row r="994" spans="1:16" x14ac:dyDescent="0.3">
      <c r="A994" t="s">
        <v>3025</v>
      </c>
      <c r="B994" t="s">
        <v>456</v>
      </c>
      <c r="D994" t="s">
        <v>2854</v>
      </c>
      <c r="F994" t="s">
        <v>3394</v>
      </c>
      <c r="G994" t="s">
        <v>2746</v>
      </c>
      <c r="H994" t="s">
        <v>3021</v>
      </c>
      <c r="I994" t="s">
        <v>3396</v>
      </c>
      <c r="J994" t="s">
        <v>3369</v>
      </c>
      <c r="K994" t="s">
        <v>3387</v>
      </c>
      <c r="L994" t="s">
        <v>3388</v>
      </c>
      <c r="M994" t="s">
        <v>3397</v>
      </c>
      <c r="N994" t="s">
        <v>3365</v>
      </c>
      <c r="O994" t="s">
        <v>3376</v>
      </c>
      <c r="P994" t="s">
        <v>3398</v>
      </c>
    </row>
    <row r="995" spans="1:16" x14ac:dyDescent="0.3">
      <c r="A995" t="s">
        <v>3026</v>
      </c>
      <c r="B995" t="s">
        <v>456</v>
      </c>
      <c r="D995" t="s">
        <v>2854</v>
      </c>
      <c r="F995" t="s">
        <v>3394</v>
      </c>
      <c r="G995" t="s">
        <v>2746</v>
      </c>
      <c r="H995" t="s">
        <v>3021</v>
      </c>
      <c r="I995" t="s">
        <v>3396</v>
      </c>
      <c r="J995" t="s">
        <v>3369</v>
      </c>
      <c r="K995" t="s">
        <v>3387</v>
      </c>
      <c r="L995" t="s">
        <v>3388</v>
      </c>
      <c r="M995" t="s">
        <v>3397</v>
      </c>
      <c r="N995" t="s">
        <v>3365</v>
      </c>
      <c r="O995" t="s">
        <v>3376</v>
      </c>
      <c r="P995" t="s">
        <v>3398</v>
      </c>
    </row>
    <row r="996" spans="1:16" x14ac:dyDescent="0.3">
      <c r="A996" t="s">
        <v>3027</v>
      </c>
      <c r="B996" t="s">
        <v>456</v>
      </c>
      <c r="D996" t="s">
        <v>2854</v>
      </c>
      <c r="F996" t="s">
        <v>3394</v>
      </c>
      <c r="G996" t="s">
        <v>2746</v>
      </c>
      <c r="H996" t="s">
        <v>3021</v>
      </c>
      <c r="I996" t="s">
        <v>3396</v>
      </c>
      <c r="J996" t="s">
        <v>3369</v>
      </c>
      <c r="K996" t="s">
        <v>3387</v>
      </c>
      <c r="L996" t="s">
        <v>3388</v>
      </c>
      <c r="M996" t="s">
        <v>3397</v>
      </c>
      <c r="N996" t="s">
        <v>3365</v>
      </c>
      <c r="O996" t="s">
        <v>3376</v>
      </c>
      <c r="P996" t="s">
        <v>3398</v>
      </c>
    </row>
    <row r="997" spans="1:16" x14ac:dyDescent="0.3">
      <c r="A997" t="s">
        <v>3028</v>
      </c>
      <c r="B997" t="s">
        <v>456</v>
      </c>
      <c r="D997" t="s">
        <v>2854</v>
      </c>
      <c r="F997" t="s">
        <v>3394</v>
      </c>
      <c r="G997" t="s">
        <v>2746</v>
      </c>
      <c r="H997" t="s">
        <v>3021</v>
      </c>
      <c r="I997" t="s">
        <v>3396</v>
      </c>
      <c r="J997" t="s">
        <v>3369</v>
      </c>
      <c r="K997" t="s">
        <v>3387</v>
      </c>
      <c r="L997" t="s">
        <v>3388</v>
      </c>
      <c r="M997" t="s">
        <v>3397</v>
      </c>
      <c r="N997" t="s">
        <v>3365</v>
      </c>
      <c r="O997" t="s">
        <v>3376</v>
      </c>
      <c r="P997" t="s">
        <v>3398</v>
      </c>
    </row>
    <row r="998" spans="1:16" x14ac:dyDescent="0.3">
      <c r="A998" t="s">
        <v>3029</v>
      </c>
      <c r="B998" t="s">
        <v>456</v>
      </c>
      <c r="D998" t="s">
        <v>2854</v>
      </c>
      <c r="F998" t="s">
        <v>3394</v>
      </c>
      <c r="G998" t="s">
        <v>2746</v>
      </c>
      <c r="H998" t="s">
        <v>3021</v>
      </c>
      <c r="I998" t="s">
        <v>3396</v>
      </c>
      <c r="J998" t="s">
        <v>3369</v>
      </c>
      <c r="K998" t="s">
        <v>3387</v>
      </c>
      <c r="L998" t="s">
        <v>3388</v>
      </c>
      <c r="M998" t="s">
        <v>3397</v>
      </c>
      <c r="N998" t="s">
        <v>3365</v>
      </c>
      <c r="O998" t="s">
        <v>3376</v>
      </c>
      <c r="P998" t="s">
        <v>3398</v>
      </c>
    </row>
    <row r="999" spans="1:16" x14ac:dyDescent="0.3">
      <c r="A999" t="s">
        <v>3030</v>
      </c>
      <c r="B999" t="s">
        <v>456</v>
      </c>
      <c r="D999" t="s">
        <v>2854</v>
      </c>
      <c r="F999" t="s">
        <v>3394</v>
      </c>
      <c r="G999" t="s">
        <v>2746</v>
      </c>
      <c r="H999" t="s">
        <v>3021</v>
      </c>
      <c r="I999" t="s">
        <v>3396</v>
      </c>
      <c r="J999" t="s">
        <v>3369</v>
      </c>
      <c r="K999" t="s">
        <v>3387</v>
      </c>
      <c r="L999" t="s">
        <v>3388</v>
      </c>
      <c r="M999" t="s">
        <v>3397</v>
      </c>
      <c r="N999" t="s">
        <v>3365</v>
      </c>
      <c r="O999" t="s">
        <v>3376</v>
      </c>
      <c r="P999" t="s">
        <v>3398</v>
      </c>
    </row>
    <row r="1000" spans="1:16" x14ac:dyDescent="0.3">
      <c r="A1000" t="s">
        <v>1615</v>
      </c>
      <c r="B1000" t="s">
        <v>456</v>
      </c>
      <c r="D1000" t="s">
        <v>2854</v>
      </c>
      <c r="F1000" t="s">
        <v>3394</v>
      </c>
      <c r="G1000" t="s">
        <v>2746</v>
      </c>
      <c r="H1000" t="s">
        <v>3021</v>
      </c>
      <c r="I1000" t="s">
        <v>3396</v>
      </c>
      <c r="J1000" t="s">
        <v>3369</v>
      </c>
      <c r="K1000" t="s">
        <v>3387</v>
      </c>
      <c r="L1000" t="s">
        <v>3388</v>
      </c>
      <c r="M1000" t="s">
        <v>3397</v>
      </c>
      <c r="N1000" t="s">
        <v>3365</v>
      </c>
      <c r="O1000" t="s">
        <v>3376</v>
      </c>
      <c r="P1000" t="s">
        <v>3398</v>
      </c>
    </row>
    <row r="1001" spans="1:16" x14ac:dyDescent="0.3">
      <c r="A1001" t="s">
        <v>3031</v>
      </c>
      <c r="B1001" t="s">
        <v>456</v>
      </c>
      <c r="D1001" t="s">
        <v>2854</v>
      </c>
      <c r="F1001" t="s">
        <v>3394</v>
      </c>
      <c r="G1001" t="s">
        <v>2746</v>
      </c>
      <c r="H1001" t="s">
        <v>3021</v>
      </c>
      <c r="I1001" t="s">
        <v>3396</v>
      </c>
      <c r="J1001" t="s">
        <v>3369</v>
      </c>
      <c r="K1001" t="s">
        <v>3387</v>
      </c>
      <c r="L1001" t="s">
        <v>3388</v>
      </c>
      <c r="M1001" t="s">
        <v>3397</v>
      </c>
      <c r="N1001" t="s">
        <v>3365</v>
      </c>
      <c r="O1001" t="s">
        <v>3376</v>
      </c>
      <c r="P1001" t="s">
        <v>3398</v>
      </c>
    </row>
    <row r="1002" spans="1:16" x14ac:dyDescent="0.3">
      <c r="A1002" t="s">
        <v>3032</v>
      </c>
      <c r="B1002" t="s">
        <v>456</v>
      </c>
      <c r="D1002" t="s">
        <v>2854</v>
      </c>
      <c r="F1002" t="s">
        <v>3394</v>
      </c>
      <c r="G1002" t="s">
        <v>2746</v>
      </c>
      <c r="H1002" t="s">
        <v>3021</v>
      </c>
      <c r="I1002" t="s">
        <v>3396</v>
      </c>
      <c r="J1002" t="s">
        <v>3369</v>
      </c>
      <c r="K1002" t="s">
        <v>3387</v>
      </c>
      <c r="L1002" t="s">
        <v>3388</v>
      </c>
      <c r="M1002" t="s">
        <v>3397</v>
      </c>
      <c r="N1002" t="s">
        <v>3365</v>
      </c>
      <c r="O1002" t="s">
        <v>3376</v>
      </c>
      <c r="P1002" t="s">
        <v>3398</v>
      </c>
    </row>
    <row r="1003" spans="1:16" x14ac:dyDescent="0.3">
      <c r="A1003" t="s">
        <v>3033</v>
      </c>
      <c r="B1003" t="s">
        <v>456</v>
      </c>
      <c r="D1003" t="s">
        <v>2854</v>
      </c>
      <c r="F1003" t="s">
        <v>3394</v>
      </c>
      <c r="G1003" t="s">
        <v>2746</v>
      </c>
      <c r="H1003" t="s">
        <v>3021</v>
      </c>
      <c r="I1003" t="s">
        <v>3396</v>
      </c>
      <c r="J1003" t="s">
        <v>3369</v>
      </c>
      <c r="K1003" t="s">
        <v>3387</v>
      </c>
      <c r="L1003" t="s">
        <v>3388</v>
      </c>
      <c r="M1003" t="s">
        <v>3397</v>
      </c>
      <c r="N1003" t="s">
        <v>3365</v>
      </c>
      <c r="O1003" t="s">
        <v>3376</v>
      </c>
      <c r="P1003" t="s">
        <v>3398</v>
      </c>
    </row>
    <row r="1004" spans="1:16" x14ac:dyDescent="0.3">
      <c r="A1004" t="s">
        <v>3034</v>
      </c>
      <c r="B1004" t="s">
        <v>456</v>
      </c>
      <c r="D1004" t="s">
        <v>2854</v>
      </c>
      <c r="F1004" t="s">
        <v>3394</v>
      </c>
      <c r="G1004" t="s">
        <v>2746</v>
      </c>
      <c r="H1004" t="s">
        <v>3021</v>
      </c>
      <c r="I1004" t="s">
        <v>3396</v>
      </c>
      <c r="J1004" t="s">
        <v>3369</v>
      </c>
      <c r="K1004" t="s">
        <v>3387</v>
      </c>
      <c r="L1004" t="s">
        <v>3388</v>
      </c>
      <c r="M1004" t="s">
        <v>3397</v>
      </c>
      <c r="N1004" t="s">
        <v>3365</v>
      </c>
      <c r="O1004" t="s">
        <v>3376</v>
      </c>
      <c r="P1004" t="s">
        <v>3398</v>
      </c>
    </row>
    <row r="1005" spans="1:16" x14ac:dyDescent="0.3">
      <c r="A1005" t="s">
        <v>3035</v>
      </c>
      <c r="B1005" t="s">
        <v>456</v>
      </c>
      <c r="D1005" t="s">
        <v>2854</v>
      </c>
      <c r="F1005" t="s">
        <v>3394</v>
      </c>
      <c r="G1005" t="s">
        <v>2746</v>
      </c>
      <c r="H1005" t="s">
        <v>3021</v>
      </c>
      <c r="I1005" t="s">
        <v>3396</v>
      </c>
      <c r="J1005" t="s">
        <v>3369</v>
      </c>
      <c r="K1005" t="s">
        <v>3387</v>
      </c>
      <c r="L1005" t="s">
        <v>3388</v>
      </c>
      <c r="M1005" t="s">
        <v>3397</v>
      </c>
      <c r="N1005" t="s">
        <v>3365</v>
      </c>
      <c r="O1005" t="s">
        <v>3376</v>
      </c>
      <c r="P1005" t="s">
        <v>3398</v>
      </c>
    </row>
    <row r="1006" spans="1:16" x14ac:dyDescent="0.3">
      <c r="A1006" t="s">
        <v>3036</v>
      </c>
      <c r="B1006" t="s">
        <v>456</v>
      </c>
      <c r="D1006" t="s">
        <v>2854</v>
      </c>
      <c r="F1006" t="s">
        <v>3394</v>
      </c>
      <c r="G1006" t="s">
        <v>2746</v>
      </c>
      <c r="H1006" t="s">
        <v>3021</v>
      </c>
      <c r="I1006" t="s">
        <v>3396</v>
      </c>
      <c r="J1006" t="s">
        <v>3369</v>
      </c>
      <c r="K1006" t="s">
        <v>3387</v>
      </c>
      <c r="L1006" t="s">
        <v>3388</v>
      </c>
      <c r="M1006" t="s">
        <v>3397</v>
      </c>
      <c r="N1006" t="s">
        <v>3365</v>
      </c>
      <c r="O1006" t="s">
        <v>3376</v>
      </c>
      <c r="P1006" t="s">
        <v>3398</v>
      </c>
    </row>
    <row r="1007" spans="1:16" x14ac:dyDescent="0.3">
      <c r="A1007" t="s">
        <v>3037</v>
      </c>
      <c r="B1007" t="s">
        <v>456</v>
      </c>
      <c r="D1007" t="s">
        <v>2854</v>
      </c>
      <c r="F1007" t="s">
        <v>3394</v>
      </c>
      <c r="G1007" t="s">
        <v>2746</v>
      </c>
      <c r="H1007" t="s">
        <v>3021</v>
      </c>
      <c r="I1007" t="s">
        <v>3396</v>
      </c>
      <c r="J1007" t="s">
        <v>3369</v>
      </c>
      <c r="K1007" t="s">
        <v>3387</v>
      </c>
      <c r="L1007" t="s">
        <v>3388</v>
      </c>
      <c r="M1007" t="s">
        <v>3397</v>
      </c>
      <c r="N1007" t="s">
        <v>3365</v>
      </c>
      <c r="O1007" t="s">
        <v>3376</v>
      </c>
      <c r="P1007" t="s">
        <v>3398</v>
      </c>
    </row>
    <row r="1008" spans="1:16" x14ac:dyDescent="0.3">
      <c r="A1008">
        <v>12</v>
      </c>
      <c r="B1008" t="s">
        <v>456</v>
      </c>
      <c r="D1008" t="s">
        <v>2854</v>
      </c>
      <c r="F1008" t="s">
        <v>3394</v>
      </c>
      <c r="G1008" t="s">
        <v>2746</v>
      </c>
      <c r="H1008" t="s">
        <v>3021</v>
      </c>
      <c r="I1008" t="s">
        <v>3396</v>
      </c>
      <c r="J1008" t="s">
        <v>3369</v>
      </c>
      <c r="K1008" t="s">
        <v>3387</v>
      </c>
      <c r="L1008" t="s">
        <v>3388</v>
      </c>
      <c r="M1008" t="s">
        <v>3397</v>
      </c>
      <c r="N1008" t="s">
        <v>3365</v>
      </c>
      <c r="O1008" t="s">
        <v>3376</v>
      </c>
      <c r="P1008" t="s">
        <v>3398</v>
      </c>
    </row>
    <row r="1009" spans="1:16" x14ac:dyDescent="0.3">
      <c r="A1009" t="s">
        <v>3038</v>
      </c>
      <c r="B1009" t="s">
        <v>456</v>
      </c>
      <c r="D1009" t="s">
        <v>2854</v>
      </c>
      <c r="F1009" t="s">
        <v>3394</v>
      </c>
      <c r="G1009" t="s">
        <v>2746</v>
      </c>
      <c r="H1009" t="s">
        <v>3021</v>
      </c>
      <c r="I1009" t="s">
        <v>3396</v>
      </c>
      <c r="J1009" t="s">
        <v>3369</v>
      </c>
      <c r="K1009" t="s">
        <v>3387</v>
      </c>
      <c r="L1009" t="s">
        <v>3388</v>
      </c>
      <c r="M1009" t="s">
        <v>3397</v>
      </c>
      <c r="N1009" t="s">
        <v>3365</v>
      </c>
      <c r="O1009" t="s">
        <v>3376</v>
      </c>
      <c r="P1009" t="s">
        <v>3398</v>
      </c>
    </row>
    <row r="1010" spans="1:16" x14ac:dyDescent="0.3">
      <c r="A1010" t="s">
        <v>3039</v>
      </c>
      <c r="B1010" t="s">
        <v>456</v>
      </c>
      <c r="D1010" t="s">
        <v>2854</v>
      </c>
      <c r="F1010" t="s">
        <v>3394</v>
      </c>
      <c r="G1010" t="s">
        <v>2746</v>
      </c>
      <c r="H1010" t="s">
        <v>3021</v>
      </c>
      <c r="I1010" t="s">
        <v>3396</v>
      </c>
      <c r="J1010" t="s">
        <v>3369</v>
      </c>
      <c r="K1010" t="s">
        <v>3387</v>
      </c>
      <c r="L1010" t="s">
        <v>3388</v>
      </c>
      <c r="M1010" t="s">
        <v>3397</v>
      </c>
      <c r="N1010" t="s">
        <v>3365</v>
      </c>
      <c r="O1010" t="s">
        <v>3376</v>
      </c>
      <c r="P1010" t="s">
        <v>3398</v>
      </c>
    </row>
    <row r="1011" spans="1:16" x14ac:dyDescent="0.3">
      <c r="A1011" t="s">
        <v>3040</v>
      </c>
      <c r="B1011" t="s">
        <v>456</v>
      </c>
      <c r="D1011" t="s">
        <v>2854</v>
      </c>
      <c r="F1011" t="s">
        <v>3394</v>
      </c>
      <c r="G1011" t="s">
        <v>2746</v>
      </c>
      <c r="H1011" t="s">
        <v>3021</v>
      </c>
      <c r="I1011" t="s">
        <v>3396</v>
      </c>
      <c r="J1011" t="s">
        <v>3369</v>
      </c>
      <c r="K1011" t="s">
        <v>3387</v>
      </c>
      <c r="L1011" t="s">
        <v>3388</v>
      </c>
      <c r="M1011" t="s">
        <v>3397</v>
      </c>
      <c r="N1011" t="s">
        <v>3365</v>
      </c>
      <c r="O1011" t="s">
        <v>3376</v>
      </c>
      <c r="P1011" t="s">
        <v>3398</v>
      </c>
    </row>
    <row r="1012" spans="1:16" x14ac:dyDescent="0.3">
      <c r="A1012" t="s">
        <v>3041</v>
      </c>
      <c r="B1012" t="s">
        <v>456</v>
      </c>
      <c r="D1012" t="s">
        <v>2854</v>
      </c>
      <c r="F1012" t="s">
        <v>3394</v>
      </c>
      <c r="G1012" t="s">
        <v>2746</v>
      </c>
      <c r="H1012" t="s">
        <v>3021</v>
      </c>
      <c r="I1012" t="s">
        <v>3396</v>
      </c>
      <c r="J1012" t="s">
        <v>3369</v>
      </c>
      <c r="K1012" t="s">
        <v>3387</v>
      </c>
      <c r="L1012" t="s">
        <v>3388</v>
      </c>
      <c r="M1012" t="s">
        <v>3397</v>
      </c>
      <c r="N1012" t="s">
        <v>3365</v>
      </c>
      <c r="O1012" t="s">
        <v>3376</v>
      </c>
      <c r="P1012" t="s">
        <v>3398</v>
      </c>
    </row>
    <row r="1013" spans="1:16" x14ac:dyDescent="0.3">
      <c r="A1013" t="s">
        <v>3042</v>
      </c>
      <c r="B1013" t="s">
        <v>456</v>
      </c>
      <c r="D1013" t="s">
        <v>2854</v>
      </c>
      <c r="F1013" t="s">
        <v>3394</v>
      </c>
      <c r="G1013" t="s">
        <v>2746</v>
      </c>
      <c r="H1013" t="s">
        <v>3021</v>
      </c>
      <c r="I1013" t="s">
        <v>3396</v>
      </c>
      <c r="J1013" t="s">
        <v>3369</v>
      </c>
      <c r="K1013" t="s">
        <v>3387</v>
      </c>
      <c r="L1013" t="s">
        <v>3388</v>
      </c>
      <c r="M1013" t="s">
        <v>3397</v>
      </c>
      <c r="N1013" t="s">
        <v>3365</v>
      </c>
      <c r="O1013" t="s">
        <v>3376</v>
      </c>
      <c r="P1013" t="s">
        <v>3398</v>
      </c>
    </row>
    <row r="1014" spans="1:16" x14ac:dyDescent="0.3">
      <c r="A1014" t="s">
        <v>3043</v>
      </c>
      <c r="B1014" t="s">
        <v>456</v>
      </c>
      <c r="D1014" t="s">
        <v>2854</v>
      </c>
      <c r="F1014" t="s">
        <v>3394</v>
      </c>
      <c r="G1014" t="s">
        <v>2746</v>
      </c>
      <c r="H1014" t="s">
        <v>3021</v>
      </c>
      <c r="I1014" t="s">
        <v>3396</v>
      </c>
      <c r="J1014" t="s">
        <v>3369</v>
      </c>
      <c r="K1014" t="s">
        <v>3387</v>
      </c>
      <c r="L1014" t="s">
        <v>3388</v>
      </c>
      <c r="M1014" t="s">
        <v>3397</v>
      </c>
      <c r="N1014" t="s">
        <v>3365</v>
      </c>
      <c r="O1014" t="s">
        <v>3376</v>
      </c>
      <c r="P1014" t="s">
        <v>3398</v>
      </c>
    </row>
    <row r="1015" spans="1:16" x14ac:dyDescent="0.3">
      <c r="A1015" t="s">
        <v>3044</v>
      </c>
      <c r="B1015" t="s">
        <v>456</v>
      </c>
      <c r="D1015" t="s">
        <v>2854</v>
      </c>
      <c r="F1015" t="s">
        <v>3394</v>
      </c>
      <c r="G1015" t="s">
        <v>2746</v>
      </c>
      <c r="H1015" t="s">
        <v>3021</v>
      </c>
      <c r="I1015" t="s">
        <v>3396</v>
      </c>
      <c r="J1015" t="s">
        <v>3369</v>
      </c>
      <c r="K1015" t="s">
        <v>3387</v>
      </c>
      <c r="L1015" t="s">
        <v>3388</v>
      </c>
      <c r="M1015" t="s">
        <v>3397</v>
      </c>
      <c r="N1015" t="s">
        <v>3365</v>
      </c>
      <c r="O1015" t="s">
        <v>3376</v>
      </c>
      <c r="P1015" t="s">
        <v>3398</v>
      </c>
    </row>
    <row r="1016" spans="1:16" x14ac:dyDescent="0.3">
      <c r="A1016" t="s">
        <v>3045</v>
      </c>
      <c r="B1016" t="s">
        <v>456</v>
      </c>
      <c r="D1016" t="s">
        <v>2854</v>
      </c>
      <c r="F1016" t="s">
        <v>3394</v>
      </c>
      <c r="G1016" t="s">
        <v>2746</v>
      </c>
      <c r="H1016" t="s">
        <v>3021</v>
      </c>
      <c r="I1016" t="s">
        <v>3396</v>
      </c>
      <c r="J1016" t="s">
        <v>3369</v>
      </c>
      <c r="K1016" t="s">
        <v>3387</v>
      </c>
      <c r="L1016" t="s">
        <v>3388</v>
      </c>
      <c r="M1016" t="s">
        <v>3397</v>
      </c>
      <c r="N1016" t="s">
        <v>3365</v>
      </c>
      <c r="O1016" t="s">
        <v>3376</v>
      </c>
      <c r="P1016" t="s">
        <v>3398</v>
      </c>
    </row>
    <row r="1017" spans="1:16" x14ac:dyDescent="0.3">
      <c r="A1017" t="s">
        <v>3046</v>
      </c>
      <c r="B1017" t="s">
        <v>456</v>
      </c>
      <c r="D1017" t="s">
        <v>2854</v>
      </c>
      <c r="F1017" t="s">
        <v>3394</v>
      </c>
      <c r="G1017" t="s">
        <v>2746</v>
      </c>
      <c r="H1017" t="s">
        <v>3021</v>
      </c>
      <c r="I1017" t="s">
        <v>3396</v>
      </c>
      <c r="J1017" t="s">
        <v>3369</v>
      </c>
      <c r="K1017" t="s">
        <v>3387</v>
      </c>
      <c r="L1017" t="s">
        <v>3388</v>
      </c>
      <c r="M1017" t="s">
        <v>3397</v>
      </c>
      <c r="N1017" t="s">
        <v>3365</v>
      </c>
      <c r="O1017" t="s">
        <v>3376</v>
      </c>
      <c r="P1017" t="s">
        <v>3398</v>
      </c>
    </row>
    <row r="1018" spans="1:16" x14ac:dyDescent="0.3">
      <c r="A1018" t="s">
        <v>3047</v>
      </c>
      <c r="B1018" t="s">
        <v>456</v>
      </c>
      <c r="D1018" t="s">
        <v>2854</v>
      </c>
      <c r="F1018" t="s">
        <v>3394</v>
      </c>
      <c r="G1018" t="s">
        <v>2746</v>
      </c>
      <c r="H1018" t="s">
        <v>3021</v>
      </c>
      <c r="I1018" t="s">
        <v>3396</v>
      </c>
      <c r="J1018" t="s">
        <v>3369</v>
      </c>
      <c r="K1018" t="s">
        <v>3387</v>
      </c>
      <c r="L1018" t="s">
        <v>3388</v>
      </c>
      <c r="M1018" t="s">
        <v>3397</v>
      </c>
      <c r="N1018" t="s">
        <v>3365</v>
      </c>
      <c r="O1018" t="s">
        <v>3376</v>
      </c>
      <c r="P1018" t="s">
        <v>3398</v>
      </c>
    </row>
    <row r="1019" spans="1:16" x14ac:dyDescent="0.3">
      <c r="A1019" t="s">
        <v>3048</v>
      </c>
      <c r="B1019" t="s">
        <v>456</v>
      </c>
      <c r="D1019" t="s">
        <v>2854</v>
      </c>
      <c r="F1019" t="s">
        <v>3394</v>
      </c>
      <c r="G1019" t="s">
        <v>2746</v>
      </c>
      <c r="H1019" t="s">
        <v>3021</v>
      </c>
      <c r="I1019" t="s">
        <v>3396</v>
      </c>
      <c r="J1019" t="s">
        <v>3369</v>
      </c>
      <c r="K1019" t="s">
        <v>3387</v>
      </c>
      <c r="L1019" t="s">
        <v>3388</v>
      </c>
      <c r="M1019" t="s">
        <v>3397</v>
      </c>
      <c r="N1019" t="s">
        <v>3365</v>
      </c>
      <c r="O1019" t="s">
        <v>3376</v>
      </c>
      <c r="P1019" t="s">
        <v>3398</v>
      </c>
    </row>
    <row r="1020" spans="1:16" x14ac:dyDescent="0.3">
      <c r="A1020" t="s">
        <v>3049</v>
      </c>
      <c r="B1020" t="s">
        <v>456</v>
      </c>
      <c r="D1020" t="s">
        <v>2854</v>
      </c>
      <c r="F1020" t="s">
        <v>3394</v>
      </c>
      <c r="G1020" t="s">
        <v>2746</v>
      </c>
      <c r="H1020" t="s">
        <v>3021</v>
      </c>
      <c r="I1020" t="s">
        <v>3396</v>
      </c>
      <c r="J1020" t="s">
        <v>3369</v>
      </c>
      <c r="K1020" t="s">
        <v>3387</v>
      </c>
      <c r="L1020" t="s">
        <v>3388</v>
      </c>
      <c r="M1020" t="s">
        <v>3397</v>
      </c>
      <c r="N1020" t="s">
        <v>3365</v>
      </c>
      <c r="O1020" t="s">
        <v>3376</v>
      </c>
      <c r="P1020" t="s">
        <v>3398</v>
      </c>
    </row>
    <row r="1021" spans="1:16" x14ac:dyDescent="0.3">
      <c r="A1021" t="s">
        <v>3050</v>
      </c>
      <c r="B1021" t="s">
        <v>456</v>
      </c>
      <c r="D1021" t="s">
        <v>2854</v>
      </c>
      <c r="F1021" t="s">
        <v>3394</v>
      </c>
      <c r="G1021" t="s">
        <v>2746</v>
      </c>
      <c r="H1021" t="s">
        <v>3021</v>
      </c>
      <c r="I1021" t="s">
        <v>3396</v>
      </c>
      <c r="J1021" t="s">
        <v>3369</v>
      </c>
      <c r="K1021" t="s">
        <v>3387</v>
      </c>
      <c r="L1021" t="s">
        <v>3388</v>
      </c>
      <c r="M1021" t="s">
        <v>3397</v>
      </c>
      <c r="N1021" t="s">
        <v>3365</v>
      </c>
      <c r="O1021" t="s">
        <v>3376</v>
      </c>
      <c r="P1021" t="s">
        <v>3398</v>
      </c>
    </row>
    <row r="1022" spans="1:16" x14ac:dyDescent="0.3">
      <c r="A1022" t="s">
        <v>3051</v>
      </c>
      <c r="B1022" t="s">
        <v>456</v>
      </c>
      <c r="D1022" t="s">
        <v>2854</v>
      </c>
      <c r="F1022" t="s">
        <v>3394</v>
      </c>
      <c r="G1022" t="s">
        <v>2746</v>
      </c>
      <c r="H1022" t="s">
        <v>3021</v>
      </c>
      <c r="I1022" t="s">
        <v>3396</v>
      </c>
      <c r="J1022" t="s">
        <v>3369</v>
      </c>
      <c r="K1022" t="s">
        <v>3387</v>
      </c>
      <c r="L1022" t="s">
        <v>3388</v>
      </c>
      <c r="M1022" t="s">
        <v>3397</v>
      </c>
      <c r="N1022" t="s">
        <v>3365</v>
      </c>
      <c r="O1022" t="s">
        <v>3376</v>
      </c>
      <c r="P1022" t="s">
        <v>3398</v>
      </c>
    </row>
    <row r="1023" spans="1:16" x14ac:dyDescent="0.3">
      <c r="A1023" t="s">
        <v>3052</v>
      </c>
      <c r="B1023" t="s">
        <v>456</v>
      </c>
      <c r="D1023" t="s">
        <v>2854</v>
      </c>
      <c r="F1023" t="s">
        <v>3394</v>
      </c>
      <c r="G1023" t="s">
        <v>2746</v>
      </c>
      <c r="H1023" t="s">
        <v>3021</v>
      </c>
      <c r="I1023" t="s">
        <v>3396</v>
      </c>
      <c r="J1023" t="s">
        <v>3369</v>
      </c>
      <c r="K1023" t="s">
        <v>3387</v>
      </c>
      <c r="L1023" t="s">
        <v>3388</v>
      </c>
      <c r="M1023" t="s">
        <v>3397</v>
      </c>
      <c r="N1023" t="s">
        <v>3365</v>
      </c>
      <c r="O1023" t="s">
        <v>3376</v>
      </c>
      <c r="P1023" t="s">
        <v>3398</v>
      </c>
    </row>
    <row r="1024" spans="1:16" x14ac:dyDescent="0.3">
      <c r="A1024" t="s">
        <v>3053</v>
      </c>
      <c r="B1024" t="s">
        <v>3054</v>
      </c>
      <c r="D1024" t="s">
        <v>2744</v>
      </c>
      <c r="E1024" t="s">
        <v>3055</v>
      </c>
      <c r="F1024" t="s">
        <v>3394</v>
      </c>
      <c r="G1024" t="s">
        <v>2746</v>
      </c>
      <c r="H1024" t="s">
        <v>644</v>
      </c>
      <c r="I1024" t="s">
        <v>3396</v>
      </c>
      <c r="J1024" t="s">
        <v>3369</v>
      </c>
      <c r="K1024" t="s">
        <v>3413</v>
      </c>
      <c r="L1024" t="s">
        <v>3371</v>
      </c>
      <c r="M1024" t="s">
        <v>3397</v>
      </c>
      <c r="N1024" t="s">
        <v>3365</v>
      </c>
      <c r="O1024" t="s">
        <v>3366</v>
      </c>
      <c r="P1024" t="s">
        <v>3398</v>
      </c>
    </row>
    <row r="1025" spans="1:16" x14ac:dyDescent="0.3">
      <c r="A1025" t="s">
        <v>2850</v>
      </c>
      <c r="B1025" t="s">
        <v>3054</v>
      </c>
      <c r="D1025" t="s">
        <v>2744</v>
      </c>
      <c r="E1025" t="s">
        <v>3055</v>
      </c>
      <c r="F1025" t="s">
        <v>3394</v>
      </c>
      <c r="G1025" t="s">
        <v>2746</v>
      </c>
      <c r="H1025" t="s">
        <v>644</v>
      </c>
      <c r="I1025" t="s">
        <v>3396</v>
      </c>
      <c r="J1025" t="s">
        <v>3369</v>
      </c>
      <c r="K1025" t="s">
        <v>3413</v>
      </c>
      <c r="L1025" t="s">
        <v>3371</v>
      </c>
      <c r="M1025" t="s">
        <v>3397</v>
      </c>
      <c r="N1025" t="s">
        <v>3365</v>
      </c>
      <c r="O1025" t="s">
        <v>3366</v>
      </c>
      <c r="P1025" t="s">
        <v>3398</v>
      </c>
    </row>
    <row r="1026" spans="1:16" x14ac:dyDescent="0.3">
      <c r="A1026" t="s">
        <v>3056</v>
      </c>
      <c r="B1026" t="s">
        <v>3054</v>
      </c>
      <c r="D1026" t="s">
        <v>2744</v>
      </c>
      <c r="E1026" t="s">
        <v>3055</v>
      </c>
      <c r="F1026" t="s">
        <v>3394</v>
      </c>
      <c r="G1026" t="s">
        <v>2746</v>
      </c>
      <c r="H1026" t="s">
        <v>644</v>
      </c>
      <c r="I1026" t="s">
        <v>3396</v>
      </c>
      <c r="J1026" t="s">
        <v>3369</v>
      </c>
      <c r="K1026" t="s">
        <v>3413</v>
      </c>
      <c r="L1026" t="s">
        <v>3371</v>
      </c>
      <c r="M1026" t="s">
        <v>3397</v>
      </c>
      <c r="N1026" t="s">
        <v>3365</v>
      </c>
      <c r="O1026" t="s">
        <v>3366</v>
      </c>
      <c r="P1026" t="s">
        <v>3398</v>
      </c>
    </row>
    <row r="1027" spans="1:16" x14ac:dyDescent="0.3">
      <c r="A1027" t="s">
        <v>651</v>
      </c>
      <c r="B1027" t="s">
        <v>3054</v>
      </c>
      <c r="D1027" t="s">
        <v>2744</v>
      </c>
      <c r="E1027" t="s">
        <v>3055</v>
      </c>
      <c r="F1027" t="s">
        <v>3394</v>
      </c>
      <c r="G1027" t="s">
        <v>2746</v>
      </c>
      <c r="H1027" t="s">
        <v>644</v>
      </c>
      <c r="I1027" t="s">
        <v>3396</v>
      </c>
      <c r="J1027" t="s">
        <v>3369</v>
      </c>
      <c r="K1027" t="s">
        <v>3413</v>
      </c>
      <c r="L1027" t="s">
        <v>3371</v>
      </c>
      <c r="M1027" t="s">
        <v>3397</v>
      </c>
      <c r="N1027" t="s">
        <v>3365</v>
      </c>
      <c r="O1027" t="s">
        <v>3366</v>
      </c>
      <c r="P1027" t="s">
        <v>3398</v>
      </c>
    </row>
    <row r="1028" spans="1:16" x14ac:dyDescent="0.3">
      <c r="A1028" t="s">
        <v>3057</v>
      </c>
      <c r="B1028" t="s">
        <v>3054</v>
      </c>
      <c r="D1028" t="s">
        <v>2744</v>
      </c>
      <c r="E1028" t="s">
        <v>3055</v>
      </c>
      <c r="F1028" t="s">
        <v>3394</v>
      </c>
      <c r="G1028" t="s">
        <v>2746</v>
      </c>
      <c r="H1028" t="s">
        <v>644</v>
      </c>
      <c r="I1028" t="s">
        <v>3396</v>
      </c>
      <c r="J1028" t="s">
        <v>3369</v>
      </c>
      <c r="K1028" t="s">
        <v>3413</v>
      </c>
      <c r="L1028" t="s">
        <v>3371</v>
      </c>
      <c r="M1028" t="s">
        <v>3397</v>
      </c>
      <c r="N1028" t="s">
        <v>3365</v>
      </c>
      <c r="O1028" t="s">
        <v>3366</v>
      </c>
      <c r="P1028" t="s">
        <v>3398</v>
      </c>
    </row>
    <row r="1029" spans="1:16" x14ac:dyDescent="0.3">
      <c r="A1029" t="s">
        <v>3058</v>
      </c>
      <c r="B1029" t="s">
        <v>3054</v>
      </c>
      <c r="D1029" t="s">
        <v>2744</v>
      </c>
      <c r="E1029" t="s">
        <v>3055</v>
      </c>
      <c r="F1029" t="s">
        <v>3394</v>
      </c>
      <c r="G1029" t="s">
        <v>2746</v>
      </c>
      <c r="H1029" t="s">
        <v>644</v>
      </c>
      <c r="I1029" t="s">
        <v>3396</v>
      </c>
      <c r="J1029" t="s">
        <v>3369</v>
      </c>
      <c r="K1029" t="s">
        <v>3413</v>
      </c>
      <c r="L1029" t="s">
        <v>3371</v>
      </c>
      <c r="M1029" t="s">
        <v>3397</v>
      </c>
      <c r="N1029" t="s">
        <v>3365</v>
      </c>
      <c r="O1029" t="s">
        <v>3366</v>
      </c>
      <c r="P1029" t="s">
        <v>3398</v>
      </c>
    </row>
    <row r="1030" spans="1:16" x14ac:dyDescent="0.3">
      <c r="A1030" t="s">
        <v>3059</v>
      </c>
      <c r="B1030" t="s">
        <v>3054</v>
      </c>
      <c r="D1030" t="s">
        <v>2744</v>
      </c>
      <c r="E1030" t="s">
        <v>3055</v>
      </c>
      <c r="F1030" t="s">
        <v>3394</v>
      </c>
      <c r="G1030" t="s">
        <v>2746</v>
      </c>
      <c r="H1030" t="s">
        <v>644</v>
      </c>
      <c r="I1030" t="s">
        <v>3396</v>
      </c>
      <c r="J1030" t="s">
        <v>3369</v>
      </c>
      <c r="K1030" t="s">
        <v>3413</v>
      </c>
      <c r="L1030" t="s">
        <v>3371</v>
      </c>
      <c r="M1030" t="s">
        <v>3397</v>
      </c>
      <c r="N1030" t="s">
        <v>3365</v>
      </c>
      <c r="O1030" t="s">
        <v>3366</v>
      </c>
      <c r="P1030" t="s">
        <v>3398</v>
      </c>
    </row>
    <row r="1031" spans="1:16" x14ac:dyDescent="0.3">
      <c r="A1031" t="s">
        <v>2753</v>
      </c>
      <c r="B1031" t="s">
        <v>3054</v>
      </c>
      <c r="D1031" t="s">
        <v>2744</v>
      </c>
      <c r="E1031" t="s">
        <v>3055</v>
      </c>
      <c r="F1031" t="s">
        <v>3394</v>
      </c>
      <c r="G1031" t="s">
        <v>2746</v>
      </c>
      <c r="H1031" t="s">
        <v>644</v>
      </c>
      <c r="I1031" t="s">
        <v>3396</v>
      </c>
      <c r="J1031" t="s">
        <v>3369</v>
      </c>
      <c r="K1031" t="s">
        <v>3413</v>
      </c>
      <c r="L1031" t="s">
        <v>3371</v>
      </c>
      <c r="M1031" t="s">
        <v>3397</v>
      </c>
      <c r="N1031" t="s">
        <v>3365</v>
      </c>
      <c r="O1031" t="s">
        <v>3366</v>
      </c>
      <c r="P1031" t="s">
        <v>3398</v>
      </c>
    </row>
    <row r="1032" spans="1:16" x14ac:dyDescent="0.3">
      <c r="A1032" t="s">
        <v>3060</v>
      </c>
      <c r="B1032" t="s">
        <v>3054</v>
      </c>
      <c r="D1032" t="s">
        <v>2744</v>
      </c>
      <c r="E1032" t="s">
        <v>3055</v>
      </c>
      <c r="F1032" t="s">
        <v>3394</v>
      </c>
      <c r="G1032" t="s">
        <v>2746</v>
      </c>
      <c r="H1032" t="s">
        <v>644</v>
      </c>
      <c r="I1032" t="s">
        <v>3396</v>
      </c>
      <c r="J1032" t="s">
        <v>3369</v>
      </c>
      <c r="K1032" t="s">
        <v>3413</v>
      </c>
      <c r="L1032" t="s">
        <v>3371</v>
      </c>
      <c r="M1032" t="s">
        <v>3397</v>
      </c>
      <c r="N1032" t="s">
        <v>3365</v>
      </c>
      <c r="O1032" t="s">
        <v>3366</v>
      </c>
      <c r="P1032" t="s">
        <v>3398</v>
      </c>
    </row>
    <row r="1033" spans="1:16" x14ac:dyDescent="0.3">
      <c r="A1033" t="s">
        <v>3061</v>
      </c>
      <c r="B1033" t="s">
        <v>3054</v>
      </c>
      <c r="D1033" t="s">
        <v>2744</v>
      </c>
      <c r="E1033" t="s">
        <v>3055</v>
      </c>
      <c r="F1033" t="s">
        <v>3394</v>
      </c>
      <c r="G1033" t="s">
        <v>2746</v>
      </c>
      <c r="H1033" t="s">
        <v>644</v>
      </c>
      <c r="I1033" t="s">
        <v>3396</v>
      </c>
      <c r="J1033" t="s">
        <v>3369</v>
      </c>
      <c r="K1033" t="s">
        <v>3413</v>
      </c>
      <c r="L1033" t="s">
        <v>3371</v>
      </c>
      <c r="M1033" t="s">
        <v>3397</v>
      </c>
      <c r="N1033" t="s">
        <v>3365</v>
      </c>
      <c r="O1033" t="s">
        <v>3366</v>
      </c>
      <c r="P1033" t="s">
        <v>3398</v>
      </c>
    </row>
    <row r="1034" spans="1:16" x14ac:dyDescent="0.3">
      <c r="A1034" t="s">
        <v>644</v>
      </c>
      <c r="B1034" t="s">
        <v>3054</v>
      </c>
      <c r="D1034" t="s">
        <v>2744</v>
      </c>
      <c r="E1034" t="s">
        <v>3055</v>
      </c>
      <c r="F1034" t="s">
        <v>3394</v>
      </c>
      <c r="G1034" t="s">
        <v>2746</v>
      </c>
      <c r="H1034" t="s">
        <v>644</v>
      </c>
      <c r="I1034" t="s">
        <v>3396</v>
      </c>
      <c r="J1034" t="s">
        <v>3369</v>
      </c>
      <c r="K1034" t="s">
        <v>3413</v>
      </c>
      <c r="L1034" t="s">
        <v>3371</v>
      </c>
      <c r="M1034" t="s">
        <v>3397</v>
      </c>
      <c r="N1034" t="s">
        <v>3365</v>
      </c>
      <c r="O1034" t="s">
        <v>3366</v>
      </c>
      <c r="P1034" t="s">
        <v>3398</v>
      </c>
    </row>
    <row r="1035" spans="1:16" x14ac:dyDescent="0.3">
      <c r="A1035" t="s">
        <v>3062</v>
      </c>
      <c r="B1035" t="s">
        <v>3054</v>
      </c>
      <c r="D1035" t="s">
        <v>2744</v>
      </c>
      <c r="E1035" t="s">
        <v>3055</v>
      </c>
      <c r="F1035" t="s">
        <v>3394</v>
      </c>
      <c r="G1035" t="s">
        <v>2746</v>
      </c>
      <c r="H1035" t="s">
        <v>644</v>
      </c>
      <c r="I1035" t="s">
        <v>3396</v>
      </c>
      <c r="J1035" t="s">
        <v>3369</v>
      </c>
      <c r="K1035" t="s">
        <v>3413</v>
      </c>
      <c r="L1035" t="s">
        <v>3371</v>
      </c>
      <c r="M1035" t="s">
        <v>3397</v>
      </c>
      <c r="N1035" t="s">
        <v>3365</v>
      </c>
      <c r="O1035" t="s">
        <v>3366</v>
      </c>
      <c r="P1035" t="s">
        <v>3398</v>
      </c>
    </row>
    <row r="1036" spans="1:16" x14ac:dyDescent="0.3">
      <c r="A1036" t="s">
        <v>3063</v>
      </c>
      <c r="B1036" t="s">
        <v>3054</v>
      </c>
      <c r="D1036" t="s">
        <v>2744</v>
      </c>
      <c r="E1036" t="s">
        <v>3055</v>
      </c>
      <c r="F1036" t="s">
        <v>3394</v>
      </c>
      <c r="G1036" t="s">
        <v>2746</v>
      </c>
      <c r="H1036" t="s">
        <v>644</v>
      </c>
      <c r="I1036" t="s">
        <v>3396</v>
      </c>
      <c r="J1036" t="s">
        <v>3369</v>
      </c>
      <c r="K1036" t="s">
        <v>3413</v>
      </c>
      <c r="L1036" t="s">
        <v>3371</v>
      </c>
      <c r="M1036" t="s">
        <v>3397</v>
      </c>
      <c r="N1036" t="s">
        <v>3365</v>
      </c>
      <c r="O1036" t="s">
        <v>3366</v>
      </c>
      <c r="P1036" t="s">
        <v>3398</v>
      </c>
    </row>
    <row r="1037" spans="1:16" x14ac:dyDescent="0.3">
      <c r="A1037" t="s">
        <v>3064</v>
      </c>
      <c r="B1037" t="s">
        <v>3054</v>
      </c>
      <c r="D1037" t="s">
        <v>2744</v>
      </c>
      <c r="E1037" t="s">
        <v>3055</v>
      </c>
      <c r="F1037" t="s">
        <v>3394</v>
      </c>
      <c r="G1037" t="s">
        <v>2746</v>
      </c>
      <c r="H1037" t="s">
        <v>644</v>
      </c>
      <c r="I1037" t="s">
        <v>3396</v>
      </c>
      <c r="J1037" t="s">
        <v>3369</v>
      </c>
      <c r="K1037" t="s">
        <v>3413</v>
      </c>
      <c r="L1037" t="s">
        <v>3371</v>
      </c>
      <c r="M1037" t="s">
        <v>3397</v>
      </c>
      <c r="N1037" t="s">
        <v>3365</v>
      </c>
      <c r="O1037" t="s">
        <v>3366</v>
      </c>
      <c r="P1037" t="s">
        <v>3398</v>
      </c>
    </row>
    <row r="1038" spans="1:16" x14ac:dyDescent="0.3">
      <c r="A1038" t="s">
        <v>3065</v>
      </c>
      <c r="B1038" t="s">
        <v>3054</v>
      </c>
      <c r="D1038" t="s">
        <v>2744</v>
      </c>
      <c r="E1038" t="s">
        <v>3055</v>
      </c>
      <c r="F1038" t="s">
        <v>3394</v>
      </c>
      <c r="G1038" t="s">
        <v>2746</v>
      </c>
      <c r="H1038" t="s">
        <v>644</v>
      </c>
      <c r="I1038" t="s">
        <v>3396</v>
      </c>
      <c r="J1038" t="s">
        <v>3369</v>
      </c>
      <c r="K1038" t="s">
        <v>3413</v>
      </c>
      <c r="L1038" t="s">
        <v>3371</v>
      </c>
      <c r="M1038" t="s">
        <v>3397</v>
      </c>
      <c r="N1038" t="s">
        <v>3365</v>
      </c>
      <c r="O1038" t="s">
        <v>3366</v>
      </c>
      <c r="P1038" t="s">
        <v>3398</v>
      </c>
    </row>
    <row r="1039" spans="1:16" x14ac:dyDescent="0.3">
      <c r="A1039" t="s">
        <v>3066</v>
      </c>
      <c r="B1039" t="s">
        <v>3054</v>
      </c>
      <c r="D1039" t="s">
        <v>2744</v>
      </c>
      <c r="E1039" t="s">
        <v>3055</v>
      </c>
      <c r="F1039" t="s">
        <v>3394</v>
      </c>
      <c r="G1039" t="s">
        <v>2746</v>
      </c>
      <c r="H1039" t="s">
        <v>644</v>
      </c>
      <c r="I1039" t="s">
        <v>3396</v>
      </c>
      <c r="J1039" t="s">
        <v>3369</v>
      </c>
      <c r="K1039" t="s">
        <v>3413</v>
      </c>
      <c r="L1039" t="s">
        <v>3371</v>
      </c>
      <c r="M1039" t="s">
        <v>3397</v>
      </c>
      <c r="N1039" t="s">
        <v>3365</v>
      </c>
      <c r="O1039" t="s">
        <v>3366</v>
      </c>
      <c r="P1039" t="s">
        <v>3398</v>
      </c>
    </row>
    <row r="1040" spans="1:16" x14ac:dyDescent="0.3">
      <c r="A1040" t="s">
        <v>3067</v>
      </c>
      <c r="B1040" t="s">
        <v>3054</v>
      </c>
      <c r="D1040" t="s">
        <v>2744</v>
      </c>
      <c r="E1040" t="s">
        <v>3055</v>
      </c>
      <c r="F1040" t="s">
        <v>3394</v>
      </c>
      <c r="G1040" t="s">
        <v>2746</v>
      </c>
      <c r="H1040" t="s">
        <v>644</v>
      </c>
      <c r="I1040" t="s">
        <v>3396</v>
      </c>
      <c r="J1040" t="s">
        <v>3369</v>
      </c>
      <c r="K1040" t="s">
        <v>3413</v>
      </c>
      <c r="L1040" t="s">
        <v>3371</v>
      </c>
      <c r="M1040" t="s">
        <v>3397</v>
      </c>
      <c r="N1040" t="s">
        <v>3365</v>
      </c>
      <c r="O1040" t="s">
        <v>3366</v>
      </c>
      <c r="P1040" t="s">
        <v>3398</v>
      </c>
    </row>
    <row r="1041" spans="1:16" x14ac:dyDescent="0.3">
      <c r="A1041" t="s">
        <v>3068</v>
      </c>
      <c r="B1041" t="s">
        <v>3054</v>
      </c>
      <c r="D1041" t="s">
        <v>2744</v>
      </c>
      <c r="E1041" t="s">
        <v>3055</v>
      </c>
      <c r="F1041" t="s">
        <v>3394</v>
      </c>
      <c r="G1041" t="s">
        <v>2746</v>
      </c>
      <c r="H1041" t="s">
        <v>644</v>
      </c>
      <c r="I1041" t="s">
        <v>3396</v>
      </c>
      <c r="J1041" t="s">
        <v>3369</v>
      </c>
      <c r="K1041" t="s">
        <v>3413</v>
      </c>
      <c r="L1041" t="s">
        <v>3371</v>
      </c>
      <c r="M1041" t="s">
        <v>3397</v>
      </c>
      <c r="N1041" t="s">
        <v>3365</v>
      </c>
      <c r="O1041" t="s">
        <v>3366</v>
      </c>
      <c r="P1041" t="s">
        <v>3398</v>
      </c>
    </row>
    <row r="1042" spans="1:16" x14ac:dyDescent="0.3">
      <c r="A1042" t="s">
        <v>3069</v>
      </c>
      <c r="B1042" t="s">
        <v>3054</v>
      </c>
      <c r="D1042" t="s">
        <v>2744</v>
      </c>
      <c r="E1042" t="s">
        <v>3055</v>
      </c>
      <c r="F1042" t="s">
        <v>3394</v>
      </c>
      <c r="G1042" t="s">
        <v>2746</v>
      </c>
      <c r="H1042" t="s">
        <v>644</v>
      </c>
      <c r="I1042" t="s">
        <v>3396</v>
      </c>
      <c r="J1042" t="s">
        <v>3369</v>
      </c>
      <c r="K1042" t="s">
        <v>3413</v>
      </c>
      <c r="L1042" t="s">
        <v>3371</v>
      </c>
      <c r="M1042" t="s">
        <v>3397</v>
      </c>
      <c r="N1042" t="s">
        <v>3365</v>
      </c>
      <c r="O1042" t="s">
        <v>3366</v>
      </c>
      <c r="P1042" t="s">
        <v>3398</v>
      </c>
    </row>
    <row r="1043" spans="1:16" x14ac:dyDescent="0.3">
      <c r="A1043" t="s">
        <v>3070</v>
      </c>
      <c r="B1043" t="s">
        <v>3054</v>
      </c>
      <c r="D1043" t="s">
        <v>2744</v>
      </c>
      <c r="E1043" t="s">
        <v>3055</v>
      </c>
      <c r="F1043" t="s">
        <v>3394</v>
      </c>
      <c r="G1043" t="s">
        <v>2746</v>
      </c>
      <c r="H1043" t="s">
        <v>644</v>
      </c>
      <c r="I1043" t="s">
        <v>3396</v>
      </c>
      <c r="J1043" t="s">
        <v>3369</v>
      </c>
      <c r="K1043" t="s">
        <v>3413</v>
      </c>
      <c r="L1043" t="s">
        <v>3371</v>
      </c>
      <c r="M1043" t="s">
        <v>3397</v>
      </c>
      <c r="N1043" t="s">
        <v>3365</v>
      </c>
      <c r="O1043" t="s">
        <v>3366</v>
      </c>
      <c r="P1043" t="s">
        <v>3398</v>
      </c>
    </row>
    <row r="1044" spans="1:16" x14ac:dyDescent="0.3">
      <c r="A1044" t="s">
        <v>3071</v>
      </c>
      <c r="B1044" t="s">
        <v>3054</v>
      </c>
      <c r="D1044" t="s">
        <v>2744</v>
      </c>
      <c r="E1044" t="s">
        <v>3055</v>
      </c>
      <c r="F1044" t="s">
        <v>3394</v>
      </c>
      <c r="G1044" t="s">
        <v>2746</v>
      </c>
      <c r="H1044" t="s">
        <v>644</v>
      </c>
      <c r="I1044" t="s">
        <v>3396</v>
      </c>
      <c r="J1044" t="s">
        <v>3369</v>
      </c>
      <c r="K1044" t="s">
        <v>3413</v>
      </c>
      <c r="L1044" t="s">
        <v>3371</v>
      </c>
      <c r="M1044" t="s">
        <v>3397</v>
      </c>
      <c r="N1044" t="s">
        <v>3365</v>
      </c>
      <c r="O1044" t="s">
        <v>3366</v>
      </c>
      <c r="P1044" t="s">
        <v>3398</v>
      </c>
    </row>
    <row r="1045" spans="1:16" x14ac:dyDescent="0.3">
      <c r="A1045" t="s">
        <v>1079</v>
      </c>
      <c r="B1045" t="s">
        <v>3054</v>
      </c>
      <c r="D1045" t="s">
        <v>2744</v>
      </c>
      <c r="E1045" t="s">
        <v>3055</v>
      </c>
      <c r="F1045" t="s">
        <v>3394</v>
      </c>
      <c r="G1045" t="s">
        <v>2746</v>
      </c>
      <c r="H1045" t="s">
        <v>644</v>
      </c>
      <c r="I1045" t="s">
        <v>3396</v>
      </c>
      <c r="J1045" t="s">
        <v>3369</v>
      </c>
      <c r="K1045" t="s">
        <v>3413</v>
      </c>
      <c r="L1045" t="s">
        <v>3371</v>
      </c>
      <c r="M1045" t="s">
        <v>3397</v>
      </c>
      <c r="N1045" t="s">
        <v>3365</v>
      </c>
      <c r="O1045" t="s">
        <v>3366</v>
      </c>
      <c r="P1045" t="s">
        <v>3398</v>
      </c>
    </row>
    <row r="1046" spans="1:16" x14ac:dyDescent="0.3">
      <c r="A1046" t="s">
        <v>3072</v>
      </c>
      <c r="B1046" t="s">
        <v>3054</v>
      </c>
      <c r="D1046" t="s">
        <v>2744</v>
      </c>
      <c r="E1046" t="s">
        <v>3055</v>
      </c>
      <c r="F1046" t="s">
        <v>3394</v>
      </c>
      <c r="G1046" t="s">
        <v>2746</v>
      </c>
      <c r="H1046" t="s">
        <v>644</v>
      </c>
      <c r="I1046" t="s">
        <v>3396</v>
      </c>
      <c r="J1046" t="s">
        <v>3369</v>
      </c>
      <c r="K1046" t="s">
        <v>3413</v>
      </c>
      <c r="L1046" t="s">
        <v>3371</v>
      </c>
      <c r="M1046" t="s">
        <v>3397</v>
      </c>
      <c r="N1046" t="s">
        <v>3365</v>
      </c>
      <c r="O1046" t="s">
        <v>3366</v>
      </c>
      <c r="P1046" t="s">
        <v>3398</v>
      </c>
    </row>
    <row r="1047" spans="1:16" x14ac:dyDescent="0.3">
      <c r="A1047" t="s">
        <v>3073</v>
      </c>
      <c r="B1047" t="s">
        <v>3054</v>
      </c>
      <c r="D1047" t="s">
        <v>2744</v>
      </c>
      <c r="E1047" t="s">
        <v>3055</v>
      </c>
      <c r="F1047" t="s">
        <v>3394</v>
      </c>
      <c r="G1047" t="s">
        <v>2746</v>
      </c>
      <c r="H1047" t="s">
        <v>644</v>
      </c>
      <c r="I1047" t="s">
        <v>3396</v>
      </c>
      <c r="J1047" t="s">
        <v>3369</v>
      </c>
      <c r="K1047" t="s">
        <v>3413</v>
      </c>
      <c r="L1047" t="s">
        <v>3371</v>
      </c>
      <c r="M1047" t="s">
        <v>3397</v>
      </c>
      <c r="N1047" t="s">
        <v>3365</v>
      </c>
      <c r="O1047" t="s">
        <v>3366</v>
      </c>
      <c r="P1047" t="s">
        <v>3398</v>
      </c>
    </row>
    <row r="1048" spans="1:16" x14ac:dyDescent="0.3">
      <c r="A1048" t="s">
        <v>2836</v>
      </c>
      <c r="B1048" t="s">
        <v>3054</v>
      </c>
      <c r="D1048" t="s">
        <v>2744</v>
      </c>
      <c r="E1048" t="s">
        <v>3055</v>
      </c>
      <c r="F1048" t="s">
        <v>3394</v>
      </c>
      <c r="G1048" t="s">
        <v>2746</v>
      </c>
      <c r="H1048" t="s">
        <v>644</v>
      </c>
      <c r="I1048" t="s">
        <v>3396</v>
      </c>
      <c r="J1048" t="s">
        <v>3369</v>
      </c>
      <c r="K1048" t="s">
        <v>3413</v>
      </c>
      <c r="L1048" t="s">
        <v>3371</v>
      </c>
      <c r="M1048" t="s">
        <v>3397</v>
      </c>
      <c r="N1048" t="s">
        <v>3365</v>
      </c>
      <c r="O1048" t="s">
        <v>3366</v>
      </c>
      <c r="P1048" t="s">
        <v>3398</v>
      </c>
    </row>
    <row r="1049" spans="1:16" x14ac:dyDescent="0.3">
      <c r="A1049" t="s">
        <v>3074</v>
      </c>
      <c r="B1049" t="s">
        <v>3054</v>
      </c>
      <c r="D1049" t="s">
        <v>2744</v>
      </c>
      <c r="E1049" t="s">
        <v>3055</v>
      </c>
      <c r="F1049" t="s">
        <v>3394</v>
      </c>
      <c r="G1049" t="s">
        <v>2746</v>
      </c>
      <c r="H1049" t="s">
        <v>644</v>
      </c>
      <c r="I1049" t="s">
        <v>3396</v>
      </c>
      <c r="J1049" t="s">
        <v>3369</v>
      </c>
      <c r="K1049" t="s">
        <v>3413</v>
      </c>
      <c r="L1049" t="s">
        <v>3371</v>
      </c>
      <c r="M1049" t="s">
        <v>3397</v>
      </c>
      <c r="N1049" t="s">
        <v>3365</v>
      </c>
      <c r="O1049" t="s">
        <v>3366</v>
      </c>
      <c r="P1049" t="s">
        <v>3398</v>
      </c>
    </row>
    <row r="1050" spans="1:16" x14ac:dyDescent="0.3">
      <c r="A1050" t="s">
        <v>2835</v>
      </c>
      <c r="B1050" t="s">
        <v>3054</v>
      </c>
      <c r="D1050" t="s">
        <v>2744</v>
      </c>
      <c r="E1050" t="s">
        <v>3055</v>
      </c>
      <c r="F1050" t="s">
        <v>3394</v>
      </c>
      <c r="G1050" t="s">
        <v>2746</v>
      </c>
      <c r="H1050" t="s">
        <v>644</v>
      </c>
      <c r="I1050" t="s">
        <v>3396</v>
      </c>
      <c r="J1050" t="s">
        <v>3369</v>
      </c>
      <c r="K1050" t="s">
        <v>3413</v>
      </c>
      <c r="L1050" t="s">
        <v>3371</v>
      </c>
      <c r="M1050" t="s">
        <v>3397</v>
      </c>
      <c r="N1050" t="s">
        <v>3365</v>
      </c>
      <c r="O1050" t="s">
        <v>3366</v>
      </c>
      <c r="P1050" t="s">
        <v>3398</v>
      </c>
    </row>
    <row r="1051" spans="1:16" x14ac:dyDescent="0.3">
      <c r="A1051" t="s">
        <v>3075</v>
      </c>
      <c r="B1051" t="s">
        <v>3054</v>
      </c>
      <c r="D1051" t="s">
        <v>2744</v>
      </c>
      <c r="E1051" t="s">
        <v>3055</v>
      </c>
      <c r="F1051" t="s">
        <v>3394</v>
      </c>
      <c r="G1051" t="s">
        <v>2746</v>
      </c>
      <c r="H1051" t="s">
        <v>644</v>
      </c>
      <c r="I1051" t="s">
        <v>3396</v>
      </c>
      <c r="J1051" t="s">
        <v>3369</v>
      </c>
      <c r="K1051" t="s">
        <v>3413</v>
      </c>
      <c r="L1051" t="s">
        <v>3371</v>
      </c>
      <c r="M1051" t="s">
        <v>3397</v>
      </c>
      <c r="N1051" t="s">
        <v>3365</v>
      </c>
      <c r="O1051" t="s">
        <v>3366</v>
      </c>
      <c r="P1051" t="s">
        <v>3398</v>
      </c>
    </row>
    <row r="1052" spans="1:16" x14ac:dyDescent="0.3">
      <c r="A1052" t="s">
        <v>3076</v>
      </c>
      <c r="B1052" t="s">
        <v>3054</v>
      </c>
      <c r="D1052" t="s">
        <v>2744</v>
      </c>
      <c r="E1052" t="s">
        <v>3055</v>
      </c>
      <c r="F1052" t="s">
        <v>3394</v>
      </c>
      <c r="G1052" t="s">
        <v>2746</v>
      </c>
      <c r="H1052" t="s">
        <v>644</v>
      </c>
      <c r="I1052" t="s">
        <v>3396</v>
      </c>
      <c r="J1052" t="s">
        <v>3369</v>
      </c>
      <c r="K1052" t="s">
        <v>3413</v>
      </c>
      <c r="L1052" t="s">
        <v>3371</v>
      </c>
      <c r="M1052" t="s">
        <v>3397</v>
      </c>
      <c r="N1052" t="s">
        <v>3365</v>
      </c>
      <c r="O1052" t="s">
        <v>3366</v>
      </c>
      <c r="P1052" t="s">
        <v>3398</v>
      </c>
    </row>
    <row r="1053" spans="1:16" x14ac:dyDescent="0.3">
      <c r="A1053" t="s">
        <v>2840</v>
      </c>
      <c r="B1053" t="s">
        <v>3054</v>
      </c>
      <c r="D1053" t="s">
        <v>2744</v>
      </c>
      <c r="E1053" t="s">
        <v>3055</v>
      </c>
      <c r="F1053" t="s">
        <v>3394</v>
      </c>
      <c r="G1053" t="s">
        <v>2746</v>
      </c>
      <c r="H1053" t="s">
        <v>644</v>
      </c>
      <c r="I1053" t="s">
        <v>3396</v>
      </c>
      <c r="J1053" t="s">
        <v>3369</v>
      </c>
      <c r="K1053" t="s">
        <v>3413</v>
      </c>
      <c r="L1053" t="s">
        <v>3371</v>
      </c>
      <c r="M1053" t="s">
        <v>3397</v>
      </c>
      <c r="N1053" t="s">
        <v>3365</v>
      </c>
      <c r="O1053" t="s">
        <v>3366</v>
      </c>
      <c r="P1053" t="s">
        <v>3398</v>
      </c>
    </row>
    <row r="1054" spans="1:16" x14ac:dyDescent="0.3">
      <c r="A1054" t="s">
        <v>811</v>
      </c>
      <c r="B1054" t="s">
        <v>3054</v>
      </c>
      <c r="D1054" t="s">
        <v>2744</v>
      </c>
      <c r="E1054" t="s">
        <v>3055</v>
      </c>
      <c r="F1054" t="s">
        <v>3394</v>
      </c>
      <c r="G1054" t="s">
        <v>2746</v>
      </c>
      <c r="H1054" t="s">
        <v>644</v>
      </c>
      <c r="I1054" t="s">
        <v>3396</v>
      </c>
      <c r="J1054" t="s">
        <v>3369</v>
      </c>
      <c r="K1054" t="s">
        <v>3413</v>
      </c>
      <c r="L1054" t="s">
        <v>3371</v>
      </c>
      <c r="M1054" t="s">
        <v>3397</v>
      </c>
      <c r="N1054" t="s">
        <v>3365</v>
      </c>
      <c r="O1054" t="s">
        <v>3366</v>
      </c>
      <c r="P1054" t="s">
        <v>3398</v>
      </c>
    </row>
    <row r="1055" spans="1:16" x14ac:dyDescent="0.3">
      <c r="A1055" t="s">
        <v>3077</v>
      </c>
      <c r="B1055" t="s">
        <v>3054</v>
      </c>
      <c r="D1055" t="s">
        <v>2744</v>
      </c>
      <c r="E1055" t="s">
        <v>3055</v>
      </c>
      <c r="F1055" t="s">
        <v>3394</v>
      </c>
      <c r="G1055" t="s">
        <v>2746</v>
      </c>
      <c r="H1055" t="s">
        <v>644</v>
      </c>
      <c r="I1055" t="s">
        <v>3396</v>
      </c>
      <c r="J1055" t="s">
        <v>3369</v>
      </c>
      <c r="K1055" t="s">
        <v>3413</v>
      </c>
      <c r="L1055" t="s">
        <v>3371</v>
      </c>
      <c r="M1055" t="s">
        <v>3397</v>
      </c>
      <c r="N1055" t="s">
        <v>3365</v>
      </c>
      <c r="O1055" t="s">
        <v>3366</v>
      </c>
      <c r="P1055" t="s">
        <v>3398</v>
      </c>
    </row>
    <row r="1056" spans="1:16" x14ac:dyDescent="0.3">
      <c r="A1056" t="s">
        <v>3078</v>
      </c>
      <c r="B1056" t="s">
        <v>3054</v>
      </c>
      <c r="D1056" t="s">
        <v>2744</v>
      </c>
      <c r="E1056" t="s">
        <v>3055</v>
      </c>
      <c r="F1056" t="s">
        <v>3394</v>
      </c>
      <c r="G1056" t="s">
        <v>2746</v>
      </c>
      <c r="H1056" t="s">
        <v>644</v>
      </c>
      <c r="I1056" t="s">
        <v>3396</v>
      </c>
      <c r="J1056" t="s">
        <v>3369</v>
      </c>
      <c r="K1056" t="s">
        <v>3413</v>
      </c>
      <c r="L1056" t="s">
        <v>3371</v>
      </c>
      <c r="M1056" t="s">
        <v>3397</v>
      </c>
      <c r="N1056" t="s">
        <v>3365</v>
      </c>
      <c r="O1056" t="s">
        <v>3366</v>
      </c>
      <c r="P1056" t="s">
        <v>3398</v>
      </c>
    </row>
    <row r="1057" spans="1:16" x14ac:dyDescent="0.3">
      <c r="A1057" t="s">
        <v>3079</v>
      </c>
      <c r="B1057" t="s">
        <v>3054</v>
      </c>
      <c r="D1057" t="s">
        <v>2744</v>
      </c>
      <c r="E1057" t="s">
        <v>3055</v>
      </c>
      <c r="F1057" t="s">
        <v>3394</v>
      </c>
      <c r="G1057" t="s">
        <v>2746</v>
      </c>
      <c r="H1057" t="s">
        <v>644</v>
      </c>
      <c r="I1057" t="s">
        <v>3396</v>
      </c>
      <c r="J1057" t="s">
        <v>3369</v>
      </c>
      <c r="K1057" t="s">
        <v>3413</v>
      </c>
      <c r="L1057" t="s">
        <v>3371</v>
      </c>
      <c r="M1057" t="s">
        <v>3397</v>
      </c>
      <c r="N1057" t="s">
        <v>3365</v>
      </c>
      <c r="O1057" t="s">
        <v>3366</v>
      </c>
      <c r="P1057" t="s">
        <v>3398</v>
      </c>
    </row>
    <row r="1058" spans="1:16" x14ac:dyDescent="0.3">
      <c r="A1058" t="s">
        <v>3080</v>
      </c>
      <c r="B1058" t="s">
        <v>3054</v>
      </c>
      <c r="D1058" t="s">
        <v>2744</v>
      </c>
      <c r="E1058" t="s">
        <v>3055</v>
      </c>
      <c r="F1058" t="s">
        <v>3394</v>
      </c>
      <c r="G1058" t="s">
        <v>2746</v>
      </c>
      <c r="H1058" t="s">
        <v>644</v>
      </c>
      <c r="I1058" t="s">
        <v>3396</v>
      </c>
      <c r="J1058" t="s">
        <v>3369</v>
      </c>
      <c r="K1058" t="s">
        <v>3413</v>
      </c>
      <c r="L1058" t="s">
        <v>3371</v>
      </c>
      <c r="M1058" t="s">
        <v>3397</v>
      </c>
      <c r="N1058" t="s">
        <v>3365</v>
      </c>
      <c r="O1058" t="s">
        <v>3366</v>
      </c>
      <c r="P1058" t="s">
        <v>3398</v>
      </c>
    </row>
    <row r="1059" spans="1:16" x14ac:dyDescent="0.3">
      <c r="A1059" t="s">
        <v>3081</v>
      </c>
      <c r="B1059" t="s">
        <v>3054</v>
      </c>
      <c r="D1059" t="s">
        <v>2744</v>
      </c>
      <c r="E1059" t="s">
        <v>3055</v>
      </c>
      <c r="F1059" t="s">
        <v>3394</v>
      </c>
      <c r="G1059" t="s">
        <v>2746</v>
      </c>
      <c r="H1059" t="s">
        <v>644</v>
      </c>
      <c r="I1059" t="s">
        <v>3396</v>
      </c>
      <c r="J1059" t="s">
        <v>3369</v>
      </c>
      <c r="K1059" t="s">
        <v>3413</v>
      </c>
      <c r="L1059" t="s">
        <v>3371</v>
      </c>
      <c r="M1059" t="s">
        <v>3397</v>
      </c>
      <c r="N1059" t="s">
        <v>3365</v>
      </c>
      <c r="O1059" t="s">
        <v>3366</v>
      </c>
      <c r="P1059" t="s">
        <v>3398</v>
      </c>
    </row>
    <row r="1060" spans="1:16" x14ac:dyDescent="0.3">
      <c r="A1060" t="s">
        <v>3082</v>
      </c>
      <c r="B1060" t="s">
        <v>3054</v>
      </c>
      <c r="D1060" t="s">
        <v>2744</v>
      </c>
      <c r="E1060" t="s">
        <v>3055</v>
      </c>
      <c r="F1060" t="s">
        <v>3394</v>
      </c>
      <c r="G1060" t="s">
        <v>2746</v>
      </c>
      <c r="H1060" t="s">
        <v>644</v>
      </c>
      <c r="I1060" t="s">
        <v>3396</v>
      </c>
      <c r="J1060" t="s">
        <v>3369</v>
      </c>
      <c r="K1060" t="s">
        <v>3413</v>
      </c>
      <c r="L1060" t="s">
        <v>3371</v>
      </c>
      <c r="M1060" t="s">
        <v>3397</v>
      </c>
      <c r="N1060" t="s">
        <v>3365</v>
      </c>
      <c r="O1060" t="s">
        <v>3366</v>
      </c>
      <c r="P1060" t="s">
        <v>3398</v>
      </c>
    </row>
    <row r="1061" spans="1:16" x14ac:dyDescent="0.3">
      <c r="A1061" t="s">
        <v>3083</v>
      </c>
      <c r="B1061" t="s">
        <v>3054</v>
      </c>
      <c r="D1061" t="s">
        <v>2744</v>
      </c>
      <c r="E1061" t="s">
        <v>3055</v>
      </c>
      <c r="F1061" t="s">
        <v>3394</v>
      </c>
      <c r="G1061" t="s">
        <v>2746</v>
      </c>
      <c r="H1061" t="s">
        <v>644</v>
      </c>
      <c r="I1061" t="s">
        <v>3396</v>
      </c>
      <c r="J1061" t="s">
        <v>3369</v>
      </c>
      <c r="K1061" t="s">
        <v>3413</v>
      </c>
      <c r="L1061" t="s">
        <v>3371</v>
      </c>
      <c r="M1061" t="s">
        <v>3397</v>
      </c>
      <c r="N1061" t="s">
        <v>3365</v>
      </c>
      <c r="O1061" t="s">
        <v>3366</v>
      </c>
      <c r="P1061" t="s">
        <v>3398</v>
      </c>
    </row>
    <row r="1062" spans="1:16" x14ac:dyDescent="0.3">
      <c r="A1062" t="s">
        <v>3084</v>
      </c>
      <c r="B1062" t="s">
        <v>3054</v>
      </c>
      <c r="D1062" t="s">
        <v>2744</v>
      </c>
      <c r="E1062" t="s">
        <v>3055</v>
      </c>
      <c r="F1062" t="s">
        <v>3394</v>
      </c>
      <c r="G1062" t="s">
        <v>2746</v>
      </c>
      <c r="H1062" t="s">
        <v>644</v>
      </c>
      <c r="I1062" t="s">
        <v>3396</v>
      </c>
      <c r="J1062" t="s">
        <v>3369</v>
      </c>
      <c r="K1062" t="s">
        <v>3413</v>
      </c>
      <c r="L1062" t="s">
        <v>3371</v>
      </c>
      <c r="M1062" t="s">
        <v>3397</v>
      </c>
      <c r="N1062" t="s">
        <v>3365</v>
      </c>
      <c r="O1062" t="s">
        <v>3366</v>
      </c>
      <c r="P1062" t="s">
        <v>3398</v>
      </c>
    </row>
    <row r="1063" spans="1:16" x14ac:dyDescent="0.3">
      <c r="A1063" t="s">
        <v>3085</v>
      </c>
      <c r="B1063" t="s">
        <v>3054</v>
      </c>
      <c r="D1063" t="s">
        <v>2744</v>
      </c>
      <c r="E1063" t="s">
        <v>3055</v>
      </c>
      <c r="F1063" t="s">
        <v>3394</v>
      </c>
      <c r="G1063" t="s">
        <v>2746</v>
      </c>
      <c r="H1063" t="s">
        <v>644</v>
      </c>
      <c r="I1063" t="s">
        <v>3396</v>
      </c>
      <c r="J1063" t="s">
        <v>3369</v>
      </c>
      <c r="K1063" t="s">
        <v>3413</v>
      </c>
      <c r="L1063" t="s">
        <v>3371</v>
      </c>
      <c r="M1063" t="s">
        <v>3397</v>
      </c>
      <c r="N1063" t="s">
        <v>3365</v>
      </c>
      <c r="O1063" t="s">
        <v>3366</v>
      </c>
      <c r="P1063" t="s">
        <v>3398</v>
      </c>
    </row>
    <row r="1064" spans="1:16" x14ac:dyDescent="0.3">
      <c r="A1064" t="s">
        <v>3086</v>
      </c>
      <c r="B1064" t="s">
        <v>3054</v>
      </c>
      <c r="D1064" t="s">
        <v>2744</v>
      </c>
      <c r="E1064" t="s">
        <v>3055</v>
      </c>
      <c r="F1064" t="s">
        <v>3394</v>
      </c>
      <c r="G1064" t="s">
        <v>2746</v>
      </c>
      <c r="H1064" t="s">
        <v>644</v>
      </c>
      <c r="I1064" t="s">
        <v>3396</v>
      </c>
      <c r="J1064" t="s">
        <v>3369</v>
      </c>
      <c r="K1064" t="s">
        <v>3413</v>
      </c>
      <c r="L1064" t="s">
        <v>3371</v>
      </c>
      <c r="M1064" t="s">
        <v>3397</v>
      </c>
      <c r="N1064" t="s">
        <v>3365</v>
      </c>
      <c r="O1064" t="s">
        <v>3366</v>
      </c>
      <c r="P1064" t="s">
        <v>3398</v>
      </c>
    </row>
    <row r="1065" spans="1:16" x14ac:dyDescent="0.3">
      <c r="A1065" t="s">
        <v>3087</v>
      </c>
      <c r="B1065" t="s">
        <v>3054</v>
      </c>
      <c r="D1065" t="s">
        <v>2744</v>
      </c>
      <c r="E1065" t="s">
        <v>3055</v>
      </c>
      <c r="F1065" t="s">
        <v>3394</v>
      </c>
      <c r="G1065" t="s">
        <v>2746</v>
      </c>
      <c r="H1065" t="s">
        <v>644</v>
      </c>
      <c r="I1065" t="s">
        <v>3396</v>
      </c>
      <c r="J1065" t="s">
        <v>3369</v>
      </c>
      <c r="K1065" t="s">
        <v>3413</v>
      </c>
      <c r="L1065" t="s">
        <v>3371</v>
      </c>
      <c r="M1065" t="s">
        <v>3397</v>
      </c>
      <c r="N1065" t="s">
        <v>3365</v>
      </c>
      <c r="O1065" t="s">
        <v>3366</v>
      </c>
      <c r="P1065" t="s">
        <v>3398</v>
      </c>
    </row>
    <row r="1066" spans="1:16" x14ac:dyDescent="0.3">
      <c r="A1066" t="s">
        <v>3088</v>
      </c>
      <c r="B1066" t="s">
        <v>3054</v>
      </c>
      <c r="D1066" t="s">
        <v>2744</v>
      </c>
      <c r="E1066" t="s">
        <v>3055</v>
      </c>
      <c r="F1066" t="s">
        <v>3394</v>
      </c>
      <c r="G1066" t="s">
        <v>2746</v>
      </c>
      <c r="H1066" t="s">
        <v>644</v>
      </c>
      <c r="I1066" t="s">
        <v>3396</v>
      </c>
      <c r="J1066" t="s">
        <v>3369</v>
      </c>
      <c r="K1066" t="s">
        <v>3413</v>
      </c>
      <c r="L1066" t="s">
        <v>3371</v>
      </c>
      <c r="M1066" t="s">
        <v>3397</v>
      </c>
      <c r="N1066" t="s">
        <v>3365</v>
      </c>
      <c r="O1066" t="s">
        <v>3366</v>
      </c>
      <c r="P1066" t="s">
        <v>3398</v>
      </c>
    </row>
    <row r="1067" spans="1:16" x14ac:dyDescent="0.3">
      <c r="A1067" t="s">
        <v>3089</v>
      </c>
      <c r="B1067" t="s">
        <v>3054</v>
      </c>
      <c r="D1067" t="s">
        <v>2744</v>
      </c>
      <c r="E1067" t="s">
        <v>3055</v>
      </c>
      <c r="F1067" t="s">
        <v>3394</v>
      </c>
      <c r="G1067" t="s">
        <v>2746</v>
      </c>
      <c r="H1067" t="s">
        <v>644</v>
      </c>
      <c r="I1067" t="s">
        <v>3396</v>
      </c>
      <c r="J1067" t="s">
        <v>3369</v>
      </c>
      <c r="K1067" t="s">
        <v>3413</v>
      </c>
      <c r="L1067" t="s">
        <v>3371</v>
      </c>
      <c r="M1067" t="s">
        <v>3397</v>
      </c>
      <c r="N1067" t="s">
        <v>3365</v>
      </c>
      <c r="O1067" t="s">
        <v>3366</v>
      </c>
      <c r="P1067" t="s">
        <v>3398</v>
      </c>
    </row>
    <row r="1068" spans="1:16" x14ac:dyDescent="0.3">
      <c r="A1068" t="s">
        <v>3090</v>
      </c>
      <c r="B1068" t="s">
        <v>3054</v>
      </c>
      <c r="D1068" t="s">
        <v>2744</v>
      </c>
      <c r="E1068" t="s">
        <v>3055</v>
      </c>
      <c r="F1068" t="s">
        <v>3394</v>
      </c>
      <c r="G1068" t="s">
        <v>2746</v>
      </c>
      <c r="H1068" t="s">
        <v>644</v>
      </c>
      <c r="I1068" t="s">
        <v>3396</v>
      </c>
      <c r="J1068" t="s">
        <v>3369</v>
      </c>
      <c r="K1068" t="s">
        <v>3413</v>
      </c>
      <c r="L1068" t="s">
        <v>3371</v>
      </c>
      <c r="M1068" t="s">
        <v>3397</v>
      </c>
      <c r="N1068" t="s">
        <v>3365</v>
      </c>
      <c r="O1068" t="s">
        <v>3366</v>
      </c>
      <c r="P1068" t="s">
        <v>3398</v>
      </c>
    </row>
    <row r="1069" spans="1:16" x14ac:dyDescent="0.3">
      <c r="A1069" t="s">
        <v>3091</v>
      </c>
      <c r="B1069" t="s">
        <v>3054</v>
      </c>
      <c r="D1069" t="s">
        <v>2744</v>
      </c>
      <c r="E1069" t="s">
        <v>3055</v>
      </c>
      <c r="F1069" t="s">
        <v>3394</v>
      </c>
      <c r="G1069" t="s">
        <v>2746</v>
      </c>
      <c r="H1069" t="s">
        <v>644</v>
      </c>
      <c r="I1069" t="s">
        <v>3396</v>
      </c>
      <c r="J1069" t="s">
        <v>3369</v>
      </c>
      <c r="K1069" t="s">
        <v>3413</v>
      </c>
      <c r="L1069" t="s">
        <v>3371</v>
      </c>
      <c r="M1069" t="s">
        <v>3397</v>
      </c>
      <c r="N1069" t="s">
        <v>3365</v>
      </c>
      <c r="O1069" t="s">
        <v>3366</v>
      </c>
      <c r="P1069" t="s">
        <v>3398</v>
      </c>
    </row>
    <row r="1070" spans="1:16" x14ac:dyDescent="0.3">
      <c r="A1070" t="s">
        <v>3092</v>
      </c>
      <c r="B1070" t="s">
        <v>3054</v>
      </c>
      <c r="D1070" t="s">
        <v>2744</v>
      </c>
      <c r="E1070" t="s">
        <v>3055</v>
      </c>
      <c r="F1070" t="s">
        <v>3394</v>
      </c>
      <c r="G1070" t="s">
        <v>2746</v>
      </c>
      <c r="H1070" t="s">
        <v>644</v>
      </c>
      <c r="I1070" t="s">
        <v>3396</v>
      </c>
      <c r="J1070" t="s">
        <v>3369</v>
      </c>
      <c r="K1070" t="s">
        <v>3413</v>
      </c>
      <c r="L1070" t="s">
        <v>3371</v>
      </c>
      <c r="M1070" t="s">
        <v>3397</v>
      </c>
      <c r="N1070" t="s">
        <v>3365</v>
      </c>
      <c r="O1070" t="s">
        <v>3366</v>
      </c>
      <c r="P1070" t="s">
        <v>3398</v>
      </c>
    </row>
    <row r="1071" spans="1:16" x14ac:dyDescent="0.3">
      <c r="A1071" t="s">
        <v>3093</v>
      </c>
      <c r="B1071" t="s">
        <v>3054</v>
      </c>
      <c r="D1071" t="s">
        <v>2796</v>
      </c>
      <c r="F1071" t="s">
        <v>3394</v>
      </c>
      <c r="G1071" t="s">
        <v>2746</v>
      </c>
      <c r="H1071" t="s">
        <v>3094</v>
      </c>
      <c r="I1071" t="s">
        <v>3396</v>
      </c>
      <c r="J1071" t="s">
        <v>3369</v>
      </c>
      <c r="K1071" t="s">
        <v>3413</v>
      </c>
      <c r="L1071" t="s">
        <v>3371</v>
      </c>
      <c r="M1071" t="s">
        <v>3397</v>
      </c>
      <c r="N1071" t="s">
        <v>3365</v>
      </c>
      <c r="O1071" t="s">
        <v>3366</v>
      </c>
      <c r="P1071" t="s">
        <v>3398</v>
      </c>
    </row>
    <row r="1072" spans="1:16" x14ac:dyDescent="0.3">
      <c r="A1072" t="s">
        <v>3095</v>
      </c>
      <c r="B1072" t="s">
        <v>3054</v>
      </c>
      <c r="D1072" t="s">
        <v>2796</v>
      </c>
      <c r="F1072" t="s">
        <v>3394</v>
      </c>
      <c r="G1072" t="s">
        <v>2746</v>
      </c>
      <c r="H1072" t="s">
        <v>3094</v>
      </c>
      <c r="I1072" t="s">
        <v>3396</v>
      </c>
      <c r="J1072" t="s">
        <v>3369</v>
      </c>
      <c r="K1072" t="s">
        <v>3413</v>
      </c>
      <c r="L1072" t="s">
        <v>3371</v>
      </c>
      <c r="M1072" t="s">
        <v>3397</v>
      </c>
      <c r="N1072" t="s">
        <v>3365</v>
      </c>
      <c r="O1072" t="s">
        <v>3366</v>
      </c>
      <c r="P1072" t="s">
        <v>3398</v>
      </c>
    </row>
    <row r="1073" spans="1:16" x14ac:dyDescent="0.3">
      <c r="A1073" t="s">
        <v>3096</v>
      </c>
      <c r="B1073" t="s">
        <v>3054</v>
      </c>
      <c r="D1073" t="s">
        <v>2796</v>
      </c>
      <c r="F1073" t="s">
        <v>3394</v>
      </c>
      <c r="G1073" t="s">
        <v>2746</v>
      </c>
      <c r="H1073" t="s">
        <v>3094</v>
      </c>
      <c r="I1073" t="s">
        <v>3396</v>
      </c>
      <c r="J1073" t="s">
        <v>3369</v>
      </c>
      <c r="K1073" t="s">
        <v>3413</v>
      </c>
      <c r="L1073" t="s">
        <v>3371</v>
      </c>
      <c r="M1073" t="s">
        <v>3397</v>
      </c>
      <c r="N1073" t="s">
        <v>3365</v>
      </c>
      <c r="O1073" t="s">
        <v>3366</v>
      </c>
      <c r="P1073" t="s">
        <v>3398</v>
      </c>
    </row>
    <row r="1074" spans="1:16" x14ac:dyDescent="0.3">
      <c r="A1074" t="s">
        <v>3097</v>
      </c>
      <c r="B1074" t="s">
        <v>3054</v>
      </c>
      <c r="D1074" t="s">
        <v>2796</v>
      </c>
      <c r="F1074" t="s">
        <v>3394</v>
      </c>
      <c r="G1074" t="s">
        <v>2746</v>
      </c>
      <c r="H1074" t="s">
        <v>3094</v>
      </c>
      <c r="I1074" t="s">
        <v>3396</v>
      </c>
      <c r="J1074" t="s">
        <v>3369</v>
      </c>
      <c r="K1074" t="s">
        <v>3413</v>
      </c>
      <c r="L1074" t="s">
        <v>3371</v>
      </c>
      <c r="M1074" t="s">
        <v>3397</v>
      </c>
      <c r="N1074" t="s">
        <v>3365</v>
      </c>
      <c r="O1074" t="s">
        <v>3366</v>
      </c>
      <c r="P1074" t="s">
        <v>3398</v>
      </c>
    </row>
    <row r="1075" spans="1:16" x14ac:dyDescent="0.3">
      <c r="A1075" t="s">
        <v>3098</v>
      </c>
      <c r="B1075" t="s">
        <v>3054</v>
      </c>
      <c r="D1075" t="s">
        <v>2796</v>
      </c>
      <c r="F1075" t="s">
        <v>3394</v>
      </c>
      <c r="G1075" t="s">
        <v>2746</v>
      </c>
      <c r="H1075" t="s">
        <v>3094</v>
      </c>
      <c r="I1075" t="s">
        <v>3396</v>
      </c>
      <c r="J1075" t="s">
        <v>3369</v>
      </c>
      <c r="K1075" t="s">
        <v>3413</v>
      </c>
      <c r="L1075" t="s">
        <v>3371</v>
      </c>
      <c r="M1075" t="s">
        <v>3397</v>
      </c>
      <c r="N1075" t="s">
        <v>3365</v>
      </c>
      <c r="O1075" t="s">
        <v>3366</v>
      </c>
      <c r="P1075" t="s">
        <v>3398</v>
      </c>
    </row>
    <row r="1076" spans="1:16" x14ac:dyDescent="0.3">
      <c r="A1076" t="s">
        <v>3099</v>
      </c>
      <c r="B1076" t="s">
        <v>3054</v>
      </c>
      <c r="D1076" t="s">
        <v>2796</v>
      </c>
      <c r="F1076" t="s">
        <v>3394</v>
      </c>
      <c r="G1076" t="s">
        <v>2746</v>
      </c>
      <c r="H1076" t="s">
        <v>3094</v>
      </c>
      <c r="I1076" t="s">
        <v>3396</v>
      </c>
      <c r="J1076" t="s">
        <v>3369</v>
      </c>
      <c r="K1076" t="s">
        <v>3413</v>
      </c>
      <c r="L1076" t="s">
        <v>3371</v>
      </c>
      <c r="M1076" t="s">
        <v>3397</v>
      </c>
      <c r="N1076" t="s">
        <v>3365</v>
      </c>
      <c r="O1076" t="s">
        <v>3366</v>
      </c>
      <c r="P1076" t="s">
        <v>3398</v>
      </c>
    </row>
    <row r="1077" spans="1:16" x14ac:dyDescent="0.3">
      <c r="A1077" t="s">
        <v>3100</v>
      </c>
      <c r="B1077" t="s">
        <v>3054</v>
      </c>
      <c r="D1077" t="s">
        <v>2796</v>
      </c>
      <c r="F1077" t="s">
        <v>3394</v>
      </c>
      <c r="G1077" t="s">
        <v>2746</v>
      </c>
      <c r="H1077" t="s">
        <v>3094</v>
      </c>
      <c r="I1077" t="s">
        <v>3396</v>
      </c>
      <c r="J1077" t="s">
        <v>3369</v>
      </c>
      <c r="K1077" t="s">
        <v>3413</v>
      </c>
      <c r="L1077" t="s">
        <v>3371</v>
      </c>
      <c r="M1077" t="s">
        <v>3397</v>
      </c>
      <c r="N1077" t="s">
        <v>3365</v>
      </c>
      <c r="O1077" t="s">
        <v>3366</v>
      </c>
      <c r="P1077" t="s">
        <v>3398</v>
      </c>
    </row>
    <row r="1078" spans="1:16" x14ac:dyDescent="0.3">
      <c r="A1078" t="s">
        <v>3101</v>
      </c>
      <c r="B1078" t="s">
        <v>3054</v>
      </c>
      <c r="D1078" t="s">
        <v>2796</v>
      </c>
      <c r="F1078" t="s">
        <v>3394</v>
      </c>
      <c r="G1078" t="s">
        <v>2746</v>
      </c>
      <c r="H1078" t="s">
        <v>3094</v>
      </c>
      <c r="I1078" t="s">
        <v>3396</v>
      </c>
      <c r="J1078" t="s">
        <v>3369</v>
      </c>
      <c r="K1078" t="s">
        <v>3413</v>
      </c>
      <c r="L1078" t="s">
        <v>3371</v>
      </c>
      <c r="M1078" t="s">
        <v>3397</v>
      </c>
      <c r="N1078" t="s">
        <v>3365</v>
      </c>
      <c r="O1078" t="s">
        <v>3366</v>
      </c>
      <c r="P1078" t="s">
        <v>3398</v>
      </c>
    </row>
    <row r="1079" spans="1:16" x14ac:dyDescent="0.3">
      <c r="A1079" t="s">
        <v>3102</v>
      </c>
      <c r="B1079" t="s">
        <v>3054</v>
      </c>
      <c r="D1079" t="s">
        <v>2796</v>
      </c>
      <c r="F1079" t="s">
        <v>3394</v>
      </c>
      <c r="G1079" t="s">
        <v>2746</v>
      </c>
      <c r="H1079" t="s">
        <v>3094</v>
      </c>
      <c r="I1079" t="s">
        <v>3396</v>
      </c>
      <c r="J1079" t="s">
        <v>3369</v>
      </c>
      <c r="K1079" t="s">
        <v>3413</v>
      </c>
      <c r="L1079" t="s">
        <v>3371</v>
      </c>
      <c r="M1079" t="s">
        <v>3397</v>
      </c>
      <c r="N1079" t="s">
        <v>3365</v>
      </c>
      <c r="O1079" t="s">
        <v>3366</v>
      </c>
      <c r="P1079" t="s">
        <v>3398</v>
      </c>
    </row>
    <row r="1080" spans="1:16" x14ac:dyDescent="0.3">
      <c r="A1080" t="s">
        <v>3103</v>
      </c>
      <c r="B1080" t="s">
        <v>3054</v>
      </c>
      <c r="D1080" t="s">
        <v>2796</v>
      </c>
      <c r="F1080" t="s">
        <v>3394</v>
      </c>
      <c r="G1080" t="s">
        <v>2746</v>
      </c>
      <c r="H1080" t="s">
        <v>3094</v>
      </c>
      <c r="I1080" t="s">
        <v>3396</v>
      </c>
      <c r="J1080" t="s">
        <v>3369</v>
      </c>
      <c r="K1080" t="s">
        <v>3413</v>
      </c>
      <c r="L1080" t="s">
        <v>3371</v>
      </c>
      <c r="M1080" t="s">
        <v>3397</v>
      </c>
      <c r="N1080" t="s">
        <v>3365</v>
      </c>
      <c r="O1080" t="s">
        <v>3366</v>
      </c>
      <c r="P1080" t="s">
        <v>3398</v>
      </c>
    </row>
    <row r="1081" spans="1:16" x14ac:dyDescent="0.3">
      <c r="A1081" t="s">
        <v>3104</v>
      </c>
      <c r="B1081" t="s">
        <v>3054</v>
      </c>
      <c r="D1081" t="s">
        <v>2796</v>
      </c>
      <c r="F1081" t="s">
        <v>3394</v>
      </c>
      <c r="G1081" t="s">
        <v>2746</v>
      </c>
      <c r="H1081" t="s">
        <v>3094</v>
      </c>
      <c r="I1081" t="s">
        <v>3396</v>
      </c>
      <c r="J1081" t="s">
        <v>3369</v>
      </c>
      <c r="K1081" t="s">
        <v>3413</v>
      </c>
      <c r="L1081" t="s">
        <v>3371</v>
      </c>
      <c r="M1081" t="s">
        <v>3397</v>
      </c>
      <c r="N1081" t="s">
        <v>3365</v>
      </c>
      <c r="O1081" t="s">
        <v>3366</v>
      </c>
      <c r="P1081" t="s">
        <v>3398</v>
      </c>
    </row>
    <row r="1082" spans="1:16" x14ac:dyDescent="0.3">
      <c r="A1082" t="s">
        <v>3105</v>
      </c>
      <c r="B1082" t="s">
        <v>3054</v>
      </c>
      <c r="D1082" t="s">
        <v>2796</v>
      </c>
      <c r="F1082" t="s">
        <v>3394</v>
      </c>
      <c r="G1082" t="s">
        <v>2746</v>
      </c>
      <c r="H1082" t="s">
        <v>3094</v>
      </c>
      <c r="I1082" t="s">
        <v>3396</v>
      </c>
      <c r="J1082" t="s">
        <v>3369</v>
      </c>
      <c r="K1082" t="s">
        <v>3413</v>
      </c>
      <c r="L1082" t="s">
        <v>3371</v>
      </c>
      <c r="M1082" t="s">
        <v>3397</v>
      </c>
      <c r="N1082" t="s">
        <v>3365</v>
      </c>
      <c r="O1082" t="s">
        <v>3366</v>
      </c>
      <c r="P1082" t="s">
        <v>3398</v>
      </c>
    </row>
    <row r="1083" spans="1:16" x14ac:dyDescent="0.3">
      <c r="A1083" t="s">
        <v>3106</v>
      </c>
      <c r="B1083" t="s">
        <v>3054</v>
      </c>
      <c r="D1083" t="s">
        <v>2796</v>
      </c>
      <c r="F1083" t="s">
        <v>3394</v>
      </c>
      <c r="G1083" t="s">
        <v>2746</v>
      </c>
      <c r="H1083" t="s">
        <v>3094</v>
      </c>
      <c r="I1083" t="s">
        <v>3396</v>
      </c>
      <c r="J1083" t="s">
        <v>3369</v>
      </c>
      <c r="K1083" t="s">
        <v>3413</v>
      </c>
      <c r="L1083" t="s">
        <v>3371</v>
      </c>
      <c r="M1083" t="s">
        <v>3397</v>
      </c>
      <c r="N1083" t="s">
        <v>3365</v>
      </c>
      <c r="O1083" t="s">
        <v>3366</v>
      </c>
      <c r="P1083" t="s">
        <v>3398</v>
      </c>
    </row>
    <row r="1084" spans="1:16" x14ac:dyDescent="0.3">
      <c r="A1084" t="s">
        <v>3107</v>
      </c>
      <c r="B1084" t="s">
        <v>3054</v>
      </c>
      <c r="D1084" t="s">
        <v>2796</v>
      </c>
      <c r="F1084" t="s">
        <v>3394</v>
      </c>
      <c r="G1084" t="s">
        <v>2746</v>
      </c>
      <c r="H1084" t="s">
        <v>3094</v>
      </c>
      <c r="I1084" t="s">
        <v>3396</v>
      </c>
      <c r="J1084" t="s">
        <v>3369</v>
      </c>
      <c r="K1084" t="s">
        <v>3413</v>
      </c>
      <c r="L1084" t="s">
        <v>3371</v>
      </c>
      <c r="M1084" t="s">
        <v>3397</v>
      </c>
      <c r="N1084" t="s">
        <v>3365</v>
      </c>
      <c r="O1084" t="s">
        <v>3366</v>
      </c>
      <c r="P1084" t="s">
        <v>3398</v>
      </c>
    </row>
    <row r="1085" spans="1:16" x14ac:dyDescent="0.3">
      <c r="A1085" t="s">
        <v>3108</v>
      </c>
      <c r="B1085" t="s">
        <v>3054</v>
      </c>
      <c r="D1085" t="s">
        <v>2796</v>
      </c>
      <c r="F1085" t="s">
        <v>3394</v>
      </c>
      <c r="G1085" t="s">
        <v>2746</v>
      </c>
      <c r="H1085" t="s">
        <v>3094</v>
      </c>
      <c r="I1085" t="s">
        <v>3396</v>
      </c>
      <c r="J1085" t="s">
        <v>3369</v>
      </c>
      <c r="K1085" t="s">
        <v>3413</v>
      </c>
      <c r="L1085" t="s">
        <v>3371</v>
      </c>
      <c r="M1085" t="s">
        <v>3397</v>
      </c>
      <c r="N1085" t="s">
        <v>3365</v>
      </c>
      <c r="O1085" t="s">
        <v>3366</v>
      </c>
      <c r="P1085" t="s">
        <v>3398</v>
      </c>
    </row>
    <row r="1086" spans="1:16" x14ac:dyDescent="0.3">
      <c r="A1086" t="s">
        <v>3109</v>
      </c>
      <c r="B1086" t="s">
        <v>3054</v>
      </c>
      <c r="D1086" t="s">
        <v>2796</v>
      </c>
      <c r="F1086" t="s">
        <v>3394</v>
      </c>
      <c r="G1086" t="s">
        <v>2746</v>
      </c>
      <c r="H1086" t="s">
        <v>3110</v>
      </c>
      <c r="I1086" t="s">
        <v>3396</v>
      </c>
      <c r="J1086" t="s">
        <v>3369</v>
      </c>
      <c r="K1086" t="s">
        <v>3413</v>
      </c>
      <c r="L1086" t="s">
        <v>3371</v>
      </c>
      <c r="M1086" t="s">
        <v>3397</v>
      </c>
      <c r="N1086" t="s">
        <v>3365</v>
      </c>
      <c r="O1086" t="s">
        <v>3366</v>
      </c>
      <c r="P1086" t="s">
        <v>3398</v>
      </c>
    </row>
    <row r="1087" spans="1:16" x14ac:dyDescent="0.3">
      <c r="A1087" t="s">
        <v>3111</v>
      </c>
      <c r="B1087" t="s">
        <v>3054</v>
      </c>
      <c r="D1087" t="s">
        <v>2796</v>
      </c>
      <c r="F1087" t="s">
        <v>3394</v>
      </c>
      <c r="G1087" t="s">
        <v>2746</v>
      </c>
      <c r="H1087" t="s">
        <v>3110</v>
      </c>
      <c r="I1087" t="s">
        <v>3396</v>
      </c>
      <c r="J1087" t="s">
        <v>3369</v>
      </c>
      <c r="K1087" t="s">
        <v>3413</v>
      </c>
      <c r="L1087" t="s">
        <v>3371</v>
      </c>
      <c r="M1087" t="s">
        <v>3397</v>
      </c>
      <c r="N1087" t="s">
        <v>3365</v>
      </c>
      <c r="O1087" t="s">
        <v>3366</v>
      </c>
      <c r="P1087" t="s">
        <v>3398</v>
      </c>
    </row>
    <row r="1088" spans="1:16" x14ac:dyDescent="0.3">
      <c r="A1088" t="s">
        <v>3112</v>
      </c>
      <c r="B1088" t="s">
        <v>3054</v>
      </c>
      <c r="D1088" t="s">
        <v>2796</v>
      </c>
      <c r="F1088" t="s">
        <v>3394</v>
      </c>
      <c r="G1088" t="s">
        <v>2746</v>
      </c>
      <c r="H1088" t="s">
        <v>3110</v>
      </c>
      <c r="I1088" t="s">
        <v>3396</v>
      </c>
      <c r="J1088" t="s">
        <v>3369</v>
      </c>
      <c r="K1088" t="s">
        <v>3413</v>
      </c>
      <c r="L1088" t="s">
        <v>3371</v>
      </c>
      <c r="M1088" t="s">
        <v>3397</v>
      </c>
      <c r="N1088" t="s">
        <v>3365</v>
      </c>
      <c r="O1088" t="s">
        <v>3366</v>
      </c>
      <c r="P1088" t="s">
        <v>3398</v>
      </c>
    </row>
    <row r="1089" spans="1:16" x14ac:dyDescent="0.3">
      <c r="A1089" t="s">
        <v>3113</v>
      </c>
      <c r="B1089" t="s">
        <v>3054</v>
      </c>
      <c r="D1089" t="s">
        <v>2796</v>
      </c>
      <c r="F1089" t="s">
        <v>3394</v>
      </c>
      <c r="G1089" t="s">
        <v>2746</v>
      </c>
      <c r="H1089" t="s">
        <v>3110</v>
      </c>
      <c r="I1089" t="s">
        <v>3396</v>
      </c>
      <c r="J1089" t="s">
        <v>3369</v>
      </c>
      <c r="K1089" t="s">
        <v>3413</v>
      </c>
      <c r="L1089" t="s">
        <v>3371</v>
      </c>
      <c r="M1089" t="s">
        <v>3397</v>
      </c>
      <c r="N1089" t="s">
        <v>3365</v>
      </c>
      <c r="O1089" t="s">
        <v>3366</v>
      </c>
      <c r="P1089" t="s">
        <v>3398</v>
      </c>
    </row>
    <row r="1090" spans="1:16" x14ac:dyDescent="0.3">
      <c r="A1090" t="s">
        <v>3114</v>
      </c>
      <c r="B1090" t="s">
        <v>3054</v>
      </c>
      <c r="D1090" t="s">
        <v>2796</v>
      </c>
      <c r="F1090" t="s">
        <v>3394</v>
      </c>
      <c r="G1090" t="s">
        <v>2746</v>
      </c>
      <c r="H1090" t="s">
        <v>3110</v>
      </c>
      <c r="I1090" t="s">
        <v>3396</v>
      </c>
      <c r="J1090" t="s">
        <v>3369</v>
      </c>
      <c r="K1090" t="s">
        <v>3413</v>
      </c>
      <c r="L1090" t="s">
        <v>3371</v>
      </c>
      <c r="M1090" t="s">
        <v>3397</v>
      </c>
      <c r="N1090" t="s">
        <v>3365</v>
      </c>
      <c r="O1090" t="s">
        <v>3366</v>
      </c>
      <c r="P1090" t="s">
        <v>3398</v>
      </c>
    </row>
    <row r="1091" spans="1:16" x14ac:dyDescent="0.3">
      <c r="A1091" t="s">
        <v>3115</v>
      </c>
      <c r="B1091" t="s">
        <v>3054</v>
      </c>
      <c r="D1091" t="s">
        <v>2796</v>
      </c>
      <c r="F1091" t="s">
        <v>3394</v>
      </c>
      <c r="G1091" t="s">
        <v>2746</v>
      </c>
      <c r="H1091" t="s">
        <v>3110</v>
      </c>
      <c r="I1091" t="s">
        <v>3396</v>
      </c>
      <c r="J1091" t="s">
        <v>3369</v>
      </c>
      <c r="K1091" t="s">
        <v>3413</v>
      </c>
      <c r="L1091" t="s">
        <v>3371</v>
      </c>
      <c r="M1091" t="s">
        <v>3397</v>
      </c>
      <c r="N1091" t="s">
        <v>3365</v>
      </c>
      <c r="O1091" t="s">
        <v>3366</v>
      </c>
      <c r="P1091" t="s">
        <v>3398</v>
      </c>
    </row>
    <row r="1092" spans="1:16" x14ac:dyDescent="0.3">
      <c r="A1092" t="s">
        <v>3116</v>
      </c>
      <c r="B1092" t="s">
        <v>3054</v>
      </c>
      <c r="D1092" t="s">
        <v>2796</v>
      </c>
      <c r="F1092" t="s">
        <v>3394</v>
      </c>
      <c r="G1092" t="s">
        <v>2746</v>
      </c>
      <c r="H1092" t="s">
        <v>3110</v>
      </c>
      <c r="I1092" t="s">
        <v>3396</v>
      </c>
      <c r="J1092" t="s">
        <v>3369</v>
      </c>
      <c r="K1092" t="s">
        <v>3413</v>
      </c>
      <c r="L1092" t="s">
        <v>3371</v>
      </c>
      <c r="M1092" t="s">
        <v>3397</v>
      </c>
      <c r="N1092" t="s">
        <v>3365</v>
      </c>
      <c r="O1092" t="s">
        <v>3366</v>
      </c>
      <c r="P1092" t="s">
        <v>3398</v>
      </c>
    </row>
    <row r="1093" spans="1:16" x14ac:dyDescent="0.3">
      <c r="A1093" t="s">
        <v>3117</v>
      </c>
      <c r="B1093" t="s">
        <v>3054</v>
      </c>
      <c r="D1093" t="s">
        <v>2796</v>
      </c>
      <c r="F1093" t="s">
        <v>3394</v>
      </c>
      <c r="G1093" t="s">
        <v>2746</v>
      </c>
      <c r="H1093" t="s">
        <v>3110</v>
      </c>
      <c r="I1093" t="s">
        <v>3396</v>
      </c>
      <c r="J1093" t="s">
        <v>3369</v>
      </c>
      <c r="K1093" t="s">
        <v>3413</v>
      </c>
      <c r="L1093" t="s">
        <v>3371</v>
      </c>
      <c r="M1093" t="s">
        <v>3397</v>
      </c>
      <c r="N1093" t="s">
        <v>3365</v>
      </c>
      <c r="O1093" t="s">
        <v>3366</v>
      </c>
      <c r="P1093" t="s">
        <v>3398</v>
      </c>
    </row>
    <row r="1094" spans="1:16" x14ac:dyDescent="0.3">
      <c r="A1094" t="s">
        <v>3118</v>
      </c>
      <c r="B1094" t="s">
        <v>3054</v>
      </c>
      <c r="D1094" t="s">
        <v>2796</v>
      </c>
      <c r="F1094" t="s">
        <v>3394</v>
      </c>
      <c r="G1094" t="s">
        <v>2746</v>
      </c>
      <c r="H1094" t="s">
        <v>3110</v>
      </c>
      <c r="I1094" t="s">
        <v>3396</v>
      </c>
      <c r="J1094" t="s">
        <v>3369</v>
      </c>
      <c r="K1094" t="s">
        <v>3413</v>
      </c>
      <c r="L1094" t="s">
        <v>3371</v>
      </c>
      <c r="M1094" t="s">
        <v>3397</v>
      </c>
      <c r="N1094" t="s">
        <v>3365</v>
      </c>
      <c r="O1094" t="s">
        <v>3366</v>
      </c>
      <c r="P1094" t="s">
        <v>3398</v>
      </c>
    </row>
    <row r="1095" spans="1:16" x14ac:dyDescent="0.3">
      <c r="A1095" t="s">
        <v>3119</v>
      </c>
      <c r="B1095" t="s">
        <v>3054</v>
      </c>
      <c r="D1095" t="s">
        <v>2796</v>
      </c>
      <c r="F1095" t="s">
        <v>3394</v>
      </c>
      <c r="G1095" t="s">
        <v>2746</v>
      </c>
      <c r="H1095" t="s">
        <v>3110</v>
      </c>
      <c r="I1095" t="s">
        <v>3396</v>
      </c>
      <c r="J1095" t="s">
        <v>3369</v>
      </c>
      <c r="K1095" t="s">
        <v>3413</v>
      </c>
      <c r="L1095" t="s">
        <v>3371</v>
      </c>
      <c r="M1095" t="s">
        <v>3397</v>
      </c>
      <c r="N1095" t="s">
        <v>3365</v>
      </c>
      <c r="O1095" t="s">
        <v>3366</v>
      </c>
      <c r="P1095" t="s">
        <v>3398</v>
      </c>
    </row>
    <row r="1096" spans="1:16" x14ac:dyDescent="0.3">
      <c r="A1096" t="s">
        <v>3120</v>
      </c>
      <c r="B1096" t="s">
        <v>3054</v>
      </c>
      <c r="D1096" t="s">
        <v>2796</v>
      </c>
      <c r="F1096" t="s">
        <v>3394</v>
      </c>
      <c r="G1096" t="s">
        <v>2746</v>
      </c>
      <c r="H1096" t="s">
        <v>3110</v>
      </c>
      <c r="I1096" t="s">
        <v>3396</v>
      </c>
      <c r="J1096" t="s">
        <v>3369</v>
      </c>
      <c r="K1096" t="s">
        <v>3413</v>
      </c>
      <c r="L1096" t="s">
        <v>3371</v>
      </c>
      <c r="M1096" t="s">
        <v>3397</v>
      </c>
      <c r="N1096" t="s">
        <v>3365</v>
      </c>
      <c r="O1096" t="s">
        <v>3366</v>
      </c>
      <c r="P1096" t="s">
        <v>3398</v>
      </c>
    </row>
    <row r="1097" spans="1:16" x14ac:dyDescent="0.3">
      <c r="A1097" t="s">
        <v>3121</v>
      </c>
      <c r="B1097" t="s">
        <v>3054</v>
      </c>
      <c r="D1097" t="s">
        <v>2796</v>
      </c>
      <c r="F1097" t="s">
        <v>3394</v>
      </c>
      <c r="G1097" t="s">
        <v>2746</v>
      </c>
      <c r="H1097" t="s">
        <v>3110</v>
      </c>
      <c r="I1097" t="s">
        <v>3396</v>
      </c>
      <c r="J1097" t="s">
        <v>3369</v>
      </c>
      <c r="K1097" t="s">
        <v>3413</v>
      </c>
      <c r="L1097" t="s">
        <v>3371</v>
      </c>
      <c r="M1097" t="s">
        <v>3397</v>
      </c>
      <c r="N1097" t="s">
        <v>3365</v>
      </c>
      <c r="O1097" t="s">
        <v>3366</v>
      </c>
      <c r="P1097" t="s">
        <v>3398</v>
      </c>
    </row>
    <row r="1098" spans="1:16" x14ac:dyDescent="0.3">
      <c r="A1098" t="s">
        <v>3122</v>
      </c>
      <c r="B1098" t="s">
        <v>3054</v>
      </c>
      <c r="D1098" t="s">
        <v>2796</v>
      </c>
      <c r="F1098" t="s">
        <v>3394</v>
      </c>
      <c r="G1098" t="s">
        <v>2746</v>
      </c>
      <c r="H1098" t="s">
        <v>3094</v>
      </c>
      <c r="I1098" t="s">
        <v>3396</v>
      </c>
      <c r="J1098" t="s">
        <v>3369</v>
      </c>
      <c r="K1098" t="s">
        <v>3413</v>
      </c>
      <c r="L1098" t="s">
        <v>3371</v>
      </c>
      <c r="M1098" t="s">
        <v>3397</v>
      </c>
      <c r="N1098" t="s">
        <v>3365</v>
      </c>
      <c r="O1098" t="s">
        <v>3366</v>
      </c>
      <c r="P1098" t="s">
        <v>3398</v>
      </c>
    </row>
    <row r="1099" spans="1:16" x14ac:dyDescent="0.3">
      <c r="A1099" t="s">
        <v>3123</v>
      </c>
      <c r="B1099" t="s">
        <v>3054</v>
      </c>
      <c r="D1099" t="s">
        <v>2796</v>
      </c>
      <c r="F1099" t="s">
        <v>3394</v>
      </c>
      <c r="G1099" t="s">
        <v>2746</v>
      </c>
      <c r="H1099" t="s">
        <v>3094</v>
      </c>
      <c r="I1099" t="s">
        <v>3396</v>
      </c>
      <c r="J1099" t="s">
        <v>3369</v>
      </c>
      <c r="K1099" t="s">
        <v>3413</v>
      </c>
      <c r="L1099" t="s">
        <v>3371</v>
      </c>
      <c r="M1099" t="s">
        <v>3397</v>
      </c>
      <c r="N1099" t="s">
        <v>3365</v>
      </c>
      <c r="O1099" t="s">
        <v>3366</v>
      </c>
      <c r="P1099" t="s">
        <v>3398</v>
      </c>
    </row>
    <row r="1100" spans="1:16" x14ac:dyDescent="0.3">
      <c r="A1100" t="s">
        <v>3124</v>
      </c>
      <c r="B1100" t="s">
        <v>3054</v>
      </c>
      <c r="D1100" t="s">
        <v>2796</v>
      </c>
      <c r="F1100" t="s">
        <v>3394</v>
      </c>
      <c r="G1100" t="s">
        <v>2746</v>
      </c>
      <c r="H1100" t="s">
        <v>3094</v>
      </c>
      <c r="I1100" t="s">
        <v>3396</v>
      </c>
      <c r="J1100" t="s">
        <v>3369</v>
      </c>
      <c r="K1100" t="s">
        <v>3413</v>
      </c>
      <c r="L1100" t="s">
        <v>3371</v>
      </c>
      <c r="M1100" t="s">
        <v>3397</v>
      </c>
      <c r="N1100" t="s">
        <v>3365</v>
      </c>
      <c r="O1100" t="s">
        <v>3366</v>
      </c>
      <c r="P1100" t="s">
        <v>3398</v>
      </c>
    </row>
    <row r="1101" spans="1:16" x14ac:dyDescent="0.3">
      <c r="A1101" t="s">
        <v>3125</v>
      </c>
      <c r="B1101" t="s">
        <v>3054</v>
      </c>
      <c r="D1101" t="s">
        <v>2796</v>
      </c>
      <c r="F1101" t="s">
        <v>3394</v>
      </c>
      <c r="G1101" t="s">
        <v>2746</v>
      </c>
      <c r="H1101" t="s">
        <v>3094</v>
      </c>
      <c r="I1101" t="s">
        <v>3396</v>
      </c>
      <c r="J1101" t="s">
        <v>3369</v>
      </c>
      <c r="K1101" t="s">
        <v>3413</v>
      </c>
      <c r="L1101" t="s">
        <v>3371</v>
      </c>
      <c r="M1101" t="s">
        <v>3397</v>
      </c>
      <c r="N1101" t="s">
        <v>3365</v>
      </c>
      <c r="O1101" t="s">
        <v>3366</v>
      </c>
      <c r="P1101" t="s">
        <v>3398</v>
      </c>
    </row>
    <row r="1102" spans="1:16" x14ac:dyDescent="0.3">
      <c r="A1102" t="s">
        <v>3126</v>
      </c>
      <c r="B1102" t="s">
        <v>3054</v>
      </c>
      <c r="D1102" t="s">
        <v>2796</v>
      </c>
      <c r="F1102" t="s">
        <v>3394</v>
      </c>
      <c r="G1102" t="s">
        <v>2746</v>
      </c>
      <c r="H1102" t="s">
        <v>3094</v>
      </c>
      <c r="I1102" t="s">
        <v>3396</v>
      </c>
      <c r="J1102" t="s">
        <v>3369</v>
      </c>
      <c r="K1102" t="s">
        <v>3413</v>
      </c>
      <c r="L1102" t="s">
        <v>3371</v>
      </c>
      <c r="M1102" t="s">
        <v>3397</v>
      </c>
      <c r="N1102" t="s">
        <v>3365</v>
      </c>
      <c r="O1102" t="s">
        <v>3366</v>
      </c>
      <c r="P1102" t="s">
        <v>3398</v>
      </c>
    </row>
    <row r="1103" spans="1:16" x14ac:dyDescent="0.3">
      <c r="A1103" t="s">
        <v>3127</v>
      </c>
      <c r="B1103" t="s">
        <v>3054</v>
      </c>
      <c r="D1103" t="s">
        <v>2828</v>
      </c>
      <c r="F1103" t="s">
        <v>3394</v>
      </c>
      <c r="G1103" t="s">
        <v>2746</v>
      </c>
      <c r="H1103" t="s">
        <v>3128</v>
      </c>
      <c r="I1103" t="s">
        <v>3396</v>
      </c>
      <c r="J1103" t="s">
        <v>3369</v>
      </c>
      <c r="K1103" t="s">
        <v>3370</v>
      </c>
      <c r="L1103" t="s">
        <v>3371</v>
      </c>
      <c r="M1103" t="s">
        <v>3397</v>
      </c>
      <c r="N1103" t="s">
        <v>3365</v>
      </c>
      <c r="O1103" t="s">
        <v>3366</v>
      </c>
      <c r="P1103" t="s">
        <v>3398</v>
      </c>
    </row>
    <row r="1104" spans="1:16" x14ac:dyDescent="0.3">
      <c r="A1104" t="s">
        <v>3129</v>
      </c>
      <c r="B1104" t="s">
        <v>3054</v>
      </c>
      <c r="D1104" t="s">
        <v>2828</v>
      </c>
      <c r="F1104" t="s">
        <v>3394</v>
      </c>
      <c r="G1104" t="s">
        <v>2746</v>
      </c>
      <c r="H1104" t="s">
        <v>3128</v>
      </c>
      <c r="I1104" t="s">
        <v>3396</v>
      </c>
      <c r="J1104" t="s">
        <v>3369</v>
      </c>
      <c r="K1104" t="s">
        <v>3370</v>
      </c>
      <c r="L1104" t="s">
        <v>3371</v>
      </c>
      <c r="M1104" t="s">
        <v>3397</v>
      </c>
      <c r="N1104" t="s">
        <v>3365</v>
      </c>
      <c r="O1104" t="s">
        <v>3366</v>
      </c>
      <c r="P1104" t="s">
        <v>3398</v>
      </c>
    </row>
    <row r="1105" spans="1:16" x14ac:dyDescent="0.3">
      <c r="A1105" t="s">
        <v>3130</v>
      </c>
      <c r="B1105" t="s">
        <v>3054</v>
      </c>
      <c r="D1105" t="s">
        <v>2828</v>
      </c>
      <c r="F1105" t="s">
        <v>3394</v>
      </c>
      <c r="G1105" t="s">
        <v>2746</v>
      </c>
      <c r="H1105" t="s">
        <v>3128</v>
      </c>
      <c r="I1105" t="s">
        <v>3396</v>
      </c>
      <c r="J1105" t="s">
        <v>3369</v>
      </c>
      <c r="K1105" t="s">
        <v>3370</v>
      </c>
      <c r="L1105" t="s">
        <v>3371</v>
      </c>
      <c r="M1105" t="s">
        <v>3397</v>
      </c>
      <c r="N1105" t="s">
        <v>3365</v>
      </c>
      <c r="O1105" t="s">
        <v>3366</v>
      </c>
      <c r="P1105" t="s">
        <v>3398</v>
      </c>
    </row>
    <row r="1106" spans="1:16" x14ac:dyDescent="0.3">
      <c r="A1106" t="s">
        <v>3131</v>
      </c>
      <c r="B1106" t="s">
        <v>3054</v>
      </c>
      <c r="D1106" t="s">
        <v>2828</v>
      </c>
      <c r="F1106" t="s">
        <v>3394</v>
      </c>
      <c r="G1106" t="s">
        <v>2746</v>
      </c>
      <c r="H1106" t="s">
        <v>3128</v>
      </c>
      <c r="I1106" t="s">
        <v>3396</v>
      </c>
      <c r="J1106" t="s">
        <v>3369</v>
      </c>
      <c r="K1106" t="s">
        <v>3370</v>
      </c>
      <c r="L1106" t="s">
        <v>3371</v>
      </c>
      <c r="M1106" t="s">
        <v>3397</v>
      </c>
      <c r="N1106" t="s">
        <v>3365</v>
      </c>
      <c r="O1106" t="s">
        <v>3366</v>
      </c>
      <c r="P1106" t="s">
        <v>3398</v>
      </c>
    </row>
    <row r="1107" spans="1:16" x14ac:dyDescent="0.3">
      <c r="A1107" t="s">
        <v>3132</v>
      </c>
      <c r="B1107" t="s">
        <v>3054</v>
      </c>
      <c r="D1107" t="s">
        <v>2828</v>
      </c>
      <c r="F1107" t="s">
        <v>3394</v>
      </c>
      <c r="G1107" t="s">
        <v>2746</v>
      </c>
      <c r="H1107" t="s">
        <v>3128</v>
      </c>
      <c r="I1107" t="s">
        <v>3396</v>
      </c>
      <c r="J1107" t="s">
        <v>3369</v>
      </c>
      <c r="K1107" t="s">
        <v>3370</v>
      </c>
      <c r="L1107" t="s">
        <v>3371</v>
      </c>
      <c r="M1107" t="s">
        <v>3397</v>
      </c>
      <c r="N1107" t="s">
        <v>3365</v>
      </c>
      <c r="O1107" t="s">
        <v>3366</v>
      </c>
      <c r="P1107" t="s">
        <v>3398</v>
      </c>
    </row>
    <row r="1108" spans="1:16" x14ac:dyDescent="0.3">
      <c r="A1108" t="s">
        <v>3133</v>
      </c>
      <c r="B1108" t="s">
        <v>3054</v>
      </c>
      <c r="D1108" t="s">
        <v>2828</v>
      </c>
      <c r="F1108" t="s">
        <v>3394</v>
      </c>
      <c r="G1108" t="s">
        <v>2746</v>
      </c>
      <c r="H1108" t="s">
        <v>3128</v>
      </c>
      <c r="I1108" t="s">
        <v>3396</v>
      </c>
      <c r="J1108" t="s">
        <v>3369</v>
      </c>
      <c r="K1108" t="s">
        <v>3370</v>
      </c>
      <c r="L1108" t="s">
        <v>3371</v>
      </c>
      <c r="M1108" t="s">
        <v>3397</v>
      </c>
      <c r="N1108" t="s">
        <v>3365</v>
      </c>
      <c r="O1108" t="s">
        <v>3366</v>
      </c>
      <c r="P1108" t="s">
        <v>3398</v>
      </c>
    </row>
    <row r="1109" spans="1:16" x14ac:dyDescent="0.3">
      <c r="A1109" t="s">
        <v>3134</v>
      </c>
      <c r="B1109" t="s">
        <v>3054</v>
      </c>
      <c r="D1109" t="s">
        <v>2828</v>
      </c>
      <c r="F1109" t="s">
        <v>3394</v>
      </c>
      <c r="G1109" t="s">
        <v>2746</v>
      </c>
      <c r="H1109" t="s">
        <v>3128</v>
      </c>
      <c r="I1109" t="s">
        <v>3396</v>
      </c>
      <c r="J1109" t="s">
        <v>3369</v>
      </c>
      <c r="K1109" t="s">
        <v>3370</v>
      </c>
      <c r="L1109" t="s">
        <v>3371</v>
      </c>
      <c r="M1109" t="s">
        <v>3397</v>
      </c>
      <c r="N1109" t="s">
        <v>3365</v>
      </c>
      <c r="O1109" t="s">
        <v>3366</v>
      </c>
      <c r="P1109" t="s">
        <v>3398</v>
      </c>
    </row>
    <row r="1110" spans="1:16" x14ac:dyDescent="0.3">
      <c r="A1110" t="s">
        <v>3135</v>
      </c>
      <c r="B1110" t="s">
        <v>3054</v>
      </c>
      <c r="D1110" t="s">
        <v>2828</v>
      </c>
      <c r="F1110" t="s">
        <v>3394</v>
      </c>
      <c r="G1110" t="s">
        <v>2746</v>
      </c>
      <c r="H1110" t="s">
        <v>3128</v>
      </c>
      <c r="I1110" t="s">
        <v>3396</v>
      </c>
      <c r="J1110" t="s">
        <v>3369</v>
      </c>
      <c r="K1110" t="s">
        <v>3370</v>
      </c>
      <c r="L1110" t="s">
        <v>3371</v>
      </c>
      <c r="M1110" t="s">
        <v>3397</v>
      </c>
      <c r="N1110" t="s">
        <v>3365</v>
      </c>
      <c r="O1110" t="s">
        <v>3366</v>
      </c>
      <c r="P1110" t="s">
        <v>3398</v>
      </c>
    </row>
    <row r="1111" spans="1:16" x14ac:dyDescent="0.3">
      <c r="A1111" t="s">
        <v>3136</v>
      </c>
      <c r="B1111" t="s">
        <v>3054</v>
      </c>
      <c r="D1111" t="s">
        <v>2828</v>
      </c>
      <c r="F1111" t="s">
        <v>3394</v>
      </c>
      <c r="G1111" t="s">
        <v>2746</v>
      </c>
      <c r="H1111" t="s">
        <v>3128</v>
      </c>
      <c r="I1111" t="s">
        <v>3396</v>
      </c>
      <c r="J1111" t="s">
        <v>3369</v>
      </c>
      <c r="K1111" t="s">
        <v>3370</v>
      </c>
      <c r="L1111" t="s">
        <v>3371</v>
      </c>
      <c r="M1111" t="s">
        <v>3397</v>
      </c>
      <c r="N1111" t="s">
        <v>3365</v>
      </c>
      <c r="O1111" t="s">
        <v>3366</v>
      </c>
      <c r="P1111" t="s">
        <v>3398</v>
      </c>
    </row>
    <row r="1112" spans="1:16" x14ac:dyDescent="0.3">
      <c r="A1112" t="s">
        <v>3137</v>
      </c>
      <c r="B1112" t="s">
        <v>3054</v>
      </c>
      <c r="D1112" t="s">
        <v>2828</v>
      </c>
      <c r="F1112" t="s">
        <v>3394</v>
      </c>
      <c r="G1112" t="s">
        <v>2746</v>
      </c>
      <c r="H1112" t="s">
        <v>3128</v>
      </c>
      <c r="I1112" t="s">
        <v>3396</v>
      </c>
      <c r="J1112" t="s">
        <v>3369</v>
      </c>
      <c r="K1112" t="s">
        <v>3370</v>
      </c>
      <c r="L1112" t="s">
        <v>3371</v>
      </c>
      <c r="M1112" t="s">
        <v>3397</v>
      </c>
      <c r="N1112" t="s">
        <v>3365</v>
      </c>
      <c r="O1112" t="s">
        <v>3366</v>
      </c>
      <c r="P1112" t="s">
        <v>3398</v>
      </c>
    </row>
    <row r="1113" spans="1:16" x14ac:dyDescent="0.3">
      <c r="A1113" t="s">
        <v>3138</v>
      </c>
      <c r="B1113" t="s">
        <v>3054</v>
      </c>
      <c r="D1113" t="s">
        <v>2828</v>
      </c>
      <c r="F1113" t="s">
        <v>3394</v>
      </c>
      <c r="G1113" t="s">
        <v>2746</v>
      </c>
      <c r="H1113" t="s">
        <v>3128</v>
      </c>
      <c r="I1113" t="s">
        <v>3396</v>
      </c>
      <c r="J1113" t="s">
        <v>3369</v>
      </c>
      <c r="K1113" t="s">
        <v>3370</v>
      </c>
      <c r="L1113" t="s">
        <v>3371</v>
      </c>
      <c r="M1113" t="s">
        <v>3397</v>
      </c>
      <c r="N1113" t="s">
        <v>3365</v>
      </c>
      <c r="O1113" t="s">
        <v>3366</v>
      </c>
      <c r="P1113" t="s">
        <v>3398</v>
      </c>
    </row>
    <row r="1114" spans="1:16" x14ac:dyDescent="0.3">
      <c r="A1114" t="s">
        <v>3139</v>
      </c>
      <c r="B1114" t="s">
        <v>3054</v>
      </c>
      <c r="D1114" t="s">
        <v>2828</v>
      </c>
      <c r="F1114" t="s">
        <v>3394</v>
      </c>
      <c r="G1114" t="s">
        <v>2746</v>
      </c>
      <c r="H1114" t="s">
        <v>3128</v>
      </c>
      <c r="I1114" t="s">
        <v>3396</v>
      </c>
      <c r="J1114" t="s">
        <v>3369</v>
      </c>
      <c r="K1114" t="s">
        <v>3370</v>
      </c>
      <c r="L1114" t="s">
        <v>3371</v>
      </c>
      <c r="M1114" t="s">
        <v>3397</v>
      </c>
      <c r="N1114" t="s">
        <v>3365</v>
      </c>
      <c r="O1114" t="s">
        <v>3366</v>
      </c>
      <c r="P1114" t="s">
        <v>3398</v>
      </c>
    </row>
    <row r="1115" spans="1:16" x14ac:dyDescent="0.3">
      <c r="A1115" t="s">
        <v>3140</v>
      </c>
      <c r="B1115" t="s">
        <v>3054</v>
      </c>
      <c r="D1115" t="s">
        <v>2828</v>
      </c>
      <c r="F1115" t="s">
        <v>3394</v>
      </c>
      <c r="G1115" t="s">
        <v>2746</v>
      </c>
      <c r="H1115" t="s">
        <v>3128</v>
      </c>
      <c r="I1115" t="s">
        <v>3396</v>
      </c>
      <c r="J1115" t="s">
        <v>3369</v>
      </c>
      <c r="K1115" t="s">
        <v>3370</v>
      </c>
      <c r="L1115" t="s">
        <v>3371</v>
      </c>
      <c r="M1115" t="s">
        <v>3397</v>
      </c>
      <c r="N1115" t="s">
        <v>3365</v>
      </c>
      <c r="O1115" t="s">
        <v>3366</v>
      </c>
      <c r="P1115" t="s">
        <v>3398</v>
      </c>
    </row>
    <row r="1116" spans="1:16" x14ac:dyDescent="0.3">
      <c r="A1116" t="s">
        <v>3141</v>
      </c>
      <c r="B1116" t="s">
        <v>3054</v>
      </c>
      <c r="D1116" t="s">
        <v>2828</v>
      </c>
      <c r="F1116" t="s">
        <v>3394</v>
      </c>
      <c r="G1116" t="s">
        <v>2746</v>
      </c>
      <c r="H1116" t="s">
        <v>3128</v>
      </c>
      <c r="I1116" t="s">
        <v>3396</v>
      </c>
      <c r="J1116" t="s">
        <v>3369</v>
      </c>
      <c r="K1116" t="s">
        <v>3370</v>
      </c>
      <c r="L1116" t="s">
        <v>3371</v>
      </c>
      <c r="M1116" t="s">
        <v>3397</v>
      </c>
      <c r="N1116" t="s">
        <v>3365</v>
      </c>
      <c r="O1116" t="s">
        <v>3366</v>
      </c>
      <c r="P1116" t="s">
        <v>3398</v>
      </c>
    </row>
    <row r="1117" spans="1:16" x14ac:dyDescent="0.3">
      <c r="A1117" t="s">
        <v>3142</v>
      </c>
      <c r="B1117" t="s">
        <v>3054</v>
      </c>
      <c r="D1117" t="s">
        <v>2828</v>
      </c>
      <c r="F1117" t="s">
        <v>3394</v>
      </c>
      <c r="G1117" t="s">
        <v>2746</v>
      </c>
      <c r="H1117" t="s">
        <v>3128</v>
      </c>
      <c r="I1117" t="s">
        <v>3396</v>
      </c>
      <c r="J1117" t="s">
        <v>3369</v>
      </c>
      <c r="K1117" t="s">
        <v>3370</v>
      </c>
      <c r="L1117" t="s">
        <v>3371</v>
      </c>
      <c r="M1117" t="s">
        <v>3397</v>
      </c>
      <c r="N1117" t="s">
        <v>3365</v>
      </c>
      <c r="O1117" t="s">
        <v>3366</v>
      </c>
      <c r="P1117" t="s">
        <v>3398</v>
      </c>
    </row>
    <row r="1118" spans="1:16" x14ac:dyDescent="0.3">
      <c r="A1118" t="s">
        <v>3143</v>
      </c>
      <c r="B1118" t="s">
        <v>3054</v>
      </c>
      <c r="D1118" t="s">
        <v>2828</v>
      </c>
      <c r="F1118" t="s">
        <v>3394</v>
      </c>
      <c r="G1118" t="s">
        <v>2746</v>
      </c>
      <c r="H1118" t="s">
        <v>3128</v>
      </c>
      <c r="I1118" t="s">
        <v>3396</v>
      </c>
      <c r="J1118" t="s">
        <v>3369</v>
      </c>
      <c r="K1118" t="s">
        <v>3370</v>
      </c>
      <c r="L1118" t="s">
        <v>3371</v>
      </c>
      <c r="M1118" t="s">
        <v>3397</v>
      </c>
      <c r="N1118" t="s">
        <v>3365</v>
      </c>
      <c r="O1118" t="s">
        <v>3366</v>
      </c>
      <c r="P1118" t="s">
        <v>3398</v>
      </c>
    </row>
    <row r="1119" spans="1:16" x14ac:dyDescent="0.3">
      <c r="A1119" t="s">
        <v>3144</v>
      </c>
      <c r="B1119" t="s">
        <v>3054</v>
      </c>
      <c r="D1119" t="s">
        <v>2828</v>
      </c>
      <c r="F1119" t="s">
        <v>3394</v>
      </c>
      <c r="G1119" t="s">
        <v>2746</v>
      </c>
      <c r="H1119" t="s">
        <v>3128</v>
      </c>
      <c r="I1119" t="s">
        <v>3396</v>
      </c>
      <c r="J1119" t="s">
        <v>3369</v>
      </c>
      <c r="K1119" t="s">
        <v>3370</v>
      </c>
      <c r="L1119" t="s">
        <v>3371</v>
      </c>
      <c r="M1119" t="s">
        <v>3397</v>
      </c>
      <c r="N1119" t="s">
        <v>3365</v>
      </c>
      <c r="O1119" t="s">
        <v>3366</v>
      </c>
      <c r="P1119" t="s">
        <v>3398</v>
      </c>
    </row>
    <row r="1120" spans="1:16" x14ac:dyDescent="0.3">
      <c r="A1120" t="s">
        <v>3145</v>
      </c>
      <c r="B1120" t="s">
        <v>3054</v>
      </c>
      <c r="D1120" t="s">
        <v>2828</v>
      </c>
      <c r="F1120" t="s">
        <v>3394</v>
      </c>
      <c r="G1120" t="s">
        <v>2746</v>
      </c>
      <c r="H1120" t="s">
        <v>3128</v>
      </c>
      <c r="I1120" t="s">
        <v>3396</v>
      </c>
      <c r="J1120" t="s">
        <v>3369</v>
      </c>
      <c r="K1120" t="s">
        <v>3370</v>
      </c>
      <c r="L1120" t="s">
        <v>3371</v>
      </c>
      <c r="M1120" t="s">
        <v>3397</v>
      </c>
      <c r="N1120" t="s">
        <v>3365</v>
      </c>
      <c r="O1120" t="s">
        <v>3366</v>
      </c>
      <c r="P1120" t="s">
        <v>3398</v>
      </c>
    </row>
    <row r="1121" spans="1:16" x14ac:dyDescent="0.3">
      <c r="A1121" t="s">
        <v>3146</v>
      </c>
      <c r="B1121" t="s">
        <v>3054</v>
      </c>
      <c r="D1121" t="s">
        <v>2828</v>
      </c>
      <c r="F1121" t="s">
        <v>3394</v>
      </c>
      <c r="G1121" t="s">
        <v>2746</v>
      </c>
      <c r="H1121" t="s">
        <v>3128</v>
      </c>
      <c r="I1121" t="s">
        <v>3396</v>
      </c>
      <c r="J1121" t="s">
        <v>3369</v>
      </c>
      <c r="K1121" t="s">
        <v>3370</v>
      </c>
      <c r="L1121" t="s">
        <v>3371</v>
      </c>
      <c r="M1121" t="s">
        <v>3397</v>
      </c>
      <c r="N1121" t="s">
        <v>3365</v>
      </c>
      <c r="O1121" t="s">
        <v>3366</v>
      </c>
      <c r="P1121" t="s">
        <v>3398</v>
      </c>
    </row>
    <row r="1122" spans="1:16" x14ac:dyDescent="0.3">
      <c r="A1122" t="s">
        <v>3147</v>
      </c>
      <c r="B1122" t="s">
        <v>3054</v>
      </c>
      <c r="D1122" t="s">
        <v>2828</v>
      </c>
      <c r="F1122" t="s">
        <v>3394</v>
      </c>
      <c r="G1122" t="s">
        <v>2746</v>
      </c>
      <c r="H1122" t="s">
        <v>3128</v>
      </c>
      <c r="I1122" t="s">
        <v>3396</v>
      </c>
      <c r="J1122" t="s">
        <v>3369</v>
      </c>
      <c r="K1122" t="s">
        <v>3370</v>
      </c>
      <c r="L1122" t="s">
        <v>3371</v>
      </c>
      <c r="M1122" t="s">
        <v>3397</v>
      </c>
      <c r="N1122" t="s">
        <v>3365</v>
      </c>
      <c r="O1122" t="s">
        <v>3366</v>
      </c>
      <c r="P1122" t="s">
        <v>3398</v>
      </c>
    </row>
    <row r="1123" spans="1:16" x14ac:dyDescent="0.3">
      <c r="A1123" t="s">
        <v>3148</v>
      </c>
      <c r="B1123" t="s">
        <v>3054</v>
      </c>
      <c r="D1123" t="s">
        <v>2828</v>
      </c>
      <c r="F1123" t="s">
        <v>3394</v>
      </c>
      <c r="G1123" t="s">
        <v>2746</v>
      </c>
      <c r="H1123" t="s">
        <v>3128</v>
      </c>
      <c r="I1123" t="s">
        <v>3396</v>
      </c>
      <c r="J1123" t="s">
        <v>3369</v>
      </c>
      <c r="K1123" t="s">
        <v>3370</v>
      </c>
      <c r="L1123" t="s">
        <v>3371</v>
      </c>
      <c r="M1123" t="s">
        <v>3397</v>
      </c>
      <c r="N1123" t="s">
        <v>3365</v>
      </c>
      <c r="O1123" t="s">
        <v>3366</v>
      </c>
      <c r="P1123" t="s">
        <v>3398</v>
      </c>
    </row>
    <row r="1124" spans="1:16" x14ac:dyDescent="0.3">
      <c r="A1124" t="s">
        <v>3149</v>
      </c>
      <c r="B1124" t="s">
        <v>3054</v>
      </c>
      <c r="D1124" t="s">
        <v>2828</v>
      </c>
      <c r="F1124" t="s">
        <v>3394</v>
      </c>
      <c r="G1124" t="s">
        <v>2746</v>
      </c>
      <c r="H1124" t="s">
        <v>3128</v>
      </c>
      <c r="I1124" t="s">
        <v>3396</v>
      </c>
      <c r="J1124" t="s">
        <v>3369</v>
      </c>
      <c r="K1124" t="s">
        <v>3370</v>
      </c>
      <c r="L1124" t="s">
        <v>3371</v>
      </c>
      <c r="M1124" t="s">
        <v>3397</v>
      </c>
      <c r="N1124" t="s">
        <v>3365</v>
      </c>
      <c r="O1124" t="s">
        <v>3366</v>
      </c>
      <c r="P1124" t="s">
        <v>3398</v>
      </c>
    </row>
    <row r="1125" spans="1:16" x14ac:dyDescent="0.3">
      <c r="A1125" t="s">
        <v>3150</v>
      </c>
      <c r="B1125" t="s">
        <v>3054</v>
      </c>
      <c r="D1125" t="s">
        <v>2828</v>
      </c>
      <c r="F1125" t="s">
        <v>3394</v>
      </c>
      <c r="G1125" t="s">
        <v>2746</v>
      </c>
      <c r="H1125" t="s">
        <v>3128</v>
      </c>
      <c r="I1125" t="s">
        <v>3396</v>
      </c>
      <c r="J1125" t="s">
        <v>3369</v>
      </c>
      <c r="K1125" t="s">
        <v>3370</v>
      </c>
      <c r="L1125" t="s">
        <v>3371</v>
      </c>
      <c r="M1125" t="s">
        <v>3397</v>
      </c>
      <c r="N1125" t="s">
        <v>3365</v>
      </c>
      <c r="O1125" t="s">
        <v>3366</v>
      </c>
      <c r="P1125" t="s">
        <v>3398</v>
      </c>
    </row>
    <row r="1126" spans="1:16" x14ac:dyDescent="0.3">
      <c r="A1126" t="s">
        <v>3151</v>
      </c>
      <c r="B1126" t="s">
        <v>3054</v>
      </c>
      <c r="D1126" t="s">
        <v>2828</v>
      </c>
      <c r="F1126" t="s">
        <v>3394</v>
      </c>
      <c r="G1126" t="s">
        <v>2746</v>
      </c>
      <c r="H1126" t="s">
        <v>3128</v>
      </c>
      <c r="I1126" t="s">
        <v>3396</v>
      </c>
      <c r="J1126" t="s">
        <v>3369</v>
      </c>
      <c r="K1126" t="s">
        <v>3370</v>
      </c>
      <c r="L1126" t="s">
        <v>3371</v>
      </c>
      <c r="M1126" t="s">
        <v>3397</v>
      </c>
      <c r="N1126" t="s">
        <v>3365</v>
      </c>
      <c r="O1126" t="s">
        <v>3366</v>
      </c>
      <c r="P1126" t="s">
        <v>3398</v>
      </c>
    </row>
    <row r="1127" spans="1:16" x14ac:dyDescent="0.3">
      <c r="A1127" t="s">
        <v>3152</v>
      </c>
      <c r="B1127" t="s">
        <v>3054</v>
      </c>
      <c r="D1127" t="s">
        <v>2828</v>
      </c>
      <c r="F1127" t="s">
        <v>3394</v>
      </c>
      <c r="G1127" t="s">
        <v>2746</v>
      </c>
      <c r="H1127" t="s">
        <v>3128</v>
      </c>
      <c r="I1127" t="s">
        <v>3396</v>
      </c>
      <c r="J1127" t="s">
        <v>3369</v>
      </c>
      <c r="K1127" t="s">
        <v>3370</v>
      </c>
      <c r="L1127" t="s">
        <v>3371</v>
      </c>
      <c r="M1127" t="s">
        <v>3397</v>
      </c>
      <c r="N1127" t="s">
        <v>3365</v>
      </c>
      <c r="O1127" t="s">
        <v>3366</v>
      </c>
      <c r="P1127" t="s">
        <v>3398</v>
      </c>
    </row>
    <row r="1128" spans="1:16" x14ac:dyDescent="0.3">
      <c r="A1128" t="s">
        <v>3153</v>
      </c>
      <c r="B1128" t="s">
        <v>3054</v>
      </c>
      <c r="D1128" t="s">
        <v>2828</v>
      </c>
      <c r="F1128" t="s">
        <v>3394</v>
      </c>
      <c r="G1128" t="s">
        <v>2746</v>
      </c>
      <c r="H1128" t="s">
        <v>3128</v>
      </c>
      <c r="I1128" t="s">
        <v>3396</v>
      </c>
      <c r="J1128" t="s">
        <v>3369</v>
      </c>
      <c r="K1128" t="s">
        <v>3370</v>
      </c>
      <c r="L1128" t="s">
        <v>3371</v>
      </c>
      <c r="M1128" t="s">
        <v>3397</v>
      </c>
      <c r="N1128" t="s">
        <v>3365</v>
      </c>
      <c r="O1128" t="s">
        <v>3366</v>
      </c>
      <c r="P1128" t="s">
        <v>3398</v>
      </c>
    </row>
    <row r="1129" spans="1:16" x14ac:dyDescent="0.3">
      <c r="A1129" t="s">
        <v>3154</v>
      </c>
      <c r="B1129" t="s">
        <v>3054</v>
      </c>
      <c r="D1129" t="s">
        <v>2828</v>
      </c>
      <c r="F1129" t="s">
        <v>3394</v>
      </c>
      <c r="G1129" t="s">
        <v>2746</v>
      </c>
      <c r="H1129" t="s">
        <v>3128</v>
      </c>
      <c r="I1129" t="s">
        <v>3396</v>
      </c>
      <c r="J1129" t="s">
        <v>3369</v>
      </c>
      <c r="K1129" t="s">
        <v>3370</v>
      </c>
      <c r="L1129" t="s">
        <v>3371</v>
      </c>
      <c r="M1129" t="s">
        <v>3397</v>
      </c>
      <c r="N1129" t="s">
        <v>3365</v>
      </c>
      <c r="O1129" t="s">
        <v>3366</v>
      </c>
      <c r="P1129" t="s">
        <v>3398</v>
      </c>
    </row>
    <row r="1130" spans="1:16" x14ac:dyDescent="0.3">
      <c r="A1130" t="s">
        <v>3155</v>
      </c>
      <c r="B1130" t="s">
        <v>3054</v>
      </c>
      <c r="D1130" t="s">
        <v>2828</v>
      </c>
      <c r="F1130" t="s">
        <v>3394</v>
      </c>
      <c r="G1130" t="s">
        <v>2746</v>
      </c>
      <c r="H1130" t="s">
        <v>3128</v>
      </c>
      <c r="I1130" t="s">
        <v>3396</v>
      </c>
      <c r="J1130" t="s">
        <v>3369</v>
      </c>
      <c r="K1130" t="s">
        <v>3370</v>
      </c>
      <c r="L1130" t="s">
        <v>3371</v>
      </c>
      <c r="M1130" t="s">
        <v>3397</v>
      </c>
      <c r="N1130" t="s">
        <v>3365</v>
      </c>
      <c r="O1130" t="s">
        <v>3366</v>
      </c>
      <c r="P1130" t="s">
        <v>3398</v>
      </c>
    </row>
    <row r="1131" spans="1:16" x14ac:dyDescent="0.3">
      <c r="A1131" t="s">
        <v>3156</v>
      </c>
      <c r="B1131" t="s">
        <v>3054</v>
      </c>
      <c r="D1131" t="s">
        <v>2828</v>
      </c>
      <c r="F1131" t="s">
        <v>3394</v>
      </c>
      <c r="G1131" t="s">
        <v>2746</v>
      </c>
      <c r="H1131" t="s">
        <v>3128</v>
      </c>
      <c r="I1131" t="s">
        <v>3396</v>
      </c>
      <c r="J1131" t="s">
        <v>3369</v>
      </c>
      <c r="K1131" t="s">
        <v>3370</v>
      </c>
      <c r="L1131" t="s">
        <v>3371</v>
      </c>
      <c r="M1131" t="s">
        <v>3397</v>
      </c>
      <c r="N1131" t="s">
        <v>3365</v>
      </c>
      <c r="O1131" t="s">
        <v>3366</v>
      </c>
      <c r="P1131" t="s">
        <v>3398</v>
      </c>
    </row>
    <row r="1132" spans="1:16" x14ac:dyDescent="0.3">
      <c r="A1132" t="s">
        <v>3157</v>
      </c>
      <c r="B1132" t="s">
        <v>3158</v>
      </c>
      <c r="D1132" t="s">
        <v>2744</v>
      </c>
      <c r="F1132" t="s">
        <v>3394</v>
      </c>
      <c r="G1132" t="s">
        <v>2746</v>
      </c>
      <c r="H1132" t="s">
        <v>3159</v>
      </c>
      <c r="I1132" t="s">
        <v>3396</v>
      </c>
      <c r="J1132" t="s">
        <v>3369</v>
      </c>
      <c r="K1132" t="s">
        <v>605</v>
      </c>
      <c r="L1132" t="s">
        <v>3371</v>
      </c>
      <c r="M1132" t="s">
        <v>3397</v>
      </c>
      <c r="N1132" t="s">
        <v>3365</v>
      </c>
      <c r="O1132" t="s">
        <v>3366</v>
      </c>
      <c r="P1132" t="s">
        <v>3398</v>
      </c>
    </row>
    <row r="1133" spans="1:16" x14ac:dyDescent="0.3">
      <c r="A1133" t="s">
        <v>3160</v>
      </c>
      <c r="B1133" t="s">
        <v>3158</v>
      </c>
      <c r="D1133" t="s">
        <v>2744</v>
      </c>
      <c r="F1133" t="s">
        <v>3394</v>
      </c>
      <c r="G1133" t="s">
        <v>2746</v>
      </c>
      <c r="H1133" t="s">
        <v>3159</v>
      </c>
      <c r="I1133" t="s">
        <v>3396</v>
      </c>
      <c r="J1133" t="s">
        <v>3369</v>
      </c>
      <c r="K1133" t="s">
        <v>605</v>
      </c>
      <c r="L1133" t="s">
        <v>3371</v>
      </c>
      <c r="M1133" t="s">
        <v>3397</v>
      </c>
      <c r="N1133" t="s">
        <v>3365</v>
      </c>
      <c r="O1133" t="s">
        <v>3366</v>
      </c>
      <c r="P1133" t="s">
        <v>3398</v>
      </c>
    </row>
    <row r="1134" spans="1:16" x14ac:dyDescent="0.3">
      <c r="A1134" t="s">
        <v>3161</v>
      </c>
      <c r="B1134" t="s">
        <v>3158</v>
      </c>
      <c r="D1134" t="s">
        <v>2744</v>
      </c>
      <c r="F1134" t="s">
        <v>3394</v>
      </c>
      <c r="G1134" t="s">
        <v>2746</v>
      </c>
      <c r="H1134" t="s">
        <v>3159</v>
      </c>
      <c r="I1134" t="s">
        <v>3396</v>
      </c>
      <c r="J1134" t="s">
        <v>3369</v>
      </c>
      <c r="K1134" t="s">
        <v>605</v>
      </c>
      <c r="L1134" t="s">
        <v>3371</v>
      </c>
      <c r="M1134" t="s">
        <v>3397</v>
      </c>
      <c r="N1134" t="s">
        <v>3365</v>
      </c>
      <c r="O1134" t="s">
        <v>3366</v>
      </c>
      <c r="P1134" t="s">
        <v>3398</v>
      </c>
    </row>
    <row r="1135" spans="1:16" x14ac:dyDescent="0.3">
      <c r="A1135" t="s">
        <v>3162</v>
      </c>
      <c r="B1135" t="s">
        <v>3158</v>
      </c>
      <c r="D1135" t="s">
        <v>2744</v>
      </c>
      <c r="F1135" t="s">
        <v>3394</v>
      </c>
      <c r="G1135" t="s">
        <v>2746</v>
      </c>
      <c r="H1135" t="s">
        <v>3159</v>
      </c>
      <c r="I1135" t="s">
        <v>3396</v>
      </c>
      <c r="J1135" t="s">
        <v>3369</v>
      </c>
      <c r="K1135" t="s">
        <v>605</v>
      </c>
      <c r="L1135" t="s">
        <v>3371</v>
      </c>
      <c r="M1135" t="s">
        <v>3397</v>
      </c>
      <c r="N1135" t="s">
        <v>3365</v>
      </c>
      <c r="O1135" t="s">
        <v>3366</v>
      </c>
      <c r="P1135" t="s">
        <v>3398</v>
      </c>
    </row>
    <row r="1136" spans="1:16" x14ac:dyDescent="0.3">
      <c r="A1136" t="s">
        <v>3163</v>
      </c>
      <c r="B1136" t="s">
        <v>3158</v>
      </c>
      <c r="D1136" t="s">
        <v>2744</v>
      </c>
      <c r="F1136" t="s">
        <v>3394</v>
      </c>
      <c r="G1136" t="s">
        <v>2746</v>
      </c>
      <c r="H1136" t="s">
        <v>3159</v>
      </c>
      <c r="I1136" t="s">
        <v>3396</v>
      </c>
      <c r="J1136" t="s">
        <v>3369</v>
      </c>
      <c r="K1136" t="s">
        <v>605</v>
      </c>
      <c r="L1136" t="s">
        <v>3371</v>
      </c>
      <c r="M1136" t="s">
        <v>3397</v>
      </c>
      <c r="N1136" t="s">
        <v>3365</v>
      </c>
      <c r="O1136" t="s">
        <v>3366</v>
      </c>
      <c r="P1136" t="s">
        <v>3398</v>
      </c>
    </row>
    <row r="1137" spans="1:16" x14ac:dyDescent="0.3">
      <c r="A1137" t="s">
        <v>3164</v>
      </c>
      <c r="B1137" t="s">
        <v>3158</v>
      </c>
      <c r="D1137" t="s">
        <v>2744</v>
      </c>
      <c r="F1137" t="s">
        <v>3394</v>
      </c>
      <c r="G1137" t="s">
        <v>2746</v>
      </c>
      <c r="H1137" t="s">
        <v>3159</v>
      </c>
      <c r="I1137" t="s">
        <v>3396</v>
      </c>
      <c r="J1137" t="s">
        <v>3369</v>
      </c>
      <c r="K1137" t="s">
        <v>605</v>
      </c>
      <c r="L1137" t="s">
        <v>3371</v>
      </c>
      <c r="M1137" t="s">
        <v>3397</v>
      </c>
      <c r="N1137" t="s">
        <v>3365</v>
      </c>
      <c r="O1137" t="s">
        <v>3366</v>
      </c>
      <c r="P1137" t="s">
        <v>3398</v>
      </c>
    </row>
    <row r="1138" spans="1:16" x14ac:dyDescent="0.3">
      <c r="A1138" t="s">
        <v>3165</v>
      </c>
      <c r="B1138" t="s">
        <v>3158</v>
      </c>
      <c r="D1138" t="s">
        <v>2744</v>
      </c>
      <c r="F1138" t="s">
        <v>3394</v>
      </c>
      <c r="G1138" t="s">
        <v>2746</v>
      </c>
      <c r="H1138" t="s">
        <v>3159</v>
      </c>
      <c r="I1138" t="s">
        <v>3396</v>
      </c>
      <c r="J1138" t="s">
        <v>3369</v>
      </c>
      <c r="K1138" t="s">
        <v>605</v>
      </c>
      <c r="L1138" t="s">
        <v>3371</v>
      </c>
      <c r="M1138" t="s">
        <v>3397</v>
      </c>
      <c r="N1138" t="s">
        <v>3365</v>
      </c>
      <c r="O1138" t="s">
        <v>3366</v>
      </c>
      <c r="P1138" t="s">
        <v>3398</v>
      </c>
    </row>
    <row r="1139" spans="1:16" x14ac:dyDescent="0.3">
      <c r="A1139" t="s">
        <v>3166</v>
      </c>
      <c r="B1139" t="s">
        <v>3158</v>
      </c>
      <c r="D1139" t="s">
        <v>2744</v>
      </c>
      <c r="F1139" t="s">
        <v>3394</v>
      </c>
      <c r="G1139" t="s">
        <v>2746</v>
      </c>
      <c r="H1139" t="s">
        <v>3159</v>
      </c>
      <c r="I1139" t="s">
        <v>3396</v>
      </c>
      <c r="J1139" t="s">
        <v>3369</v>
      </c>
      <c r="K1139" t="s">
        <v>605</v>
      </c>
      <c r="L1139" t="s">
        <v>3371</v>
      </c>
      <c r="M1139" t="s">
        <v>3397</v>
      </c>
      <c r="N1139" t="s">
        <v>3365</v>
      </c>
      <c r="O1139" t="s">
        <v>3366</v>
      </c>
      <c r="P1139" t="s">
        <v>3398</v>
      </c>
    </row>
    <row r="1140" spans="1:16" x14ac:dyDescent="0.3">
      <c r="A1140" t="s">
        <v>3167</v>
      </c>
      <c r="B1140" t="s">
        <v>3158</v>
      </c>
      <c r="D1140" t="s">
        <v>2744</v>
      </c>
      <c r="F1140" t="s">
        <v>3394</v>
      </c>
      <c r="G1140" t="s">
        <v>2746</v>
      </c>
      <c r="H1140" t="s">
        <v>3159</v>
      </c>
      <c r="I1140" t="s">
        <v>3396</v>
      </c>
      <c r="J1140" t="s">
        <v>3369</v>
      </c>
      <c r="K1140" t="s">
        <v>605</v>
      </c>
      <c r="L1140" t="s">
        <v>3371</v>
      </c>
      <c r="M1140" t="s">
        <v>3397</v>
      </c>
      <c r="N1140" t="s">
        <v>3365</v>
      </c>
      <c r="O1140" t="s">
        <v>3366</v>
      </c>
      <c r="P1140" t="s">
        <v>3398</v>
      </c>
    </row>
    <row r="1141" spans="1:16" x14ac:dyDescent="0.3">
      <c r="A1141" t="s">
        <v>3168</v>
      </c>
      <c r="B1141" t="s">
        <v>3158</v>
      </c>
      <c r="D1141" t="s">
        <v>2744</v>
      </c>
      <c r="F1141" t="s">
        <v>3394</v>
      </c>
      <c r="G1141" t="s">
        <v>2746</v>
      </c>
      <c r="H1141" t="s">
        <v>3159</v>
      </c>
      <c r="I1141" t="s">
        <v>3396</v>
      </c>
      <c r="J1141" t="s">
        <v>3369</v>
      </c>
      <c r="K1141" t="s">
        <v>605</v>
      </c>
      <c r="L1141" t="s">
        <v>3371</v>
      </c>
      <c r="M1141" t="s">
        <v>3397</v>
      </c>
      <c r="N1141" t="s">
        <v>3365</v>
      </c>
      <c r="O1141" t="s">
        <v>3366</v>
      </c>
      <c r="P1141" t="s">
        <v>3398</v>
      </c>
    </row>
    <row r="1142" spans="1:16" x14ac:dyDescent="0.3">
      <c r="A1142" t="s">
        <v>3169</v>
      </c>
      <c r="B1142" t="s">
        <v>3158</v>
      </c>
      <c r="D1142" t="s">
        <v>2744</v>
      </c>
      <c r="F1142" t="s">
        <v>3394</v>
      </c>
      <c r="G1142" t="s">
        <v>2746</v>
      </c>
      <c r="H1142" t="s">
        <v>3159</v>
      </c>
      <c r="I1142" t="s">
        <v>3396</v>
      </c>
      <c r="J1142" t="s">
        <v>3369</v>
      </c>
      <c r="K1142" t="s">
        <v>605</v>
      </c>
      <c r="L1142" t="s">
        <v>3371</v>
      </c>
      <c r="M1142" t="s">
        <v>3397</v>
      </c>
      <c r="N1142" t="s">
        <v>3365</v>
      </c>
      <c r="O1142" t="s">
        <v>3366</v>
      </c>
      <c r="P1142" t="s">
        <v>3398</v>
      </c>
    </row>
    <row r="1143" spans="1:16" x14ac:dyDescent="0.3">
      <c r="A1143" t="s">
        <v>3170</v>
      </c>
      <c r="B1143" t="s">
        <v>3158</v>
      </c>
      <c r="D1143" t="s">
        <v>2744</v>
      </c>
      <c r="F1143" t="s">
        <v>3394</v>
      </c>
      <c r="G1143" t="s">
        <v>2746</v>
      </c>
      <c r="H1143" t="s">
        <v>3159</v>
      </c>
      <c r="I1143" t="s">
        <v>3396</v>
      </c>
      <c r="J1143" t="s">
        <v>3369</v>
      </c>
      <c r="K1143" t="s">
        <v>605</v>
      </c>
      <c r="L1143" t="s">
        <v>3371</v>
      </c>
      <c r="M1143" t="s">
        <v>3397</v>
      </c>
      <c r="N1143" t="s">
        <v>3365</v>
      </c>
      <c r="O1143" t="s">
        <v>3366</v>
      </c>
      <c r="P1143" t="s">
        <v>3398</v>
      </c>
    </row>
    <row r="1144" spans="1:16" x14ac:dyDescent="0.3">
      <c r="A1144" t="s">
        <v>3171</v>
      </c>
      <c r="B1144" t="s">
        <v>3158</v>
      </c>
      <c r="D1144" t="s">
        <v>2744</v>
      </c>
      <c r="F1144" t="s">
        <v>3394</v>
      </c>
      <c r="G1144" t="s">
        <v>2746</v>
      </c>
      <c r="H1144" t="s">
        <v>3159</v>
      </c>
      <c r="I1144" t="s">
        <v>3396</v>
      </c>
      <c r="J1144" t="s">
        <v>3369</v>
      </c>
      <c r="K1144" t="s">
        <v>605</v>
      </c>
      <c r="L1144" t="s">
        <v>3371</v>
      </c>
      <c r="M1144" t="s">
        <v>3397</v>
      </c>
      <c r="N1144" t="s">
        <v>3365</v>
      </c>
      <c r="O1144" t="s">
        <v>3366</v>
      </c>
      <c r="P1144" t="s">
        <v>3398</v>
      </c>
    </row>
    <row r="1145" spans="1:16" x14ac:dyDescent="0.3">
      <c r="A1145" t="s">
        <v>3172</v>
      </c>
      <c r="B1145" t="s">
        <v>3158</v>
      </c>
      <c r="D1145" t="s">
        <v>2744</v>
      </c>
      <c r="F1145" t="s">
        <v>3394</v>
      </c>
      <c r="G1145" t="s">
        <v>2746</v>
      </c>
      <c r="H1145" t="s">
        <v>3159</v>
      </c>
      <c r="I1145" t="s">
        <v>3396</v>
      </c>
      <c r="J1145" t="s">
        <v>3369</v>
      </c>
      <c r="K1145" t="s">
        <v>605</v>
      </c>
      <c r="L1145" t="s">
        <v>3371</v>
      </c>
      <c r="M1145" t="s">
        <v>3397</v>
      </c>
      <c r="N1145" t="s">
        <v>3365</v>
      </c>
      <c r="O1145" t="s">
        <v>3366</v>
      </c>
      <c r="P1145" t="s">
        <v>3398</v>
      </c>
    </row>
    <row r="1146" spans="1:16" x14ac:dyDescent="0.3">
      <c r="A1146" t="s">
        <v>3173</v>
      </c>
      <c r="B1146" t="s">
        <v>3158</v>
      </c>
      <c r="D1146" t="s">
        <v>2744</v>
      </c>
      <c r="F1146" t="s">
        <v>3394</v>
      </c>
      <c r="G1146" t="s">
        <v>2746</v>
      </c>
      <c r="H1146" t="s">
        <v>3159</v>
      </c>
      <c r="I1146" t="s">
        <v>3396</v>
      </c>
      <c r="J1146" t="s">
        <v>3369</v>
      </c>
      <c r="K1146" t="s">
        <v>605</v>
      </c>
      <c r="L1146" t="s">
        <v>3371</v>
      </c>
      <c r="M1146" t="s">
        <v>3397</v>
      </c>
      <c r="N1146" t="s">
        <v>3365</v>
      </c>
      <c r="O1146" t="s">
        <v>3366</v>
      </c>
      <c r="P1146" t="s">
        <v>3398</v>
      </c>
    </row>
    <row r="1147" spans="1:16" x14ac:dyDescent="0.3">
      <c r="A1147" t="s">
        <v>3174</v>
      </c>
      <c r="B1147" t="s">
        <v>3158</v>
      </c>
      <c r="D1147" t="s">
        <v>2744</v>
      </c>
      <c r="F1147" t="s">
        <v>3394</v>
      </c>
      <c r="G1147" t="s">
        <v>2746</v>
      </c>
      <c r="H1147" t="s">
        <v>3159</v>
      </c>
      <c r="I1147" t="s">
        <v>3396</v>
      </c>
      <c r="J1147" t="s">
        <v>3369</v>
      </c>
      <c r="K1147" t="s">
        <v>605</v>
      </c>
      <c r="L1147" t="s">
        <v>3371</v>
      </c>
      <c r="M1147" t="s">
        <v>3397</v>
      </c>
      <c r="N1147" t="s">
        <v>3365</v>
      </c>
      <c r="O1147" t="s">
        <v>3366</v>
      </c>
      <c r="P1147" t="s">
        <v>3398</v>
      </c>
    </row>
    <row r="1148" spans="1:16" x14ac:dyDescent="0.3">
      <c r="A1148" t="s">
        <v>3175</v>
      </c>
      <c r="B1148" t="s">
        <v>3158</v>
      </c>
      <c r="D1148" t="s">
        <v>2744</v>
      </c>
      <c r="F1148" t="s">
        <v>3394</v>
      </c>
      <c r="G1148" t="s">
        <v>2746</v>
      </c>
      <c r="H1148" t="s">
        <v>3176</v>
      </c>
      <c r="I1148" t="s">
        <v>3396</v>
      </c>
      <c r="J1148" t="s">
        <v>3369</v>
      </c>
      <c r="K1148" t="s">
        <v>605</v>
      </c>
      <c r="L1148" t="s">
        <v>3371</v>
      </c>
      <c r="M1148" t="s">
        <v>3397</v>
      </c>
      <c r="N1148" t="s">
        <v>3365</v>
      </c>
      <c r="O1148" t="s">
        <v>3366</v>
      </c>
      <c r="P1148" t="s">
        <v>3398</v>
      </c>
    </row>
    <row r="1149" spans="1:16" x14ac:dyDescent="0.3">
      <c r="A1149" t="s">
        <v>3177</v>
      </c>
      <c r="B1149" t="s">
        <v>3158</v>
      </c>
      <c r="D1149" t="s">
        <v>2744</v>
      </c>
      <c r="F1149" t="s">
        <v>3394</v>
      </c>
      <c r="G1149" t="s">
        <v>2746</v>
      </c>
      <c r="H1149" t="s">
        <v>3176</v>
      </c>
      <c r="I1149" t="s">
        <v>3396</v>
      </c>
      <c r="J1149" t="s">
        <v>3369</v>
      </c>
      <c r="K1149" t="s">
        <v>605</v>
      </c>
      <c r="L1149" t="s">
        <v>3371</v>
      </c>
      <c r="M1149" t="s">
        <v>3397</v>
      </c>
      <c r="N1149" t="s">
        <v>3365</v>
      </c>
      <c r="O1149" t="s">
        <v>3366</v>
      </c>
      <c r="P1149" t="s">
        <v>3398</v>
      </c>
    </row>
    <row r="1150" spans="1:16" x14ac:dyDescent="0.3">
      <c r="A1150" t="s">
        <v>3178</v>
      </c>
      <c r="B1150" t="s">
        <v>3158</v>
      </c>
      <c r="D1150" t="s">
        <v>2744</v>
      </c>
      <c r="F1150" t="s">
        <v>3394</v>
      </c>
      <c r="G1150" t="s">
        <v>2746</v>
      </c>
      <c r="H1150" t="s">
        <v>3176</v>
      </c>
      <c r="I1150" t="s">
        <v>3396</v>
      </c>
      <c r="J1150" t="s">
        <v>3369</v>
      </c>
      <c r="K1150" t="s">
        <v>605</v>
      </c>
      <c r="L1150" t="s">
        <v>3371</v>
      </c>
      <c r="M1150" t="s">
        <v>3397</v>
      </c>
      <c r="N1150" t="s">
        <v>3365</v>
      </c>
      <c r="O1150" t="s">
        <v>3366</v>
      </c>
      <c r="P1150" t="s">
        <v>3398</v>
      </c>
    </row>
    <row r="1151" spans="1:16" x14ac:dyDescent="0.3">
      <c r="A1151" t="s">
        <v>3179</v>
      </c>
      <c r="B1151" t="s">
        <v>3158</v>
      </c>
      <c r="D1151" t="s">
        <v>2744</v>
      </c>
      <c r="F1151" t="s">
        <v>3394</v>
      </c>
      <c r="G1151" t="s">
        <v>2746</v>
      </c>
      <c r="H1151" t="s">
        <v>3176</v>
      </c>
      <c r="I1151" t="s">
        <v>3396</v>
      </c>
      <c r="J1151" t="s">
        <v>3369</v>
      </c>
      <c r="K1151" t="s">
        <v>605</v>
      </c>
      <c r="L1151" t="s">
        <v>3371</v>
      </c>
      <c r="M1151" t="s">
        <v>3397</v>
      </c>
      <c r="N1151" t="s">
        <v>3365</v>
      </c>
      <c r="O1151" t="s">
        <v>3366</v>
      </c>
      <c r="P1151" t="s">
        <v>3398</v>
      </c>
    </row>
    <row r="1152" spans="1:16" x14ac:dyDescent="0.3">
      <c r="A1152" t="s">
        <v>3180</v>
      </c>
      <c r="B1152" t="s">
        <v>3158</v>
      </c>
      <c r="D1152" t="s">
        <v>2744</v>
      </c>
      <c r="F1152" t="s">
        <v>3394</v>
      </c>
      <c r="G1152" t="s">
        <v>2746</v>
      </c>
      <c r="H1152" t="s">
        <v>3176</v>
      </c>
      <c r="I1152" t="s">
        <v>3396</v>
      </c>
      <c r="J1152" t="s">
        <v>3369</v>
      </c>
      <c r="K1152" t="s">
        <v>605</v>
      </c>
      <c r="L1152" t="s">
        <v>3371</v>
      </c>
      <c r="M1152" t="s">
        <v>3397</v>
      </c>
      <c r="N1152" t="s">
        <v>3365</v>
      </c>
      <c r="O1152" t="s">
        <v>3366</v>
      </c>
      <c r="P1152" t="s">
        <v>3398</v>
      </c>
    </row>
    <row r="1153" spans="1:16" x14ac:dyDescent="0.3">
      <c r="A1153" t="s">
        <v>3181</v>
      </c>
      <c r="B1153" t="s">
        <v>3158</v>
      </c>
      <c r="D1153" t="s">
        <v>2744</v>
      </c>
      <c r="F1153" t="s">
        <v>3394</v>
      </c>
      <c r="G1153" t="s">
        <v>2746</v>
      </c>
      <c r="H1153" t="s">
        <v>3176</v>
      </c>
      <c r="I1153" t="s">
        <v>3396</v>
      </c>
      <c r="J1153" t="s">
        <v>3369</v>
      </c>
      <c r="K1153" t="s">
        <v>605</v>
      </c>
      <c r="L1153" t="s">
        <v>3371</v>
      </c>
      <c r="M1153" t="s">
        <v>3397</v>
      </c>
      <c r="N1153" t="s">
        <v>3365</v>
      </c>
      <c r="O1153" t="s">
        <v>3366</v>
      </c>
      <c r="P1153" t="s">
        <v>3398</v>
      </c>
    </row>
    <row r="1154" spans="1:16" x14ac:dyDescent="0.3">
      <c r="A1154" t="s">
        <v>3182</v>
      </c>
      <c r="B1154" t="s">
        <v>3158</v>
      </c>
      <c r="D1154" t="s">
        <v>2744</v>
      </c>
      <c r="F1154" t="s">
        <v>3394</v>
      </c>
      <c r="G1154" t="s">
        <v>2746</v>
      </c>
      <c r="H1154" t="s">
        <v>3159</v>
      </c>
      <c r="I1154" t="s">
        <v>3396</v>
      </c>
      <c r="J1154" t="s">
        <v>3369</v>
      </c>
      <c r="K1154" t="s">
        <v>605</v>
      </c>
      <c r="L1154" t="s">
        <v>3371</v>
      </c>
      <c r="M1154" t="s">
        <v>3397</v>
      </c>
      <c r="N1154" t="s">
        <v>3365</v>
      </c>
      <c r="O1154" t="s">
        <v>3366</v>
      </c>
      <c r="P1154" t="s">
        <v>3398</v>
      </c>
    </row>
    <row r="1155" spans="1:16" x14ac:dyDescent="0.3">
      <c r="A1155" t="s">
        <v>3183</v>
      </c>
      <c r="B1155" t="s">
        <v>3158</v>
      </c>
      <c r="D1155" t="s">
        <v>2744</v>
      </c>
      <c r="F1155" t="s">
        <v>3394</v>
      </c>
      <c r="G1155" t="s">
        <v>2746</v>
      </c>
      <c r="H1155" t="s">
        <v>3159</v>
      </c>
      <c r="I1155" t="s">
        <v>3396</v>
      </c>
      <c r="J1155" t="s">
        <v>3369</v>
      </c>
      <c r="K1155" t="s">
        <v>605</v>
      </c>
      <c r="L1155" t="s">
        <v>3371</v>
      </c>
      <c r="M1155" t="s">
        <v>3397</v>
      </c>
      <c r="N1155" t="s">
        <v>3365</v>
      </c>
      <c r="O1155" t="s">
        <v>3366</v>
      </c>
      <c r="P1155" t="s">
        <v>3398</v>
      </c>
    </row>
    <row r="1156" spans="1:16" x14ac:dyDescent="0.3">
      <c r="A1156" t="s">
        <v>3184</v>
      </c>
      <c r="B1156" t="s">
        <v>3158</v>
      </c>
      <c r="D1156" t="s">
        <v>2744</v>
      </c>
      <c r="F1156" t="s">
        <v>3394</v>
      </c>
      <c r="G1156" t="s">
        <v>2746</v>
      </c>
      <c r="H1156" t="s">
        <v>3159</v>
      </c>
      <c r="I1156" t="s">
        <v>3396</v>
      </c>
      <c r="J1156" t="s">
        <v>3369</v>
      </c>
      <c r="K1156" t="s">
        <v>605</v>
      </c>
      <c r="L1156" t="s">
        <v>3371</v>
      </c>
      <c r="M1156" t="s">
        <v>3397</v>
      </c>
      <c r="N1156" t="s">
        <v>3365</v>
      </c>
      <c r="O1156" t="s">
        <v>3366</v>
      </c>
      <c r="P1156" t="s">
        <v>3398</v>
      </c>
    </row>
    <row r="1157" spans="1:16" x14ac:dyDescent="0.3">
      <c r="A1157" t="s">
        <v>3185</v>
      </c>
      <c r="B1157" t="s">
        <v>3158</v>
      </c>
      <c r="D1157" t="s">
        <v>2744</v>
      </c>
      <c r="F1157" t="s">
        <v>3394</v>
      </c>
      <c r="G1157" t="s">
        <v>2746</v>
      </c>
      <c r="H1157" t="s">
        <v>3159</v>
      </c>
      <c r="I1157" t="s">
        <v>3396</v>
      </c>
      <c r="J1157" t="s">
        <v>3369</v>
      </c>
      <c r="K1157" t="s">
        <v>605</v>
      </c>
      <c r="L1157" t="s">
        <v>3371</v>
      </c>
      <c r="M1157" t="s">
        <v>3397</v>
      </c>
      <c r="N1157" t="s">
        <v>3365</v>
      </c>
      <c r="O1157" t="s">
        <v>3366</v>
      </c>
      <c r="P1157" t="s">
        <v>3398</v>
      </c>
    </row>
    <row r="1158" spans="1:16" x14ac:dyDescent="0.3">
      <c r="A1158" t="s">
        <v>3186</v>
      </c>
      <c r="B1158" t="s">
        <v>3158</v>
      </c>
      <c r="D1158" t="s">
        <v>2744</v>
      </c>
      <c r="F1158" t="s">
        <v>3394</v>
      </c>
      <c r="G1158" t="s">
        <v>2746</v>
      </c>
      <c r="H1158" t="s">
        <v>3159</v>
      </c>
      <c r="I1158" t="s">
        <v>3396</v>
      </c>
      <c r="J1158" t="s">
        <v>3369</v>
      </c>
      <c r="K1158" t="s">
        <v>605</v>
      </c>
      <c r="L1158" t="s">
        <v>3371</v>
      </c>
      <c r="M1158" t="s">
        <v>3397</v>
      </c>
      <c r="N1158" t="s">
        <v>3365</v>
      </c>
      <c r="O1158" t="s">
        <v>3366</v>
      </c>
      <c r="P1158" t="s">
        <v>3398</v>
      </c>
    </row>
    <row r="1159" spans="1:16" x14ac:dyDescent="0.3">
      <c r="A1159" t="s">
        <v>3187</v>
      </c>
      <c r="B1159" t="s">
        <v>3158</v>
      </c>
      <c r="D1159" t="s">
        <v>2744</v>
      </c>
      <c r="F1159" t="s">
        <v>3394</v>
      </c>
      <c r="G1159" t="s">
        <v>2746</v>
      </c>
      <c r="H1159" t="s">
        <v>3159</v>
      </c>
      <c r="I1159" t="s">
        <v>3396</v>
      </c>
      <c r="J1159" t="s">
        <v>3369</v>
      </c>
      <c r="K1159" t="s">
        <v>605</v>
      </c>
      <c r="L1159" t="s">
        <v>3371</v>
      </c>
      <c r="M1159" t="s">
        <v>3397</v>
      </c>
      <c r="N1159" t="s">
        <v>3365</v>
      </c>
      <c r="O1159" t="s">
        <v>3366</v>
      </c>
      <c r="P1159" t="s">
        <v>3398</v>
      </c>
    </row>
    <row r="1160" spans="1:16" x14ac:dyDescent="0.3">
      <c r="A1160" t="s">
        <v>3188</v>
      </c>
      <c r="B1160" t="s">
        <v>3158</v>
      </c>
      <c r="D1160" t="s">
        <v>2744</v>
      </c>
      <c r="F1160" t="s">
        <v>3394</v>
      </c>
      <c r="G1160" t="s">
        <v>2746</v>
      </c>
      <c r="H1160" t="s">
        <v>3159</v>
      </c>
      <c r="I1160" t="s">
        <v>3396</v>
      </c>
      <c r="J1160" t="s">
        <v>3369</v>
      </c>
      <c r="K1160" t="s">
        <v>605</v>
      </c>
      <c r="L1160" t="s">
        <v>3371</v>
      </c>
      <c r="M1160" t="s">
        <v>3397</v>
      </c>
      <c r="N1160" t="s">
        <v>3365</v>
      </c>
      <c r="O1160" t="s">
        <v>3366</v>
      </c>
      <c r="P1160" t="s">
        <v>3398</v>
      </c>
    </row>
    <row r="1161" spans="1:16" x14ac:dyDescent="0.3">
      <c r="A1161" t="s">
        <v>3189</v>
      </c>
      <c r="B1161" t="s">
        <v>3158</v>
      </c>
      <c r="D1161" t="s">
        <v>2744</v>
      </c>
      <c r="F1161" t="s">
        <v>3394</v>
      </c>
      <c r="G1161" t="s">
        <v>2746</v>
      </c>
      <c r="H1161" t="s">
        <v>3159</v>
      </c>
      <c r="I1161" t="s">
        <v>3396</v>
      </c>
      <c r="J1161" t="s">
        <v>3369</v>
      </c>
      <c r="K1161" t="s">
        <v>605</v>
      </c>
      <c r="L1161" t="s">
        <v>3371</v>
      </c>
      <c r="M1161" t="s">
        <v>3397</v>
      </c>
      <c r="N1161" t="s">
        <v>3365</v>
      </c>
      <c r="O1161" t="s">
        <v>3366</v>
      </c>
      <c r="P1161" t="s">
        <v>3398</v>
      </c>
    </row>
    <row r="1162" spans="1:16" x14ac:dyDescent="0.3">
      <c r="A1162" t="s">
        <v>3190</v>
      </c>
      <c r="B1162" t="s">
        <v>3158</v>
      </c>
      <c r="D1162" t="s">
        <v>2744</v>
      </c>
      <c r="F1162" t="s">
        <v>3394</v>
      </c>
      <c r="G1162" t="s">
        <v>2746</v>
      </c>
      <c r="H1162" t="s">
        <v>3159</v>
      </c>
      <c r="I1162" t="s">
        <v>3396</v>
      </c>
      <c r="J1162" t="s">
        <v>3369</v>
      </c>
      <c r="K1162" t="s">
        <v>605</v>
      </c>
      <c r="L1162" t="s">
        <v>3371</v>
      </c>
      <c r="M1162" t="s">
        <v>3397</v>
      </c>
      <c r="N1162" t="s">
        <v>3365</v>
      </c>
      <c r="O1162" t="s">
        <v>3366</v>
      </c>
      <c r="P1162" t="s">
        <v>3398</v>
      </c>
    </row>
    <row r="1163" spans="1:16" x14ac:dyDescent="0.3">
      <c r="A1163" t="s">
        <v>3191</v>
      </c>
      <c r="B1163" t="s">
        <v>3158</v>
      </c>
      <c r="D1163" t="s">
        <v>2744</v>
      </c>
      <c r="F1163" t="s">
        <v>3394</v>
      </c>
      <c r="G1163" t="s">
        <v>2746</v>
      </c>
      <c r="H1163" t="s">
        <v>3159</v>
      </c>
      <c r="I1163" t="s">
        <v>3396</v>
      </c>
      <c r="J1163" t="s">
        <v>3369</v>
      </c>
      <c r="K1163" t="s">
        <v>605</v>
      </c>
      <c r="L1163" t="s">
        <v>3371</v>
      </c>
      <c r="M1163" t="s">
        <v>3397</v>
      </c>
      <c r="N1163" t="s">
        <v>3365</v>
      </c>
      <c r="O1163" t="s">
        <v>3366</v>
      </c>
      <c r="P1163" t="s">
        <v>3398</v>
      </c>
    </row>
    <row r="1164" spans="1:16" x14ac:dyDescent="0.3">
      <c r="A1164" t="s">
        <v>3192</v>
      </c>
      <c r="B1164" t="s">
        <v>3158</v>
      </c>
      <c r="D1164" t="s">
        <v>2744</v>
      </c>
      <c r="F1164" t="s">
        <v>3394</v>
      </c>
      <c r="G1164" t="s">
        <v>2746</v>
      </c>
      <c r="H1164" t="s">
        <v>3159</v>
      </c>
      <c r="I1164" t="s">
        <v>3396</v>
      </c>
      <c r="J1164" t="s">
        <v>3369</v>
      </c>
      <c r="K1164" t="s">
        <v>605</v>
      </c>
      <c r="L1164" t="s">
        <v>3371</v>
      </c>
      <c r="M1164" t="s">
        <v>3397</v>
      </c>
      <c r="N1164" t="s">
        <v>3365</v>
      </c>
      <c r="O1164" t="s">
        <v>3366</v>
      </c>
      <c r="P1164" t="s">
        <v>3398</v>
      </c>
    </row>
    <row r="1165" spans="1:16" x14ac:dyDescent="0.3">
      <c r="A1165" t="s">
        <v>3193</v>
      </c>
      <c r="B1165" t="s">
        <v>3158</v>
      </c>
      <c r="D1165" t="s">
        <v>2744</v>
      </c>
      <c r="F1165" t="s">
        <v>3394</v>
      </c>
      <c r="G1165" t="s">
        <v>2746</v>
      </c>
      <c r="H1165" t="s">
        <v>3159</v>
      </c>
      <c r="I1165" t="s">
        <v>3396</v>
      </c>
      <c r="J1165" t="s">
        <v>3369</v>
      </c>
      <c r="K1165" t="s">
        <v>605</v>
      </c>
      <c r="L1165" t="s">
        <v>3371</v>
      </c>
      <c r="M1165" t="s">
        <v>3397</v>
      </c>
      <c r="N1165" t="s">
        <v>3365</v>
      </c>
      <c r="O1165" t="s">
        <v>3366</v>
      </c>
      <c r="P1165" t="s">
        <v>3398</v>
      </c>
    </row>
    <row r="1166" spans="1:16" x14ac:dyDescent="0.3">
      <c r="A1166" t="s">
        <v>3194</v>
      </c>
      <c r="B1166" t="s">
        <v>3158</v>
      </c>
      <c r="D1166" t="s">
        <v>2744</v>
      </c>
      <c r="F1166" t="s">
        <v>3394</v>
      </c>
      <c r="G1166" t="s">
        <v>2746</v>
      </c>
      <c r="H1166" t="s">
        <v>3159</v>
      </c>
      <c r="I1166" t="s">
        <v>3396</v>
      </c>
      <c r="J1166" t="s">
        <v>3369</v>
      </c>
      <c r="K1166" t="s">
        <v>605</v>
      </c>
      <c r="L1166" t="s">
        <v>3371</v>
      </c>
      <c r="M1166" t="s">
        <v>3397</v>
      </c>
      <c r="N1166" t="s">
        <v>3365</v>
      </c>
      <c r="O1166" t="s">
        <v>3366</v>
      </c>
      <c r="P1166" t="s">
        <v>3398</v>
      </c>
    </row>
    <row r="1167" spans="1:16" x14ac:dyDescent="0.3">
      <c r="A1167" t="s">
        <v>3195</v>
      </c>
      <c r="B1167" t="s">
        <v>3158</v>
      </c>
      <c r="D1167" t="s">
        <v>2744</v>
      </c>
      <c r="F1167" t="s">
        <v>3394</v>
      </c>
      <c r="G1167" t="s">
        <v>2746</v>
      </c>
      <c r="H1167" t="s">
        <v>3159</v>
      </c>
      <c r="I1167" t="s">
        <v>3396</v>
      </c>
      <c r="J1167" t="s">
        <v>3369</v>
      </c>
      <c r="K1167" t="s">
        <v>605</v>
      </c>
      <c r="L1167" t="s">
        <v>3371</v>
      </c>
      <c r="M1167" t="s">
        <v>3397</v>
      </c>
      <c r="N1167" t="s">
        <v>3365</v>
      </c>
      <c r="O1167" t="s">
        <v>3366</v>
      </c>
      <c r="P1167" t="s">
        <v>3398</v>
      </c>
    </row>
    <row r="1168" spans="1:16" x14ac:dyDescent="0.3">
      <c r="A1168" t="s">
        <v>3196</v>
      </c>
      <c r="B1168" t="s">
        <v>3158</v>
      </c>
      <c r="D1168" t="s">
        <v>2744</v>
      </c>
      <c r="F1168" t="s">
        <v>3394</v>
      </c>
      <c r="G1168" t="s">
        <v>2746</v>
      </c>
      <c r="H1168" t="s">
        <v>3159</v>
      </c>
      <c r="I1168" t="s">
        <v>3396</v>
      </c>
      <c r="J1168" t="s">
        <v>3369</v>
      </c>
      <c r="K1168" t="s">
        <v>605</v>
      </c>
      <c r="L1168" t="s">
        <v>3371</v>
      </c>
      <c r="M1168" t="s">
        <v>3397</v>
      </c>
      <c r="N1168" t="s">
        <v>3365</v>
      </c>
      <c r="O1168" t="s">
        <v>3366</v>
      </c>
      <c r="P1168" t="s">
        <v>3398</v>
      </c>
    </row>
    <row r="1169" spans="1:16" x14ac:dyDescent="0.3">
      <c r="A1169" t="s">
        <v>3197</v>
      </c>
      <c r="B1169" t="s">
        <v>3158</v>
      </c>
      <c r="D1169" t="s">
        <v>2796</v>
      </c>
      <c r="F1169" t="s">
        <v>3394</v>
      </c>
      <c r="G1169" t="s">
        <v>2746</v>
      </c>
      <c r="H1169" t="s">
        <v>3198</v>
      </c>
      <c r="I1169" t="s">
        <v>3396</v>
      </c>
      <c r="J1169" t="s">
        <v>3369</v>
      </c>
      <c r="K1169" t="s">
        <v>605</v>
      </c>
      <c r="L1169" t="s">
        <v>3371</v>
      </c>
      <c r="M1169" t="s">
        <v>3397</v>
      </c>
      <c r="N1169" t="s">
        <v>3365</v>
      </c>
      <c r="O1169" t="s">
        <v>3366</v>
      </c>
      <c r="P1169" t="s">
        <v>3398</v>
      </c>
    </row>
    <row r="1170" spans="1:16" x14ac:dyDescent="0.3">
      <c r="A1170" t="s">
        <v>3199</v>
      </c>
      <c r="B1170" t="s">
        <v>3158</v>
      </c>
      <c r="D1170" t="s">
        <v>2796</v>
      </c>
      <c r="F1170" t="s">
        <v>3394</v>
      </c>
      <c r="G1170" t="s">
        <v>2746</v>
      </c>
      <c r="H1170" t="s">
        <v>3198</v>
      </c>
      <c r="I1170" t="s">
        <v>3396</v>
      </c>
      <c r="J1170" t="s">
        <v>3369</v>
      </c>
      <c r="K1170" t="s">
        <v>605</v>
      </c>
      <c r="L1170" t="s">
        <v>3371</v>
      </c>
      <c r="M1170" t="s">
        <v>3397</v>
      </c>
      <c r="N1170" t="s">
        <v>3365</v>
      </c>
      <c r="O1170" t="s">
        <v>3366</v>
      </c>
      <c r="P1170" t="s">
        <v>3398</v>
      </c>
    </row>
    <row r="1171" spans="1:16" x14ac:dyDescent="0.3">
      <c r="A1171" t="s">
        <v>3200</v>
      </c>
      <c r="B1171" t="s">
        <v>3158</v>
      </c>
      <c r="D1171" t="s">
        <v>2796</v>
      </c>
      <c r="F1171" t="s">
        <v>3394</v>
      </c>
      <c r="G1171" t="s">
        <v>2746</v>
      </c>
      <c r="H1171" t="s">
        <v>3198</v>
      </c>
      <c r="I1171" t="s">
        <v>3396</v>
      </c>
      <c r="J1171" t="s">
        <v>3369</v>
      </c>
      <c r="K1171" t="s">
        <v>605</v>
      </c>
      <c r="L1171" t="s">
        <v>3371</v>
      </c>
      <c r="M1171" t="s">
        <v>3397</v>
      </c>
      <c r="N1171" t="s">
        <v>3365</v>
      </c>
      <c r="O1171" t="s">
        <v>3366</v>
      </c>
      <c r="P1171" t="s">
        <v>3398</v>
      </c>
    </row>
    <row r="1172" spans="1:16" x14ac:dyDescent="0.3">
      <c r="A1172" t="s">
        <v>3201</v>
      </c>
      <c r="B1172" t="s">
        <v>3158</v>
      </c>
      <c r="D1172" t="s">
        <v>2796</v>
      </c>
      <c r="F1172" t="s">
        <v>3394</v>
      </c>
      <c r="G1172" t="s">
        <v>2746</v>
      </c>
      <c r="H1172" t="s">
        <v>3198</v>
      </c>
      <c r="I1172" t="s">
        <v>3396</v>
      </c>
      <c r="J1172" t="s">
        <v>3369</v>
      </c>
      <c r="K1172" t="s">
        <v>605</v>
      </c>
      <c r="L1172" t="s">
        <v>3371</v>
      </c>
      <c r="M1172" t="s">
        <v>3397</v>
      </c>
      <c r="N1172" t="s">
        <v>3365</v>
      </c>
      <c r="O1172" t="s">
        <v>3366</v>
      </c>
      <c r="P1172" t="s">
        <v>3398</v>
      </c>
    </row>
    <row r="1173" spans="1:16" x14ac:dyDescent="0.3">
      <c r="A1173" t="s">
        <v>3202</v>
      </c>
      <c r="B1173" t="s">
        <v>3158</v>
      </c>
      <c r="D1173" t="s">
        <v>2796</v>
      </c>
      <c r="F1173" t="s">
        <v>3394</v>
      </c>
      <c r="G1173" t="s">
        <v>2746</v>
      </c>
      <c r="H1173" t="s">
        <v>3198</v>
      </c>
      <c r="I1173" t="s">
        <v>3396</v>
      </c>
      <c r="J1173" t="s">
        <v>3369</v>
      </c>
      <c r="K1173" t="s">
        <v>605</v>
      </c>
      <c r="L1173" t="s">
        <v>3371</v>
      </c>
      <c r="M1173" t="s">
        <v>3397</v>
      </c>
      <c r="N1173" t="s">
        <v>3365</v>
      </c>
      <c r="O1173" t="s">
        <v>3366</v>
      </c>
      <c r="P1173" t="s">
        <v>3398</v>
      </c>
    </row>
    <row r="1174" spans="1:16" x14ac:dyDescent="0.3">
      <c r="A1174" t="s">
        <v>3203</v>
      </c>
      <c r="B1174" t="s">
        <v>3158</v>
      </c>
      <c r="D1174" t="s">
        <v>2796</v>
      </c>
      <c r="F1174" t="s">
        <v>3394</v>
      </c>
      <c r="G1174" t="s">
        <v>2746</v>
      </c>
      <c r="H1174" t="s">
        <v>3198</v>
      </c>
      <c r="I1174" t="s">
        <v>3396</v>
      </c>
      <c r="J1174" t="s">
        <v>3369</v>
      </c>
      <c r="K1174" t="s">
        <v>605</v>
      </c>
      <c r="L1174" t="s">
        <v>3371</v>
      </c>
      <c r="M1174" t="s">
        <v>3397</v>
      </c>
      <c r="N1174" t="s">
        <v>3365</v>
      </c>
      <c r="O1174" t="s">
        <v>3366</v>
      </c>
      <c r="P1174" t="s">
        <v>3398</v>
      </c>
    </row>
    <row r="1175" spans="1:16" x14ac:dyDescent="0.3">
      <c r="A1175" t="s">
        <v>2916</v>
      </c>
      <c r="B1175" t="s">
        <v>3158</v>
      </c>
      <c r="D1175" t="s">
        <v>2796</v>
      </c>
      <c r="F1175" t="s">
        <v>3394</v>
      </c>
      <c r="G1175" t="s">
        <v>2746</v>
      </c>
      <c r="H1175" t="s">
        <v>3198</v>
      </c>
      <c r="I1175" t="s">
        <v>3396</v>
      </c>
      <c r="J1175" t="s">
        <v>3369</v>
      </c>
      <c r="K1175" t="s">
        <v>605</v>
      </c>
      <c r="L1175" t="s">
        <v>3371</v>
      </c>
      <c r="M1175" t="s">
        <v>3397</v>
      </c>
      <c r="N1175" t="s">
        <v>3365</v>
      </c>
      <c r="O1175" t="s">
        <v>3366</v>
      </c>
      <c r="P1175" t="s">
        <v>3398</v>
      </c>
    </row>
    <row r="1176" spans="1:16" x14ac:dyDescent="0.3">
      <c r="A1176" t="s">
        <v>3204</v>
      </c>
      <c r="B1176" t="s">
        <v>3158</v>
      </c>
      <c r="D1176" t="s">
        <v>2796</v>
      </c>
      <c r="F1176" t="s">
        <v>3394</v>
      </c>
      <c r="G1176" t="s">
        <v>2746</v>
      </c>
      <c r="H1176" t="s">
        <v>3198</v>
      </c>
      <c r="I1176" t="s">
        <v>3396</v>
      </c>
      <c r="J1176" t="s">
        <v>3369</v>
      </c>
      <c r="K1176" t="s">
        <v>605</v>
      </c>
      <c r="L1176" t="s">
        <v>3371</v>
      </c>
      <c r="M1176" t="s">
        <v>3397</v>
      </c>
      <c r="N1176" t="s">
        <v>3365</v>
      </c>
      <c r="O1176" t="s">
        <v>3366</v>
      </c>
      <c r="P1176" t="s">
        <v>3398</v>
      </c>
    </row>
    <row r="1177" spans="1:16" x14ac:dyDescent="0.3">
      <c r="A1177" t="s">
        <v>3205</v>
      </c>
      <c r="B1177" t="s">
        <v>3158</v>
      </c>
      <c r="D1177" t="s">
        <v>2796</v>
      </c>
      <c r="F1177" t="s">
        <v>3394</v>
      </c>
      <c r="G1177" t="s">
        <v>2746</v>
      </c>
      <c r="H1177" t="s">
        <v>3198</v>
      </c>
      <c r="I1177" t="s">
        <v>3396</v>
      </c>
      <c r="J1177" t="s">
        <v>3369</v>
      </c>
      <c r="K1177" t="s">
        <v>605</v>
      </c>
      <c r="L1177" t="s">
        <v>3371</v>
      </c>
      <c r="M1177" t="s">
        <v>3397</v>
      </c>
      <c r="N1177" t="s">
        <v>3365</v>
      </c>
      <c r="O1177" t="s">
        <v>3366</v>
      </c>
      <c r="P1177" t="s">
        <v>3398</v>
      </c>
    </row>
    <row r="1178" spans="1:16" x14ac:dyDescent="0.3">
      <c r="A1178" t="s">
        <v>3206</v>
      </c>
      <c r="B1178" t="s">
        <v>3158</v>
      </c>
      <c r="D1178" t="s">
        <v>2796</v>
      </c>
      <c r="F1178" t="s">
        <v>3394</v>
      </c>
      <c r="G1178" t="s">
        <v>2746</v>
      </c>
      <c r="H1178" t="s">
        <v>3198</v>
      </c>
      <c r="I1178" t="s">
        <v>3396</v>
      </c>
      <c r="J1178" t="s">
        <v>3369</v>
      </c>
      <c r="K1178" t="s">
        <v>605</v>
      </c>
      <c r="L1178" t="s">
        <v>3371</v>
      </c>
      <c r="M1178" t="s">
        <v>3397</v>
      </c>
      <c r="N1178" t="s">
        <v>3365</v>
      </c>
      <c r="O1178" t="s">
        <v>3366</v>
      </c>
      <c r="P1178" t="s">
        <v>3398</v>
      </c>
    </row>
    <row r="1179" spans="1:16" x14ac:dyDescent="0.3">
      <c r="A1179" t="s">
        <v>3207</v>
      </c>
      <c r="B1179" t="s">
        <v>3158</v>
      </c>
      <c r="D1179" t="s">
        <v>2796</v>
      </c>
      <c r="F1179" t="s">
        <v>3394</v>
      </c>
      <c r="G1179" t="s">
        <v>2746</v>
      </c>
      <c r="H1179" t="s">
        <v>3198</v>
      </c>
      <c r="I1179" t="s">
        <v>3396</v>
      </c>
      <c r="J1179" t="s">
        <v>3369</v>
      </c>
      <c r="K1179" t="s">
        <v>605</v>
      </c>
      <c r="L1179" t="s">
        <v>3371</v>
      </c>
      <c r="M1179" t="s">
        <v>3397</v>
      </c>
      <c r="N1179" t="s">
        <v>3365</v>
      </c>
      <c r="O1179" t="s">
        <v>3366</v>
      </c>
      <c r="P1179" t="s">
        <v>3398</v>
      </c>
    </row>
    <row r="1180" spans="1:16" x14ac:dyDescent="0.3">
      <c r="A1180" t="s">
        <v>3208</v>
      </c>
      <c r="B1180" t="s">
        <v>3158</v>
      </c>
      <c r="D1180" t="s">
        <v>2796</v>
      </c>
      <c r="F1180" t="s">
        <v>3394</v>
      </c>
      <c r="G1180" t="s">
        <v>2746</v>
      </c>
      <c r="H1180" t="s">
        <v>3198</v>
      </c>
      <c r="I1180" t="s">
        <v>3396</v>
      </c>
      <c r="J1180" t="s">
        <v>3369</v>
      </c>
      <c r="K1180" t="s">
        <v>605</v>
      </c>
      <c r="L1180" t="s">
        <v>3371</v>
      </c>
      <c r="M1180" t="s">
        <v>3397</v>
      </c>
      <c r="N1180" t="s">
        <v>3365</v>
      </c>
      <c r="O1180" t="s">
        <v>3366</v>
      </c>
      <c r="P1180" t="s">
        <v>3398</v>
      </c>
    </row>
    <row r="1181" spans="1:16" x14ac:dyDescent="0.3">
      <c r="A1181" t="s">
        <v>3209</v>
      </c>
      <c r="B1181" t="s">
        <v>3158</v>
      </c>
      <c r="D1181" t="s">
        <v>2796</v>
      </c>
      <c r="F1181" t="s">
        <v>3394</v>
      </c>
      <c r="G1181" t="s">
        <v>2746</v>
      </c>
      <c r="H1181" t="s">
        <v>3198</v>
      </c>
      <c r="I1181" t="s">
        <v>3396</v>
      </c>
      <c r="J1181" t="s">
        <v>3369</v>
      </c>
      <c r="K1181" t="s">
        <v>605</v>
      </c>
      <c r="L1181" t="s">
        <v>3371</v>
      </c>
      <c r="M1181" t="s">
        <v>3397</v>
      </c>
      <c r="N1181" t="s">
        <v>3365</v>
      </c>
      <c r="O1181" t="s">
        <v>3366</v>
      </c>
      <c r="P1181" t="s">
        <v>3398</v>
      </c>
    </row>
    <row r="1182" spans="1:16" x14ac:dyDescent="0.3">
      <c r="A1182" t="s">
        <v>3210</v>
      </c>
      <c r="B1182" t="s">
        <v>3158</v>
      </c>
      <c r="D1182" t="s">
        <v>2796</v>
      </c>
      <c r="F1182" t="s">
        <v>3394</v>
      </c>
      <c r="G1182" t="s">
        <v>2746</v>
      </c>
      <c r="H1182" t="s">
        <v>3198</v>
      </c>
      <c r="I1182" t="s">
        <v>3396</v>
      </c>
      <c r="J1182" t="s">
        <v>3369</v>
      </c>
      <c r="K1182" t="s">
        <v>605</v>
      </c>
      <c r="L1182" t="s">
        <v>3371</v>
      </c>
      <c r="M1182" t="s">
        <v>3397</v>
      </c>
      <c r="N1182" t="s">
        <v>3365</v>
      </c>
      <c r="O1182" t="s">
        <v>3366</v>
      </c>
      <c r="P1182" t="s">
        <v>3398</v>
      </c>
    </row>
    <row r="1183" spans="1:16" x14ac:dyDescent="0.3">
      <c r="A1183" t="s">
        <v>3211</v>
      </c>
      <c r="B1183" t="s">
        <v>3158</v>
      </c>
      <c r="D1183" t="s">
        <v>2796</v>
      </c>
      <c r="F1183" t="s">
        <v>3394</v>
      </c>
      <c r="G1183" t="s">
        <v>2746</v>
      </c>
      <c r="H1183" t="s">
        <v>3198</v>
      </c>
      <c r="I1183" t="s">
        <v>3396</v>
      </c>
      <c r="J1183" t="s">
        <v>3369</v>
      </c>
      <c r="K1183" t="s">
        <v>605</v>
      </c>
      <c r="L1183" t="s">
        <v>3371</v>
      </c>
      <c r="M1183" t="s">
        <v>3397</v>
      </c>
      <c r="N1183" t="s">
        <v>3365</v>
      </c>
      <c r="O1183" t="s">
        <v>3366</v>
      </c>
      <c r="P1183" t="s">
        <v>3398</v>
      </c>
    </row>
    <row r="1184" spans="1:16" x14ac:dyDescent="0.3">
      <c r="A1184" t="s">
        <v>3212</v>
      </c>
      <c r="B1184" t="s">
        <v>3158</v>
      </c>
      <c r="D1184" t="s">
        <v>2796</v>
      </c>
      <c r="F1184" t="s">
        <v>3394</v>
      </c>
      <c r="G1184" t="s">
        <v>2746</v>
      </c>
      <c r="H1184" t="s">
        <v>3198</v>
      </c>
      <c r="I1184" t="s">
        <v>3396</v>
      </c>
      <c r="J1184" t="s">
        <v>3369</v>
      </c>
      <c r="K1184" t="s">
        <v>605</v>
      </c>
      <c r="L1184" t="s">
        <v>3371</v>
      </c>
      <c r="M1184" t="s">
        <v>3397</v>
      </c>
      <c r="N1184" t="s">
        <v>3365</v>
      </c>
      <c r="O1184" t="s">
        <v>3366</v>
      </c>
      <c r="P1184" t="s">
        <v>3398</v>
      </c>
    </row>
    <row r="1185" spans="1:16" x14ac:dyDescent="0.3">
      <c r="A1185" t="s">
        <v>3213</v>
      </c>
      <c r="B1185" t="s">
        <v>3158</v>
      </c>
      <c r="D1185" t="s">
        <v>2796</v>
      </c>
      <c r="F1185" t="s">
        <v>3394</v>
      </c>
      <c r="G1185" t="s">
        <v>2746</v>
      </c>
      <c r="H1185" t="s">
        <v>3198</v>
      </c>
      <c r="I1185" t="s">
        <v>3396</v>
      </c>
      <c r="J1185" t="s">
        <v>3369</v>
      </c>
      <c r="K1185" t="s">
        <v>605</v>
      </c>
      <c r="L1185" t="s">
        <v>3371</v>
      </c>
      <c r="M1185" t="s">
        <v>3397</v>
      </c>
      <c r="N1185" t="s">
        <v>3365</v>
      </c>
      <c r="O1185" t="s">
        <v>3366</v>
      </c>
      <c r="P1185" t="s">
        <v>3398</v>
      </c>
    </row>
    <row r="1186" spans="1:16" x14ac:dyDescent="0.3">
      <c r="A1186" t="s">
        <v>3214</v>
      </c>
      <c r="B1186" t="s">
        <v>3158</v>
      </c>
      <c r="D1186" t="s">
        <v>2828</v>
      </c>
      <c r="F1186" t="s">
        <v>3394</v>
      </c>
      <c r="G1186" t="s">
        <v>2746</v>
      </c>
      <c r="H1186" t="s">
        <v>3215</v>
      </c>
      <c r="I1186" t="s">
        <v>3396</v>
      </c>
      <c r="J1186" t="s">
        <v>3369</v>
      </c>
      <c r="K1186" t="s">
        <v>605</v>
      </c>
      <c r="L1186" t="s">
        <v>3371</v>
      </c>
      <c r="M1186" t="s">
        <v>3397</v>
      </c>
      <c r="N1186" t="s">
        <v>3365</v>
      </c>
      <c r="O1186" t="s">
        <v>3366</v>
      </c>
      <c r="P1186" t="s">
        <v>3398</v>
      </c>
    </row>
    <row r="1187" spans="1:16" x14ac:dyDescent="0.3">
      <c r="A1187" t="s">
        <v>3216</v>
      </c>
      <c r="B1187" t="s">
        <v>3158</v>
      </c>
      <c r="D1187" t="s">
        <v>2828</v>
      </c>
      <c r="F1187" t="s">
        <v>3394</v>
      </c>
      <c r="G1187" t="s">
        <v>2746</v>
      </c>
      <c r="H1187" t="s">
        <v>3215</v>
      </c>
      <c r="I1187" t="s">
        <v>3396</v>
      </c>
      <c r="J1187" t="s">
        <v>3369</v>
      </c>
      <c r="K1187" t="s">
        <v>605</v>
      </c>
      <c r="L1187" t="s">
        <v>3371</v>
      </c>
      <c r="M1187" t="s">
        <v>3397</v>
      </c>
      <c r="N1187" t="s">
        <v>3365</v>
      </c>
      <c r="O1187" t="s">
        <v>3366</v>
      </c>
      <c r="P1187" t="s">
        <v>3398</v>
      </c>
    </row>
    <row r="1188" spans="1:16" x14ac:dyDescent="0.3">
      <c r="A1188" t="s">
        <v>3217</v>
      </c>
      <c r="B1188" t="s">
        <v>3158</v>
      </c>
      <c r="D1188" t="s">
        <v>2828</v>
      </c>
      <c r="F1188" t="s">
        <v>3394</v>
      </c>
      <c r="G1188" t="s">
        <v>2746</v>
      </c>
      <c r="H1188" t="s">
        <v>3215</v>
      </c>
      <c r="I1188" t="s">
        <v>3396</v>
      </c>
      <c r="J1188" t="s">
        <v>3369</v>
      </c>
      <c r="K1188" t="s">
        <v>605</v>
      </c>
      <c r="L1188" t="s">
        <v>3371</v>
      </c>
      <c r="M1188" t="s">
        <v>3397</v>
      </c>
      <c r="N1188" t="s">
        <v>3365</v>
      </c>
      <c r="O1188" t="s">
        <v>3366</v>
      </c>
      <c r="P1188" t="s">
        <v>3398</v>
      </c>
    </row>
    <row r="1189" spans="1:16" x14ac:dyDescent="0.3">
      <c r="A1189" t="s">
        <v>3218</v>
      </c>
      <c r="B1189" t="s">
        <v>3158</v>
      </c>
      <c r="D1189" t="s">
        <v>2828</v>
      </c>
      <c r="F1189" t="s">
        <v>3394</v>
      </c>
      <c r="G1189" t="s">
        <v>2746</v>
      </c>
      <c r="H1189" t="s">
        <v>3215</v>
      </c>
      <c r="I1189" t="s">
        <v>3396</v>
      </c>
      <c r="J1189" t="s">
        <v>3369</v>
      </c>
      <c r="K1189" t="s">
        <v>605</v>
      </c>
      <c r="L1189" t="s">
        <v>3371</v>
      </c>
      <c r="M1189" t="s">
        <v>3397</v>
      </c>
      <c r="N1189" t="s">
        <v>3365</v>
      </c>
      <c r="O1189" t="s">
        <v>3366</v>
      </c>
      <c r="P1189" t="s">
        <v>3398</v>
      </c>
    </row>
    <row r="1190" spans="1:16" x14ac:dyDescent="0.3">
      <c r="A1190" t="s">
        <v>3219</v>
      </c>
      <c r="B1190" t="s">
        <v>3158</v>
      </c>
      <c r="D1190" t="s">
        <v>2828</v>
      </c>
      <c r="F1190" t="s">
        <v>3394</v>
      </c>
      <c r="G1190" t="s">
        <v>2746</v>
      </c>
      <c r="H1190" t="s">
        <v>3215</v>
      </c>
      <c r="I1190" t="s">
        <v>3396</v>
      </c>
      <c r="J1190" t="s">
        <v>3369</v>
      </c>
      <c r="K1190" t="s">
        <v>605</v>
      </c>
      <c r="L1190" t="s">
        <v>3371</v>
      </c>
      <c r="M1190" t="s">
        <v>3397</v>
      </c>
      <c r="N1190" t="s">
        <v>3365</v>
      </c>
      <c r="O1190" t="s">
        <v>3366</v>
      </c>
      <c r="P1190" t="s">
        <v>3398</v>
      </c>
    </row>
    <row r="1191" spans="1:16" x14ac:dyDescent="0.3">
      <c r="A1191" t="s">
        <v>3220</v>
      </c>
      <c r="B1191" t="s">
        <v>3158</v>
      </c>
      <c r="D1191" t="s">
        <v>2828</v>
      </c>
      <c r="F1191" t="s">
        <v>3394</v>
      </c>
      <c r="G1191" t="s">
        <v>2746</v>
      </c>
      <c r="H1191" t="s">
        <v>3215</v>
      </c>
      <c r="I1191" t="s">
        <v>3396</v>
      </c>
      <c r="J1191" t="s">
        <v>3369</v>
      </c>
      <c r="K1191" t="s">
        <v>605</v>
      </c>
      <c r="L1191" t="s">
        <v>3371</v>
      </c>
      <c r="M1191" t="s">
        <v>3397</v>
      </c>
      <c r="N1191" t="s">
        <v>3365</v>
      </c>
      <c r="O1191" t="s">
        <v>3366</v>
      </c>
      <c r="P1191" t="s">
        <v>3398</v>
      </c>
    </row>
    <row r="1192" spans="1:16" x14ac:dyDescent="0.3">
      <c r="A1192" t="s">
        <v>3221</v>
      </c>
      <c r="B1192" t="s">
        <v>3158</v>
      </c>
      <c r="D1192" t="s">
        <v>2828</v>
      </c>
      <c r="F1192" t="s">
        <v>3394</v>
      </c>
      <c r="G1192" t="s">
        <v>2746</v>
      </c>
      <c r="H1192" t="s">
        <v>3215</v>
      </c>
      <c r="I1192" t="s">
        <v>3396</v>
      </c>
      <c r="J1192" t="s">
        <v>3369</v>
      </c>
      <c r="K1192" t="s">
        <v>605</v>
      </c>
      <c r="L1192" t="s">
        <v>3371</v>
      </c>
      <c r="M1192" t="s">
        <v>3397</v>
      </c>
      <c r="N1192" t="s">
        <v>3365</v>
      </c>
      <c r="O1192" t="s">
        <v>3366</v>
      </c>
      <c r="P1192" t="s">
        <v>3398</v>
      </c>
    </row>
    <row r="1193" spans="1:16" x14ac:dyDescent="0.3">
      <c r="A1193" t="s">
        <v>3222</v>
      </c>
      <c r="B1193" t="s">
        <v>3158</v>
      </c>
      <c r="D1193" t="s">
        <v>2828</v>
      </c>
      <c r="F1193" t="s">
        <v>3394</v>
      </c>
      <c r="G1193" t="s">
        <v>2746</v>
      </c>
      <c r="H1193" t="s">
        <v>3215</v>
      </c>
      <c r="I1193" t="s">
        <v>3396</v>
      </c>
      <c r="J1193" t="s">
        <v>3369</v>
      </c>
      <c r="K1193" t="s">
        <v>605</v>
      </c>
      <c r="L1193" t="s">
        <v>3371</v>
      </c>
      <c r="M1193" t="s">
        <v>3397</v>
      </c>
      <c r="N1193" t="s">
        <v>3365</v>
      </c>
      <c r="O1193" t="s">
        <v>3366</v>
      </c>
      <c r="P1193" t="s">
        <v>3398</v>
      </c>
    </row>
    <row r="1194" spans="1:16" x14ac:dyDescent="0.3">
      <c r="A1194" t="s">
        <v>3223</v>
      </c>
      <c r="B1194" t="s">
        <v>3158</v>
      </c>
      <c r="D1194" t="s">
        <v>2828</v>
      </c>
      <c r="F1194" t="s">
        <v>3394</v>
      </c>
      <c r="G1194" t="s">
        <v>2746</v>
      </c>
      <c r="H1194" t="s">
        <v>3215</v>
      </c>
      <c r="I1194" t="s">
        <v>3396</v>
      </c>
      <c r="J1194" t="s">
        <v>3369</v>
      </c>
      <c r="K1194" t="s">
        <v>605</v>
      </c>
      <c r="L1194" t="s">
        <v>3371</v>
      </c>
      <c r="M1194" t="s">
        <v>3397</v>
      </c>
      <c r="N1194" t="s">
        <v>3365</v>
      </c>
      <c r="O1194" t="s">
        <v>3366</v>
      </c>
      <c r="P1194" t="s">
        <v>3398</v>
      </c>
    </row>
    <row r="1195" spans="1:16" x14ac:dyDescent="0.3">
      <c r="A1195" t="s">
        <v>1106</v>
      </c>
      <c r="B1195" t="s">
        <v>3158</v>
      </c>
      <c r="D1195" t="s">
        <v>2828</v>
      </c>
      <c r="F1195" t="s">
        <v>3394</v>
      </c>
      <c r="G1195" t="s">
        <v>2746</v>
      </c>
      <c r="H1195" t="s">
        <v>3215</v>
      </c>
      <c r="I1195" t="s">
        <v>3396</v>
      </c>
      <c r="J1195" t="s">
        <v>3369</v>
      </c>
      <c r="K1195" t="s">
        <v>605</v>
      </c>
      <c r="L1195" t="s">
        <v>3371</v>
      </c>
      <c r="M1195" t="s">
        <v>3397</v>
      </c>
      <c r="N1195" t="s">
        <v>3365</v>
      </c>
      <c r="O1195" t="s">
        <v>3366</v>
      </c>
      <c r="P1195" t="s">
        <v>3398</v>
      </c>
    </row>
    <row r="1196" spans="1:16" x14ac:dyDescent="0.3">
      <c r="A1196" t="s">
        <v>3224</v>
      </c>
      <c r="B1196" t="s">
        <v>3158</v>
      </c>
      <c r="D1196" t="s">
        <v>2828</v>
      </c>
      <c r="F1196" t="s">
        <v>3394</v>
      </c>
      <c r="G1196" t="s">
        <v>2746</v>
      </c>
      <c r="H1196" t="s">
        <v>3215</v>
      </c>
      <c r="I1196" t="s">
        <v>3396</v>
      </c>
      <c r="J1196" t="s">
        <v>3369</v>
      </c>
      <c r="K1196" t="s">
        <v>605</v>
      </c>
      <c r="L1196" t="s">
        <v>3371</v>
      </c>
      <c r="M1196" t="s">
        <v>3397</v>
      </c>
      <c r="N1196" t="s">
        <v>3365</v>
      </c>
      <c r="O1196" t="s">
        <v>3366</v>
      </c>
      <c r="P1196" t="s">
        <v>3398</v>
      </c>
    </row>
    <row r="1197" spans="1:16" x14ac:dyDescent="0.3">
      <c r="A1197" t="s">
        <v>3225</v>
      </c>
      <c r="B1197" t="s">
        <v>3158</v>
      </c>
      <c r="D1197" t="s">
        <v>2828</v>
      </c>
      <c r="F1197" t="s">
        <v>3394</v>
      </c>
      <c r="G1197" t="s">
        <v>2746</v>
      </c>
      <c r="H1197" t="s">
        <v>3215</v>
      </c>
      <c r="I1197" t="s">
        <v>3396</v>
      </c>
      <c r="J1197" t="s">
        <v>3369</v>
      </c>
      <c r="K1197" t="s">
        <v>605</v>
      </c>
      <c r="L1197" t="s">
        <v>3371</v>
      </c>
      <c r="M1197" t="s">
        <v>3397</v>
      </c>
      <c r="N1197" t="s">
        <v>3365</v>
      </c>
      <c r="O1197" t="s">
        <v>3366</v>
      </c>
      <c r="P1197" t="s">
        <v>3398</v>
      </c>
    </row>
    <row r="1198" spans="1:16" x14ac:dyDescent="0.3">
      <c r="A1198" t="s">
        <v>3226</v>
      </c>
      <c r="B1198" t="s">
        <v>3158</v>
      </c>
      <c r="D1198" t="s">
        <v>2828</v>
      </c>
      <c r="F1198" t="s">
        <v>3394</v>
      </c>
      <c r="G1198" t="s">
        <v>2746</v>
      </c>
      <c r="H1198" t="s">
        <v>3215</v>
      </c>
      <c r="I1198" t="s">
        <v>3396</v>
      </c>
      <c r="J1198" t="s">
        <v>3369</v>
      </c>
      <c r="K1198" t="s">
        <v>605</v>
      </c>
      <c r="L1198" t="s">
        <v>3371</v>
      </c>
      <c r="M1198" t="s">
        <v>3397</v>
      </c>
      <c r="N1198" t="s">
        <v>3365</v>
      </c>
      <c r="O1198" t="s">
        <v>3366</v>
      </c>
      <c r="P1198" t="s">
        <v>3398</v>
      </c>
    </row>
    <row r="1199" spans="1:16" x14ac:dyDescent="0.3">
      <c r="A1199" t="s">
        <v>3227</v>
      </c>
      <c r="B1199" t="s">
        <v>3158</v>
      </c>
      <c r="D1199" t="s">
        <v>2828</v>
      </c>
      <c r="F1199" t="s">
        <v>3394</v>
      </c>
      <c r="G1199" t="s">
        <v>2746</v>
      </c>
      <c r="H1199" t="s">
        <v>3215</v>
      </c>
      <c r="I1199" t="s">
        <v>3396</v>
      </c>
      <c r="J1199" t="s">
        <v>3369</v>
      </c>
      <c r="K1199" t="s">
        <v>605</v>
      </c>
      <c r="L1199" t="s">
        <v>3371</v>
      </c>
      <c r="M1199" t="s">
        <v>3397</v>
      </c>
      <c r="N1199" t="s">
        <v>3365</v>
      </c>
      <c r="O1199" t="s">
        <v>3366</v>
      </c>
      <c r="P1199" t="s">
        <v>3398</v>
      </c>
    </row>
    <row r="1200" spans="1:16" x14ac:dyDescent="0.3">
      <c r="A1200" t="s">
        <v>3228</v>
      </c>
      <c r="B1200" t="s">
        <v>3158</v>
      </c>
      <c r="D1200" t="s">
        <v>2828</v>
      </c>
      <c r="F1200" t="s">
        <v>3394</v>
      </c>
      <c r="G1200" t="s">
        <v>2746</v>
      </c>
      <c r="H1200" t="s">
        <v>3215</v>
      </c>
      <c r="I1200" t="s">
        <v>3396</v>
      </c>
      <c r="J1200" t="s">
        <v>3369</v>
      </c>
      <c r="K1200" t="s">
        <v>605</v>
      </c>
      <c r="L1200" t="s">
        <v>3371</v>
      </c>
      <c r="M1200" t="s">
        <v>3397</v>
      </c>
      <c r="N1200" t="s">
        <v>3365</v>
      </c>
      <c r="O1200" t="s">
        <v>3366</v>
      </c>
      <c r="P1200" t="s">
        <v>3398</v>
      </c>
    </row>
    <row r="1201" spans="1:16" x14ac:dyDescent="0.3">
      <c r="A1201" t="s">
        <v>3229</v>
      </c>
      <c r="B1201" t="s">
        <v>3158</v>
      </c>
      <c r="D1201" t="s">
        <v>2828</v>
      </c>
      <c r="F1201" t="s">
        <v>3394</v>
      </c>
      <c r="G1201" t="s">
        <v>2746</v>
      </c>
      <c r="H1201" t="s">
        <v>3215</v>
      </c>
      <c r="I1201" t="s">
        <v>3396</v>
      </c>
      <c r="J1201" t="s">
        <v>3369</v>
      </c>
      <c r="K1201" t="s">
        <v>605</v>
      </c>
      <c r="L1201" t="s">
        <v>3371</v>
      </c>
      <c r="M1201" t="s">
        <v>3397</v>
      </c>
      <c r="N1201" t="s">
        <v>3365</v>
      </c>
      <c r="O1201" t="s">
        <v>3366</v>
      </c>
      <c r="P1201" t="s">
        <v>3398</v>
      </c>
    </row>
    <row r="1202" spans="1:16" x14ac:dyDescent="0.3">
      <c r="A1202" t="s">
        <v>3230</v>
      </c>
      <c r="B1202" t="s">
        <v>3158</v>
      </c>
      <c r="D1202" t="s">
        <v>2828</v>
      </c>
      <c r="F1202" t="s">
        <v>3394</v>
      </c>
      <c r="G1202" t="s">
        <v>2746</v>
      </c>
      <c r="H1202" t="s">
        <v>3215</v>
      </c>
      <c r="I1202" t="s">
        <v>3396</v>
      </c>
      <c r="J1202" t="s">
        <v>3369</v>
      </c>
      <c r="K1202" t="s">
        <v>605</v>
      </c>
      <c r="L1202" t="s">
        <v>3371</v>
      </c>
      <c r="M1202" t="s">
        <v>3397</v>
      </c>
      <c r="N1202" t="s">
        <v>3365</v>
      </c>
      <c r="O1202" t="s">
        <v>3366</v>
      </c>
      <c r="P1202" t="s">
        <v>3398</v>
      </c>
    </row>
    <row r="1203" spans="1:16" x14ac:dyDescent="0.3">
      <c r="A1203" t="s">
        <v>3231</v>
      </c>
      <c r="B1203" t="s">
        <v>3158</v>
      </c>
      <c r="D1203" t="s">
        <v>2828</v>
      </c>
      <c r="F1203" t="s">
        <v>3394</v>
      </c>
      <c r="G1203" t="s">
        <v>2746</v>
      </c>
      <c r="H1203" t="s">
        <v>3215</v>
      </c>
      <c r="I1203" t="s">
        <v>3396</v>
      </c>
      <c r="J1203" t="s">
        <v>3369</v>
      </c>
      <c r="K1203" t="s">
        <v>605</v>
      </c>
      <c r="L1203" t="s">
        <v>3371</v>
      </c>
      <c r="M1203" t="s">
        <v>3397</v>
      </c>
      <c r="N1203" t="s">
        <v>3365</v>
      </c>
      <c r="O1203" t="s">
        <v>3366</v>
      </c>
      <c r="P1203" t="s">
        <v>3398</v>
      </c>
    </row>
    <row r="1204" spans="1:16" x14ac:dyDescent="0.3">
      <c r="A1204" t="s">
        <v>3232</v>
      </c>
      <c r="B1204" t="s">
        <v>3158</v>
      </c>
      <c r="D1204" t="s">
        <v>2828</v>
      </c>
      <c r="F1204" t="s">
        <v>3394</v>
      </c>
      <c r="G1204" t="s">
        <v>2746</v>
      </c>
      <c r="H1204" t="s">
        <v>3215</v>
      </c>
      <c r="I1204" t="s">
        <v>3396</v>
      </c>
      <c r="J1204" t="s">
        <v>3369</v>
      </c>
      <c r="K1204" t="s">
        <v>605</v>
      </c>
      <c r="L1204" t="s">
        <v>3371</v>
      </c>
      <c r="M1204" t="s">
        <v>3397</v>
      </c>
      <c r="N1204" t="s">
        <v>3365</v>
      </c>
      <c r="O1204" t="s">
        <v>3366</v>
      </c>
      <c r="P1204" t="s">
        <v>3398</v>
      </c>
    </row>
    <row r="1205" spans="1:16" x14ac:dyDescent="0.3">
      <c r="A1205" t="s">
        <v>3233</v>
      </c>
      <c r="B1205" t="s">
        <v>3158</v>
      </c>
      <c r="D1205" t="s">
        <v>2828</v>
      </c>
      <c r="F1205" t="s">
        <v>3394</v>
      </c>
      <c r="G1205" t="s">
        <v>2746</v>
      </c>
      <c r="H1205" t="s">
        <v>3215</v>
      </c>
      <c r="I1205" t="s">
        <v>3396</v>
      </c>
      <c r="J1205" t="s">
        <v>3369</v>
      </c>
      <c r="K1205" t="s">
        <v>605</v>
      </c>
      <c r="L1205" t="s">
        <v>3371</v>
      </c>
      <c r="M1205" t="s">
        <v>3397</v>
      </c>
      <c r="N1205" t="s">
        <v>3365</v>
      </c>
      <c r="O1205" t="s">
        <v>3366</v>
      </c>
      <c r="P1205" t="s">
        <v>3398</v>
      </c>
    </row>
    <row r="1206" spans="1:16" x14ac:dyDescent="0.3">
      <c r="A1206" t="s">
        <v>3234</v>
      </c>
      <c r="B1206" t="s">
        <v>3158</v>
      </c>
      <c r="D1206" t="s">
        <v>2828</v>
      </c>
      <c r="F1206" t="s">
        <v>3394</v>
      </c>
      <c r="G1206" t="s">
        <v>2746</v>
      </c>
      <c r="H1206" t="s">
        <v>3215</v>
      </c>
      <c r="I1206" t="s">
        <v>3396</v>
      </c>
      <c r="J1206" t="s">
        <v>3369</v>
      </c>
      <c r="K1206" t="s">
        <v>605</v>
      </c>
      <c r="L1206" t="s">
        <v>3371</v>
      </c>
      <c r="M1206" t="s">
        <v>3397</v>
      </c>
      <c r="N1206" t="s">
        <v>3365</v>
      </c>
      <c r="O1206" t="s">
        <v>3366</v>
      </c>
      <c r="P1206" t="s">
        <v>3398</v>
      </c>
    </row>
    <row r="1207" spans="1:16" x14ac:dyDescent="0.3">
      <c r="A1207" t="s">
        <v>3235</v>
      </c>
      <c r="B1207" t="s">
        <v>3158</v>
      </c>
      <c r="D1207" t="s">
        <v>2828</v>
      </c>
      <c r="F1207" t="s">
        <v>3394</v>
      </c>
      <c r="G1207" t="s">
        <v>2746</v>
      </c>
      <c r="H1207" t="s">
        <v>3215</v>
      </c>
      <c r="I1207" t="s">
        <v>3396</v>
      </c>
      <c r="J1207" t="s">
        <v>3369</v>
      </c>
      <c r="K1207" t="s">
        <v>605</v>
      </c>
      <c r="L1207" t="s">
        <v>3371</v>
      </c>
      <c r="M1207" t="s">
        <v>3397</v>
      </c>
      <c r="N1207" t="s">
        <v>3365</v>
      </c>
      <c r="O1207" t="s">
        <v>3366</v>
      </c>
      <c r="P1207" t="s">
        <v>3398</v>
      </c>
    </row>
    <row r="1208" spans="1:16" x14ac:dyDescent="0.3">
      <c r="A1208" t="s">
        <v>3236</v>
      </c>
      <c r="B1208" t="s">
        <v>3158</v>
      </c>
      <c r="D1208" t="s">
        <v>2828</v>
      </c>
      <c r="F1208" t="s">
        <v>3394</v>
      </c>
      <c r="G1208" t="s">
        <v>2746</v>
      </c>
      <c r="H1208" t="s">
        <v>3215</v>
      </c>
      <c r="I1208" t="s">
        <v>3396</v>
      </c>
      <c r="J1208" t="s">
        <v>3369</v>
      </c>
      <c r="K1208" t="s">
        <v>605</v>
      </c>
      <c r="L1208" t="s">
        <v>3371</v>
      </c>
      <c r="M1208" t="s">
        <v>3397</v>
      </c>
      <c r="N1208" t="s">
        <v>3365</v>
      </c>
      <c r="O1208" t="s">
        <v>3366</v>
      </c>
      <c r="P1208" t="s">
        <v>3398</v>
      </c>
    </row>
    <row r="1209" spans="1:16" x14ac:dyDescent="0.3">
      <c r="A1209" t="s">
        <v>3237</v>
      </c>
      <c r="B1209" t="s">
        <v>3158</v>
      </c>
      <c r="D1209" t="s">
        <v>2828</v>
      </c>
      <c r="F1209" t="s">
        <v>3394</v>
      </c>
      <c r="G1209" t="s">
        <v>2746</v>
      </c>
      <c r="H1209" t="s">
        <v>3215</v>
      </c>
      <c r="I1209" t="s">
        <v>3396</v>
      </c>
      <c r="J1209" t="s">
        <v>3369</v>
      </c>
      <c r="K1209" t="s">
        <v>605</v>
      </c>
      <c r="L1209" t="s">
        <v>3371</v>
      </c>
      <c r="M1209" t="s">
        <v>3397</v>
      </c>
      <c r="N1209" t="s">
        <v>3365</v>
      </c>
      <c r="O1209" t="s">
        <v>3366</v>
      </c>
      <c r="P1209" t="s">
        <v>3398</v>
      </c>
    </row>
    <row r="1210" spans="1:16" x14ac:dyDescent="0.3">
      <c r="A1210" t="s">
        <v>3238</v>
      </c>
      <c r="B1210" t="s">
        <v>3158</v>
      </c>
      <c r="D1210" t="s">
        <v>2828</v>
      </c>
      <c r="F1210" t="s">
        <v>3394</v>
      </c>
      <c r="G1210" t="s">
        <v>2746</v>
      </c>
      <c r="H1210" t="s">
        <v>3215</v>
      </c>
      <c r="I1210" t="s">
        <v>3396</v>
      </c>
      <c r="J1210" t="s">
        <v>3369</v>
      </c>
      <c r="K1210" t="s">
        <v>605</v>
      </c>
      <c r="L1210" t="s">
        <v>3371</v>
      </c>
      <c r="M1210" t="s">
        <v>3397</v>
      </c>
      <c r="N1210" t="s">
        <v>3365</v>
      </c>
      <c r="O1210" t="s">
        <v>3366</v>
      </c>
      <c r="P1210" t="s">
        <v>3398</v>
      </c>
    </row>
    <row r="1211" spans="1:16" x14ac:dyDescent="0.3">
      <c r="A1211" t="s">
        <v>3239</v>
      </c>
      <c r="B1211" t="s">
        <v>3158</v>
      </c>
      <c r="D1211" t="s">
        <v>2828</v>
      </c>
      <c r="F1211" t="s">
        <v>3394</v>
      </c>
      <c r="G1211" t="s">
        <v>2746</v>
      </c>
      <c r="H1211" t="s">
        <v>3215</v>
      </c>
      <c r="I1211" t="s">
        <v>3396</v>
      </c>
      <c r="J1211" t="s">
        <v>3369</v>
      </c>
      <c r="K1211" t="s">
        <v>605</v>
      </c>
      <c r="L1211" t="s">
        <v>3371</v>
      </c>
      <c r="M1211" t="s">
        <v>3397</v>
      </c>
      <c r="N1211" t="s">
        <v>3365</v>
      </c>
      <c r="O1211" t="s">
        <v>3366</v>
      </c>
      <c r="P1211" t="s">
        <v>3398</v>
      </c>
    </row>
    <row r="1212" spans="1:16" x14ac:dyDescent="0.3">
      <c r="A1212" t="s">
        <v>3240</v>
      </c>
      <c r="B1212" t="s">
        <v>3158</v>
      </c>
      <c r="D1212" t="s">
        <v>2828</v>
      </c>
      <c r="F1212" t="s">
        <v>3394</v>
      </c>
      <c r="G1212" t="s">
        <v>2746</v>
      </c>
      <c r="H1212" t="s">
        <v>3215</v>
      </c>
      <c r="I1212" t="s">
        <v>3396</v>
      </c>
      <c r="J1212" t="s">
        <v>3369</v>
      </c>
      <c r="K1212" t="s">
        <v>605</v>
      </c>
      <c r="L1212" t="s">
        <v>3371</v>
      </c>
      <c r="M1212" t="s">
        <v>3397</v>
      </c>
      <c r="N1212" t="s">
        <v>3365</v>
      </c>
      <c r="O1212" t="s">
        <v>3366</v>
      </c>
      <c r="P1212" t="s">
        <v>3398</v>
      </c>
    </row>
    <row r="1213" spans="1:16" x14ac:dyDescent="0.3">
      <c r="A1213" t="s">
        <v>3241</v>
      </c>
      <c r="B1213" t="s">
        <v>3158</v>
      </c>
      <c r="D1213" t="s">
        <v>2828</v>
      </c>
      <c r="F1213" t="s">
        <v>3394</v>
      </c>
      <c r="G1213" t="s">
        <v>2746</v>
      </c>
      <c r="H1213" t="s">
        <v>3215</v>
      </c>
      <c r="I1213" t="s">
        <v>3396</v>
      </c>
      <c r="J1213" t="s">
        <v>3369</v>
      </c>
      <c r="K1213" t="s">
        <v>605</v>
      </c>
      <c r="L1213" t="s">
        <v>3371</v>
      </c>
      <c r="M1213" t="s">
        <v>3397</v>
      </c>
      <c r="N1213" t="s">
        <v>3365</v>
      </c>
      <c r="O1213" t="s">
        <v>3366</v>
      </c>
      <c r="P1213" t="s">
        <v>3398</v>
      </c>
    </row>
    <row r="1214" spans="1:16" x14ac:dyDescent="0.3">
      <c r="A1214" t="s">
        <v>3242</v>
      </c>
      <c r="B1214" t="s">
        <v>3158</v>
      </c>
      <c r="D1214" t="s">
        <v>2828</v>
      </c>
      <c r="F1214" t="s">
        <v>3394</v>
      </c>
      <c r="G1214" t="s">
        <v>2746</v>
      </c>
      <c r="H1214" t="s">
        <v>3215</v>
      </c>
      <c r="I1214" t="s">
        <v>3396</v>
      </c>
      <c r="J1214" t="s">
        <v>3369</v>
      </c>
      <c r="K1214" t="s">
        <v>605</v>
      </c>
      <c r="L1214" t="s">
        <v>3371</v>
      </c>
      <c r="M1214" t="s">
        <v>3397</v>
      </c>
      <c r="N1214" t="s">
        <v>3365</v>
      </c>
      <c r="O1214" t="s">
        <v>3366</v>
      </c>
      <c r="P1214" t="s">
        <v>3398</v>
      </c>
    </row>
    <row r="1215" spans="1:16" x14ac:dyDescent="0.3">
      <c r="A1215" t="s">
        <v>3243</v>
      </c>
      <c r="B1215" t="s">
        <v>3244</v>
      </c>
      <c r="D1215" t="s">
        <v>2744</v>
      </c>
      <c r="F1215" t="s">
        <v>3394</v>
      </c>
      <c r="G1215" t="s">
        <v>2746</v>
      </c>
      <c r="H1215" t="s">
        <v>2704</v>
      </c>
      <c r="I1215" t="s">
        <v>3396</v>
      </c>
      <c r="J1215" t="s">
        <v>3369</v>
      </c>
      <c r="K1215" t="s">
        <v>3414</v>
      </c>
      <c r="L1215" t="s">
        <v>3388</v>
      </c>
      <c r="M1215" t="s">
        <v>3397</v>
      </c>
      <c r="N1215" t="s">
        <v>3365</v>
      </c>
      <c r="O1215" t="s">
        <v>3415</v>
      </c>
      <c r="P1215" t="s">
        <v>3398</v>
      </c>
    </row>
    <row r="1216" spans="1:16" x14ac:dyDescent="0.3">
      <c r="A1216" t="s">
        <v>3245</v>
      </c>
      <c r="B1216" t="s">
        <v>3244</v>
      </c>
      <c r="D1216" t="s">
        <v>2744</v>
      </c>
      <c r="F1216" t="s">
        <v>3394</v>
      </c>
      <c r="G1216" t="s">
        <v>2746</v>
      </c>
      <c r="H1216" t="s">
        <v>2704</v>
      </c>
      <c r="I1216" t="s">
        <v>3396</v>
      </c>
      <c r="J1216" t="s">
        <v>3369</v>
      </c>
      <c r="K1216" t="s">
        <v>3414</v>
      </c>
      <c r="L1216" t="s">
        <v>3388</v>
      </c>
      <c r="M1216" t="s">
        <v>3397</v>
      </c>
      <c r="N1216" t="s">
        <v>3365</v>
      </c>
      <c r="O1216" t="s">
        <v>3415</v>
      </c>
      <c r="P1216" t="s">
        <v>3398</v>
      </c>
    </row>
    <row r="1217" spans="1:16" x14ac:dyDescent="0.3">
      <c r="A1217" t="s">
        <v>3246</v>
      </c>
      <c r="B1217" t="s">
        <v>3244</v>
      </c>
      <c r="D1217" t="s">
        <v>2744</v>
      </c>
      <c r="F1217" t="s">
        <v>3394</v>
      </c>
      <c r="G1217" t="s">
        <v>2746</v>
      </c>
      <c r="H1217" t="s">
        <v>2704</v>
      </c>
      <c r="I1217" t="s">
        <v>3396</v>
      </c>
      <c r="J1217" t="s">
        <v>3369</v>
      </c>
      <c r="K1217" t="s">
        <v>3414</v>
      </c>
      <c r="L1217" t="s">
        <v>3388</v>
      </c>
      <c r="M1217" t="s">
        <v>3397</v>
      </c>
      <c r="N1217" t="s">
        <v>3365</v>
      </c>
      <c r="O1217" t="s">
        <v>3415</v>
      </c>
      <c r="P1217" t="s">
        <v>3398</v>
      </c>
    </row>
    <row r="1218" spans="1:16" x14ac:dyDescent="0.3">
      <c r="A1218" t="s">
        <v>3247</v>
      </c>
      <c r="B1218" t="s">
        <v>3244</v>
      </c>
      <c r="D1218" t="s">
        <v>2744</v>
      </c>
      <c r="F1218" t="s">
        <v>3394</v>
      </c>
      <c r="G1218" t="s">
        <v>2746</v>
      </c>
      <c r="H1218" t="s">
        <v>2704</v>
      </c>
      <c r="I1218" t="s">
        <v>3396</v>
      </c>
      <c r="J1218" t="s">
        <v>3369</v>
      </c>
      <c r="K1218" t="s">
        <v>3414</v>
      </c>
      <c r="L1218" t="s">
        <v>3388</v>
      </c>
      <c r="M1218" t="s">
        <v>3397</v>
      </c>
      <c r="N1218" t="s">
        <v>3365</v>
      </c>
      <c r="O1218" t="s">
        <v>3415</v>
      </c>
      <c r="P1218" t="s">
        <v>3398</v>
      </c>
    </row>
    <row r="1219" spans="1:16" x14ac:dyDescent="0.3">
      <c r="A1219" t="s">
        <v>3248</v>
      </c>
      <c r="B1219" t="s">
        <v>3244</v>
      </c>
      <c r="D1219" t="s">
        <v>2744</v>
      </c>
      <c r="F1219" t="s">
        <v>3394</v>
      </c>
      <c r="G1219" t="s">
        <v>2746</v>
      </c>
      <c r="H1219" t="s">
        <v>2704</v>
      </c>
      <c r="I1219" t="s">
        <v>3396</v>
      </c>
      <c r="J1219" t="s">
        <v>3369</v>
      </c>
      <c r="K1219" t="s">
        <v>3414</v>
      </c>
      <c r="L1219" t="s">
        <v>3388</v>
      </c>
      <c r="M1219" t="s">
        <v>3397</v>
      </c>
      <c r="N1219" t="s">
        <v>3365</v>
      </c>
      <c r="O1219" t="s">
        <v>3415</v>
      </c>
      <c r="P1219" t="s">
        <v>3398</v>
      </c>
    </row>
    <row r="1220" spans="1:16" x14ac:dyDescent="0.3">
      <c r="A1220" t="s">
        <v>3249</v>
      </c>
      <c r="B1220" t="s">
        <v>3244</v>
      </c>
      <c r="D1220" t="s">
        <v>2744</v>
      </c>
      <c r="F1220" t="s">
        <v>3394</v>
      </c>
      <c r="G1220" t="s">
        <v>2746</v>
      </c>
      <c r="H1220" t="s">
        <v>2704</v>
      </c>
      <c r="I1220" t="s">
        <v>3396</v>
      </c>
      <c r="J1220" t="s">
        <v>3369</v>
      </c>
      <c r="K1220" t="s">
        <v>3414</v>
      </c>
      <c r="L1220" t="s">
        <v>3388</v>
      </c>
      <c r="M1220" t="s">
        <v>3397</v>
      </c>
      <c r="N1220" t="s">
        <v>3365</v>
      </c>
      <c r="O1220" t="s">
        <v>3415</v>
      </c>
      <c r="P1220" t="s">
        <v>3398</v>
      </c>
    </row>
    <row r="1221" spans="1:16" x14ac:dyDescent="0.3">
      <c r="A1221" t="s">
        <v>3250</v>
      </c>
      <c r="B1221" t="s">
        <v>3244</v>
      </c>
      <c r="D1221" t="s">
        <v>2744</v>
      </c>
      <c r="F1221" t="s">
        <v>3394</v>
      </c>
      <c r="G1221" t="s">
        <v>2746</v>
      </c>
      <c r="H1221" t="s">
        <v>2704</v>
      </c>
      <c r="I1221" t="s">
        <v>3396</v>
      </c>
      <c r="J1221" t="s">
        <v>3369</v>
      </c>
      <c r="K1221" t="s">
        <v>3414</v>
      </c>
      <c r="L1221" t="s">
        <v>3388</v>
      </c>
      <c r="M1221" t="s">
        <v>3397</v>
      </c>
      <c r="N1221" t="s">
        <v>3365</v>
      </c>
      <c r="O1221" t="s">
        <v>3415</v>
      </c>
      <c r="P1221" t="s">
        <v>3398</v>
      </c>
    </row>
    <row r="1222" spans="1:16" x14ac:dyDescent="0.3">
      <c r="A1222" t="s">
        <v>3251</v>
      </c>
      <c r="B1222" t="s">
        <v>3244</v>
      </c>
      <c r="D1222" t="s">
        <v>2744</v>
      </c>
      <c r="F1222" t="s">
        <v>3394</v>
      </c>
      <c r="G1222" t="s">
        <v>2746</v>
      </c>
      <c r="H1222" t="s">
        <v>2704</v>
      </c>
      <c r="I1222" t="s">
        <v>3396</v>
      </c>
      <c r="J1222" t="s">
        <v>3369</v>
      </c>
      <c r="K1222" t="s">
        <v>3414</v>
      </c>
      <c r="L1222" t="s">
        <v>3388</v>
      </c>
      <c r="M1222" t="s">
        <v>3397</v>
      </c>
      <c r="N1222" t="s">
        <v>3365</v>
      </c>
      <c r="O1222" t="s">
        <v>3415</v>
      </c>
      <c r="P1222" t="s">
        <v>3398</v>
      </c>
    </row>
    <row r="1223" spans="1:16" x14ac:dyDescent="0.3">
      <c r="A1223" t="s">
        <v>2706</v>
      </c>
      <c r="B1223" t="s">
        <v>3244</v>
      </c>
      <c r="D1223" t="s">
        <v>2744</v>
      </c>
      <c r="F1223" t="s">
        <v>3394</v>
      </c>
      <c r="G1223" t="s">
        <v>2746</v>
      </c>
      <c r="H1223" t="s">
        <v>2704</v>
      </c>
      <c r="I1223" t="s">
        <v>3396</v>
      </c>
      <c r="J1223" t="s">
        <v>3369</v>
      </c>
      <c r="K1223" t="s">
        <v>3414</v>
      </c>
      <c r="L1223" t="s">
        <v>3388</v>
      </c>
      <c r="M1223" t="s">
        <v>3397</v>
      </c>
      <c r="N1223" t="s">
        <v>3365</v>
      </c>
      <c r="O1223" t="s">
        <v>3415</v>
      </c>
      <c r="P1223" t="s">
        <v>3398</v>
      </c>
    </row>
    <row r="1224" spans="1:16" x14ac:dyDescent="0.3">
      <c r="A1224" t="s">
        <v>3252</v>
      </c>
      <c r="B1224" t="s">
        <v>3244</v>
      </c>
      <c r="D1224" t="s">
        <v>2744</v>
      </c>
      <c r="F1224" t="s">
        <v>3394</v>
      </c>
      <c r="G1224" t="s">
        <v>2746</v>
      </c>
      <c r="H1224" t="s">
        <v>2704</v>
      </c>
      <c r="I1224" t="s">
        <v>3396</v>
      </c>
      <c r="J1224" t="s">
        <v>3369</v>
      </c>
      <c r="K1224" t="s">
        <v>3414</v>
      </c>
      <c r="L1224" t="s">
        <v>3388</v>
      </c>
      <c r="M1224" t="s">
        <v>3397</v>
      </c>
      <c r="N1224" t="s">
        <v>3365</v>
      </c>
      <c r="O1224" t="s">
        <v>3415</v>
      </c>
      <c r="P1224" t="s">
        <v>3398</v>
      </c>
    </row>
    <row r="1225" spans="1:16" x14ac:dyDescent="0.3">
      <c r="A1225" t="s">
        <v>3253</v>
      </c>
      <c r="B1225" t="s">
        <v>3244</v>
      </c>
      <c r="D1225" t="s">
        <v>2744</v>
      </c>
      <c r="F1225" t="s">
        <v>3394</v>
      </c>
      <c r="G1225" t="s">
        <v>2746</v>
      </c>
      <c r="H1225" t="s">
        <v>2704</v>
      </c>
      <c r="I1225" t="s">
        <v>3396</v>
      </c>
      <c r="J1225" t="s">
        <v>3369</v>
      </c>
      <c r="K1225" t="s">
        <v>3414</v>
      </c>
      <c r="L1225" t="s">
        <v>3388</v>
      </c>
      <c r="M1225" t="s">
        <v>3397</v>
      </c>
      <c r="N1225" t="s">
        <v>3365</v>
      </c>
      <c r="O1225" t="s">
        <v>3415</v>
      </c>
      <c r="P1225" t="s">
        <v>3398</v>
      </c>
    </row>
    <row r="1226" spans="1:16" x14ac:dyDescent="0.3">
      <c r="A1226" t="s">
        <v>3254</v>
      </c>
      <c r="B1226" t="s">
        <v>3244</v>
      </c>
      <c r="D1226" t="s">
        <v>2744</v>
      </c>
      <c r="F1226" t="s">
        <v>3394</v>
      </c>
      <c r="G1226" t="s">
        <v>2746</v>
      </c>
      <c r="H1226" t="s">
        <v>2704</v>
      </c>
      <c r="I1226" t="s">
        <v>3396</v>
      </c>
      <c r="J1226" t="s">
        <v>3369</v>
      </c>
      <c r="K1226" t="s">
        <v>3414</v>
      </c>
      <c r="L1226" t="s">
        <v>3388</v>
      </c>
      <c r="M1226" t="s">
        <v>3397</v>
      </c>
      <c r="N1226" t="s">
        <v>3365</v>
      </c>
      <c r="O1226" t="s">
        <v>3415</v>
      </c>
      <c r="P1226" t="s">
        <v>3398</v>
      </c>
    </row>
    <row r="1227" spans="1:16" x14ac:dyDescent="0.3">
      <c r="A1227" t="s">
        <v>3255</v>
      </c>
      <c r="B1227" t="s">
        <v>3244</v>
      </c>
      <c r="D1227" t="s">
        <v>2744</v>
      </c>
      <c r="F1227" t="s">
        <v>3394</v>
      </c>
      <c r="G1227" t="s">
        <v>2746</v>
      </c>
      <c r="H1227" t="s">
        <v>2704</v>
      </c>
      <c r="I1227" t="s">
        <v>3396</v>
      </c>
      <c r="J1227" t="s">
        <v>3369</v>
      </c>
      <c r="K1227" t="s">
        <v>3414</v>
      </c>
      <c r="L1227" t="s">
        <v>3388</v>
      </c>
      <c r="M1227" t="s">
        <v>3397</v>
      </c>
      <c r="N1227" t="s">
        <v>3365</v>
      </c>
      <c r="O1227" t="s">
        <v>3415</v>
      </c>
      <c r="P1227" t="s">
        <v>3398</v>
      </c>
    </row>
    <row r="1228" spans="1:16" x14ac:dyDescent="0.3">
      <c r="A1228" t="s">
        <v>3256</v>
      </c>
      <c r="B1228" t="s">
        <v>3244</v>
      </c>
      <c r="D1228" t="s">
        <v>2744</v>
      </c>
      <c r="F1228" t="s">
        <v>3394</v>
      </c>
      <c r="G1228" t="s">
        <v>2746</v>
      </c>
      <c r="H1228" t="s">
        <v>2704</v>
      </c>
      <c r="I1228" t="s">
        <v>3396</v>
      </c>
      <c r="J1228" t="s">
        <v>3369</v>
      </c>
      <c r="K1228" t="s">
        <v>3414</v>
      </c>
      <c r="L1228" t="s">
        <v>3388</v>
      </c>
      <c r="M1228" t="s">
        <v>3397</v>
      </c>
      <c r="N1228" t="s">
        <v>3365</v>
      </c>
      <c r="O1228" t="s">
        <v>3415</v>
      </c>
      <c r="P1228" t="s">
        <v>3398</v>
      </c>
    </row>
    <row r="1229" spans="1:16" x14ac:dyDescent="0.3">
      <c r="A1229" t="s">
        <v>3257</v>
      </c>
      <c r="B1229" t="s">
        <v>3244</v>
      </c>
      <c r="D1229" t="s">
        <v>2744</v>
      </c>
      <c r="F1229" t="s">
        <v>3394</v>
      </c>
      <c r="G1229" t="s">
        <v>2746</v>
      </c>
      <c r="H1229" t="s">
        <v>2704</v>
      </c>
      <c r="I1229" t="s">
        <v>3396</v>
      </c>
      <c r="J1229" t="s">
        <v>3369</v>
      </c>
      <c r="K1229" t="s">
        <v>3414</v>
      </c>
      <c r="L1229" t="s">
        <v>3388</v>
      </c>
      <c r="M1229" t="s">
        <v>3397</v>
      </c>
      <c r="N1229" t="s">
        <v>3365</v>
      </c>
      <c r="O1229" t="s">
        <v>3415</v>
      </c>
      <c r="P1229" t="s">
        <v>3398</v>
      </c>
    </row>
    <row r="1230" spans="1:16" x14ac:dyDescent="0.3">
      <c r="A1230" t="s">
        <v>1078</v>
      </c>
      <c r="B1230" t="s">
        <v>3244</v>
      </c>
      <c r="D1230" t="s">
        <v>2744</v>
      </c>
      <c r="F1230" t="s">
        <v>3394</v>
      </c>
      <c r="G1230" t="s">
        <v>2746</v>
      </c>
      <c r="H1230" t="s">
        <v>2704</v>
      </c>
      <c r="I1230" t="s">
        <v>3396</v>
      </c>
      <c r="J1230" t="s">
        <v>3369</v>
      </c>
      <c r="K1230" t="s">
        <v>3414</v>
      </c>
      <c r="L1230" t="s">
        <v>3388</v>
      </c>
      <c r="M1230" t="s">
        <v>3397</v>
      </c>
      <c r="N1230" t="s">
        <v>3365</v>
      </c>
      <c r="O1230" t="s">
        <v>3415</v>
      </c>
      <c r="P1230" t="s">
        <v>3398</v>
      </c>
    </row>
    <row r="1231" spans="1:16" x14ac:dyDescent="0.3">
      <c r="A1231" t="s">
        <v>3258</v>
      </c>
      <c r="B1231" t="s">
        <v>3244</v>
      </c>
      <c r="D1231" t="s">
        <v>2744</v>
      </c>
      <c r="F1231" t="s">
        <v>3394</v>
      </c>
      <c r="G1231" t="s">
        <v>2746</v>
      </c>
      <c r="H1231" t="s">
        <v>2704</v>
      </c>
      <c r="I1231" t="s">
        <v>3396</v>
      </c>
      <c r="J1231" t="s">
        <v>3369</v>
      </c>
      <c r="K1231" t="s">
        <v>3414</v>
      </c>
      <c r="L1231" t="s">
        <v>3388</v>
      </c>
      <c r="M1231" t="s">
        <v>3397</v>
      </c>
      <c r="N1231" t="s">
        <v>3365</v>
      </c>
      <c r="O1231" t="s">
        <v>3415</v>
      </c>
      <c r="P1231" t="s">
        <v>3398</v>
      </c>
    </row>
    <row r="1232" spans="1:16" x14ac:dyDescent="0.3">
      <c r="A1232" t="s">
        <v>3259</v>
      </c>
      <c r="B1232" t="s">
        <v>3244</v>
      </c>
      <c r="D1232" t="s">
        <v>2744</v>
      </c>
      <c r="F1232" t="s">
        <v>3394</v>
      </c>
      <c r="G1232" t="s">
        <v>2746</v>
      </c>
      <c r="H1232" t="s">
        <v>2704</v>
      </c>
      <c r="I1232" t="s">
        <v>3396</v>
      </c>
      <c r="J1232" t="s">
        <v>3369</v>
      </c>
      <c r="K1232" t="s">
        <v>3414</v>
      </c>
      <c r="L1232" t="s">
        <v>3388</v>
      </c>
      <c r="M1232" t="s">
        <v>3397</v>
      </c>
      <c r="N1232" t="s">
        <v>3365</v>
      </c>
      <c r="O1232" t="s">
        <v>3415</v>
      </c>
      <c r="P1232" t="s">
        <v>3398</v>
      </c>
    </row>
    <row r="1233" spans="1:16" x14ac:dyDescent="0.3">
      <c r="A1233" t="s">
        <v>3260</v>
      </c>
      <c r="B1233" t="s">
        <v>3244</v>
      </c>
      <c r="D1233" t="s">
        <v>2744</v>
      </c>
      <c r="F1233" t="s">
        <v>3394</v>
      </c>
      <c r="G1233" t="s">
        <v>2746</v>
      </c>
      <c r="H1233" t="s">
        <v>2704</v>
      </c>
      <c r="I1233" t="s">
        <v>3396</v>
      </c>
      <c r="J1233" t="s">
        <v>3369</v>
      </c>
      <c r="K1233" t="s">
        <v>3414</v>
      </c>
      <c r="L1233" t="s">
        <v>3388</v>
      </c>
      <c r="M1233" t="s">
        <v>3397</v>
      </c>
      <c r="N1233" t="s">
        <v>3365</v>
      </c>
      <c r="O1233" t="s">
        <v>3415</v>
      </c>
      <c r="P1233" t="s">
        <v>3398</v>
      </c>
    </row>
    <row r="1234" spans="1:16" x14ac:dyDescent="0.3">
      <c r="A1234" t="s">
        <v>3261</v>
      </c>
      <c r="B1234" t="s">
        <v>3244</v>
      </c>
      <c r="D1234" t="s">
        <v>2744</v>
      </c>
      <c r="F1234" t="s">
        <v>3394</v>
      </c>
      <c r="G1234" t="s">
        <v>2746</v>
      </c>
      <c r="H1234" t="s">
        <v>2704</v>
      </c>
      <c r="I1234" t="s">
        <v>3396</v>
      </c>
      <c r="J1234" t="s">
        <v>3369</v>
      </c>
      <c r="K1234" t="s">
        <v>3414</v>
      </c>
      <c r="L1234" t="s">
        <v>3388</v>
      </c>
      <c r="M1234" t="s">
        <v>3397</v>
      </c>
      <c r="N1234" t="s">
        <v>3365</v>
      </c>
      <c r="O1234" t="s">
        <v>3415</v>
      </c>
      <c r="P1234" t="s">
        <v>3398</v>
      </c>
    </row>
    <row r="1235" spans="1:16" x14ac:dyDescent="0.3">
      <c r="A1235" t="s">
        <v>3262</v>
      </c>
      <c r="B1235" t="s">
        <v>3244</v>
      </c>
      <c r="D1235" t="s">
        <v>2744</v>
      </c>
      <c r="F1235" t="s">
        <v>3394</v>
      </c>
      <c r="G1235" t="s">
        <v>2746</v>
      </c>
      <c r="H1235" t="s">
        <v>2704</v>
      </c>
      <c r="I1235" t="s">
        <v>3396</v>
      </c>
      <c r="J1235" t="s">
        <v>3369</v>
      </c>
      <c r="K1235" t="s">
        <v>3414</v>
      </c>
      <c r="L1235" t="s">
        <v>3388</v>
      </c>
      <c r="M1235" t="s">
        <v>3397</v>
      </c>
      <c r="N1235" t="s">
        <v>3365</v>
      </c>
      <c r="O1235" t="s">
        <v>3415</v>
      </c>
      <c r="P1235" t="s">
        <v>3398</v>
      </c>
    </row>
    <row r="1236" spans="1:16" x14ac:dyDescent="0.3">
      <c r="A1236" t="s">
        <v>3263</v>
      </c>
      <c r="B1236" t="s">
        <v>3244</v>
      </c>
      <c r="D1236" t="s">
        <v>2744</v>
      </c>
      <c r="F1236" t="s">
        <v>3394</v>
      </c>
      <c r="G1236" t="s">
        <v>2746</v>
      </c>
      <c r="H1236" t="s">
        <v>2704</v>
      </c>
      <c r="I1236" t="s">
        <v>3396</v>
      </c>
      <c r="J1236" t="s">
        <v>3369</v>
      </c>
      <c r="K1236" t="s">
        <v>3414</v>
      </c>
      <c r="L1236" t="s">
        <v>3388</v>
      </c>
      <c r="M1236" t="s">
        <v>3397</v>
      </c>
      <c r="N1236" t="s">
        <v>3365</v>
      </c>
      <c r="O1236" t="s">
        <v>3415</v>
      </c>
      <c r="P1236" t="s">
        <v>3398</v>
      </c>
    </row>
    <row r="1237" spans="1:16" x14ac:dyDescent="0.3">
      <c r="A1237" t="s">
        <v>3264</v>
      </c>
      <c r="B1237" t="s">
        <v>3244</v>
      </c>
      <c r="D1237" t="s">
        <v>2744</v>
      </c>
      <c r="F1237" t="s">
        <v>3394</v>
      </c>
      <c r="G1237" t="s">
        <v>2746</v>
      </c>
      <c r="H1237" t="s">
        <v>2704</v>
      </c>
      <c r="I1237" t="s">
        <v>3396</v>
      </c>
      <c r="J1237" t="s">
        <v>3369</v>
      </c>
      <c r="K1237" t="s">
        <v>3414</v>
      </c>
      <c r="L1237" t="s">
        <v>3388</v>
      </c>
      <c r="M1237" t="s">
        <v>3397</v>
      </c>
      <c r="N1237" t="s">
        <v>3365</v>
      </c>
      <c r="O1237" t="s">
        <v>3415</v>
      </c>
      <c r="P1237" t="s">
        <v>3398</v>
      </c>
    </row>
    <row r="1238" spans="1:16" x14ac:dyDescent="0.3">
      <c r="A1238" t="s">
        <v>3265</v>
      </c>
      <c r="B1238" t="s">
        <v>3244</v>
      </c>
      <c r="D1238" t="s">
        <v>2744</v>
      </c>
      <c r="F1238" t="s">
        <v>3394</v>
      </c>
      <c r="G1238" t="s">
        <v>2746</v>
      </c>
      <c r="H1238" t="s">
        <v>2704</v>
      </c>
      <c r="I1238" t="s">
        <v>3396</v>
      </c>
      <c r="J1238" t="s">
        <v>3369</v>
      </c>
      <c r="K1238" t="s">
        <v>3414</v>
      </c>
      <c r="L1238" t="s">
        <v>3388</v>
      </c>
      <c r="M1238" t="s">
        <v>3397</v>
      </c>
      <c r="N1238" t="s">
        <v>3365</v>
      </c>
      <c r="O1238" t="s">
        <v>3415</v>
      </c>
      <c r="P1238" t="s">
        <v>3398</v>
      </c>
    </row>
    <row r="1239" spans="1:16" x14ac:dyDescent="0.3">
      <c r="A1239" t="s">
        <v>3266</v>
      </c>
      <c r="B1239" t="s">
        <v>3244</v>
      </c>
      <c r="D1239" t="s">
        <v>2744</v>
      </c>
      <c r="F1239" t="s">
        <v>3394</v>
      </c>
      <c r="G1239" t="s">
        <v>2746</v>
      </c>
      <c r="H1239" t="s">
        <v>2704</v>
      </c>
      <c r="I1239" t="s">
        <v>3396</v>
      </c>
      <c r="J1239" t="s">
        <v>3369</v>
      </c>
      <c r="K1239" t="s">
        <v>3414</v>
      </c>
      <c r="L1239" t="s">
        <v>3388</v>
      </c>
      <c r="M1239" t="s">
        <v>3397</v>
      </c>
      <c r="N1239" t="s">
        <v>3365</v>
      </c>
      <c r="O1239" t="s">
        <v>3415</v>
      </c>
      <c r="P1239" t="s">
        <v>3398</v>
      </c>
    </row>
    <row r="1240" spans="1:16" x14ac:dyDescent="0.3">
      <c r="A1240" t="s">
        <v>3267</v>
      </c>
      <c r="B1240" t="s">
        <v>3244</v>
      </c>
      <c r="D1240" t="s">
        <v>2744</v>
      </c>
      <c r="F1240" t="s">
        <v>3394</v>
      </c>
      <c r="G1240" t="s">
        <v>2746</v>
      </c>
      <c r="H1240" t="s">
        <v>2704</v>
      </c>
      <c r="I1240" t="s">
        <v>3396</v>
      </c>
      <c r="J1240" t="s">
        <v>3369</v>
      </c>
      <c r="K1240" t="s">
        <v>3414</v>
      </c>
      <c r="L1240" t="s">
        <v>3388</v>
      </c>
      <c r="M1240" t="s">
        <v>3397</v>
      </c>
      <c r="N1240" t="s">
        <v>3365</v>
      </c>
      <c r="O1240" t="s">
        <v>3415</v>
      </c>
      <c r="P1240" t="s">
        <v>3398</v>
      </c>
    </row>
    <row r="1241" spans="1:16" x14ac:dyDescent="0.3">
      <c r="A1241" t="s">
        <v>3268</v>
      </c>
      <c r="B1241" t="s">
        <v>3244</v>
      </c>
      <c r="D1241" t="s">
        <v>2744</v>
      </c>
      <c r="F1241" t="s">
        <v>3394</v>
      </c>
      <c r="G1241" t="s">
        <v>2746</v>
      </c>
      <c r="H1241" t="s">
        <v>2704</v>
      </c>
      <c r="I1241" t="s">
        <v>3396</v>
      </c>
      <c r="J1241" t="s">
        <v>3369</v>
      </c>
      <c r="K1241" t="s">
        <v>3414</v>
      </c>
      <c r="L1241" t="s">
        <v>3388</v>
      </c>
      <c r="M1241" t="s">
        <v>3397</v>
      </c>
      <c r="N1241" t="s">
        <v>3365</v>
      </c>
      <c r="O1241" t="s">
        <v>3415</v>
      </c>
      <c r="P1241" t="s">
        <v>3398</v>
      </c>
    </row>
    <row r="1242" spans="1:16" x14ac:dyDescent="0.3">
      <c r="A1242" t="s">
        <v>3269</v>
      </c>
      <c r="B1242" t="s">
        <v>3244</v>
      </c>
      <c r="D1242" t="s">
        <v>2744</v>
      </c>
      <c r="F1242" t="s">
        <v>3394</v>
      </c>
      <c r="G1242" t="s">
        <v>2746</v>
      </c>
      <c r="H1242" t="s">
        <v>2704</v>
      </c>
      <c r="I1242" t="s">
        <v>3396</v>
      </c>
      <c r="J1242" t="s">
        <v>3369</v>
      </c>
      <c r="K1242" t="s">
        <v>3414</v>
      </c>
      <c r="L1242" t="s">
        <v>3388</v>
      </c>
      <c r="M1242" t="s">
        <v>3397</v>
      </c>
      <c r="N1242" t="s">
        <v>3365</v>
      </c>
      <c r="O1242" t="s">
        <v>3415</v>
      </c>
      <c r="P1242" t="s">
        <v>3398</v>
      </c>
    </row>
    <row r="1243" spans="1:16" x14ac:dyDescent="0.3">
      <c r="A1243" t="s">
        <v>3270</v>
      </c>
      <c r="B1243" t="s">
        <v>3244</v>
      </c>
      <c r="D1243" t="s">
        <v>2744</v>
      </c>
      <c r="F1243" t="s">
        <v>3394</v>
      </c>
      <c r="G1243" t="s">
        <v>2746</v>
      </c>
      <c r="H1243" t="s">
        <v>2704</v>
      </c>
      <c r="I1243" t="s">
        <v>3396</v>
      </c>
      <c r="J1243" t="s">
        <v>3369</v>
      </c>
      <c r="K1243" t="s">
        <v>3414</v>
      </c>
      <c r="L1243" t="s">
        <v>3388</v>
      </c>
      <c r="M1243" t="s">
        <v>3397</v>
      </c>
      <c r="N1243" t="s">
        <v>3365</v>
      </c>
      <c r="O1243" t="s">
        <v>3415</v>
      </c>
      <c r="P1243" t="s">
        <v>3398</v>
      </c>
    </row>
    <row r="1244" spans="1:16" x14ac:dyDescent="0.3">
      <c r="A1244" t="s">
        <v>3271</v>
      </c>
      <c r="B1244" t="s">
        <v>3244</v>
      </c>
      <c r="D1244" t="s">
        <v>2744</v>
      </c>
      <c r="F1244" t="s">
        <v>3394</v>
      </c>
      <c r="G1244" t="s">
        <v>2746</v>
      </c>
      <c r="H1244" t="s">
        <v>2704</v>
      </c>
      <c r="I1244" t="s">
        <v>3396</v>
      </c>
      <c r="J1244" t="s">
        <v>3369</v>
      </c>
      <c r="K1244" t="s">
        <v>3414</v>
      </c>
      <c r="L1244" t="s">
        <v>3388</v>
      </c>
      <c r="M1244" t="s">
        <v>3397</v>
      </c>
      <c r="N1244" t="s">
        <v>3365</v>
      </c>
      <c r="O1244" t="s">
        <v>3415</v>
      </c>
      <c r="P1244" t="s">
        <v>3398</v>
      </c>
    </row>
    <row r="1245" spans="1:16" x14ac:dyDescent="0.3">
      <c r="A1245" t="s">
        <v>2704</v>
      </c>
      <c r="B1245" t="s">
        <v>3244</v>
      </c>
      <c r="D1245" t="s">
        <v>2744</v>
      </c>
      <c r="F1245" t="s">
        <v>3394</v>
      </c>
      <c r="G1245" t="s">
        <v>2746</v>
      </c>
      <c r="H1245" t="s">
        <v>2704</v>
      </c>
      <c r="I1245" t="s">
        <v>3396</v>
      </c>
      <c r="J1245" t="s">
        <v>3369</v>
      </c>
      <c r="K1245" t="s">
        <v>3414</v>
      </c>
      <c r="L1245" t="s">
        <v>3388</v>
      </c>
      <c r="M1245" t="s">
        <v>3397</v>
      </c>
      <c r="N1245" t="s">
        <v>3365</v>
      </c>
      <c r="O1245" t="s">
        <v>3415</v>
      </c>
      <c r="P1245" t="s">
        <v>3398</v>
      </c>
    </row>
    <row r="1246" spans="1:16" x14ac:dyDescent="0.3">
      <c r="A1246" t="s">
        <v>3272</v>
      </c>
      <c r="B1246" t="s">
        <v>3244</v>
      </c>
      <c r="D1246" t="s">
        <v>2744</v>
      </c>
      <c r="F1246" t="s">
        <v>3394</v>
      </c>
      <c r="G1246" t="s">
        <v>2746</v>
      </c>
      <c r="H1246" t="s">
        <v>2704</v>
      </c>
      <c r="I1246" t="s">
        <v>3396</v>
      </c>
      <c r="J1246" t="s">
        <v>3369</v>
      </c>
      <c r="K1246" t="s">
        <v>3414</v>
      </c>
      <c r="L1246" t="s">
        <v>3388</v>
      </c>
      <c r="M1246" t="s">
        <v>3397</v>
      </c>
      <c r="N1246" t="s">
        <v>3365</v>
      </c>
      <c r="O1246" t="s">
        <v>3415</v>
      </c>
      <c r="P1246" t="s">
        <v>3398</v>
      </c>
    </row>
    <row r="1247" spans="1:16" x14ac:dyDescent="0.3">
      <c r="A1247" t="s">
        <v>3273</v>
      </c>
      <c r="B1247" t="s">
        <v>3244</v>
      </c>
      <c r="D1247" t="s">
        <v>2744</v>
      </c>
      <c r="F1247" t="s">
        <v>3394</v>
      </c>
      <c r="G1247" t="s">
        <v>2746</v>
      </c>
      <c r="H1247" t="s">
        <v>2704</v>
      </c>
      <c r="I1247" t="s">
        <v>3396</v>
      </c>
      <c r="J1247" t="s">
        <v>3369</v>
      </c>
      <c r="K1247" t="s">
        <v>3414</v>
      </c>
      <c r="L1247" t="s">
        <v>3388</v>
      </c>
      <c r="M1247" t="s">
        <v>3397</v>
      </c>
      <c r="N1247" t="s">
        <v>3365</v>
      </c>
      <c r="O1247" t="s">
        <v>3415</v>
      </c>
      <c r="P1247" t="s">
        <v>3398</v>
      </c>
    </row>
    <row r="1248" spans="1:16" x14ac:dyDescent="0.3">
      <c r="A1248" t="s">
        <v>3274</v>
      </c>
      <c r="B1248" t="s">
        <v>3244</v>
      </c>
      <c r="D1248" t="s">
        <v>2796</v>
      </c>
      <c r="F1248" t="s">
        <v>3394</v>
      </c>
      <c r="G1248" t="s">
        <v>2746</v>
      </c>
      <c r="H1248" t="s">
        <v>3275</v>
      </c>
      <c r="I1248" t="s">
        <v>3396</v>
      </c>
      <c r="J1248" t="s">
        <v>3369</v>
      </c>
      <c r="K1248" t="s">
        <v>3414</v>
      </c>
      <c r="L1248" t="s">
        <v>3388</v>
      </c>
      <c r="M1248" t="s">
        <v>3397</v>
      </c>
      <c r="N1248" t="s">
        <v>3365</v>
      </c>
      <c r="O1248" t="s">
        <v>3377</v>
      </c>
      <c r="P1248" t="s">
        <v>3398</v>
      </c>
    </row>
    <row r="1249" spans="1:16" x14ac:dyDescent="0.3">
      <c r="A1249" t="s">
        <v>3276</v>
      </c>
      <c r="B1249" t="s">
        <v>3244</v>
      </c>
      <c r="D1249" t="s">
        <v>2796</v>
      </c>
      <c r="F1249" t="s">
        <v>3394</v>
      </c>
      <c r="G1249" t="s">
        <v>2746</v>
      </c>
      <c r="H1249" t="s">
        <v>3275</v>
      </c>
      <c r="I1249" t="s">
        <v>3396</v>
      </c>
      <c r="J1249" t="s">
        <v>3369</v>
      </c>
      <c r="K1249" t="s">
        <v>3414</v>
      </c>
      <c r="L1249" t="s">
        <v>3388</v>
      </c>
      <c r="M1249" t="s">
        <v>3397</v>
      </c>
      <c r="N1249" t="s">
        <v>3365</v>
      </c>
      <c r="O1249" t="s">
        <v>3377</v>
      </c>
      <c r="P1249" t="s">
        <v>3398</v>
      </c>
    </row>
    <row r="1250" spans="1:16" x14ac:dyDescent="0.3">
      <c r="A1250" t="s">
        <v>3277</v>
      </c>
      <c r="B1250" t="s">
        <v>3244</v>
      </c>
      <c r="D1250" t="s">
        <v>2796</v>
      </c>
      <c r="F1250" t="s">
        <v>3394</v>
      </c>
      <c r="G1250" t="s">
        <v>2746</v>
      </c>
      <c r="H1250" t="s">
        <v>3275</v>
      </c>
      <c r="I1250" t="s">
        <v>3396</v>
      </c>
      <c r="J1250" t="s">
        <v>3369</v>
      </c>
      <c r="K1250" t="s">
        <v>3414</v>
      </c>
      <c r="L1250" t="s">
        <v>3388</v>
      </c>
      <c r="M1250" t="s">
        <v>3397</v>
      </c>
      <c r="N1250" t="s">
        <v>3365</v>
      </c>
      <c r="O1250" t="s">
        <v>3377</v>
      </c>
      <c r="P1250" t="s">
        <v>3398</v>
      </c>
    </row>
    <row r="1251" spans="1:16" x14ac:dyDescent="0.3">
      <c r="A1251" t="s">
        <v>3278</v>
      </c>
      <c r="B1251" t="s">
        <v>3244</v>
      </c>
      <c r="D1251" t="s">
        <v>2796</v>
      </c>
      <c r="F1251" t="s">
        <v>3394</v>
      </c>
      <c r="G1251" t="s">
        <v>2746</v>
      </c>
      <c r="H1251" t="s">
        <v>3275</v>
      </c>
      <c r="I1251" t="s">
        <v>3396</v>
      </c>
      <c r="J1251" t="s">
        <v>3369</v>
      </c>
      <c r="K1251" t="s">
        <v>3414</v>
      </c>
      <c r="L1251" t="s">
        <v>3388</v>
      </c>
      <c r="M1251" t="s">
        <v>3397</v>
      </c>
      <c r="N1251" t="s">
        <v>3365</v>
      </c>
      <c r="O1251" t="s">
        <v>3377</v>
      </c>
      <c r="P1251" t="s">
        <v>3398</v>
      </c>
    </row>
    <row r="1252" spans="1:16" x14ac:dyDescent="0.3">
      <c r="A1252" t="s">
        <v>3279</v>
      </c>
      <c r="B1252" t="s">
        <v>3244</v>
      </c>
      <c r="D1252" t="s">
        <v>2796</v>
      </c>
      <c r="F1252" t="s">
        <v>3394</v>
      </c>
      <c r="G1252" t="s">
        <v>2746</v>
      </c>
      <c r="H1252" t="s">
        <v>3275</v>
      </c>
      <c r="I1252" t="s">
        <v>3396</v>
      </c>
      <c r="J1252" t="s">
        <v>3369</v>
      </c>
      <c r="K1252" t="s">
        <v>3414</v>
      </c>
      <c r="L1252" t="s">
        <v>3388</v>
      </c>
      <c r="M1252" t="s">
        <v>3397</v>
      </c>
      <c r="N1252" t="s">
        <v>3365</v>
      </c>
      <c r="O1252" t="s">
        <v>3377</v>
      </c>
      <c r="P1252" t="s">
        <v>3398</v>
      </c>
    </row>
    <row r="1253" spans="1:16" x14ac:dyDescent="0.3">
      <c r="A1253" t="s">
        <v>3280</v>
      </c>
      <c r="B1253" t="s">
        <v>3244</v>
      </c>
      <c r="D1253" t="s">
        <v>2796</v>
      </c>
      <c r="F1253" t="s">
        <v>3394</v>
      </c>
      <c r="G1253" t="s">
        <v>2746</v>
      </c>
      <c r="H1253" t="s">
        <v>3275</v>
      </c>
      <c r="I1253" t="s">
        <v>3396</v>
      </c>
      <c r="J1253" t="s">
        <v>3369</v>
      </c>
      <c r="K1253" t="s">
        <v>3414</v>
      </c>
      <c r="L1253" t="s">
        <v>3388</v>
      </c>
      <c r="M1253" t="s">
        <v>3397</v>
      </c>
      <c r="N1253" t="s">
        <v>3365</v>
      </c>
      <c r="O1253" t="s">
        <v>3377</v>
      </c>
      <c r="P1253" t="s">
        <v>3398</v>
      </c>
    </row>
    <row r="1254" spans="1:16" x14ac:dyDescent="0.3">
      <c r="A1254" t="s">
        <v>3281</v>
      </c>
      <c r="B1254" t="s">
        <v>3244</v>
      </c>
      <c r="D1254" t="s">
        <v>2796</v>
      </c>
      <c r="F1254" t="s">
        <v>3394</v>
      </c>
      <c r="G1254" t="s">
        <v>2746</v>
      </c>
      <c r="H1254" t="s">
        <v>3275</v>
      </c>
      <c r="I1254" t="s">
        <v>3396</v>
      </c>
      <c r="J1254" t="s">
        <v>3369</v>
      </c>
      <c r="K1254" t="s">
        <v>3414</v>
      </c>
      <c r="L1254" t="s">
        <v>3388</v>
      </c>
      <c r="M1254" t="s">
        <v>3397</v>
      </c>
      <c r="N1254" t="s">
        <v>3365</v>
      </c>
      <c r="O1254" t="s">
        <v>3377</v>
      </c>
      <c r="P1254" t="s">
        <v>3398</v>
      </c>
    </row>
    <row r="1255" spans="1:16" x14ac:dyDescent="0.3">
      <c r="A1255" t="s">
        <v>3282</v>
      </c>
      <c r="B1255" t="s">
        <v>3244</v>
      </c>
      <c r="D1255" t="s">
        <v>2796</v>
      </c>
      <c r="F1255" t="s">
        <v>3394</v>
      </c>
      <c r="G1255" t="s">
        <v>2746</v>
      </c>
      <c r="H1255" t="s">
        <v>3275</v>
      </c>
      <c r="I1255" t="s">
        <v>3396</v>
      </c>
      <c r="J1255" t="s">
        <v>3369</v>
      </c>
      <c r="K1255" t="s">
        <v>3414</v>
      </c>
      <c r="L1255" t="s">
        <v>3388</v>
      </c>
      <c r="M1255" t="s">
        <v>3397</v>
      </c>
      <c r="N1255" t="s">
        <v>3365</v>
      </c>
      <c r="O1255" t="s">
        <v>3377</v>
      </c>
      <c r="P1255" t="s">
        <v>3398</v>
      </c>
    </row>
    <row r="1256" spans="1:16" x14ac:dyDescent="0.3">
      <c r="A1256" t="s">
        <v>3283</v>
      </c>
      <c r="B1256" t="s">
        <v>3244</v>
      </c>
      <c r="D1256" t="s">
        <v>2796</v>
      </c>
      <c r="F1256" t="s">
        <v>3394</v>
      </c>
      <c r="G1256" t="s">
        <v>2746</v>
      </c>
      <c r="H1256" t="s">
        <v>3275</v>
      </c>
      <c r="I1256" t="s">
        <v>3396</v>
      </c>
      <c r="J1256" t="s">
        <v>3369</v>
      </c>
      <c r="K1256" t="s">
        <v>3414</v>
      </c>
      <c r="L1256" t="s">
        <v>3388</v>
      </c>
      <c r="M1256" t="s">
        <v>3397</v>
      </c>
      <c r="N1256" t="s">
        <v>3365</v>
      </c>
      <c r="O1256" t="s">
        <v>3377</v>
      </c>
      <c r="P1256" t="s">
        <v>3398</v>
      </c>
    </row>
    <row r="1257" spans="1:16" x14ac:dyDescent="0.3">
      <c r="A1257" t="s">
        <v>3284</v>
      </c>
      <c r="B1257" t="s">
        <v>3244</v>
      </c>
      <c r="D1257" t="s">
        <v>2796</v>
      </c>
      <c r="F1257" t="s">
        <v>3394</v>
      </c>
      <c r="G1257" t="s">
        <v>2746</v>
      </c>
      <c r="H1257" t="s">
        <v>3275</v>
      </c>
      <c r="I1257" t="s">
        <v>3396</v>
      </c>
      <c r="J1257" t="s">
        <v>3369</v>
      </c>
      <c r="K1257" t="s">
        <v>3414</v>
      </c>
      <c r="L1257" t="s">
        <v>3388</v>
      </c>
      <c r="M1257" t="s">
        <v>3397</v>
      </c>
      <c r="N1257" t="s">
        <v>3365</v>
      </c>
      <c r="O1257" t="s">
        <v>3377</v>
      </c>
      <c r="P1257" t="s">
        <v>3398</v>
      </c>
    </row>
    <row r="1258" spans="1:16" x14ac:dyDescent="0.3">
      <c r="A1258" t="s">
        <v>3285</v>
      </c>
      <c r="B1258" t="s">
        <v>3244</v>
      </c>
      <c r="D1258" t="s">
        <v>2796</v>
      </c>
      <c r="F1258" t="s">
        <v>3394</v>
      </c>
      <c r="G1258" t="s">
        <v>2746</v>
      </c>
      <c r="H1258" t="s">
        <v>3275</v>
      </c>
      <c r="I1258" t="s">
        <v>3396</v>
      </c>
      <c r="J1258" t="s">
        <v>3369</v>
      </c>
      <c r="K1258" t="s">
        <v>3414</v>
      </c>
      <c r="L1258" t="s">
        <v>3388</v>
      </c>
      <c r="M1258" t="s">
        <v>3397</v>
      </c>
      <c r="N1258" t="s">
        <v>3365</v>
      </c>
      <c r="O1258" t="s">
        <v>3377</v>
      </c>
      <c r="P1258" t="s">
        <v>3398</v>
      </c>
    </row>
    <row r="1259" spans="1:16" x14ac:dyDescent="0.3">
      <c r="A1259" t="s">
        <v>3286</v>
      </c>
      <c r="B1259" t="s">
        <v>3244</v>
      </c>
      <c r="D1259" t="s">
        <v>2796</v>
      </c>
      <c r="F1259" t="s">
        <v>3394</v>
      </c>
      <c r="G1259" t="s">
        <v>2746</v>
      </c>
      <c r="H1259" t="s">
        <v>3275</v>
      </c>
      <c r="I1259" t="s">
        <v>3396</v>
      </c>
      <c r="J1259" t="s">
        <v>3369</v>
      </c>
      <c r="K1259" t="s">
        <v>3414</v>
      </c>
      <c r="L1259" t="s">
        <v>3388</v>
      </c>
      <c r="M1259" t="s">
        <v>3397</v>
      </c>
      <c r="N1259" t="s">
        <v>3365</v>
      </c>
      <c r="O1259" t="s">
        <v>3377</v>
      </c>
      <c r="P1259" t="s">
        <v>3398</v>
      </c>
    </row>
    <row r="1260" spans="1:16" x14ac:dyDescent="0.3">
      <c r="A1260" t="s">
        <v>3287</v>
      </c>
      <c r="B1260" t="s">
        <v>3244</v>
      </c>
      <c r="D1260" t="s">
        <v>2796</v>
      </c>
      <c r="F1260" t="s">
        <v>3394</v>
      </c>
      <c r="G1260" t="s">
        <v>2746</v>
      </c>
      <c r="H1260" t="s">
        <v>3275</v>
      </c>
      <c r="I1260" t="s">
        <v>3396</v>
      </c>
      <c r="J1260" t="s">
        <v>3369</v>
      </c>
      <c r="K1260" t="s">
        <v>3414</v>
      </c>
      <c r="L1260" t="s">
        <v>3388</v>
      </c>
      <c r="M1260" t="s">
        <v>3397</v>
      </c>
      <c r="N1260" t="s">
        <v>3365</v>
      </c>
      <c r="O1260" t="s">
        <v>3377</v>
      </c>
      <c r="P1260" t="s">
        <v>3398</v>
      </c>
    </row>
    <row r="1261" spans="1:16" x14ac:dyDescent="0.3">
      <c r="A1261" t="s">
        <v>3288</v>
      </c>
      <c r="B1261" t="s">
        <v>3244</v>
      </c>
      <c r="D1261" t="s">
        <v>2796</v>
      </c>
      <c r="F1261" t="s">
        <v>3394</v>
      </c>
      <c r="G1261" t="s">
        <v>2746</v>
      </c>
      <c r="H1261" t="s">
        <v>3275</v>
      </c>
      <c r="I1261" t="s">
        <v>3396</v>
      </c>
      <c r="J1261" t="s">
        <v>3369</v>
      </c>
      <c r="K1261" t="s">
        <v>3414</v>
      </c>
      <c r="L1261" t="s">
        <v>3388</v>
      </c>
      <c r="M1261" t="s">
        <v>3397</v>
      </c>
      <c r="N1261" t="s">
        <v>3365</v>
      </c>
      <c r="O1261" t="s">
        <v>3377</v>
      </c>
      <c r="P1261" t="s">
        <v>3398</v>
      </c>
    </row>
    <row r="1262" spans="1:16" x14ac:dyDescent="0.3">
      <c r="A1262" t="s">
        <v>3289</v>
      </c>
      <c r="B1262" t="s">
        <v>3244</v>
      </c>
      <c r="D1262" t="s">
        <v>2796</v>
      </c>
      <c r="F1262" t="s">
        <v>3394</v>
      </c>
      <c r="G1262" t="s">
        <v>2746</v>
      </c>
      <c r="H1262" t="s">
        <v>3275</v>
      </c>
      <c r="I1262" t="s">
        <v>3396</v>
      </c>
      <c r="J1262" t="s">
        <v>3369</v>
      </c>
      <c r="K1262" t="s">
        <v>3414</v>
      </c>
      <c r="L1262" t="s">
        <v>3388</v>
      </c>
      <c r="M1262" t="s">
        <v>3397</v>
      </c>
      <c r="N1262" t="s">
        <v>3365</v>
      </c>
      <c r="O1262" t="s">
        <v>3377</v>
      </c>
      <c r="P1262" t="s">
        <v>3398</v>
      </c>
    </row>
    <row r="1263" spans="1:16" x14ac:dyDescent="0.3">
      <c r="A1263" t="s">
        <v>3290</v>
      </c>
      <c r="B1263" t="s">
        <v>3244</v>
      </c>
      <c r="D1263" t="s">
        <v>2796</v>
      </c>
      <c r="F1263" t="s">
        <v>3394</v>
      </c>
      <c r="G1263" t="s">
        <v>2746</v>
      </c>
      <c r="H1263" t="s">
        <v>3275</v>
      </c>
      <c r="I1263" t="s">
        <v>3396</v>
      </c>
      <c r="J1263" t="s">
        <v>3369</v>
      </c>
      <c r="K1263" t="s">
        <v>3414</v>
      </c>
      <c r="L1263" t="s">
        <v>3388</v>
      </c>
      <c r="M1263" t="s">
        <v>3397</v>
      </c>
      <c r="N1263" t="s">
        <v>3365</v>
      </c>
      <c r="O1263" t="s">
        <v>3377</v>
      </c>
      <c r="P1263" t="s">
        <v>3398</v>
      </c>
    </row>
    <row r="1264" spans="1:16" x14ac:dyDescent="0.3">
      <c r="A1264" t="s">
        <v>3291</v>
      </c>
      <c r="B1264" t="s">
        <v>3244</v>
      </c>
      <c r="D1264" t="s">
        <v>2796</v>
      </c>
      <c r="F1264" t="s">
        <v>3394</v>
      </c>
      <c r="G1264" t="s">
        <v>2746</v>
      </c>
      <c r="H1264" t="s">
        <v>3275</v>
      </c>
      <c r="I1264" t="s">
        <v>3396</v>
      </c>
      <c r="J1264" t="s">
        <v>3369</v>
      </c>
      <c r="K1264" t="s">
        <v>3414</v>
      </c>
      <c r="L1264" t="s">
        <v>3388</v>
      </c>
      <c r="M1264" t="s">
        <v>3397</v>
      </c>
      <c r="N1264" t="s">
        <v>3365</v>
      </c>
      <c r="O1264" t="s">
        <v>3377</v>
      </c>
      <c r="P1264" t="s">
        <v>3398</v>
      </c>
    </row>
    <row r="1265" spans="1:16" x14ac:dyDescent="0.3">
      <c r="A1265" t="s">
        <v>3292</v>
      </c>
      <c r="B1265" t="s">
        <v>3244</v>
      </c>
      <c r="D1265" t="s">
        <v>2796</v>
      </c>
      <c r="F1265" t="s">
        <v>3394</v>
      </c>
      <c r="G1265" t="s">
        <v>2746</v>
      </c>
      <c r="H1265" t="s">
        <v>3275</v>
      </c>
      <c r="I1265" t="s">
        <v>3396</v>
      </c>
      <c r="J1265" t="s">
        <v>3369</v>
      </c>
      <c r="K1265" t="s">
        <v>3414</v>
      </c>
      <c r="L1265" t="s">
        <v>3388</v>
      </c>
      <c r="M1265" t="s">
        <v>3397</v>
      </c>
      <c r="N1265" t="s">
        <v>3365</v>
      </c>
      <c r="O1265" t="s">
        <v>3377</v>
      </c>
      <c r="P1265" t="s">
        <v>3398</v>
      </c>
    </row>
    <row r="1266" spans="1:16" x14ac:dyDescent="0.3">
      <c r="A1266" t="s">
        <v>3293</v>
      </c>
      <c r="B1266" t="s">
        <v>3244</v>
      </c>
      <c r="D1266" t="s">
        <v>2796</v>
      </c>
      <c r="F1266" t="s">
        <v>3394</v>
      </c>
      <c r="G1266" t="s">
        <v>2746</v>
      </c>
      <c r="H1266" t="s">
        <v>3275</v>
      </c>
      <c r="I1266" t="s">
        <v>3396</v>
      </c>
      <c r="J1266" t="s">
        <v>3369</v>
      </c>
      <c r="K1266" t="s">
        <v>3414</v>
      </c>
      <c r="L1266" t="s">
        <v>3388</v>
      </c>
      <c r="M1266" t="s">
        <v>3397</v>
      </c>
      <c r="N1266" t="s">
        <v>3365</v>
      </c>
      <c r="O1266" t="s">
        <v>3377</v>
      </c>
      <c r="P1266" t="s">
        <v>3398</v>
      </c>
    </row>
    <row r="1267" spans="1:16" x14ac:dyDescent="0.3">
      <c r="A1267" t="s">
        <v>3294</v>
      </c>
      <c r="B1267" t="s">
        <v>3244</v>
      </c>
      <c r="D1267" t="s">
        <v>2796</v>
      </c>
      <c r="F1267" t="s">
        <v>3394</v>
      </c>
      <c r="G1267" t="s">
        <v>2746</v>
      </c>
      <c r="H1267" t="s">
        <v>3275</v>
      </c>
      <c r="I1267" t="s">
        <v>3396</v>
      </c>
      <c r="J1267" t="s">
        <v>3369</v>
      </c>
      <c r="K1267" t="s">
        <v>3414</v>
      </c>
      <c r="L1267" t="s">
        <v>3388</v>
      </c>
      <c r="M1267" t="s">
        <v>3397</v>
      </c>
      <c r="N1267" t="s">
        <v>3365</v>
      </c>
      <c r="O1267" t="s">
        <v>3377</v>
      </c>
      <c r="P1267" t="s">
        <v>3398</v>
      </c>
    </row>
    <row r="1268" spans="1:16" x14ac:dyDescent="0.3">
      <c r="A1268" t="s">
        <v>3295</v>
      </c>
      <c r="B1268" t="s">
        <v>3244</v>
      </c>
      <c r="D1268" t="s">
        <v>2796</v>
      </c>
      <c r="F1268" t="s">
        <v>3394</v>
      </c>
      <c r="G1268" t="s">
        <v>2746</v>
      </c>
      <c r="H1268" t="s">
        <v>3275</v>
      </c>
      <c r="I1268" t="s">
        <v>3396</v>
      </c>
      <c r="J1268" t="s">
        <v>3369</v>
      </c>
      <c r="K1268" t="s">
        <v>3414</v>
      </c>
      <c r="L1268" t="s">
        <v>3388</v>
      </c>
      <c r="M1268" t="s">
        <v>3397</v>
      </c>
      <c r="N1268" t="s">
        <v>3365</v>
      </c>
      <c r="O1268" t="s">
        <v>3377</v>
      </c>
      <c r="P1268" t="s">
        <v>3398</v>
      </c>
    </row>
    <row r="1269" spans="1:16" x14ac:dyDescent="0.3">
      <c r="A1269" t="s">
        <v>3296</v>
      </c>
      <c r="B1269" t="s">
        <v>3244</v>
      </c>
      <c r="D1269" t="s">
        <v>2796</v>
      </c>
      <c r="F1269" t="s">
        <v>3394</v>
      </c>
      <c r="G1269" t="s">
        <v>2746</v>
      </c>
      <c r="H1269" t="s">
        <v>3275</v>
      </c>
      <c r="I1269" t="s">
        <v>3396</v>
      </c>
      <c r="J1269" t="s">
        <v>3369</v>
      </c>
      <c r="K1269" t="s">
        <v>3414</v>
      </c>
      <c r="L1269" t="s">
        <v>3388</v>
      </c>
      <c r="M1269" t="s">
        <v>3397</v>
      </c>
      <c r="N1269" t="s">
        <v>3365</v>
      </c>
      <c r="O1269" t="s">
        <v>3377</v>
      </c>
      <c r="P1269" t="s">
        <v>3398</v>
      </c>
    </row>
    <row r="1270" spans="1:16" x14ac:dyDescent="0.3">
      <c r="A1270" t="s">
        <v>3297</v>
      </c>
      <c r="B1270" t="s">
        <v>3244</v>
      </c>
      <c r="D1270" t="s">
        <v>2796</v>
      </c>
      <c r="F1270" t="s">
        <v>3394</v>
      </c>
      <c r="G1270" t="s">
        <v>2746</v>
      </c>
      <c r="H1270" t="s">
        <v>3275</v>
      </c>
      <c r="I1270" t="s">
        <v>3396</v>
      </c>
      <c r="J1270" t="s">
        <v>3369</v>
      </c>
      <c r="K1270" t="s">
        <v>3414</v>
      </c>
      <c r="L1270" t="s">
        <v>3388</v>
      </c>
      <c r="M1270" t="s">
        <v>3397</v>
      </c>
      <c r="N1270" t="s">
        <v>3365</v>
      </c>
      <c r="O1270" t="s">
        <v>3377</v>
      </c>
      <c r="P1270" t="s">
        <v>3398</v>
      </c>
    </row>
    <row r="1271" spans="1:16" x14ac:dyDescent="0.3">
      <c r="A1271" t="s">
        <v>3298</v>
      </c>
      <c r="B1271" t="s">
        <v>3244</v>
      </c>
      <c r="D1271" t="s">
        <v>2796</v>
      </c>
      <c r="F1271" t="s">
        <v>3394</v>
      </c>
      <c r="G1271" t="s">
        <v>2746</v>
      </c>
      <c r="H1271" t="s">
        <v>3275</v>
      </c>
      <c r="I1271" t="s">
        <v>3396</v>
      </c>
      <c r="J1271" t="s">
        <v>3369</v>
      </c>
      <c r="K1271" t="s">
        <v>3414</v>
      </c>
      <c r="L1271" t="s">
        <v>3388</v>
      </c>
      <c r="M1271" t="s">
        <v>3397</v>
      </c>
      <c r="N1271" t="s">
        <v>3365</v>
      </c>
      <c r="O1271" t="s">
        <v>3377</v>
      </c>
      <c r="P1271" t="s">
        <v>3398</v>
      </c>
    </row>
    <row r="1272" spans="1:16" x14ac:dyDescent="0.3">
      <c r="A1272" t="s">
        <v>3299</v>
      </c>
      <c r="B1272" t="s">
        <v>3244</v>
      </c>
      <c r="D1272" t="s">
        <v>2796</v>
      </c>
      <c r="F1272" t="s">
        <v>3394</v>
      </c>
      <c r="G1272" t="s">
        <v>2746</v>
      </c>
      <c r="H1272" t="s">
        <v>3275</v>
      </c>
      <c r="I1272" t="s">
        <v>3396</v>
      </c>
      <c r="J1272" t="s">
        <v>3369</v>
      </c>
      <c r="K1272" t="s">
        <v>3414</v>
      </c>
      <c r="L1272" t="s">
        <v>3388</v>
      </c>
      <c r="M1272" t="s">
        <v>3397</v>
      </c>
      <c r="N1272" t="s">
        <v>3365</v>
      </c>
      <c r="O1272" t="s">
        <v>3377</v>
      </c>
      <c r="P1272" t="s">
        <v>3398</v>
      </c>
    </row>
    <row r="1273" spans="1:16" x14ac:dyDescent="0.3">
      <c r="A1273" t="s">
        <v>3300</v>
      </c>
      <c r="B1273" t="s">
        <v>3244</v>
      </c>
      <c r="D1273" t="s">
        <v>2796</v>
      </c>
      <c r="F1273" t="s">
        <v>3394</v>
      </c>
      <c r="G1273" t="s">
        <v>2746</v>
      </c>
      <c r="H1273" t="s">
        <v>3275</v>
      </c>
      <c r="I1273" t="s">
        <v>3396</v>
      </c>
      <c r="J1273" t="s">
        <v>3369</v>
      </c>
      <c r="K1273" t="s">
        <v>3414</v>
      </c>
      <c r="L1273" t="s">
        <v>3388</v>
      </c>
      <c r="M1273" t="s">
        <v>3397</v>
      </c>
      <c r="N1273" t="s">
        <v>3365</v>
      </c>
      <c r="O1273" t="s">
        <v>3377</v>
      </c>
      <c r="P1273" t="s">
        <v>3398</v>
      </c>
    </row>
    <row r="1274" spans="1:16" x14ac:dyDescent="0.3">
      <c r="A1274" t="s">
        <v>3301</v>
      </c>
      <c r="B1274" t="s">
        <v>3244</v>
      </c>
      <c r="D1274" t="s">
        <v>2796</v>
      </c>
      <c r="F1274" t="s">
        <v>3394</v>
      </c>
      <c r="G1274" t="s">
        <v>2746</v>
      </c>
      <c r="H1274" t="s">
        <v>3275</v>
      </c>
      <c r="I1274" t="s">
        <v>3396</v>
      </c>
      <c r="J1274" t="s">
        <v>3369</v>
      </c>
      <c r="K1274" t="s">
        <v>3414</v>
      </c>
      <c r="L1274" t="s">
        <v>3388</v>
      </c>
      <c r="M1274" t="s">
        <v>3397</v>
      </c>
      <c r="N1274" t="s">
        <v>3365</v>
      </c>
      <c r="O1274" t="s">
        <v>3377</v>
      </c>
      <c r="P1274" t="s">
        <v>3398</v>
      </c>
    </row>
    <row r="1275" spans="1:16" x14ac:dyDescent="0.3">
      <c r="A1275" t="s">
        <v>3303</v>
      </c>
      <c r="B1275" t="s">
        <v>3304</v>
      </c>
      <c r="E1275" t="s">
        <v>3306</v>
      </c>
      <c r="F1275" t="s">
        <v>3394</v>
      </c>
      <c r="G1275" t="s">
        <v>2746</v>
      </c>
      <c r="H1275" t="s">
        <v>3305</v>
      </c>
      <c r="I1275" t="s">
        <v>3396</v>
      </c>
      <c r="J1275" t="s">
        <v>3369</v>
      </c>
      <c r="K1275" t="s">
        <v>3416</v>
      </c>
      <c r="L1275" t="s">
        <v>3375</v>
      </c>
      <c r="M1275" t="s">
        <v>3397</v>
      </c>
      <c r="N1275" t="s">
        <v>3365</v>
      </c>
      <c r="O1275" t="s">
        <v>3366</v>
      </c>
      <c r="P1275" t="s">
        <v>3398</v>
      </c>
    </row>
    <row r="1276" spans="1:16" x14ac:dyDescent="0.3">
      <c r="A1276" t="s">
        <v>2891</v>
      </c>
      <c r="B1276" t="s">
        <v>3304</v>
      </c>
      <c r="E1276" t="s">
        <v>3306</v>
      </c>
      <c r="F1276" t="s">
        <v>3394</v>
      </c>
      <c r="G1276" t="s">
        <v>2746</v>
      </c>
      <c r="H1276" t="s">
        <v>3305</v>
      </c>
      <c r="I1276" t="s">
        <v>3396</v>
      </c>
      <c r="J1276" t="s">
        <v>3369</v>
      </c>
      <c r="K1276" t="s">
        <v>3416</v>
      </c>
      <c r="L1276" t="s">
        <v>3375</v>
      </c>
      <c r="M1276" t="s">
        <v>3397</v>
      </c>
      <c r="N1276" t="s">
        <v>3365</v>
      </c>
      <c r="O1276" t="s">
        <v>3366</v>
      </c>
      <c r="P1276" t="s">
        <v>3398</v>
      </c>
    </row>
    <row r="1277" spans="1:16" x14ac:dyDescent="0.3">
      <c r="A1277" t="s">
        <v>2887</v>
      </c>
      <c r="B1277" t="s">
        <v>3304</v>
      </c>
      <c r="E1277" t="s">
        <v>3306</v>
      </c>
      <c r="F1277" t="s">
        <v>3394</v>
      </c>
      <c r="G1277" t="s">
        <v>2746</v>
      </c>
      <c r="H1277" t="s">
        <v>3305</v>
      </c>
      <c r="I1277" t="s">
        <v>3396</v>
      </c>
      <c r="J1277" t="s">
        <v>3369</v>
      </c>
      <c r="K1277" t="s">
        <v>3416</v>
      </c>
      <c r="L1277" t="s">
        <v>3375</v>
      </c>
      <c r="M1277" t="s">
        <v>3397</v>
      </c>
      <c r="N1277" t="s">
        <v>3365</v>
      </c>
      <c r="O1277" t="s">
        <v>3366</v>
      </c>
      <c r="P1277" t="s">
        <v>3398</v>
      </c>
    </row>
    <row r="1278" spans="1:16" x14ac:dyDescent="0.3">
      <c r="A1278" t="s">
        <v>2902</v>
      </c>
      <c r="B1278" t="s">
        <v>3304</v>
      </c>
      <c r="E1278" t="s">
        <v>3306</v>
      </c>
      <c r="F1278" t="s">
        <v>3394</v>
      </c>
      <c r="G1278" t="s">
        <v>2746</v>
      </c>
      <c r="H1278" t="s">
        <v>3305</v>
      </c>
      <c r="I1278" t="s">
        <v>3396</v>
      </c>
      <c r="J1278" t="s">
        <v>3369</v>
      </c>
      <c r="K1278" t="s">
        <v>3416</v>
      </c>
      <c r="L1278" t="s">
        <v>3375</v>
      </c>
      <c r="M1278" t="s">
        <v>3397</v>
      </c>
      <c r="N1278" t="s">
        <v>3365</v>
      </c>
      <c r="O1278" t="s">
        <v>3366</v>
      </c>
      <c r="P1278" t="s">
        <v>3398</v>
      </c>
    </row>
    <row r="1279" spans="1:16" x14ac:dyDescent="0.3">
      <c r="A1279" t="s">
        <v>2987</v>
      </c>
      <c r="B1279" t="s">
        <v>3304</v>
      </c>
      <c r="E1279" t="s">
        <v>3306</v>
      </c>
      <c r="F1279" t="s">
        <v>3394</v>
      </c>
      <c r="G1279" t="s">
        <v>2746</v>
      </c>
      <c r="H1279" t="s">
        <v>3305</v>
      </c>
      <c r="I1279" t="s">
        <v>3396</v>
      </c>
      <c r="J1279" t="s">
        <v>3369</v>
      </c>
      <c r="K1279" t="s">
        <v>3416</v>
      </c>
      <c r="L1279" t="s">
        <v>3375</v>
      </c>
      <c r="M1279" t="s">
        <v>3397</v>
      </c>
      <c r="N1279" t="s">
        <v>3365</v>
      </c>
      <c r="O1279" t="s">
        <v>3366</v>
      </c>
      <c r="P1279" t="s">
        <v>3398</v>
      </c>
    </row>
    <row r="1280" spans="1:16" x14ac:dyDescent="0.3">
      <c r="A1280" t="s">
        <v>2983</v>
      </c>
      <c r="B1280" t="s">
        <v>3304</v>
      </c>
      <c r="E1280" t="s">
        <v>3306</v>
      </c>
      <c r="F1280" t="s">
        <v>3394</v>
      </c>
      <c r="G1280" t="s">
        <v>2746</v>
      </c>
      <c r="H1280" t="s">
        <v>3305</v>
      </c>
      <c r="I1280" t="s">
        <v>3396</v>
      </c>
      <c r="J1280" t="s">
        <v>3369</v>
      </c>
      <c r="K1280" t="s">
        <v>3416</v>
      </c>
      <c r="L1280" t="s">
        <v>3375</v>
      </c>
      <c r="M1280" t="s">
        <v>3397</v>
      </c>
      <c r="N1280" t="s">
        <v>3365</v>
      </c>
      <c r="O1280" t="s">
        <v>3366</v>
      </c>
      <c r="P1280" t="s">
        <v>3398</v>
      </c>
    </row>
    <row r="1281" spans="1:16" x14ac:dyDescent="0.3">
      <c r="A1281" t="s">
        <v>3307</v>
      </c>
      <c r="B1281" t="s">
        <v>3304</v>
      </c>
      <c r="E1281" t="s">
        <v>3306</v>
      </c>
      <c r="F1281" t="s">
        <v>3394</v>
      </c>
      <c r="G1281" t="s">
        <v>2746</v>
      </c>
      <c r="H1281" t="s">
        <v>3308</v>
      </c>
      <c r="I1281" t="s">
        <v>3396</v>
      </c>
      <c r="J1281" t="s">
        <v>3369</v>
      </c>
      <c r="K1281" t="s">
        <v>3416</v>
      </c>
      <c r="L1281" t="s">
        <v>3375</v>
      </c>
      <c r="M1281" t="s">
        <v>3397</v>
      </c>
      <c r="N1281" t="s">
        <v>3365</v>
      </c>
      <c r="O1281" t="s">
        <v>3366</v>
      </c>
      <c r="P1281" t="s">
        <v>3398</v>
      </c>
    </row>
    <row r="1282" spans="1:16" x14ac:dyDescent="0.3">
      <c r="A1282" t="s">
        <v>3309</v>
      </c>
      <c r="B1282" t="s">
        <v>3304</v>
      </c>
      <c r="E1282" t="s">
        <v>3306</v>
      </c>
      <c r="F1282" t="s">
        <v>3394</v>
      </c>
      <c r="G1282" t="s">
        <v>2746</v>
      </c>
      <c r="H1282" t="s">
        <v>3308</v>
      </c>
      <c r="I1282" t="s">
        <v>3396</v>
      </c>
      <c r="J1282" t="s">
        <v>3369</v>
      </c>
      <c r="K1282" t="s">
        <v>3416</v>
      </c>
      <c r="L1282" t="s">
        <v>3375</v>
      </c>
      <c r="M1282" t="s">
        <v>3397</v>
      </c>
      <c r="N1282" t="s">
        <v>3365</v>
      </c>
      <c r="O1282" t="s">
        <v>3366</v>
      </c>
      <c r="P1282" t="s">
        <v>3398</v>
      </c>
    </row>
    <row r="1283" spans="1:16" x14ac:dyDescent="0.3">
      <c r="A1283" t="s">
        <v>3310</v>
      </c>
      <c r="B1283" t="s">
        <v>3304</v>
      </c>
      <c r="E1283" t="s">
        <v>3306</v>
      </c>
      <c r="F1283" t="s">
        <v>3394</v>
      </c>
      <c r="G1283" t="s">
        <v>2746</v>
      </c>
      <c r="H1283" t="s">
        <v>3308</v>
      </c>
      <c r="I1283" t="s">
        <v>3396</v>
      </c>
      <c r="J1283" t="s">
        <v>3369</v>
      </c>
      <c r="K1283" t="s">
        <v>3416</v>
      </c>
      <c r="L1283" t="s">
        <v>3375</v>
      </c>
      <c r="M1283" t="s">
        <v>3397</v>
      </c>
      <c r="N1283" t="s">
        <v>3365</v>
      </c>
      <c r="O1283" t="s">
        <v>3366</v>
      </c>
      <c r="P1283" t="s">
        <v>3398</v>
      </c>
    </row>
    <row r="1284" spans="1:16" x14ac:dyDescent="0.3">
      <c r="A1284" t="s">
        <v>3311</v>
      </c>
      <c r="B1284" t="s">
        <v>3304</v>
      </c>
      <c r="E1284" t="s">
        <v>3306</v>
      </c>
      <c r="F1284" t="s">
        <v>3394</v>
      </c>
      <c r="G1284" t="s">
        <v>2746</v>
      </c>
      <c r="H1284" t="s">
        <v>3308</v>
      </c>
      <c r="I1284" t="s">
        <v>3396</v>
      </c>
      <c r="J1284" t="s">
        <v>3369</v>
      </c>
      <c r="K1284" t="s">
        <v>3416</v>
      </c>
      <c r="L1284" t="s">
        <v>3375</v>
      </c>
      <c r="M1284" t="s">
        <v>3397</v>
      </c>
      <c r="N1284" t="s">
        <v>3365</v>
      </c>
      <c r="O1284" t="s">
        <v>3366</v>
      </c>
      <c r="P1284" t="s">
        <v>3398</v>
      </c>
    </row>
    <row r="1285" spans="1:16" x14ac:dyDescent="0.3">
      <c r="A1285" t="s">
        <v>3312</v>
      </c>
      <c r="B1285" t="s">
        <v>3304</v>
      </c>
      <c r="E1285" t="s">
        <v>3306</v>
      </c>
      <c r="F1285" t="s">
        <v>3394</v>
      </c>
      <c r="G1285" t="s">
        <v>2746</v>
      </c>
      <c r="H1285" t="s">
        <v>3308</v>
      </c>
      <c r="I1285" t="s">
        <v>3396</v>
      </c>
      <c r="J1285" t="s">
        <v>3369</v>
      </c>
      <c r="K1285" t="s">
        <v>3416</v>
      </c>
      <c r="L1285" t="s">
        <v>3375</v>
      </c>
      <c r="M1285" t="s">
        <v>3397</v>
      </c>
      <c r="N1285" t="s">
        <v>3365</v>
      </c>
      <c r="O1285" t="s">
        <v>3366</v>
      </c>
      <c r="P1285" t="s">
        <v>3398</v>
      </c>
    </row>
    <row r="1286" spans="1:16" x14ac:dyDescent="0.3">
      <c r="A1286" t="s">
        <v>3313</v>
      </c>
      <c r="B1286" t="s">
        <v>3304</v>
      </c>
      <c r="E1286" t="s">
        <v>3306</v>
      </c>
      <c r="F1286" t="s">
        <v>3394</v>
      </c>
      <c r="G1286" t="s">
        <v>2746</v>
      </c>
      <c r="H1286" t="s">
        <v>3308</v>
      </c>
      <c r="I1286" t="s">
        <v>3396</v>
      </c>
      <c r="J1286" t="s">
        <v>3369</v>
      </c>
      <c r="K1286" t="s">
        <v>3416</v>
      </c>
      <c r="L1286" t="s">
        <v>3375</v>
      </c>
      <c r="M1286" t="s">
        <v>3397</v>
      </c>
      <c r="N1286" t="s">
        <v>3365</v>
      </c>
      <c r="O1286" t="s">
        <v>3366</v>
      </c>
      <c r="P1286" t="s">
        <v>3398</v>
      </c>
    </row>
    <row r="1287" spans="1:16" x14ac:dyDescent="0.3">
      <c r="A1287" t="s">
        <v>3314</v>
      </c>
      <c r="B1287" t="s">
        <v>3304</v>
      </c>
      <c r="E1287" t="s">
        <v>3306</v>
      </c>
      <c r="F1287" t="s">
        <v>3394</v>
      </c>
      <c r="G1287" t="s">
        <v>2746</v>
      </c>
      <c r="H1287" t="s">
        <v>3308</v>
      </c>
      <c r="I1287" t="s">
        <v>3396</v>
      </c>
      <c r="J1287" t="s">
        <v>3369</v>
      </c>
      <c r="K1287" t="s">
        <v>3416</v>
      </c>
      <c r="L1287" t="s">
        <v>3375</v>
      </c>
      <c r="M1287" t="s">
        <v>3397</v>
      </c>
      <c r="N1287" t="s">
        <v>3365</v>
      </c>
      <c r="O1287" t="s">
        <v>3366</v>
      </c>
      <c r="P1287" t="s">
        <v>3398</v>
      </c>
    </row>
    <row r="1288" spans="1:16" x14ac:dyDescent="0.3">
      <c r="A1288" t="s">
        <v>3315</v>
      </c>
      <c r="B1288" t="s">
        <v>3304</v>
      </c>
      <c r="E1288" t="s">
        <v>3306</v>
      </c>
      <c r="F1288" t="s">
        <v>3394</v>
      </c>
      <c r="G1288" t="s">
        <v>2746</v>
      </c>
      <c r="H1288" t="s">
        <v>3308</v>
      </c>
      <c r="I1288" t="s">
        <v>3396</v>
      </c>
      <c r="J1288" t="s">
        <v>3369</v>
      </c>
      <c r="K1288" t="s">
        <v>3416</v>
      </c>
      <c r="L1288" t="s">
        <v>3375</v>
      </c>
      <c r="M1288" t="s">
        <v>3397</v>
      </c>
      <c r="N1288" t="s">
        <v>3365</v>
      </c>
      <c r="O1288" t="s">
        <v>3366</v>
      </c>
      <c r="P1288" t="s">
        <v>3398</v>
      </c>
    </row>
    <row r="1289" spans="1:16" x14ac:dyDescent="0.3">
      <c r="A1289" t="s">
        <v>3316</v>
      </c>
      <c r="B1289" t="s">
        <v>3304</v>
      </c>
      <c r="E1289" t="s">
        <v>3306</v>
      </c>
      <c r="F1289" t="s">
        <v>3394</v>
      </c>
      <c r="G1289" t="s">
        <v>2746</v>
      </c>
      <c r="H1289" t="s">
        <v>3317</v>
      </c>
      <c r="I1289" t="s">
        <v>3396</v>
      </c>
      <c r="J1289" t="s">
        <v>3369</v>
      </c>
      <c r="K1289" t="s">
        <v>3416</v>
      </c>
      <c r="L1289" t="s">
        <v>3375</v>
      </c>
      <c r="M1289" t="s">
        <v>3397</v>
      </c>
      <c r="N1289" t="s">
        <v>3365</v>
      </c>
      <c r="O1289" t="s">
        <v>3366</v>
      </c>
      <c r="P1289" t="s">
        <v>3398</v>
      </c>
    </row>
    <row r="1290" spans="1:16" x14ac:dyDescent="0.3">
      <c r="A1290" t="s">
        <v>3318</v>
      </c>
      <c r="B1290" t="s">
        <v>3304</v>
      </c>
      <c r="E1290" t="s">
        <v>3306</v>
      </c>
      <c r="F1290" t="s">
        <v>3394</v>
      </c>
      <c r="G1290" t="s">
        <v>2746</v>
      </c>
      <c r="H1290" t="s">
        <v>3319</v>
      </c>
      <c r="I1290" t="s">
        <v>3396</v>
      </c>
      <c r="J1290" t="s">
        <v>3369</v>
      </c>
      <c r="K1290" t="s">
        <v>3416</v>
      </c>
      <c r="L1290" t="s">
        <v>3375</v>
      </c>
      <c r="M1290" t="s">
        <v>3397</v>
      </c>
      <c r="N1290" t="s">
        <v>3365</v>
      </c>
      <c r="O1290" t="s">
        <v>3366</v>
      </c>
      <c r="P1290" t="s">
        <v>3398</v>
      </c>
    </row>
    <row r="1291" spans="1:16" x14ac:dyDescent="0.3">
      <c r="A1291" t="s">
        <v>3320</v>
      </c>
      <c r="B1291" t="s">
        <v>3304</v>
      </c>
      <c r="E1291" t="s">
        <v>3306</v>
      </c>
      <c r="F1291" t="s">
        <v>3394</v>
      </c>
      <c r="G1291" t="s">
        <v>2746</v>
      </c>
      <c r="H1291" t="s">
        <v>3319</v>
      </c>
      <c r="I1291" t="s">
        <v>3396</v>
      </c>
      <c r="J1291" t="s">
        <v>3369</v>
      </c>
      <c r="K1291" t="s">
        <v>3416</v>
      </c>
      <c r="L1291" t="s">
        <v>3375</v>
      </c>
      <c r="M1291" t="s">
        <v>3397</v>
      </c>
      <c r="N1291" t="s">
        <v>3365</v>
      </c>
      <c r="O1291" t="s">
        <v>3366</v>
      </c>
      <c r="P1291" t="s">
        <v>3398</v>
      </c>
    </row>
    <row r="1292" spans="1:16" x14ac:dyDescent="0.3">
      <c r="A1292" t="s">
        <v>3321</v>
      </c>
      <c r="B1292" t="s">
        <v>3304</v>
      </c>
      <c r="E1292" t="s">
        <v>3306</v>
      </c>
      <c r="F1292" t="s">
        <v>3394</v>
      </c>
      <c r="G1292" t="s">
        <v>2746</v>
      </c>
      <c r="H1292" t="s">
        <v>3322</v>
      </c>
      <c r="I1292" t="s">
        <v>3396</v>
      </c>
      <c r="J1292" t="s">
        <v>3369</v>
      </c>
      <c r="K1292" t="s">
        <v>3416</v>
      </c>
      <c r="L1292" t="s">
        <v>3375</v>
      </c>
      <c r="M1292" t="s">
        <v>3397</v>
      </c>
      <c r="N1292" t="s">
        <v>3365</v>
      </c>
      <c r="O1292" t="s">
        <v>3366</v>
      </c>
      <c r="P1292" t="s">
        <v>3398</v>
      </c>
    </row>
    <row r="1293" spans="1:16" x14ac:dyDescent="0.3">
      <c r="A1293" t="s">
        <v>3323</v>
      </c>
      <c r="B1293" t="s">
        <v>3304</v>
      </c>
      <c r="E1293" t="s">
        <v>3306</v>
      </c>
      <c r="F1293" t="s">
        <v>3394</v>
      </c>
      <c r="G1293" t="s">
        <v>2746</v>
      </c>
      <c r="H1293" t="s">
        <v>3322</v>
      </c>
      <c r="I1293" t="s">
        <v>3396</v>
      </c>
      <c r="J1293" t="s">
        <v>3369</v>
      </c>
      <c r="K1293" t="s">
        <v>3416</v>
      </c>
      <c r="L1293" t="s">
        <v>3375</v>
      </c>
      <c r="M1293" t="s">
        <v>3397</v>
      </c>
      <c r="N1293" t="s">
        <v>3365</v>
      </c>
      <c r="O1293" t="s">
        <v>3366</v>
      </c>
      <c r="P1293" t="s">
        <v>3398</v>
      </c>
    </row>
    <row r="1294" spans="1:16" x14ac:dyDescent="0.3">
      <c r="A1294" t="s">
        <v>3324</v>
      </c>
      <c r="B1294" t="s">
        <v>3304</v>
      </c>
      <c r="E1294" t="s">
        <v>3306</v>
      </c>
      <c r="F1294" t="s">
        <v>3394</v>
      </c>
      <c r="G1294" t="s">
        <v>2746</v>
      </c>
      <c r="H1294" t="s">
        <v>3322</v>
      </c>
      <c r="I1294" t="s">
        <v>3396</v>
      </c>
      <c r="J1294" t="s">
        <v>3369</v>
      </c>
      <c r="K1294" t="s">
        <v>3416</v>
      </c>
      <c r="L1294" t="s">
        <v>3375</v>
      </c>
      <c r="M1294" t="s">
        <v>3397</v>
      </c>
      <c r="N1294" t="s">
        <v>3365</v>
      </c>
      <c r="O1294" t="s">
        <v>3366</v>
      </c>
      <c r="P1294" t="s">
        <v>3398</v>
      </c>
    </row>
    <row r="1295" spans="1:16" x14ac:dyDescent="0.3">
      <c r="A1295" t="s">
        <v>337</v>
      </c>
      <c r="B1295" t="s">
        <v>3417</v>
      </c>
      <c r="C1295" t="s">
        <v>337</v>
      </c>
      <c r="F1295" t="s">
        <v>3361</v>
      </c>
      <c r="G1295" t="s">
        <v>2746</v>
      </c>
      <c r="H1295" t="s">
        <v>2242</v>
      </c>
      <c r="I1295" t="s">
        <v>3418</v>
      </c>
      <c r="J1295" t="s">
        <v>3362</v>
      </c>
      <c r="K1295" t="s">
        <v>1661</v>
      </c>
      <c r="L1295" t="s">
        <v>3386</v>
      </c>
      <c r="M1295" t="s">
        <v>3364</v>
      </c>
      <c r="N1295" t="s">
        <v>3365</v>
      </c>
      <c r="O1295" t="s">
        <v>3366</v>
      </c>
      <c r="P1295" t="s">
        <v>3367</v>
      </c>
    </row>
    <row r="1296" spans="1:16" x14ac:dyDescent="0.3">
      <c r="A1296" t="s">
        <v>428</v>
      </c>
      <c r="B1296" t="s">
        <v>3417</v>
      </c>
      <c r="C1296" t="s">
        <v>337</v>
      </c>
      <c r="F1296" t="s">
        <v>3361</v>
      </c>
      <c r="G1296" t="s">
        <v>2746</v>
      </c>
      <c r="H1296" t="s">
        <v>2242</v>
      </c>
      <c r="I1296" t="s">
        <v>3418</v>
      </c>
      <c r="J1296" t="s">
        <v>3369</v>
      </c>
      <c r="K1296" t="s">
        <v>1661</v>
      </c>
      <c r="L1296" t="s">
        <v>3386</v>
      </c>
      <c r="M1296" t="s">
        <v>3364</v>
      </c>
      <c r="N1296" t="s">
        <v>3365</v>
      </c>
      <c r="O1296" t="s">
        <v>3366</v>
      </c>
      <c r="P1296" t="s">
        <v>3382</v>
      </c>
    </row>
    <row r="1297" spans="1:16" x14ac:dyDescent="0.3">
      <c r="A1297" t="s">
        <v>868</v>
      </c>
      <c r="B1297" t="s">
        <v>3417</v>
      </c>
      <c r="C1297" t="s">
        <v>337</v>
      </c>
      <c r="F1297" t="s">
        <v>3361</v>
      </c>
      <c r="G1297" t="s">
        <v>2746</v>
      </c>
      <c r="H1297" t="s">
        <v>2242</v>
      </c>
      <c r="I1297" t="s">
        <v>3418</v>
      </c>
      <c r="J1297" t="s">
        <v>3369</v>
      </c>
      <c r="K1297" t="s">
        <v>1661</v>
      </c>
      <c r="L1297" t="s">
        <v>3386</v>
      </c>
      <c r="M1297" t="s">
        <v>3364</v>
      </c>
      <c r="N1297" t="s">
        <v>3365</v>
      </c>
      <c r="O1297" t="s">
        <v>3366</v>
      </c>
      <c r="P1297" t="s">
        <v>3382</v>
      </c>
    </row>
    <row r="1298" spans="1:16" x14ac:dyDescent="0.3">
      <c r="A1298" t="s">
        <v>2267</v>
      </c>
      <c r="B1298" t="s">
        <v>3417</v>
      </c>
      <c r="C1298" t="s">
        <v>337</v>
      </c>
      <c r="F1298" t="s">
        <v>3361</v>
      </c>
      <c r="G1298" t="s">
        <v>2746</v>
      </c>
      <c r="H1298" t="s">
        <v>2244</v>
      </c>
      <c r="I1298" t="s">
        <v>3418</v>
      </c>
      <c r="J1298" t="s">
        <v>3369</v>
      </c>
      <c r="K1298" t="s">
        <v>1661</v>
      </c>
      <c r="L1298" t="s">
        <v>3386</v>
      </c>
      <c r="M1298" t="s">
        <v>3364</v>
      </c>
      <c r="N1298" t="s">
        <v>3365</v>
      </c>
      <c r="O1298" t="s">
        <v>3366</v>
      </c>
      <c r="P1298" t="s">
        <v>3382</v>
      </c>
    </row>
    <row r="1299" spans="1:16" x14ac:dyDescent="0.3">
      <c r="A1299" t="s">
        <v>2268</v>
      </c>
      <c r="B1299" t="s">
        <v>3417</v>
      </c>
      <c r="C1299" t="s">
        <v>337</v>
      </c>
      <c r="F1299" t="s">
        <v>3361</v>
      </c>
      <c r="G1299" t="s">
        <v>2746</v>
      </c>
      <c r="H1299" t="s">
        <v>2244</v>
      </c>
      <c r="I1299" t="s">
        <v>3418</v>
      </c>
      <c r="J1299" t="s">
        <v>3369</v>
      </c>
      <c r="K1299" t="s">
        <v>1661</v>
      </c>
      <c r="L1299" t="s">
        <v>3386</v>
      </c>
      <c r="M1299" t="s">
        <v>3364</v>
      </c>
      <c r="N1299" t="s">
        <v>3365</v>
      </c>
      <c r="O1299" t="s">
        <v>3366</v>
      </c>
      <c r="P1299" t="s">
        <v>3382</v>
      </c>
    </row>
    <row r="1300" spans="1:16" x14ac:dyDescent="0.3">
      <c r="A1300" t="s">
        <v>711</v>
      </c>
      <c r="B1300" t="s">
        <v>3417</v>
      </c>
      <c r="C1300" t="s">
        <v>337</v>
      </c>
      <c r="F1300" t="s">
        <v>3361</v>
      </c>
      <c r="G1300" t="s">
        <v>2746</v>
      </c>
      <c r="H1300" t="s">
        <v>2244</v>
      </c>
      <c r="I1300" t="s">
        <v>3418</v>
      </c>
      <c r="J1300" t="s">
        <v>3369</v>
      </c>
      <c r="K1300" t="s">
        <v>1661</v>
      </c>
      <c r="L1300" t="s">
        <v>3386</v>
      </c>
      <c r="M1300" t="s">
        <v>3364</v>
      </c>
      <c r="N1300" t="s">
        <v>3365</v>
      </c>
      <c r="O1300" t="s">
        <v>3366</v>
      </c>
      <c r="P1300" t="s">
        <v>3382</v>
      </c>
    </row>
    <row r="1301" spans="1:16" x14ac:dyDescent="0.3">
      <c r="A1301" t="s">
        <v>712</v>
      </c>
      <c r="B1301" t="s">
        <v>3417</v>
      </c>
      <c r="C1301" t="s">
        <v>337</v>
      </c>
      <c r="F1301" t="s">
        <v>3361</v>
      </c>
      <c r="G1301" t="s">
        <v>2746</v>
      </c>
      <c r="H1301" t="s">
        <v>2244</v>
      </c>
      <c r="I1301" t="s">
        <v>3418</v>
      </c>
      <c r="J1301" t="s">
        <v>3362</v>
      </c>
      <c r="K1301" t="s">
        <v>1661</v>
      </c>
      <c r="L1301" t="s">
        <v>3386</v>
      </c>
      <c r="M1301" t="s">
        <v>3364</v>
      </c>
      <c r="N1301" t="s">
        <v>3365</v>
      </c>
      <c r="O1301" t="s">
        <v>3366</v>
      </c>
      <c r="P1301" t="s">
        <v>3367</v>
      </c>
    </row>
    <row r="1302" spans="1:16" x14ac:dyDescent="0.3">
      <c r="A1302" t="s">
        <v>693</v>
      </c>
      <c r="B1302" t="s">
        <v>3417</v>
      </c>
      <c r="C1302" t="s">
        <v>337</v>
      </c>
      <c r="F1302" t="s">
        <v>3361</v>
      </c>
      <c r="G1302" t="s">
        <v>2746</v>
      </c>
      <c r="H1302" t="s">
        <v>2244</v>
      </c>
      <c r="I1302" t="s">
        <v>3418</v>
      </c>
      <c r="J1302" t="s">
        <v>3369</v>
      </c>
      <c r="K1302" t="s">
        <v>1661</v>
      </c>
      <c r="L1302" t="s">
        <v>3386</v>
      </c>
      <c r="M1302" t="s">
        <v>3364</v>
      </c>
      <c r="N1302" t="s">
        <v>3365</v>
      </c>
      <c r="O1302" t="s">
        <v>3366</v>
      </c>
      <c r="P1302" t="s">
        <v>3382</v>
      </c>
    </row>
    <row r="1303" spans="1:16" x14ac:dyDescent="0.3">
      <c r="A1303" t="s">
        <v>2269</v>
      </c>
      <c r="B1303" t="s">
        <v>3417</v>
      </c>
      <c r="C1303" t="s">
        <v>337</v>
      </c>
      <c r="F1303" t="s">
        <v>3361</v>
      </c>
      <c r="G1303" t="s">
        <v>2746</v>
      </c>
      <c r="H1303" t="s">
        <v>2244</v>
      </c>
      <c r="I1303" t="s">
        <v>3418</v>
      </c>
      <c r="J1303" t="s">
        <v>3369</v>
      </c>
      <c r="K1303" t="s">
        <v>1661</v>
      </c>
      <c r="L1303" t="s">
        <v>3386</v>
      </c>
      <c r="M1303" t="s">
        <v>3364</v>
      </c>
      <c r="N1303" t="s">
        <v>3365</v>
      </c>
      <c r="O1303" t="s">
        <v>3366</v>
      </c>
      <c r="P1303" t="s">
        <v>3382</v>
      </c>
    </row>
    <row r="1304" spans="1:16" x14ac:dyDescent="0.3">
      <c r="A1304" t="s">
        <v>2270</v>
      </c>
      <c r="B1304" t="s">
        <v>3417</v>
      </c>
      <c r="C1304" t="s">
        <v>337</v>
      </c>
      <c r="F1304" t="s">
        <v>3361</v>
      </c>
      <c r="G1304" t="s">
        <v>2746</v>
      </c>
      <c r="H1304" t="s">
        <v>2244</v>
      </c>
      <c r="I1304" t="s">
        <v>3418</v>
      </c>
      <c r="J1304" t="s">
        <v>3369</v>
      </c>
      <c r="K1304" t="s">
        <v>1661</v>
      </c>
      <c r="L1304" t="s">
        <v>3386</v>
      </c>
      <c r="M1304" t="s">
        <v>3364</v>
      </c>
      <c r="N1304" t="s">
        <v>3365</v>
      </c>
      <c r="O1304" t="s">
        <v>3366</v>
      </c>
      <c r="P1304" t="s">
        <v>3382</v>
      </c>
    </row>
    <row r="1305" spans="1:16" x14ac:dyDescent="0.3">
      <c r="A1305" t="s">
        <v>2271</v>
      </c>
      <c r="B1305" t="s">
        <v>3417</v>
      </c>
      <c r="C1305" t="s">
        <v>337</v>
      </c>
      <c r="F1305" t="s">
        <v>3361</v>
      </c>
      <c r="G1305" t="s">
        <v>2746</v>
      </c>
      <c r="H1305" t="s">
        <v>2244</v>
      </c>
      <c r="I1305" t="s">
        <v>3418</v>
      </c>
      <c r="J1305" t="s">
        <v>3369</v>
      </c>
      <c r="K1305" t="s">
        <v>1661</v>
      </c>
      <c r="L1305" t="s">
        <v>3386</v>
      </c>
      <c r="M1305" t="s">
        <v>3364</v>
      </c>
      <c r="N1305" t="s">
        <v>3365</v>
      </c>
      <c r="O1305" t="s">
        <v>3366</v>
      </c>
      <c r="P1305" t="s">
        <v>3382</v>
      </c>
    </row>
    <row r="1306" spans="1:16" x14ac:dyDescent="0.3">
      <c r="A1306" t="s">
        <v>1584</v>
      </c>
      <c r="B1306" t="s">
        <v>3417</v>
      </c>
      <c r="C1306" t="s">
        <v>337</v>
      </c>
      <c r="F1306" t="s">
        <v>3361</v>
      </c>
      <c r="G1306" t="s">
        <v>2746</v>
      </c>
      <c r="H1306" t="s">
        <v>2244</v>
      </c>
      <c r="I1306" t="s">
        <v>3418</v>
      </c>
      <c r="J1306" t="s">
        <v>3369</v>
      </c>
      <c r="K1306" t="s">
        <v>1661</v>
      </c>
      <c r="L1306" t="s">
        <v>3386</v>
      </c>
      <c r="M1306" t="s">
        <v>3364</v>
      </c>
      <c r="N1306" t="s">
        <v>3365</v>
      </c>
      <c r="O1306" t="s">
        <v>3366</v>
      </c>
      <c r="P1306" t="s">
        <v>3382</v>
      </c>
    </row>
    <row r="1307" spans="1:16" x14ac:dyDescent="0.3">
      <c r="A1307" t="s">
        <v>2272</v>
      </c>
      <c r="B1307" t="s">
        <v>3417</v>
      </c>
      <c r="C1307" t="s">
        <v>337</v>
      </c>
      <c r="F1307" t="s">
        <v>3361</v>
      </c>
      <c r="G1307" t="s">
        <v>2746</v>
      </c>
      <c r="H1307" t="s">
        <v>2244</v>
      </c>
      <c r="I1307" t="s">
        <v>3418</v>
      </c>
      <c r="J1307" t="s">
        <v>3369</v>
      </c>
      <c r="K1307" t="s">
        <v>1661</v>
      </c>
      <c r="L1307" t="s">
        <v>3386</v>
      </c>
      <c r="M1307" t="s">
        <v>3364</v>
      </c>
      <c r="N1307" t="s">
        <v>3365</v>
      </c>
      <c r="O1307" t="s">
        <v>3366</v>
      </c>
      <c r="P1307" t="s">
        <v>3382</v>
      </c>
    </row>
    <row r="1308" spans="1:16" x14ac:dyDescent="0.3">
      <c r="A1308" t="s">
        <v>2273</v>
      </c>
      <c r="B1308" t="s">
        <v>3417</v>
      </c>
      <c r="C1308" t="s">
        <v>337</v>
      </c>
      <c r="F1308" t="s">
        <v>3361</v>
      </c>
      <c r="G1308" t="s">
        <v>2746</v>
      </c>
      <c r="H1308" t="s">
        <v>2244</v>
      </c>
      <c r="I1308" t="s">
        <v>3418</v>
      </c>
      <c r="J1308" t="s">
        <v>3369</v>
      </c>
      <c r="K1308" t="s">
        <v>1661</v>
      </c>
      <c r="L1308" t="s">
        <v>3386</v>
      </c>
      <c r="M1308" t="s">
        <v>3364</v>
      </c>
      <c r="N1308" t="s">
        <v>3365</v>
      </c>
      <c r="O1308" t="s">
        <v>3366</v>
      </c>
      <c r="P1308" t="s">
        <v>3382</v>
      </c>
    </row>
    <row r="1309" spans="1:16" x14ac:dyDescent="0.3">
      <c r="A1309" t="s">
        <v>2274</v>
      </c>
      <c r="B1309" t="s">
        <v>3417</v>
      </c>
      <c r="C1309" t="s">
        <v>337</v>
      </c>
      <c r="F1309" t="s">
        <v>3361</v>
      </c>
      <c r="G1309" t="s">
        <v>2746</v>
      </c>
      <c r="H1309" t="s">
        <v>2246</v>
      </c>
      <c r="I1309" t="s">
        <v>3418</v>
      </c>
      <c r="J1309" t="s">
        <v>3369</v>
      </c>
      <c r="K1309" t="s">
        <v>1661</v>
      </c>
      <c r="L1309" t="s">
        <v>3386</v>
      </c>
      <c r="M1309" t="s">
        <v>3364</v>
      </c>
      <c r="N1309" t="s">
        <v>3365</v>
      </c>
      <c r="O1309" t="s">
        <v>3366</v>
      </c>
      <c r="P1309" t="s">
        <v>3382</v>
      </c>
    </row>
    <row r="1310" spans="1:16" x14ac:dyDescent="0.3">
      <c r="A1310" t="s">
        <v>2275</v>
      </c>
      <c r="B1310" t="s">
        <v>3417</v>
      </c>
      <c r="C1310" t="s">
        <v>337</v>
      </c>
      <c r="F1310" t="s">
        <v>3361</v>
      </c>
      <c r="G1310" t="s">
        <v>2746</v>
      </c>
      <c r="H1310" t="s">
        <v>2246</v>
      </c>
      <c r="I1310" t="s">
        <v>3418</v>
      </c>
      <c r="J1310" t="s">
        <v>3369</v>
      </c>
      <c r="K1310" t="s">
        <v>1661</v>
      </c>
      <c r="L1310" t="s">
        <v>3386</v>
      </c>
      <c r="M1310" t="s">
        <v>3364</v>
      </c>
      <c r="N1310" t="s">
        <v>3365</v>
      </c>
      <c r="O1310" t="s">
        <v>3366</v>
      </c>
      <c r="P1310" t="s">
        <v>3382</v>
      </c>
    </row>
    <row r="1311" spans="1:16" x14ac:dyDescent="0.3">
      <c r="A1311" t="s">
        <v>2276</v>
      </c>
      <c r="B1311" t="s">
        <v>3417</v>
      </c>
      <c r="C1311" t="s">
        <v>337</v>
      </c>
      <c r="F1311" t="s">
        <v>3361</v>
      </c>
      <c r="G1311" t="s">
        <v>2746</v>
      </c>
      <c r="H1311" t="s">
        <v>2246</v>
      </c>
      <c r="I1311" t="s">
        <v>3418</v>
      </c>
      <c r="J1311" t="s">
        <v>3369</v>
      </c>
      <c r="K1311" t="s">
        <v>1661</v>
      </c>
      <c r="L1311" t="s">
        <v>3386</v>
      </c>
      <c r="M1311" t="s">
        <v>3364</v>
      </c>
      <c r="N1311" t="s">
        <v>3365</v>
      </c>
      <c r="O1311" t="s">
        <v>3366</v>
      </c>
      <c r="P1311" t="s">
        <v>3382</v>
      </c>
    </row>
    <row r="1312" spans="1:16" x14ac:dyDescent="0.3">
      <c r="A1312" t="s">
        <v>2277</v>
      </c>
      <c r="B1312" t="s">
        <v>3417</v>
      </c>
      <c r="C1312" t="s">
        <v>337</v>
      </c>
      <c r="F1312" t="s">
        <v>3361</v>
      </c>
      <c r="G1312" t="s">
        <v>2746</v>
      </c>
      <c r="H1312" t="s">
        <v>2246</v>
      </c>
      <c r="I1312" t="s">
        <v>3418</v>
      </c>
      <c r="J1312" t="s">
        <v>3369</v>
      </c>
      <c r="K1312" t="s">
        <v>1661</v>
      </c>
      <c r="L1312" t="s">
        <v>3386</v>
      </c>
      <c r="M1312" t="s">
        <v>3364</v>
      </c>
      <c r="N1312" t="s">
        <v>3365</v>
      </c>
      <c r="O1312" t="s">
        <v>3366</v>
      </c>
      <c r="P1312" t="s">
        <v>3382</v>
      </c>
    </row>
    <row r="1313" spans="1:16" x14ac:dyDescent="0.3">
      <c r="A1313" t="s">
        <v>1554</v>
      </c>
      <c r="B1313" t="s">
        <v>3417</v>
      </c>
      <c r="C1313" t="s">
        <v>337</v>
      </c>
      <c r="F1313" t="s">
        <v>3361</v>
      </c>
      <c r="G1313" t="s">
        <v>2746</v>
      </c>
      <c r="H1313" t="s">
        <v>2246</v>
      </c>
      <c r="I1313" t="s">
        <v>3418</v>
      </c>
      <c r="J1313" t="s">
        <v>3369</v>
      </c>
      <c r="K1313" t="s">
        <v>1661</v>
      </c>
      <c r="L1313" t="s">
        <v>3386</v>
      </c>
      <c r="M1313" t="s">
        <v>3364</v>
      </c>
      <c r="N1313" t="s">
        <v>3365</v>
      </c>
      <c r="O1313" t="s">
        <v>3366</v>
      </c>
      <c r="P1313" t="s">
        <v>3382</v>
      </c>
    </row>
    <row r="1314" spans="1:16" x14ac:dyDescent="0.3">
      <c r="A1314" t="s">
        <v>2278</v>
      </c>
      <c r="B1314" t="s">
        <v>3417</v>
      </c>
      <c r="C1314" t="s">
        <v>337</v>
      </c>
      <c r="F1314" t="s">
        <v>3361</v>
      </c>
      <c r="G1314" t="s">
        <v>2746</v>
      </c>
      <c r="H1314" t="s">
        <v>2246</v>
      </c>
      <c r="I1314" t="s">
        <v>3418</v>
      </c>
      <c r="J1314" t="s">
        <v>3369</v>
      </c>
      <c r="K1314" t="s">
        <v>1661</v>
      </c>
      <c r="L1314" t="s">
        <v>3386</v>
      </c>
      <c r="M1314" t="s">
        <v>3364</v>
      </c>
      <c r="N1314" t="s">
        <v>3365</v>
      </c>
      <c r="O1314" t="s">
        <v>3366</v>
      </c>
      <c r="P1314" t="s">
        <v>3382</v>
      </c>
    </row>
    <row r="1315" spans="1:16" x14ac:dyDescent="0.3">
      <c r="A1315" t="s">
        <v>2279</v>
      </c>
      <c r="B1315" t="s">
        <v>3417</v>
      </c>
      <c r="C1315" t="s">
        <v>337</v>
      </c>
      <c r="F1315" t="s">
        <v>3361</v>
      </c>
      <c r="G1315" t="s">
        <v>2746</v>
      </c>
      <c r="H1315" t="s">
        <v>2246</v>
      </c>
      <c r="I1315" t="s">
        <v>3418</v>
      </c>
      <c r="J1315" t="s">
        <v>3369</v>
      </c>
      <c r="K1315" t="s">
        <v>1661</v>
      </c>
      <c r="L1315" t="s">
        <v>3386</v>
      </c>
      <c r="M1315" t="s">
        <v>3364</v>
      </c>
      <c r="N1315" t="s">
        <v>3365</v>
      </c>
      <c r="O1315" t="s">
        <v>3366</v>
      </c>
      <c r="P1315" t="s">
        <v>3382</v>
      </c>
    </row>
    <row r="1316" spans="1:16" x14ac:dyDescent="0.3">
      <c r="A1316" t="s">
        <v>2280</v>
      </c>
      <c r="B1316" t="s">
        <v>3417</v>
      </c>
      <c r="C1316" t="s">
        <v>337</v>
      </c>
      <c r="F1316" t="s">
        <v>3361</v>
      </c>
      <c r="G1316" t="s">
        <v>2746</v>
      </c>
      <c r="H1316" t="s">
        <v>2246</v>
      </c>
      <c r="I1316" t="s">
        <v>3418</v>
      </c>
      <c r="J1316" t="s">
        <v>3369</v>
      </c>
      <c r="K1316" t="s">
        <v>1661</v>
      </c>
      <c r="L1316" t="s">
        <v>3386</v>
      </c>
      <c r="M1316" t="s">
        <v>3364</v>
      </c>
      <c r="N1316" t="s">
        <v>3365</v>
      </c>
      <c r="O1316" t="s">
        <v>3366</v>
      </c>
      <c r="P1316" t="s">
        <v>3382</v>
      </c>
    </row>
    <row r="1317" spans="1:16" x14ac:dyDescent="0.3">
      <c r="A1317" t="s">
        <v>2281</v>
      </c>
      <c r="B1317" t="s">
        <v>3417</v>
      </c>
      <c r="C1317" t="s">
        <v>337</v>
      </c>
      <c r="F1317" t="s">
        <v>3361</v>
      </c>
      <c r="G1317" t="s">
        <v>2746</v>
      </c>
      <c r="H1317" t="s">
        <v>2246</v>
      </c>
      <c r="I1317" t="s">
        <v>3418</v>
      </c>
      <c r="J1317" t="s">
        <v>3369</v>
      </c>
      <c r="K1317" t="s">
        <v>1661</v>
      </c>
      <c r="L1317" t="s">
        <v>3386</v>
      </c>
      <c r="M1317" t="s">
        <v>3364</v>
      </c>
      <c r="N1317" t="s">
        <v>3365</v>
      </c>
      <c r="O1317" t="s">
        <v>3366</v>
      </c>
      <c r="P1317" t="s">
        <v>3382</v>
      </c>
    </row>
    <row r="1318" spans="1:16" x14ac:dyDescent="0.3">
      <c r="A1318" t="s">
        <v>2282</v>
      </c>
      <c r="B1318" t="s">
        <v>3417</v>
      </c>
      <c r="C1318" t="s">
        <v>337</v>
      </c>
      <c r="F1318" t="s">
        <v>3361</v>
      </c>
      <c r="G1318" t="s">
        <v>2746</v>
      </c>
      <c r="H1318" t="s">
        <v>2246</v>
      </c>
      <c r="I1318" t="s">
        <v>3418</v>
      </c>
      <c r="J1318" t="s">
        <v>3369</v>
      </c>
      <c r="K1318" t="s">
        <v>1661</v>
      </c>
      <c r="L1318" t="s">
        <v>3386</v>
      </c>
      <c r="M1318" t="s">
        <v>3364</v>
      </c>
      <c r="N1318" t="s">
        <v>3365</v>
      </c>
      <c r="O1318" t="s">
        <v>3366</v>
      </c>
      <c r="P1318" t="s">
        <v>3382</v>
      </c>
    </row>
    <row r="1319" spans="1:16" x14ac:dyDescent="0.3">
      <c r="A1319" t="s">
        <v>2283</v>
      </c>
      <c r="B1319" t="s">
        <v>3417</v>
      </c>
      <c r="C1319" t="s">
        <v>337</v>
      </c>
      <c r="F1319" t="s">
        <v>3361</v>
      </c>
      <c r="G1319" t="s">
        <v>2746</v>
      </c>
      <c r="H1319" t="s">
        <v>2246</v>
      </c>
      <c r="I1319" t="s">
        <v>3418</v>
      </c>
      <c r="J1319" t="s">
        <v>3369</v>
      </c>
      <c r="K1319" t="s">
        <v>1661</v>
      </c>
      <c r="L1319" t="s">
        <v>3386</v>
      </c>
      <c r="M1319" t="s">
        <v>3364</v>
      </c>
      <c r="N1319" t="s">
        <v>3365</v>
      </c>
      <c r="O1319" t="s">
        <v>3366</v>
      </c>
      <c r="P1319" t="s">
        <v>3382</v>
      </c>
    </row>
    <row r="1320" spans="1:16" x14ac:dyDescent="0.3">
      <c r="A1320" t="s">
        <v>2284</v>
      </c>
      <c r="B1320" t="s">
        <v>3417</v>
      </c>
      <c r="C1320" t="s">
        <v>337</v>
      </c>
      <c r="F1320" t="s">
        <v>3361</v>
      </c>
      <c r="G1320" t="s">
        <v>2746</v>
      </c>
      <c r="H1320" t="s">
        <v>2246</v>
      </c>
      <c r="I1320" t="s">
        <v>3418</v>
      </c>
      <c r="J1320" t="s">
        <v>3369</v>
      </c>
      <c r="K1320" t="s">
        <v>1661</v>
      </c>
      <c r="L1320" t="s">
        <v>3386</v>
      </c>
      <c r="M1320" t="s">
        <v>3364</v>
      </c>
      <c r="N1320" t="s">
        <v>3365</v>
      </c>
      <c r="O1320" t="s">
        <v>3366</v>
      </c>
      <c r="P1320" t="s">
        <v>3382</v>
      </c>
    </row>
    <row r="1321" spans="1:16" x14ac:dyDescent="0.3">
      <c r="A1321" t="s">
        <v>2285</v>
      </c>
      <c r="B1321" t="s">
        <v>3417</v>
      </c>
      <c r="C1321" t="s">
        <v>337</v>
      </c>
      <c r="F1321" t="s">
        <v>3361</v>
      </c>
      <c r="G1321" t="s">
        <v>2746</v>
      </c>
      <c r="H1321" t="s">
        <v>2246</v>
      </c>
      <c r="I1321" t="s">
        <v>3418</v>
      </c>
      <c r="J1321" t="s">
        <v>3369</v>
      </c>
      <c r="K1321" t="s">
        <v>1661</v>
      </c>
      <c r="L1321" t="s">
        <v>3386</v>
      </c>
      <c r="M1321" t="s">
        <v>3364</v>
      </c>
      <c r="N1321" t="s">
        <v>3365</v>
      </c>
      <c r="O1321" t="s">
        <v>3366</v>
      </c>
      <c r="P1321" t="s">
        <v>3382</v>
      </c>
    </row>
    <row r="1322" spans="1:16" x14ac:dyDescent="0.3">
      <c r="A1322" t="s">
        <v>2286</v>
      </c>
      <c r="B1322" t="s">
        <v>3417</v>
      </c>
      <c r="C1322" t="s">
        <v>337</v>
      </c>
      <c r="F1322" t="s">
        <v>3361</v>
      </c>
      <c r="G1322" t="s">
        <v>2746</v>
      </c>
      <c r="H1322" t="s">
        <v>2246</v>
      </c>
      <c r="I1322" t="s">
        <v>3418</v>
      </c>
      <c r="J1322" t="s">
        <v>3369</v>
      </c>
      <c r="K1322" t="s">
        <v>1661</v>
      </c>
      <c r="L1322" t="s">
        <v>3386</v>
      </c>
      <c r="M1322" t="s">
        <v>3364</v>
      </c>
      <c r="N1322" t="s">
        <v>3365</v>
      </c>
      <c r="O1322" t="s">
        <v>3366</v>
      </c>
      <c r="P1322" t="s">
        <v>3382</v>
      </c>
    </row>
    <row r="1323" spans="1:16" x14ac:dyDescent="0.3">
      <c r="A1323" t="s">
        <v>2287</v>
      </c>
      <c r="B1323" t="s">
        <v>3417</v>
      </c>
      <c r="C1323" t="s">
        <v>337</v>
      </c>
      <c r="F1323" t="s">
        <v>3361</v>
      </c>
      <c r="G1323" t="s">
        <v>2746</v>
      </c>
      <c r="H1323" t="s">
        <v>2246</v>
      </c>
      <c r="I1323" t="s">
        <v>3418</v>
      </c>
      <c r="J1323" t="s">
        <v>3369</v>
      </c>
      <c r="K1323" t="s">
        <v>1661</v>
      </c>
      <c r="L1323" t="s">
        <v>3386</v>
      </c>
      <c r="M1323" t="s">
        <v>3364</v>
      </c>
      <c r="N1323" t="s">
        <v>3365</v>
      </c>
      <c r="O1323" t="s">
        <v>3366</v>
      </c>
      <c r="P1323" t="s">
        <v>3382</v>
      </c>
    </row>
    <row r="1324" spans="1:16" x14ac:dyDescent="0.3">
      <c r="A1324" t="s">
        <v>2288</v>
      </c>
      <c r="B1324" t="s">
        <v>3417</v>
      </c>
      <c r="C1324" t="s">
        <v>337</v>
      </c>
      <c r="F1324" t="s">
        <v>3361</v>
      </c>
      <c r="G1324" t="s">
        <v>2746</v>
      </c>
      <c r="H1324" t="s">
        <v>2246</v>
      </c>
      <c r="I1324" t="s">
        <v>3418</v>
      </c>
      <c r="J1324" t="s">
        <v>3369</v>
      </c>
      <c r="K1324" t="s">
        <v>1661</v>
      </c>
      <c r="L1324" t="s">
        <v>3386</v>
      </c>
      <c r="M1324" t="s">
        <v>3364</v>
      </c>
      <c r="N1324" t="s">
        <v>3365</v>
      </c>
      <c r="O1324" t="s">
        <v>3366</v>
      </c>
      <c r="P1324" t="s">
        <v>3382</v>
      </c>
    </row>
    <row r="1325" spans="1:16" x14ac:dyDescent="0.3">
      <c r="A1325" t="s">
        <v>2289</v>
      </c>
      <c r="B1325" t="s">
        <v>3417</v>
      </c>
      <c r="C1325" t="s">
        <v>337</v>
      </c>
      <c r="F1325" t="s">
        <v>3361</v>
      </c>
      <c r="G1325" t="s">
        <v>2746</v>
      </c>
      <c r="H1325" t="s">
        <v>2248</v>
      </c>
      <c r="I1325" t="s">
        <v>3418</v>
      </c>
      <c r="J1325" t="s">
        <v>3369</v>
      </c>
      <c r="K1325" t="s">
        <v>1661</v>
      </c>
      <c r="L1325" t="s">
        <v>2043</v>
      </c>
      <c r="M1325" t="s">
        <v>3364</v>
      </c>
      <c r="N1325" t="s">
        <v>3365</v>
      </c>
      <c r="O1325" t="s">
        <v>3366</v>
      </c>
      <c r="P1325" t="s">
        <v>3382</v>
      </c>
    </row>
    <row r="1326" spans="1:16" x14ac:dyDescent="0.3">
      <c r="A1326" t="s">
        <v>2290</v>
      </c>
      <c r="B1326" t="s">
        <v>3417</v>
      </c>
      <c r="C1326" t="s">
        <v>337</v>
      </c>
      <c r="F1326" t="s">
        <v>3361</v>
      </c>
      <c r="G1326" t="s">
        <v>2746</v>
      </c>
      <c r="H1326" t="s">
        <v>2248</v>
      </c>
      <c r="I1326" t="s">
        <v>3418</v>
      </c>
      <c r="J1326" t="s">
        <v>3369</v>
      </c>
      <c r="K1326" t="s">
        <v>1661</v>
      </c>
      <c r="L1326" t="s">
        <v>2043</v>
      </c>
      <c r="M1326" t="s">
        <v>3364</v>
      </c>
      <c r="N1326" t="s">
        <v>3365</v>
      </c>
      <c r="O1326" t="s">
        <v>3366</v>
      </c>
      <c r="P1326" t="s">
        <v>3382</v>
      </c>
    </row>
    <row r="1327" spans="1:16" x14ac:dyDescent="0.3">
      <c r="A1327" t="s">
        <v>739</v>
      </c>
      <c r="B1327" t="s">
        <v>3417</v>
      </c>
      <c r="C1327" t="s">
        <v>337</v>
      </c>
      <c r="F1327" t="s">
        <v>3361</v>
      </c>
      <c r="G1327" t="s">
        <v>2746</v>
      </c>
      <c r="H1327" t="s">
        <v>2248</v>
      </c>
      <c r="I1327" t="s">
        <v>3418</v>
      </c>
      <c r="J1327" t="s">
        <v>3369</v>
      </c>
      <c r="K1327" t="s">
        <v>1661</v>
      </c>
      <c r="L1327" t="s">
        <v>2043</v>
      </c>
      <c r="M1327" t="s">
        <v>3364</v>
      </c>
      <c r="N1327" t="s">
        <v>3365</v>
      </c>
      <c r="O1327" t="s">
        <v>3366</v>
      </c>
      <c r="P1327" t="s">
        <v>3382</v>
      </c>
    </row>
    <row r="1328" spans="1:16" x14ac:dyDescent="0.3">
      <c r="A1328" t="s">
        <v>2291</v>
      </c>
      <c r="B1328" t="s">
        <v>3417</v>
      </c>
      <c r="C1328" t="s">
        <v>337</v>
      </c>
      <c r="F1328" t="s">
        <v>3361</v>
      </c>
      <c r="G1328" t="s">
        <v>2746</v>
      </c>
      <c r="H1328" t="s">
        <v>2248</v>
      </c>
      <c r="I1328" t="s">
        <v>3418</v>
      </c>
      <c r="J1328" t="s">
        <v>3369</v>
      </c>
      <c r="K1328" t="s">
        <v>1661</v>
      </c>
      <c r="L1328" t="s">
        <v>2043</v>
      </c>
      <c r="M1328" t="s">
        <v>3364</v>
      </c>
      <c r="N1328" t="s">
        <v>3365</v>
      </c>
      <c r="O1328" t="s">
        <v>3366</v>
      </c>
      <c r="P1328" t="s">
        <v>3382</v>
      </c>
    </row>
    <row r="1329" spans="1:16" x14ac:dyDescent="0.3">
      <c r="A1329" t="s">
        <v>627</v>
      </c>
      <c r="B1329" t="s">
        <v>3417</v>
      </c>
      <c r="C1329" t="s">
        <v>337</v>
      </c>
      <c r="F1329" t="s">
        <v>3361</v>
      </c>
      <c r="G1329" t="s">
        <v>2746</v>
      </c>
      <c r="H1329" t="s">
        <v>2248</v>
      </c>
      <c r="I1329" t="s">
        <v>3418</v>
      </c>
      <c r="J1329" t="s">
        <v>3362</v>
      </c>
      <c r="K1329" t="s">
        <v>1661</v>
      </c>
      <c r="L1329" t="s">
        <v>2043</v>
      </c>
      <c r="M1329" t="s">
        <v>3364</v>
      </c>
      <c r="N1329" t="s">
        <v>3365</v>
      </c>
      <c r="O1329" t="s">
        <v>3366</v>
      </c>
      <c r="P1329" t="s">
        <v>3367</v>
      </c>
    </row>
    <row r="1330" spans="1:16" x14ac:dyDescent="0.3">
      <c r="A1330" t="s">
        <v>2292</v>
      </c>
      <c r="B1330" t="s">
        <v>3417</v>
      </c>
      <c r="C1330" t="s">
        <v>337</v>
      </c>
      <c r="F1330" t="s">
        <v>3361</v>
      </c>
      <c r="G1330" t="s">
        <v>2746</v>
      </c>
      <c r="H1330" t="s">
        <v>2248</v>
      </c>
      <c r="I1330" t="s">
        <v>3418</v>
      </c>
      <c r="J1330" t="s">
        <v>3369</v>
      </c>
      <c r="K1330" t="s">
        <v>1661</v>
      </c>
      <c r="L1330" t="s">
        <v>2043</v>
      </c>
      <c r="M1330" t="s">
        <v>3364</v>
      </c>
      <c r="N1330" t="s">
        <v>3365</v>
      </c>
      <c r="O1330" t="s">
        <v>3366</v>
      </c>
      <c r="P1330" t="s">
        <v>3389</v>
      </c>
    </row>
    <row r="1331" spans="1:16" x14ac:dyDescent="0.3">
      <c r="A1331" t="s">
        <v>2293</v>
      </c>
      <c r="B1331" t="s">
        <v>3417</v>
      </c>
      <c r="C1331" t="s">
        <v>337</v>
      </c>
      <c r="F1331" t="s">
        <v>3361</v>
      </c>
      <c r="G1331" t="s">
        <v>2746</v>
      </c>
      <c r="H1331" t="s">
        <v>2248</v>
      </c>
      <c r="I1331" t="s">
        <v>3418</v>
      </c>
      <c r="J1331" t="s">
        <v>3369</v>
      </c>
      <c r="K1331" t="s">
        <v>1661</v>
      </c>
      <c r="L1331" t="s">
        <v>2043</v>
      </c>
      <c r="M1331" t="s">
        <v>3364</v>
      </c>
      <c r="N1331" t="s">
        <v>3365</v>
      </c>
      <c r="O1331" t="s">
        <v>3366</v>
      </c>
      <c r="P1331" t="s">
        <v>3382</v>
      </c>
    </row>
    <row r="1332" spans="1:16" x14ac:dyDescent="0.3">
      <c r="A1332" t="s">
        <v>2294</v>
      </c>
      <c r="B1332" t="s">
        <v>3417</v>
      </c>
      <c r="C1332" t="s">
        <v>337</v>
      </c>
      <c r="F1332" t="s">
        <v>3361</v>
      </c>
      <c r="G1332" t="s">
        <v>2746</v>
      </c>
      <c r="H1332" t="s">
        <v>2248</v>
      </c>
      <c r="I1332" t="s">
        <v>3418</v>
      </c>
      <c r="J1332" t="s">
        <v>3369</v>
      </c>
      <c r="K1332" t="s">
        <v>1661</v>
      </c>
      <c r="L1332" t="s">
        <v>2043</v>
      </c>
      <c r="M1332" t="s">
        <v>3364</v>
      </c>
      <c r="N1332" t="s">
        <v>3365</v>
      </c>
      <c r="O1332" t="s">
        <v>3366</v>
      </c>
      <c r="P1332" t="s">
        <v>3382</v>
      </c>
    </row>
    <row r="1333" spans="1:16" x14ac:dyDescent="0.3">
      <c r="A1333" t="s">
        <v>2295</v>
      </c>
      <c r="B1333" t="s">
        <v>3417</v>
      </c>
      <c r="C1333" t="s">
        <v>337</v>
      </c>
      <c r="F1333" t="s">
        <v>3361</v>
      </c>
      <c r="G1333" t="s">
        <v>2746</v>
      </c>
      <c r="H1333" t="s">
        <v>2248</v>
      </c>
      <c r="I1333" t="s">
        <v>3418</v>
      </c>
      <c r="J1333" t="s">
        <v>3369</v>
      </c>
      <c r="K1333" t="s">
        <v>1661</v>
      </c>
      <c r="L1333" t="s">
        <v>2043</v>
      </c>
      <c r="M1333" t="s">
        <v>3364</v>
      </c>
      <c r="N1333" t="s">
        <v>3365</v>
      </c>
      <c r="O1333" t="s">
        <v>3366</v>
      </c>
      <c r="P1333" t="s">
        <v>3382</v>
      </c>
    </row>
    <row r="1334" spans="1:16" x14ac:dyDescent="0.3">
      <c r="A1334" t="s">
        <v>2296</v>
      </c>
      <c r="B1334" t="s">
        <v>3417</v>
      </c>
      <c r="C1334" t="s">
        <v>337</v>
      </c>
      <c r="F1334" t="s">
        <v>3361</v>
      </c>
      <c r="G1334" t="s">
        <v>2746</v>
      </c>
      <c r="H1334" t="s">
        <v>2248</v>
      </c>
      <c r="I1334" t="s">
        <v>3418</v>
      </c>
      <c r="J1334" t="s">
        <v>3369</v>
      </c>
      <c r="K1334" t="s">
        <v>1661</v>
      </c>
      <c r="L1334" t="s">
        <v>2043</v>
      </c>
      <c r="M1334" t="s">
        <v>3364</v>
      </c>
      <c r="N1334" t="s">
        <v>3365</v>
      </c>
      <c r="O1334" t="s">
        <v>3366</v>
      </c>
      <c r="P1334" t="s">
        <v>3382</v>
      </c>
    </row>
    <row r="1335" spans="1:16" x14ac:dyDescent="0.3">
      <c r="A1335" t="s">
        <v>2297</v>
      </c>
      <c r="B1335" t="s">
        <v>3417</v>
      </c>
      <c r="C1335" t="s">
        <v>337</v>
      </c>
      <c r="F1335" t="s">
        <v>3361</v>
      </c>
      <c r="G1335" t="s">
        <v>2746</v>
      </c>
      <c r="H1335" t="s">
        <v>2250</v>
      </c>
      <c r="I1335" t="s">
        <v>3418</v>
      </c>
      <c r="J1335" t="s">
        <v>3369</v>
      </c>
      <c r="K1335" t="s">
        <v>1661</v>
      </c>
      <c r="L1335" t="s">
        <v>3386</v>
      </c>
      <c r="M1335" t="s">
        <v>3364</v>
      </c>
      <c r="N1335" t="s">
        <v>3365</v>
      </c>
      <c r="O1335" t="s">
        <v>3366</v>
      </c>
      <c r="P1335" t="s">
        <v>3382</v>
      </c>
    </row>
    <row r="1336" spans="1:16" x14ac:dyDescent="0.3">
      <c r="A1336" t="s">
        <v>2298</v>
      </c>
      <c r="B1336" t="s">
        <v>3417</v>
      </c>
      <c r="C1336" t="s">
        <v>337</v>
      </c>
      <c r="F1336" t="s">
        <v>3361</v>
      </c>
      <c r="G1336" t="s">
        <v>2746</v>
      </c>
      <c r="H1336" t="s">
        <v>2250</v>
      </c>
      <c r="I1336" t="s">
        <v>3418</v>
      </c>
      <c r="J1336" t="s">
        <v>3369</v>
      </c>
      <c r="K1336" t="s">
        <v>1661</v>
      </c>
      <c r="L1336" t="s">
        <v>3386</v>
      </c>
      <c r="M1336" t="s">
        <v>3364</v>
      </c>
      <c r="N1336" t="s">
        <v>3365</v>
      </c>
      <c r="O1336" t="s">
        <v>3366</v>
      </c>
      <c r="P1336" t="s">
        <v>3382</v>
      </c>
    </row>
    <row r="1337" spans="1:16" x14ac:dyDescent="0.3">
      <c r="A1337" t="s">
        <v>2299</v>
      </c>
      <c r="B1337" t="s">
        <v>3417</v>
      </c>
      <c r="C1337" t="s">
        <v>337</v>
      </c>
      <c r="F1337" t="s">
        <v>3361</v>
      </c>
      <c r="G1337" t="s">
        <v>2746</v>
      </c>
      <c r="H1337" t="s">
        <v>2250</v>
      </c>
      <c r="I1337" t="s">
        <v>3418</v>
      </c>
      <c r="J1337" t="s">
        <v>3369</v>
      </c>
      <c r="K1337" t="s">
        <v>1661</v>
      </c>
      <c r="L1337" t="s">
        <v>3386</v>
      </c>
      <c r="M1337" t="s">
        <v>3364</v>
      </c>
      <c r="N1337" t="s">
        <v>3365</v>
      </c>
      <c r="O1337" t="s">
        <v>3366</v>
      </c>
      <c r="P1337" t="s">
        <v>3382</v>
      </c>
    </row>
    <row r="1338" spans="1:16" x14ac:dyDescent="0.3">
      <c r="A1338" t="s">
        <v>2300</v>
      </c>
      <c r="B1338" t="s">
        <v>3417</v>
      </c>
      <c r="C1338" t="s">
        <v>337</v>
      </c>
      <c r="F1338" t="s">
        <v>3361</v>
      </c>
      <c r="G1338" t="s">
        <v>2746</v>
      </c>
      <c r="H1338" t="s">
        <v>2250</v>
      </c>
      <c r="I1338" t="s">
        <v>3418</v>
      </c>
      <c r="J1338" t="s">
        <v>3369</v>
      </c>
      <c r="K1338" t="s">
        <v>1661</v>
      </c>
      <c r="L1338" t="s">
        <v>3386</v>
      </c>
      <c r="M1338" t="s">
        <v>3364</v>
      </c>
      <c r="N1338" t="s">
        <v>3365</v>
      </c>
      <c r="O1338" t="s">
        <v>3366</v>
      </c>
      <c r="P1338" t="s">
        <v>3382</v>
      </c>
    </row>
    <row r="1339" spans="1:16" x14ac:dyDescent="0.3">
      <c r="A1339" t="s">
        <v>2301</v>
      </c>
      <c r="B1339" t="s">
        <v>3417</v>
      </c>
      <c r="C1339" t="s">
        <v>337</v>
      </c>
      <c r="F1339" t="s">
        <v>3361</v>
      </c>
      <c r="G1339" t="s">
        <v>2746</v>
      </c>
      <c r="H1339" t="s">
        <v>2250</v>
      </c>
      <c r="I1339" t="s">
        <v>3418</v>
      </c>
      <c r="J1339" t="s">
        <v>3369</v>
      </c>
      <c r="K1339" t="s">
        <v>1661</v>
      </c>
      <c r="L1339" t="s">
        <v>3386</v>
      </c>
      <c r="M1339" t="s">
        <v>3364</v>
      </c>
      <c r="N1339" t="s">
        <v>3365</v>
      </c>
      <c r="O1339" t="s">
        <v>3366</v>
      </c>
      <c r="P1339" t="s">
        <v>3382</v>
      </c>
    </row>
    <row r="1340" spans="1:16" x14ac:dyDescent="0.3">
      <c r="A1340" t="s">
        <v>2302</v>
      </c>
      <c r="B1340" t="s">
        <v>3417</v>
      </c>
      <c r="C1340" t="s">
        <v>337</v>
      </c>
      <c r="F1340" t="s">
        <v>3361</v>
      </c>
      <c r="G1340" t="s">
        <v>2746</v>
      </c>
      <c r="H1340" t="s">
        <v>2250</v>
      </c>
      <c r="I1340" t="s">
        <v>3418</v>
      </c>
      <c r="J1340" t="s">
        <v>3369</v>
      </c>
      <c r="K1340" t="s">
        <v>1661</v>
      </c>
      <c r="L1340" t="s">
        <v>3386</v>
      </c>
      <c r="M1340" t="s">
        <v>3364</v>
      </c>
      <c r="N1340" t="s">
        <v>3365</v>
      </c>
      <c r="O1340" t="s">
        <v>3366</v>
      </c>
      <c r="P1340" t="s">
        <v>3382</v>
      </c>
    </row>
    <row r="1341" spans="1:16" x14ac:dyDescent="0.3">
      <c r="A1341" t="s">
        <v>1592</v>
      </c>
      <c r="B1341" t="s">
        <v>3417</v>
      </c>
      <c r="C1341" t="s">
        <v>337</v>
      </c>
      <c r="F1341" t="s">
        <v>3361</v>
      </c>
      <c r="G1341" t="s">
        <v>2746</v>
      </c>
      <c r="H1341" t="s">
        <v>2250</v>
      </c>
      <c r="I1341" t="s">
        <v>3418</v>
      </c>
      <c r="J1341" t="s">
        <v>3369</v>
      </c>
      <c r="K1341" t="s">
        <v>1661</v>
      </c>
      <c r="L1341" t="s">
        <v>3386</v>
      </c>
      <c r="M1341" t="s">
        <v>3364</v>
      </c>
      <c r="N1341" t="s">
        <v>3365</v>
      </c>
      <c r="O1341" t="s">
        <v>3366</v>
      </c>
      <c r="P1341" t="s">
        <v>3382</v>
      </c>
    </row>
    <row r="1342" spans="1:16" x14ac:dyDescent="0.3">
      <c r="A1342" t="s">
        <v>1049</v>
      </c>
      <c r="B1342" t="s">
        <v>3417</v>
      </c>
      <c r="C1342" t="s">
        <v>337</v>
      </c>
      <c r="F1342" t="s">
        <v>3361</v>
      </c>
      <c r="G1342" t="s">
        <v>2746</v>
      </c>
      <c r="H1342" t="s">
        <v>2250</v>
      </c>
      <c r="I1342" t="s">
        <v>3418</v>
      </c>
      <c r="J1342" t="s">
        <v>3369</v>
      </c>
      <c r="K1342" t="s">
        <v>1661</v>
      </c>
      <c r="L1342" t="s">
        <v>3386</v>
      </c>
      <c r="M1342" t="s">
        <v>3364</v>
      </c>
      <c r="N1342" t="s">
        <v>3365</v>
      </c>
      <c r="O1342" t="s">
        <v>3366</v>
      </c>
      <c r="P1342" t="s">
        <v>3382</v>
      </c>
    </row>
    <row r="1343" spans="1:16" x14ac:dyDescent="0.3">
      <c r="A1343" t="s">
        <v>2303</v>
      </c>
      <c r="B1343" t="s">
        <v>3417</v>
      </c>
      <c r="C1343" t="s">
        <v>337</v>
      </c>
      <c r="F1343" t="s">
        <v>3361</v>
      </c>
      <c r="G1343" t="s">
        <v>2746</v>
      </c>
      <c r="H1343" t="s">
        <v>2250</v>
      </c>
      <c r="I1343" t="s">
        <v>3418</v>
      </c>
      <c r="J1343" t="s">
        <v>3369</v>
      </c>
      <c r="K1343" t="s">
        <v>1661</v>
      </c>
      <c r="L1343" t="s">
        <v>3386</v>
      </c>
      <c r="M1343" t="s">
        <v>3364</v>
      </c>
      <c r="N1343" t="s">
        <v>3365</v>
      </c>
      <c r="O1343" t="s">
        <v>3366</v>
      </c>
      <c r="P1343" t="s">
        <v>3382</v>
      </c>
    </row>
    <row r="1344" spans="1:16" x14ac:dyDescent="0.3">
      <c r="A1344" t="s">
        <v>878</v>
      </c>
      <c r="B1344" t="s">
        <v>3417</v>
      </c>
      <c r="C1344" t="s">
        <v>337</v>
      </c>
      <c r="F1344" t="s">
        <v>3361</v>
      </c>
      <c r="G1344" t="s">
        <v>2746</v>
      </c>
      <c r="H1344" t="s">
        <v>2252</v>
      </c>
      <c r="I1344" t="s">
        <v>3418</v>
      </c>
      <c r="J1344" t="s">
        <v>3369</v>
      </c>
      <c r="K1344" t="s">
        <v>1661</v>
      </c>
      <c r="L1344" t="s">
        <v>3386</v>
      </c>
      <c r="M1344" t="s">
        <v>3364</v>
      </c>
      <c r="N1344" t="s">
        <v>3365</v>
      </c>
      <c r="O1344" t="s">
        <v>3366</v>
      </c>
      <c r="P1344" t="s">
        <v>3382</v>
      </c>
    </row>
    <row r="1345" spans="1:16" x14ac:dyDescent="0.3">
      <c r="A1345" t="s">
        <v>875</v>
      </c>
      <c r="B1345" t="s">
        <v>3417</v>
      </c>
      <c r="C1345" t="s">
        <v>337</v>
      </c>
      <c r="F1345" t="s">
        <v>3361</v>
      </c>
      <c r="G1345" t="s">
        <v>2746</v>
      </c>
      <c r="H1345" t="s">
        <v>2252</v>
      </c>
      <c r="I1345" t="s">
        <v>3418</v>
      </c>
      <c r="J1345" t="s">
        <v>3369</v>
      </c>
      <c r="K1345" t="s">
        <v>1661</v>
      </c>
      <c r="L1345" t="s">
        <v>3386</v>
      </c>
      <c r="M1345" t="s">
        <v>3364</v>
      </c>
      <c r="N1345" t="s">
        <v>3365</v>
      </c>
      <c r="O1345" t="s">
        <v>3366</v>
      </c>
      <c r="P1345" t="s">
        <v>3382</v>
      </c>
    </row>
    <row r="1346" spans="1:16" x14ac:dyDescent="0.3">
      <c r="A1346" t="s">
        <v>883</v>
      </c>
      <c r="B1346" t="s">
        <v>3417</v>
      </c>
      <c r="C1346" t="s">
        <v>337</v>
      </c>
      <c r="F1346" t="s">
        <v>3361</v>
      </c>
      <c r="G1346" t="s">
        <v>2746</v>
      </c>
      <c r="H1346" t="s">
        <v>2252</v>
      </c>
      <c r="I1346" t="s">
        <v>3418</v>
      </c>
      <c r="J1346" t="s">
        <v>3369</v>
      </c>
      <c r="K1346" t="s">
        <v>1661</v>
      </c>
      <c r="L1346" t="s">
        <v>3386</v>
      </c>
      <c r="M1346" t="s">
        <v>3364</v>
      </c>
      <c r="N1346" t="s">
        <v>3365</v>
      </c>
      <c r="O1346" t="s">
        <v>3366</v>
      </c>
      <c r="P1346" t="s">
        <v>3382</v>
      </c>
    </row>
    <row r="1347" spans="1:16" x14ac:dyDescent="0.3">
      <c r="A1347" t="s">
        <v>877</v>
      </c>
      <c r="B1347" t="s">
        <v>3417</v>
      </c>
      <c r="C1347" t="s">
        <v>337</v>
      </c>
      <c r="F1347" t="s">
        <v>3361</v>
      </c>
      <c r="G1347" t="s">
        <v>2746</v>
      </c>
      <c r="H1347" t="s">
        <v>2252</v>
      </c>
      <c r="I1347" t="s">
        <v>3418</v>
      </c>
      <c r="J1347" t="s">
        <v>3369</v>
      </c>
      <c r="K1347" t="s">
        <v>1661</v>
      </c>
      <c r="L1347" t="s">
        <v>3386</v>
      </c>
      <c r="M1347" t="s">
        <v>3364</v>
      </c>
      <c r="N1347" t="s">
        <v>3365</v>
      </c>
      <c r="O1347" t="s">
        <v>3366</v>
      </c>
      <c r="P1347" t="s">
        <v>3382</v>
      </c>
    </row>
    <row r="1348" spans="1:16" x14ac:dyDescent="0.3">
      <c r="A1348" t="s">
        <v>876</v>
      </c>
      <c r="B1348" t="s">
        <v>3417</v>
      </c>
      <c r="C1348" t="s">
        <v>337</v>
      </c>
      <c r="F1348" t="s">
        <v>3361</v>
      </c>
      <c r="G1348" t="s">
        <v>2746</v>
      </c>
      <c r="H1348" t="s">
        <v>2252</v>
      </c>
      <c r="I1348" t="s">
        <v>3418</v>
      </c>
      <c r="J1348" t="s">
        <v>3369</v>
      </c>
      <c r="K1348" t="s">
        <v>1661</v>
      </c>
      <c r="L1348" t="s">
        <v>3386</v>
      </c>
      <c r="M1348" t="s">
        <v>3364</v>
      </c>
      <c r="N1348" t="s">
        <v>3365</v>
      </c>
      <c r="O1348" t="s">
        <v>3366</v>
      </c>
      <c r="P1348" t="s">
        <v>3382</v>
      </c>
    </row>
    <row r="1349" spans="1:16" x14ac:dyDescent="0.3">
      <c r="A1349" t="s">
        <v>2304</v>
      </c>
      <c r="B1349" t="s">
        <v>3417</v>
      </c>
      <c r="C1349" t="s">
        <v>337</v>
      </c>
      <c r="F1349" t="s">
        <v>3361</v>
      </c>
      <c r="G1349" t="s">
        <v>2746</v>
      </c>
      <c r="H1349" t="s">
        <v>2252</v>
      </c>
      <c r="I1349" t="s">
        <v>3418</v>
      </c>
      <c r="J1349" t="s">
        <v>3369</v>
      </c>
      <c r="K1349" t="s">
        <v>1661</v>
      </c>
      <c r="L1349" t="s">
        <v>3386</v>
      </c>
      <c r="M1349" t="s">
        <v>3364</v>
      </c>
      <c r="N1349" t="s">
        <v>3365</v>
      </c>
      <c r="O1349" t="s">
        <v>3366</v>
      </c>
      <c r="P1349" t="s">
        <v>3382</v>
      </c>
    </row>
    <row r="1350" spans="1:16" x14ac:dyDescent="0.3">
      <c r="A1350" t="s">
        <v>2305</v>
      </c>
      <c r="B1350" t="s">
        <v>3417</v>
      </c>
      <c r="C1350" t="s">
        <v>337</v>
      </c>
      <c r="F1350" t="s">
        <v>3361</v>
      </c>
      <c r="G1350" t="s">
        <v>2746</v>
      </c>
      <c r="H1350" t="s">
        <v>2252</v>
      </c>
      <c r="I1350" t="s">
        <v>3418</v>
      </c>
      <c r="J1350" t="s">
        <v>3369</v>
      </c>
      <c r="K1350" t="s">
        <v>1661</v>
      </c>
      <c r="L1350" t="s">
        <v>3386</v>
      </c>
      <c r="M1350" t="s">
        <v>3364</v>
      </c>
      <c r="N1350" t="s">
        <v>3365</v>
      </c>
      <c r="O1350" t="s">
        <v>3366</v>
      </c>
      <c r="P1350" t="s">
        <v>3382</v>
      </c>
    </row>
    <row r="1351" spans="1:16" x14ac:dyDescent="0.3">
      <c r="A1351" t="s">
        <v>2306</v>
      </c>
      <c r="B1351" t="s">
        <v>3417</v>
      </c>
      <c r="C1351" t="s">
        <v>337</v>
      </c>
      <c r="F1351" t="s">
        <v>3361</v>
      </c>
      <c r="G1351" t="s">
        <v>2746</v>
      </c>
      <c r="H1351" t="s">
        <v>2252</v>
      </c>
      <c r="I1351" t="s">
        <v>3418</v>
      </c>
      <c r="J1351" t="s">
        <v>3369</v>
      </c>
      <c r="K1351" t="s">
        <v>1661</v>
      </c>
      <c r="L1351" t="s">
        <v>3386</v>
      </c>
      <c r="M1351" t="s">
        <v>3364</v>
      </c>
      <c r="N1351" t="s">
        <v>3365</v>
      </c>
      <c r="O1351" t="s">
        <v>3366</v>
      </c>
      <c r="P1351" t="s">
        <v>3382</v>
      </c>
    </row>
    <row r="1352" spans="1:16" x14ac:dyDescent="0.3">
      <c r="A1352" t="s">
        <v>2307</v>
      </c>
      <c r="B1352" t="s">
        <v>3417</v>
      </c>
      <c r="C1352" t="s">
        <v>337</v>
      </c>
      <c r="F1352" t="s">
        <v>3361</v>
      </c>
      <c r="G1352" t="s">
        <v>2746</v>
      </c>
      <c r="H1352" t="s">
        <v>2252</v>
      </c>
      <c r="I1352" t="s">
        <v>3418</v>
      </c>
      <c r="J1352" t="s">
        <v>3369</v>
      </c>
      <c r="K1352" t="s">
        <v>1661</v>
      </c>
      <c r="L1352" t="s">
        <v>3386</v>
      </c>
      <c r="M1352" t="s">
        <v>3364</v>
      </c>
      <c r="N1352" t="s">
        <v>3365</v>
      </c>
      <c r="O1352" t="s">
        <v>3366</v>
      </c>
      <c r="P1352" t="s">
        <v>3382</v>
      </c>
    </row>
    <row r="1353" spans="1:16" x14ac:dyDescent="0.3">
      <c r="A1353" t="s">
        <v>1615</v>
      </c>
      <c r="B1353" t="s">
        <v>3417</v>
      </c>
      <c r="C1353" t="s">
        <v>337</v>
      </c>
      <c r="F1353" t="s">
        <v>3361</v>
      </c>
      <c r="G1353" t="s">
        <v>2746</v>
      </c>
      <c r="H1353" t="s">
        <v>2252</v>
      </c>
      <c r="I1353" t="s">
        <v>3418</v>
      </c>
      <c r="J1353" t="s">
        <v>3369</v>
      </c>
      <c r="K1353" t="s">
        <v>1661</v>
      </c>
      <c r="L1353" t="s">
        <v>3386</v>
      </c>
      <c r="M1353" t="s">
        <v>3364</v>
      </c>
      <c r="N1353" t="s">
        <v>3365</v>
      </c>
      <c r="O1353" t="s">
        <v>3366</v>
      </c>
      <c r="P1353" t="s">
        <v>3382</v>
      </c>
    </row>
    <row r="1354" spans="1:16" x14ac:dyDescent="0.3">
      <c r="A1354" t="s">
        <v>2308</v>
      </c>
      <c r="B1354" t="s">
        <v>3417</v>
      </c>
      <c r="C1354" t="s">
        <v>337</v>
      </c>
      <c r="F1354" t="s">
        <v>3361</v>
      </c>
      <c r="G1354" t="s">
        <v>2746</v>
      </c>
      <c r="H1354" t="s">
        <v>2252</v>
      </c>
      <c r="I1354" t="s">
        <v>3418</v>
      </c>
      <c r="J1354" t="s">
        <v>3369</v>
      </c>
      <c r="K1354" t="s">
        <v>1661</v>
      </c>
      <c r="L1354" t="s">
        <v>3386</v>
      </c>
      <c r="M1354" t="s">
        <v>3364</v>
      </c>
      <c r="N1354" t="s">
        <v>3365</v>
      </c>
      <c r="O1354" t="s">
        <v>3366</v>
      </c>
      <c r="P1354" t="s">
        <v>3382</v>
      </c>
    </row>
    <row r="1355" spans="1:16" x14ac:dyDescent="0.3">
      <c r="A1355" t="s">
        <v>2309</v>
      </c>
      <c r="B1355" t="s">
        <v>3417</v>
      </c>
      <c r="C1355" t="s">
        <v>337</v>
      </c>
      <c r="F1355" t="s">
        <v>3361</v>
      </c>
      <c r="G1355" t="s">
        <v>2746</v>
      </c>
      <c r="H1355" t="s">
        <v>2252</v>
      </c>
      <c r="I1355" t="s">
        <v>3418</v>
      </c>
      <c r="J1355" t="s">
        <v>3369</v>
      </c>
      <c r="K1355" t="s">
        <v>1661</v>
      </c>
      <c r="L1355" t="s">
        <v>3386</v>
      </c>
      <c r="M1355" t="s">
        <v>3364</v>
      </c>
      <c r="N1355" t="s">
        <v>3365</v>
      </c>
      <c r="O1355" t="s">
        <v>3366</v>
      </c>
      <c r="P1355" t="s">
        <v>3382</v>
      </c>
    </row>
    <row r="1356" spans="1:16" x14ac:dyDescent="0.3">
      <c r="A1356" t="s">
        <v>2310</v>
      </c>
      <c r="B1356" t="s">
        <v>3417</v>
      </c>
      <c r="C1356" t="s">
        <v>337</v>
      </c>
      <c r="F1356" t="s">
        <v>3361</v>
      </c>
      <c r="G1356" t="s">
        <v>2746</v>
      </c>
      <c r="H1356" t="s">
        <v>2252</v>
      </c>
      <c r="I1356" t="s">
        <v>3418</v>
      </c>
      <c r="J1356" t="s">
        <v>3369</v>
      </c>
      <c r="K1356" t="s">
        <v>1661</v>
      </c>
      <c r="L1356" t="s">
        <v>3386</v>
      </c>
      <c r="M1356" t="s">
        <v>3364</v>
      </c>
      <c r="N1356" t="s">
        <v>3365</v>
      </c>
      <c r="O1356" t="s">
        <v>3366</v>
      </c>
      <c r="P1356" t="s">
        <v>3382</v>
      </c>
    </row>
    <row r="1357" spans="1:16" x14ac:dyDescent="0.3">
      <c r="A1357" t="s">
        <v>2311</v>
      </c>
      <c r="B1357" t="s">
        <v>3417</v>
      </c>
      <c r="C1357" t="s">
        <v>337</v>
      </c>
      <c r="F1357" t="s">
        <v>3361</v>
      </c>
      <c r="G1357" t="s">
        <v>2746</v>
      </c>
      <c r="H1357" t="s">
        <v>2252</v>
      </c>
      <c r="I1357" t="s">
        <v>3418</v>
      </c>
      <c r="J1357" t="s">
        <v>3369</v>
      </c>
      <c r="K1357" t="s">
        <v>1661</v>
      </c>
      <c r="L1357" t="s">
        <v>3386</v>
      </c>
      <c r="M1357" t="s">
        <v>3364</v>
      </c>
      <c r="N1357" t="s">
        <v>3365</v>
      </c>
      <c r="O1357" t="s">
        <v>3366</v>
      </c>
      <c r="P1357" t="s">
        <v>3382</v>
      </c>
    </row>
    <row r="1358" spans="1:16" x14ac:dyDescent="0.3">
      <c r="A1358" t="s">
        <v>1621</v>
      </c>
      <c r="B1358" t="s">
        <v>3417</v>
      </c>
      <c r="C1358" t="s">
        <v>337</v>
      </c>
      <c r="F1358" t="s">
        <v>3361</v>
      </c>
      <c r="G1358" t="s">
        <v>2746</v>
      </c>
      <c r="H1358" t="s">
        <v>2252</v>
      </c>
      <c r="I1358" t="s">
        <v>3418</v>
      </c>
      <c r="J1358" t="s">
        <v>3369</v>
      </c>
      <c r="K1358" t="s">
        <v>1661</v>
      </c>
      <c r="L1358" t="s">
        <v>3386</v>
      </c>
      <c r="M1358" t="s">
        <v>3364</v>
      </c>
      <c r="N1358" t="s">
        <v>3365</v>
      </c>
      <c r="O1358" t="s">
        <v>3366</v>
      </c>
      <c r="P1358" t="s">
        <v>3382</v>
      </c>
    </row>
    <row r="1359" spans="1:16" x14ac:dyDescent="0.3">
      <c r="A1359" t="s">
        <v>2312</v>
      </c>
      <c r="B1359" t="s">
        <v>3417</v>
      </c>
      <c r="C1359" t="s">
        <v>337</v>
      </c>
      <c r="F1359" t="s">
        <v>3361</v>
      </c>
      <c r="G1359" t="s">
        <v>2746</v>
      </c>
      <c r="H1359" t="s">
        <v>2252</v>
      </c>
      <c r="I1359" t="s">
        <v>3418</v>
      </c>
      <c r="J1359" t="s">
        <v>3369</v>
      </c>
      <c r="K1359" t="s">
        <v>1661</v>
      </c>
      <c r="L1359" t="s">
        <v>3386</v>
      </c>
      <c r="M1359" t="s">
        <v>3364</v>
      </c>
      <c r="N1359" t="s">
        <v>3365</v>
      </c>
      <c r="O1359" t="s">
        <v>3366</v>
      </c>
      <c r="P1359" t="s">
        <v>3382</v>
      </c>
    </row>
    <row r="1360" spans="1:16" x14ac:dyDescent="0.3">
      <c r="A1360" t="s">
        <v>341</v>
      </c>
      <c r="B1360" t="s">
        <v>3417</v>
      </c>
      <c r="C1360" t="s">
        <v>341</v>
      </c>
      <c r="F1360" t="s">
        <v>3361</v>
      </c>
      <c r="G1360" t="s">
        <v>2746</v>
      </c>
      <c r="H1360" t="s">
        <v>2242</v>
      </c>
      <c r="I1360" t="s">
        <v>3418</v>
      </c>
      <c r="J1360" t="s">
        <v>3369</v>
      </c>
      <c r="K1360" t="s">
        <v>1661</v>
      </c>
      <c r="L1360" t="s">
        <v>3386</v>
      </c>
      <c r="M1360" t="s">
        <v>3364</v>
      </c>
      <c r="N1360" t="s">
        <v>3365</v>
      </c>
      <c r="O1360" t="s">
        <v>3366</v>
      </c>
      <c r="P1360" t="s">
        <v>3382</v>
      </c>
    </row>
    <row r="1361" spans="1:16" x14ac:dyDescent="0.3">
      <c r="A1361" t="s">
        <v>2315</v>
      </c>
      <c r="B1361" t="s">
        <v>3417</v>
      </c>
      <c r="C1361" t="s">
        <v>341</v>
      </c>
      <c r="F1361" t="s">
        <v>3361</v>
      </c>
      <c r="G1361" t="s">
        <v>2746</v>
      </c>
      <c r="H1361" t="s">
        <v>2242</v>
      </c>
      <c r="I1361" t="s">
        <v>3418</v>
      </c>
      <c r="J1361" t="s">
        <v>3369</v>
      </c>
      <c r="K1361" t="s">
        <v>1661</v>
      </c>
      <c r="L1361" t="s">
        <v>3386</v>
      </c>
      <c r="M1361" t="s">
        <v>3364</v>
      </c>
      <c r="N1361" t="s">
        <v>3365</v>
      </c>
      <c r="O1361" t="s">
        <v>3366</v>
      </c>
      <c r="P1361" t="s">
        <v>3382</v>
      </c>
    </row>
    <row r="1362" spans="1:16" x14ac:dyDescent="0.3">
      <c r="A1362" t="s">
        <v>698</v>
      </c>
      <c r="B1362" t="s">
        <v>3417</v>
      </c>
      <c r="C1362" t="s">
        <v>341</v>
      </c>
      <c r="F1362" t="s">
        <v>3361</v>
      </c>
      <c r="G1362" t="s">
        <v>2746</v>
      </c>
      <c r="H1362" t="s">
        <v>2242</v>
      </c>
      <c r="I1362" t="s">
        <v>3418</v>
      </c>
      <c r="J1362" t="s">
        <v>3369</v>
      </c>
      <c r="K1362" t="s">
        <v>1661</v>
      </c>
      <c r="L1362" t="s">
        <v>3386</v>
      </c>
      <c r="M1362" t="s">
        <v>3364</v>
      </c>
      <c r="N1362" t="s">
        <v>3365</v>
      </c>
      <c r="O1362" t="s">
        <v>3366</v>
      </c>
      <c r="P1362" t="s">
        <v>3382</v>
      </c>
    </row>
    <row r="1363" spans="1:16" x14ac:dyDescent="0.3">
      <c r="A1363" t="s">
        <v>2316</v>
      </c>
      <c r="B1363" t="s">
        <v>3417</v>
      </c>
      <c r="C1363" t="s">
        <v>341</v>
      </c>
      <c r="F1363" t="s">
        <v>3361</v>
      </c>
      <c r="G1363" t="s">
        <v>2746</v>
      </c>
      <c r="H1363" t="s">
        <v>2242</v>
      </c>
      <c r="I1363" t="s">
        <v>3418</v>
      </c>
      <c r="J1363" t="s">
        <v>3369</v>
      </c>
      <c r="K1363" t="s">
        <v>1661</v>
      </c>
      <c r="L1363" t="s">
        <v>3386</v>
      </c>
      <c r="M1363" t="s">
        <v>3364</v>
      </c>
      <c r="N1363" t="s">
        <v>3365</v>
      </c>
      <c r="O1363" t="s">
        <v>3366</v>
      </c>
      <c r="P1363" t="s">
        <v>3382</v>
      </c>
    </row>
    <row r="1364" spans="1:16" x14ac:dyDescent="0.3">
      <c r="A1364" t="s">
        <v>696</v>
      </c>
      <c r="B1364" t="s">
        <v>3417</v>
      </c>
      <c r="C1364" t="s">
        <v>341</v>
      </c>
      <c r="F1364" t="s">
        <v>3361</v>
      </c>
      <c r="G1364" t="s">
        <v>2746</v>
      </c>
      <c r="H1364" t="s">
        <v>2244</v>
      </c>
      <c r="I1364" t="s">
        <v>3418</v>
      </c>
      <c r="J1364" t="s">
        <v>3369</v>
      </c>
      <c r="K1364" t="s">
        <v>1661</v>
      </c>
      <c r="L1364" t="s">
        <v>3386</v>
      </c>
      <c r="M1364" t="s">
        <v>3364</v>
      </c>
      <c r="N1364" t="s">
        <v>3365</v>
      </c>
      <c r="O1364" t="s">
        <v>3366</v>
      </c>
      <c r="P1364" t="s">
        <v>3382</v>
      </c>
    </row>
    <row r="1365" spans="1:16" x14ac:dyDescent="0.3">
      <c r="A1365" t="s">
        <v>1568</v>
      </c>
      <c r="B1365" t="s">
        <v>3417</v>
      </c>
      <c r="C1365" t="s">
        <v>341</v>
      </c>
      <c r="F1365" t="s">
        <v>3361</v>
      </c>
      <c r="G1365" t="s">
        <v>2746</v>
      </c>
      <c r="H1365" t="s">
        <v>2244</v>
      </c>
      <c r="I1365" t="s">
        <v>3418</v>
      </c>
      <c r="J1365" t="s">
        <v>3369</v>
      </c>
      <c r="K1365" t="s">
        <v>1661</v>
      </c>
      <c r="L1365" t="s">
        <v>3386</v>
      </c>
      <c r="M1365" t="s">
        <v>3364</v>
      </c>
      <c r="N1365" t="s">
        <v>3365</v>
      </c>
      <c r="O1365" t="s">
        <v>3366</v>
      </c>
      <c r="P1365" t="s">
        <v>3382</v>
      </c>
    </row>
    <row r="1366" spans="1:16" x14ac:dyDescent="0.3">
      <c r="A1366" t="s">
        <v>2317</v>
      </c>
      <c r="B1366" t="s">
        <v>3417</v>
      </c>
      <c r="C1366" t="s">
        <v>341</v>
      </c>
      <c r="F1366" t="s">
        <v>3361</v>
      </c>
      <c r="G1366" t="s">
        <v>2746</v>
      </c>
      <c r="H1366" t="s">
        <v>2244</v>
      </c>
      <c r="I1366" t="s">
        <v>3418</v>
      </c>
      <c r="J1366" t="s">
        <v>3369</v>
      </c>
      <c r="K1366" t="s">
        <v>1661</v>
      </c>
      <c r="L1366" t="s">
        <v>3386</v>
      </c>
      <c r="M1366" t="s">
        <v>3364</v>
      </c>
      <c r="N1366" t="s">
        <v>3365</v>
      </c>
      <c r="O1366" t="s">
        <v>3366</v>
      </c>
      <c r="P1366" t="s">
        <v>3382</v>
      </c>
    </row>
    <row r="1367" spans="1:16" x14ac:dyDescent="0.3">
      <c r="A1367" t="s">
        <v>2318</v>
      </c>
      <c r="B1367" t="s">
        <v>3417</v>
      </c>
      <c r="C1367" t="s">
        <v>341</v>
      </c>
      <c r="F1367" t="s">
        <v>3361</v>
      </c>
      <c r="G1367" t="s">
        <v>2746</v>
      </c>
      <c r="H1367" t="s">
        <v>2244</v>
      </c>
      <c r="I1367" t="s">
        <v>3418</v>
      </c>
      <c r="J1367" t="s">
        <v>3369</v>
      </c>
      <c r="K1367" t="s">
        <v>1661</v>
      </c>
      <c r="L1367" t="s">
        <v>3386</v>
      </c>
      <c r="M1367" t="s">
        <v>3364</v>
      </c>
      <c r="N1367" t="s">
        <v>3365</v>
      </c>
      <c r="O1367" t="s">
        <v>3366</v>
      </c>
      <c r="P1367" t="s">
        <v>3382</v>
      </c>
    </row>
    <row r="1368" spans="1:16" x14ac:dyDescent="0.3">
      <c r="A1368" t="s">
        <v>2319</v>
      </c>
      <c r="B1368" t="s">
        <v>3417</v>
      </c>
      <c r="C1368" t="s">
        <v>341</v>
      </c>
      <c r="F1368" t="s">
        <v>3361</v>
      </c>
      <c r="G1368" t="s">
        <v>2746</v>
      </c>
      <c r="H1368" t="s">
        <v>2244</v>
      </c>
      <c r="I1368" t="s">
        <v>3418</v>
      </c>
      <c r="J1368" t="s">
        <v>3369</v>
      </c>
      <c r="K1368" t="s">
        <v>1661</v>
      </c>
      <c r="L1368" t="s">
        <v>3386</v>
      </c>
      <c r="M1368" t="s">
        <v>3364</v>
      </c>
      <c r="N1368" t="s">
        <v>3365</v>
      </c>
      <c r="O1368" t="s">
        <v>3366</v>
      </c>
      <c r="P1368" t="s">
        <v>3382</v>
      </c>
    </row>
    <row r="1369" spans="1:16" x14ac:dyDescent="0.3">
      <c r="A1369" t="s">
        <v>2320</v>
      </c>
      <c r="B1369" t="s">
        <v>3417</v>
      </c>
      <c r="C1369" t="s">
        <v>341</v>
      </c>
      <c r="F1369" t="s">
        <v>3361</v>
      </c>
      <c r="G1369" t="s">
        <v>2746</v>
      </c>
      <c r="H1369" t="s">
        <v>2244</v>
      </c>
      <c r="I1369" t="s">
        <v>3418</v>
      </c>
      <c r="J1369" t="s">
        <v>3369</v>
      </c>
      <c r="K1369" t="s">
        <v>1661</v>
      </c>
      <c r="L1369" t="s">
        <v>3386</v>
      </c>
      <c r="M1369" t="s">
        <v>3364</v>
      </c>
      <c r="N1369" t="s">
        <v>3365</v>
      </c>
      <c r="O1369" t="s">
        <v>3366</v>
      </c>
      <c r="P1369" t="s">
        <v>3382</v>
      </c>
    </row>
    <row r="1370" spans="1:16" x14ac:dyDescent="0.3">
      <c r="A1370" t="s">
        <v>2321</v>
      </c>
      <c r="B1370" t="s">
        <v>3417</v>
      </c>
      <c r="C1370" t="s">
        <v>341</v>
      </c>
      <c r="F1370" t="s">
        <v>3361</v>
      </c>
      <c r="G1370" t="s">
        <v>2746</v>
      </c>
      <c r="H1370" t="s">
        <v>2244</v>
      </c>
      <c r="I1370" t="s">
        <v>3418</v>
      </c>
      <c r="J1370" t="s">
        <v>3369</v>
      </c>
      <c r="K1370" t="s">
        <v>1661</v>
      </c>
      <c r="L1370" t="s">
        <v>3386</v>
      </c>
      <c r="M1370" t="s">
        <v>3364</v>
      </c>
      <c r="N1370" t="s">
        <v>3365</v>
      </c>
      <c r="O1370" t="s">
        <v>3366</v>
      </c>
      <c r="P1370" t="s">
        <v>3382</v>
      </c>
    </row>
    <row r="1371" spans="1:16" x14ac:dyDescent="0.3">
      <c r="A1371" t="s">
        <v>2322</v>
      </c>
      <c r="B1371" t="s">
        <v>3417</v>
      </c>
      <c r="C1371" t="s">
        <v>341</v>
      </c>
      <c r="F1371" t="s">
        <v>3361</v>
      </c>
      <c r="G1371" t="s">
        <v>2746</v>
      </c>
      <c r="H1371" t="s">
        <v>2244</v>
      </c>
      <c r="I1371" t="s">
        <v>3418</v>
      </c>
      <c r="J1371" t="s">
        <v>3369</v>
      </c>
      <c r="K1371" t="s">
        <v>1661</v>
      </c>
      <c r="L1371" t="s">
        <v>3386</v>
      </c>
      <c r="M1371" t="s">
        <v>3364</v>
      </c>
      <c r="N1371" t="s">
        <v>3365</v>
      </c>
      <c r="O1371" t="s">
        <v>3366</v>
      </c>
      <c r="P1371" t="s">
        <v>3382</v>
      </c>
    </row>
    <row r="1372" spans="1:16" x14ac:dyDescent="0.3">
      <c r="A1372" t="s">
        <v>2323</v>
      </c>
      <c r="B1372" t="s">
        <v>3417</v>
      </c>
      <c r="C1372" t="s">
        <v>341</v>
      </c>
      <c r="F1372" t="s">
        <v>3361</v>
      </c>
      <c r="G1372" t="s">
        <v>2746</v>
      </c>
      <c r="H1372" t="s">
        <v>2244</v>
      </c>
      <c r="I1372" t="s">
        <v>3418</v>
      </c>
      <c r="J1372" t="s">
        <v>3369</v>
      </c>
      <c r="K1372" t="s">
        <v>1661</v>
      </c>
      <c r="L1372" t="s">
        <v>3386</v>
      </c>
      <c r="M1372" t="s">
        <v>3364</v>
      </c>
      <c r="N1372" t="s">
        <v>3365</v>
      </c>
      <c r="O1372" t="s">
        <v>3366</v>
      </c>
      <c r="P1372" t="s">
        <v>3382</v>
      </c>
    </row>
    <row r="1373" spans="1:16" x14ac:dyDescent="0.3">
      <c r="A1373" t="s">
        <v>1569</v>
      </c>
      <c r="B1373" t="s">
        <v>3417</v>
      </c>
      <c r="C1373" t="s">
        <v>341</v>
      </c>
      <c r="F1373" t="s">
        <v>3361</v>
      </c>
      <c r="G1373" t="s">
        <v>2746</v>
      </c>
      <c r="H1373" t="s">
        <v>2244</v>
      </c>
      <c r="I1373" t="s">
        <v>3418</v>
      </c>
      <c r="J1373" t="s">
        <v>3369</v>
      </c>
      <c r="K1373" t="s">
        <v>1661</v>
      </c>
      <c r="L1373" t="s">
        <v>3386</v>
      </c>
      <c r="M1373" t="s">
        <v>3364</v>
      </c>
      <c r="N1373" t="s">
        <v>3365</v>
      </c>
      <c r="O1373" t="s">
        <v>3366</v>
      </c>
      <c r="P1373" t="s">
        <v>3382</v>
      </c>
    </row>
    <row r="1374" spans="1:16" x14ac:dyDescent="0.3">
      <c r="A1374" t="s">
        <v>2324</v>
      </c>
      <c r="B1374" t="s">
        <v>3417</v>
      </c>
      <c r="C1374" t="s">
        <v>341</v>
      </c>
      <c r="F1374" t="s">
        <v>3361</v>
      </c>
      <c r="G1374" t="s">
        <v>2746</v>
      </c>
      <c r="H1374" t="s">
        <v>2244</v>
      </c>
      <c r="I1374" t="s">
        <v>3418</v>
      </c>
      <c r="J1374" t="s">
        <v>3369</v>
      </c>
      <c r="K1374" t="s">
        <v>1661</v>
      </c>
      <c r="L1374" t="s">
        <v>3386</v>
      </c>
      <c r="M1374" t="s">
        <v>3364</v>
      </c>
      <c r="N1374" t="s">
        <v>3365</v>
      </c>
      <c r="O1374" t="s">
        <v>3366</v>
      </c>
      <c r="P1374" t="s">
        <v>3382</v>
      </c>
    </row>
    <row r="1375" spans="1:16" x14ac:dyDescent="0.3">
      <c r="A1375" t="s">
        <v>2325</v>
      </c>
      <c r="B1375" t="s">
        <v>3417</v>
      </c>
      <c r="C1375" t="s">
        <v>341</v>
      </c>
      <c r="F1375" t="s">
        <v>3361</v>
      </c>
      <c r="G1375" t="s">
        <v>2746</v>
      </c>
      <c r="H1375" t="s">
        <v>2244</v>
      </c>
      <c r="I1375" t="s">
        <v>3418</v>
      </c>
      <c r="J1375" t="s">
        <v>3369</v>
      </c>
      <c r="K1375" t="s">
        <v>1661</v>
      </c>
      <c r="L1375" t="s">
        <v>3386</v>
      </c>
      <c r="M1375" t="s">
        <v>3364</v>
      </c>
      <c r="N1375" t="s">
        <v>3365</v>
      </c>
      <c r="O1375" t="s">
        <v>3366</v>
      </c>
      <c r="P1375" t="s">
        <v>3382</v>
      </c>
    </row>
    <row r="1376" spans="1:16" x14ac:dyDescent="0.3">
      <c r="A1376" t="s">
        <v>2326</v>
      </c>
      <c r="B1376" t="s">
        <v>3417</v>
      </c>
      <c r="C1376" t="s">
        <v>341</v>
      </c>
      <c r="F1376" t="s">
        <v>3361</v>
      </c>
      <c r="G1376" t="s">
        <v>2746</v>
      </c>
      <c r="H1376" t="s">
        <v>2244</v>
      </c>
      <c r="I1376" t="s">
        <v>3418</v>
      </c>
      <c r="J1376" t="s">
        <v>3369</v>
      </c>
      <c r="K1376" t="s">
        <v>1661</v>
      </c>
      <c r="L1376" t="s">
        <v>3386</v>
      </c>
      <c r="M1376" t="s">
        <v>3364</v>
      </c>
      <c r="N1376" t="s">
        <v>3365</v>
      </c>
      <c r="O1376" t="s">
        <v>3366</v>
      </c>
      <c r="P1376" t="s">
        <v>3382</v>
      </c>
    </row>
    <row r="1377" spans="1:16" x14ac:dyDescent="0.3">
      <c r="A1377" t="s">
        <v>1031</v>
      </c>
      <c r="B1377" t="s">
        <v>3417</v>
      </c>
      <c r="C1377" t="s">
        <v>341</v>
      </c>
      <c r="F1377" t="s">
        <v>3361</v>
      </c>
      <c r="G1377" t="s">
        <v>2746</v>
      </c>
      <c r="H1377" t="s">
        <v>2244</v>
      </c>
      <c r="I1377" t="s">
        <v>3418</v>
      </c>
      <c r="J1377" t="s">
        <v>3369</v>
      </c>
      <c r="K1377" t="s">
        <v>1661</v>
      </c>
      <c r="L1377" t="s">
        <v>3386</v>
      </c>
      <c r="M1377" t="s">
        <v>3364</v>
      </c>
      <c r="N1377" t="s">
        <v>3365</v>
      </c>
      <c r="O1377" t="s">
        <v>3366</v>
      </c>
      <c r="P1377" t="s">
        <v>3382</v>
      </c>
    </row>
    <row r="1378" spans="1:16" x14ac:dyDescent="0.3">
      <c r="A1378" t="s">
        <v>2327</v>
      </c>
      <c r="B1378" t="s">
        <v>3417</v>
      </c>
      <c r="C1378" t="s">
        <v>341</v>
      </c>
      <c r="F1378" t="s">
        <v>3361</v>
      </c>
      <c r="G1378" t="s">
        <v>2746</v>
      </c>
      <c r="H1378" t="s">
        <v>2244</v>
      </c>
      <c r="I1378" t="s">
        <v>3418</v>
      </c>
      <c r="J1378" t="s">
        <v>3369</v>
      </c>
      <c r="K1378" t="s">
        <v>1661</v>
      </c>
      <c r="L1378" t="s">
        <v>3386</v>
      </c>
      <c r="M1378" t="s">
        <v>3364</v>
      </c>
      <c r="N1378" t="s">
        <v>3365</v>
      </c>
      <c r="O1378" t="s">
        <v>3366</v>
      </c>
      <c r="P1378" t="s">
        <v>3382</v>
      </c>
    </row>
    <row r="1379" spans="1:16" x14ac:dyDescent="0.3">
      <c r="A1379" t="s">
        <v>2328</v>
      </c>
      <c r="B1379" t="s">
        <v>3417</v>
      </c>
      <c r="C1379" t="s">
        <v>341</v>
      </c>
      <c r="F1379" t="s">
        <v>3361</v>
      </c>
      <c r="G1379" t="s">
        <v>2746</v>
      </c>
      <c r="H1379" t="s">
        <v>2246</v>
      </c>
      <c r="I1379" t="s">
        <v>3418</v>
      </c>
      <c r="J1379" t="s">
        <v>3369</v>
      </c>
      <c r="K1379" t="s">
        <v>1661</v>
      </c>
      <c r="L1379" t="s">
        <v>3386</v>
      </c>
      <c r="M1379" t="s">
        <v>3364</v>
      </c>
      <c r="N1379" t="s">
        <v>3365</v>
      </c>
      <c r="O1379" t="s">
        <v>3366</v>
      </c>
      <c r="P1379" t="s">
        <v>3382</v>
      </c>
    </row>
    <row r="1380" spans="1:16" x14ac:dyDescent="0.3">
      <c r="A1380" t="s">
        <v>2329</v>
      </c>
      <c r="B1380" t="s">
        <v>3417</v>
      </c>
      <c r="C1380" t="s">
        <v>341</v>
      </c>
      <c r="F1380" t="s">
        <v>3361</v>
      </c>
      <c r="G1380" t="s">
        <v>2746</v>
      </c>
      <c r="H1380" t="s">
        <v>2246</v>
      </c>
      <c r="I1380" t="s">
        <v>3418</v>
      </c>
      <c r="J1380" t="s">
        <v>3369</v>
      </c>
      <c r="K1380" t="s">
        <v>1661</v>
      </c>
      <c r="L1380" t="s">
        <v>3386</v>
      </c>
      <c r="M1380" t="s">
        <v>3364</v>
      </c>
      <c r="N1380" t="s">
        <v>3365</v>
      </c>
      <c r="O1380" t="s">
        <v>3366</v>
      </c>
      <c r="P1380" t="s">
        <v>3382</v>
      </c>
    </row>
    <row r="1381" spans="1:16" x14ac:dyDescent="0.3">
      <c r="A1381" t="s">
        <v>2330</v>
      </c>
      <c r="B1381" t="s">
        <v>3417</v>
      </c>
      <c r="C1381" t="s">
        <v>341</v>
      </c>
      <c r="F1381" t="s">
        <v>3361</v>
      </c>
      <c r="G1381" t="s">
        <v>2746</v>
      </c>
      <c r="H1381" t="s">
        <v>2246</v>
      </c>
      <c r="I1381" t="s">
        <v>3418</v>
      </c>
      <c r="J1381" t="s">
        <v>3369</v>
      </c>
      <c r="K1381" t="s">
        <v>1661</v>
      </c>
      <c r="L1381" t="s">
        <v>3386</v>
      </c>
      <c r="M1381" t="s">
        <v>3364</v>
      </c>
      <c r="N1381" t="s">
        <v>3365</v>
      </c>
      <c r="O1381" t="s">
        <v>3366</v>
      </c>
      <c r="P1381" t="s">
        <v>3382</v>
      </c>
    </row>
    <row r="1382" spans="1:16" x14ac:dyDescent="0.3">
      <c r="A1382" t="s">
        <v>2331</v>
      </c>
      <c r="B1382" t="s">
        <v>3417</v>
      </c>
      <c r="C1382" t="s">
        <v>341</v>
      </c>
      <c r="F1382" t="s">
        <v>3361</v>
      </c>
      <c r="G1382" t="s">
        <v>2746</v>
      </c>
      <c r="H1382" t="s">
        <v>2246</v>
      </c>
      <c r="I1382" t="s">
        <v>3418</v>
      </c>
      <c r="J1382" t="s">
        <v>3369</v>
      </c>
      <c r="K1382" t="s">
        <v>1661</v>
      </c>
      <c r="L1382" t="s">
        <v>3386</v>
      </c>
      <c r="M1382" t="s">
        <v>3364</v>
      </c>
      <c r="N1382" t="s">
        <v>3365</v>
      </c>
      <c r="O1382" t="s">
        <v>3366</v>
      </c>
      <c r="P1382" t="s">
        <v>3382</v>
      </c>
    </row>
    <row r="1383" spans="1:16" x14ac:dyDescent="0.3">
      <c r="A1383" t="s">
        <v>2332</v>
      </c>
      <c r="B1383" t="s">
        <v>3417</v>
      </c>
      <c r="C1383" t="s">
        <v>341</v>
      </c>
      <c r="F1383" t="s">
        <v>3361</v>
      </c>
      <c r="G1383" t="s">
        <v>2746</v>
      </c>
      <c r="H1383" t="s">
        <v>2246</v>
      </c>
      <c r="I1383" t="s">
        <v>3418</v>
      </c>
      <c r="J1383" t="s">
        <v>3369</v>
      </c>
      <c r="K1383" t="s">
        <v>1661</v>
      </c>
      <c r="L1383" t="s">
        <v>3386</v>
      </c>
      <c r="M1383" t="s">
        <v>3364</v>
      </c>
      <c r="N1383" t="s">
        <v>3365</v>
      </c>
      <c r="O1383" t="s">
        <v>3366</v>
      </c>
      <c r="P1383" t="s">
        <v>3382</v>
      </c>
    </row>
    <row r="1384" spans="1:16" x14ac:dyDescent="0.3">
      <c r="A1384" t="s">
        <v>2333</v>
      </c>
      <c r="B1384" t="s">
        <v>3417</v>
      </c>
      <c r="C1384" t="s">
        <v>341</v>
      </c>
      <c r="F1384" t="s">
        <v>3361</v>
      </c>
      <c r="G1384" t="s">
        <v>2746</v>
      </c>
      <c r="H1384" t="s">
        <v>2246</v>
      </c>
      <c r="I1384" t="s">
        <v>3418</v>
      </c>
      <c r="J1384" t="s">
        <v>3369</v>
      </c>
      <c r="K1384" t="s">
        <v>1661</v>
      </c>
      <c r="L1384" t="s">
        <v>3386</v>
      </c>
      <c r="M1384" t="s">
        <v>3364</v>
      </c>
      <c r="N1384" t="s">
        <v>3365</v>
      </c>
      <c r="O1384" t="s">
        <v>3366</v>
      </c>
      <c r="P1384" t="s">
        <v>3382</v>
      </c>
    </row>
    <row r="1385" spans="1:16" x14ac:dyDescent="0.3">
      <c r="A1385" t="s">
        <v>2334</v>
      </c>
      <c r="B1385" t="s">
        <v>3417</v>
      </c>
      <c r="C1385" t="s">
        <v>341</v>
      </c>
      <c r="F1385" t="s">
        <v>3361</v>
      </c>
      <c r="G1385" t="s">
        <v>2746</v>
      </c>
      <c r="H1385" t="s">
        <v>2246</v>
      </c>
      <c r="I1385" t="s">
        <v>3418</v>
      </c>
      <c r="J1385" t="s">
        <v>3369</v>
      </c>
      <c r="K1385" t="s">
        <v>1661</v>
      </c>
      <c r="L1385" t="s">
        <v>3386</v>
      </c>
      <c r="M1385" t="s">
        <v>3364</v>
      </c>
      <c r="N1385" t="s">
        <v>3365</v>
      </c>
      <c r="O1385" t="s">
        <v>3366</v>
      </c>
      <c r="P1385" t="s">
        <v>3382</v>
      </c>
    </row>
    <row r="1386" spans="1:16" x14ac:dyDescent="0.3">
      <c r="A1386" t="s">
        <v>2335</v>
      </c>
      <c r="B1386" t="s">
        <v>3417</v>
      </c>
      <c r="C1386" t="s">
        <v>341</v>
      </c>
      <c r="F1386" t="s">
        <v>3361</v>
      </c>
      <c r="G1386" t="s">
        <v>2746</v>
      </c>
      <c r="H1386" t="s">
        <v>2246</v>
      </c>
      <c r="I1386" t="s">
        <v>3418</v>
      </c>
      <c r="J1386" t="s">
        <v>3362</v>
      </c>
      <c r="K1386" t="s">
        <v>1661</v>
      </c>
      <c r="L1386" t="s">
        <v>3386</v>
      </c>
      <c r="M1386" t="s">
        <v>3364</v>
      </c>
      <c r="N1386" t="s">
        <v>3365</v>
      </c>
      <c r="O1386" t="s">
        <v>3366</v>
      </c>
      <c r="P1386" t="s">
        <v>3367</v>
      </c>
    </row>
    <row r="1387" spans="1:16" x14ac:dyDescent="0.3">
      <c r="A1387" t="s">
        <v>2336</v>
      </c>
      <c r="B1387" t="s">
        <v>3417</v>
      </c>
      <c r="C1387" t="s">
        <v>341</v>
      </c>
      <c r="F1387" t="s">
        <v>3361</v>
      </c>
      <c r="G1387" t="s">
        <v>2746</v>
      </c>
      <c r="H1387" t="s">
        <v>2246</v>
      </c>
      <c r="I1387" t="s">
        <v>3418</v>
      </c>
      <c r="J1387" t="s">
        <v>3369</v>
      </c>
      <c r="K1387" t="s">
        <v>1661</v>
      </c>
      <c r="L1387" t="s">
        <v>3386</v>
      </c>
      <c r="M1387" t="s">
        <v>3364</v>
      </c>
      <c r="N1387" t="s">
        <v>3365</v>
      </c>
      <c r="O1387" t="s">
        <v>3366</v>
      </c>
      <c r="P1387" t="s">
        <v>3382</v>
      </c>
    </row>
    <row r="1388" spans="1:16" x14ac:dyDescent="0.3">
      <c r="A1388" t="s">
        <v>2337</v>
      </c>
      <c r="B1388" t="s">
        <v>3417</v>
      </c>
      <c r="C1388" t="s">
        <v>341</v>
      </c>
      <c r="F1388" t="s">
        <v>3361</v>
      </c>
      <c r="G1388" t="s">
        <v>2746</v>
      </c>
      <c r="H1388" t="s">
        <v>2246</v>
      </c>
      <c r="I1388" t="s">
        <v>3418</v>
      </c>
      <c r="J1388" t="s">
        <v>3369</v>
      </c>
      <c r="K1388" t="s">
        <v>1661</v>
      </c>
      <c r="L1388" t="s">
        <v>3386</v>
      </c>
      <c r="M1388" t="s">
        <v>3364</v>
      </c>
      <c r="N1388" t="s">
        <v>3365</v>
      </c>
      <c r="O1388" t="s">
        <v>3366</v>
      </c>
      <c r="P1388" t="s">
        <v>3382</v>
      </c>
    </row>
    <row r="1389" spans="1:16" x14ac:dyDescent="0.3">
      <c r="A1389" t="s">
        <v>2338</v>
      </c>
      <c r="B1389" t="s">
        <v>3417</v>
      </c>
      <c r="C1389" t="s">
        <v>341</v>
      </c>
      <c r="F1389" t="s">
        <v>3361</v>
      </c>
      <c r="G1389" t="s">
        <v>2746</v>
      </c>
      <c r="H1389" t="s">
        <v>2246</v>
      </c>
      <c r="I1389" t="s">
        <v>3418</v>
      </c>
      <c r="J1389" t="s">
        <v>3369</v>
      </c>
      <c r="K1389" t="s">
        <v>1661</v>
      </c>
      <c r="L1389" t="s">
        <v>3386</v>
      </c>
      <c r="M1389" t="s">
        <v>3364</v>
      </c>
      <c r="N1389" t="s">
        <v>3365</v>
      </c>
      <c r="O1389" t="s">
        <v>3366</v>
      </c>
      <c r="P1389" t="s">
        <v>3382</v>
      </c>
    </row>
    <row r="1390" spans="1:16" x14ac:dyDescent="0.3">
      <c r="A1390" t="s">
        <v>2339</v>
      </c>
      <c r="B1390" t="s">
        <v>3417</v>
      </c>
      <c r="C1390" t="s">
        <v>341</v>
      </c>
      <c r="F1390" t="s">
        <v>3361</v>
      </c>
      <c r="G1390" t="s">
        <v>2746</v>
      </c>
      <c r="H1390" t="s">
        <v>2248</v>
      </c>
      <c r="I1390" t="s">
        <v>3418</v>
      </c>
      <c r="J1390" t="s">
        <v>3369</v>
      </c>
      <c r="K1390" t="s">
        <v>1661</v>
      </c>
      <c r="L1390" t="s">
        <v>2043</v>
      </c>
      <c r="M1390" t="s">
        <v>3364</v>
      </c>
      <c r="N1390" t="s">
        <v>3365</v>
      </c>
      <c r="O1390" t="s">
        <v>3366</v>
      </c>
      <c r="P1390" t="s">
        <v>3382</v>
      </c>
    </row>
    <row r="1391" spans="1:16" x14ac:dyDescent="0.3">
      <c r="A1391" t="s">
        <v>2340</v>
      </c>
      <c r="B1391" t="s">
        <v>3417</v>
      </c>
      <c r="C1391" t="s">
        <v>341</v>
      </c>
      <c r="F1391" t="s">
        <v>3361</v>
      </c>
      <c r="G1391" t="s">
        <v>2746</v>
      </c>
      <c r="H1391" t="s">
        <v>2248</v>
      </c>
      <c r="I1391" t="s">
        <v>3418</v>
      </c>
      <c r="J1391" t="s">
        <v>3369</v>
      </c>
      <c r="K1391" t="s">
        <v>1661</v>
      </c>
      <c r="L1391" t="s">
        <v>2043</v>
      </c>
      <c r="M1391" t="s">
        <v>3364</v>
      </c>
      <c r="N1391" t="s">
        <v>3365</v>
      </c>
      <c r="O1391" t="s">
        <v>3366</v>
      </c>
      <c r="P1391" t="s">
        <v>3382</v>
      </c>
    </row>
    <row r="1392" spans="1:16" x14ac:dyDescent="0.3">
      <c r="A1392" t="s">
        <v>2341</v>
      </c>
      <c r="B1392" t="s">
        <v>3417</v>
      </c>
      <c r="C1392" t="s">
        <v>341</v>
      </c>
      <c r="F1392" t="s">
        <v>3361</v>
      </c>
      <c r="G1392" t="s">
        <v>2746</v>
      </c>
      <c r="H1392" t="s">
        <v>2248</v>
      </c>
      <c r="I1392" t="s">
        <v>3418</v>
      </c>
      <c r="J1392" t="s">
        <v>3369</v>
      </c>
      <c r="K1392" t="s">
        <v>1661</v>
      </c>
      <c r="L1392" t="s">
        <v>2043</v>
      </c>
      <c r="M1392" t="s">
        <v>3364</v>
      </c>
      <c r="N1392" t="s">
        <v>3365</v>
      </c>
      <c r="O1392" t="s">
        <v>3366</v>
      </c>
      <c r="P1392" t="s">
        <v>3382</v>
      </c>
    </row>
    <row r="1393" spans="1:16" x14ac:dyDescent="0.3">
      <c r="A1393" t="s">
        <v>2342</v>
      </c>
      <c r="B1393" t="s">
        <v>3417</v>
      </c>
      <c r="C1393" t="s">
        <v>341</v>
      </c>
      <c r="F1393" t="s">
        <v>3361</v>
      </c>
      <c r="G1393" t="s">
        <v>2746</v>
      </c>
      <c r="H1393" t="s">
        <v>2248</v>
      </c>
      <c r="I1393" t="s">
        <v>3418</v>
      </c>
      <c r="J1393" t="s">
        <v>3369</v>
      </c>
      <c r="K1393" t="s">
        <v>1661</v>
      </c>
      <c r="L1393" t="s">
        <v>2043</v>
      </c>
      <c r="M1393" t="s">
        <v>3364</v>
      </c>
      <c r="N1393" t="s">
        <v>3365</v>
      </c>
      <c r="O1393" t="s">
        <v>3366</v>
      </c>
      <c r="P1393" t="s">
        <v>3382</v>
      </c>
    </row>
    <row r="1394" spans="1:16" x14ac:dyDescent="0.3">
      <c r="A1394" t="s">
        <v>2343</v>
      </c>
      <c r="B1394" t="s">
        <v>3417</v>
      </c>
      <c r="C1394" t="s">
        <v>341</v>
      </c>
      <c r="F1394" t="s">
        <v>3361</v>
      </c>
      <c r="G1394" t="s">
        <v>2746</v>
      </c>
      <c r="H1394" t="s">
        <v>2248</v>
      </c>
      <c r="I1394" t="s">
        <v>3418</v>
      </c>
      <c r="J1394" t="s">
        <v>3369</v>
      </c>
      <c r="K1394" t="s">
        <v>1661</v>
      </c>
      <c r="L1394" t="s">
        <v>2043</v>
      </c>
      <c r="M1394" t="s">
        <v>3364</v>
      </c>
      <c r="N1394" t="s">
        <v>3365</v>
      </c>
      <c r="O1394" t="s">
        <v>3366</v>
      </c>
      <c r="P1394" t="s">
        <v>3382</v>
      </c>
    </row>
    <row r="1395" spans="1:16" x14ac:dyDescent="0.3">
      <c r="A1395" t="s">
        <v>2344</v>
      </c>
      <c r="B1395" t="s">
        <v>3417</v>
      </c>
      <c r="C1395" t="s">
        <v>341</v>
      </c>
      <c r="F1395" t="s">
        <v>3361</v>
      </c>
      <c r="G1395" t="s">
        <v>2746</v>
      </c>
      <c r="H1395" t="s">
        <v>2248</v>
      </c>
      <c r="I1395" t="s">
        <v>3418</v>
      </c>
      <c r="J1395" t="s">
        <v>3369</v>
      </c>
      <c r="K1395" t="s">
        <v>1661</v>
      </c>
      <c r="L1395" t="s">
        <v>2043</v>
      </c>
      <c r="M1395" t="s">
        <v>3364</v>
      </c>
      <c r="N1395" t="s">
        <v>3365</v>
      </c>
      <c r="O1395" t="s">
        <v>3366</v>
      </c>
      <c r="P1395" t="s">
        <v>3382</v>
      </c>
    </row>
    <row r="1396" spans="1:16" x14ac:dyDescent="0.3">
      <c r="A1396" t="s">
        <v>1031</v>
      </c>
      <c r="B1396" t="s">
        <v>3417</v>
      </c>
      <c r="C1396" t="s">
        <v>341</v>
      </c>
      <c r="F1396" t="s">
        <v>3361</v>
      </c>
      <c r="G1396" t="s">
        <v>2746</v>
      </c>
      <c r="H1396" t="s">
        <v>2248</v>
      </c>
      <c r="I1396" t="s">
        <v>3418</v>
      </c>
      <c r="J1396" t="s">
        <v>3369</v>
      </c>
      <c r="K1396" t="s">
        <v>1661</v>
      </c>
      <c r="L1396" t="s">
        <v>2043</v>
      </c>
      <c r="M1396" t="s">
        <v>3364</v>
      </c>
      <c r="N1396" t="s">
        <v>3365</v>
      </c>
      <c r="O1396" t="s">
        <v>3366</v>
      </c>
      <c r="P1396" t="s">
        <v>3382</v>
      </c>
    </row>
    <row r="1397" spans="1:16" x14ac:dyDescent="0.3">
      <c r="A1397" t="s">
        <v>360</v>
      </c>
      <c r="B1397" t="s">
        <v>3417</v>
      </c>
      <c r="C1397" t="s">
        <v>341</v>
      </c>
      <c r="F1397" t="s">
        <v>3361</v>
      </c>
      <c r="G1397" t="s">
        <v>2746</v>
      </c>
      <c r="H1397" t="s">
        <v>2248</v>
      </c>
      <c r="I1397" t="s">
        <v>3418</v>
      </c>
      <c r="J1397" t="s">
        <v>3362</v>
      </c>
      <c r="K1397" t="s">
        <v>1661</v>
      </c>
      <c r="L1397" t="s">
        <v>2043</v>
      </c>
      <c r="M1397" t="s">
        <v>3364</v>
      </c>
      <c r="N1397" t="s">
        <v>3365</v>
      </c>
      <c r="O1397" t="s">
        <v>3366</v>
      </c>
      <c r="P1397" t="s">
        <v>3367</v>
      </c>
    </row>
    <row r="1398" spans="1:16" x14ac:dyDescent="0.3">
      <c r="A1398" t="s">
        <v>2345</v>
      </c>
      <c r="B1398" t="s">
        <v>3417</v>
      </c>
      <c r="C1398" t="s">
        <v>341</v>
      </c>
      <c r="F1398" t="s">
        <v>3361</v>
      </c>
      <c r="G1398" t="s">
        <v>2746</v>
      </c>
      <c r="H1398" t="s">
        <v>2248</v>
      </c>
      <c r="I1398" t="s">
        <v>3418</v>
      </c>
      <c r="J1398" t="s">
        <v>3369</v>
      </c>
      <c r="K1398" t="s">
        <v>1661</v>
      </c>
      <c r="L1398" t="s">
        <v>2043</v>
      </c>
      <c r="M1398" t="s">
        <v>3364</v>
      </c>
      <c r="N1398" t="s">
        <v>3365</v>
      </c>
      <c r="O1398" t="s">
        <v>3366</v>
      </c>
      <c r="P1398" t="s">
        <v>3382</v>
      </c>
    </row>
    <row r="1399" spans="1:16" x14ac:dyDescent="0.3">
      <c r="A1399" t="s">
        <v>1035</v>
      </c>
      <c r="B1399" t="s">
        <v>3417</v>
      </c>
      <c r="C1399" t="s">
        <v>341</v>
      </c>
      <c r="F1399" t="s">
        <v>3361</v>
      </c>
      <c r="G1399" t="s">
        <v>2746</v>
      </c>
      <c r="H1399" t="s">
        <v>2250</v>
      </c>
      <c r="I1399" t="s">
        <v>3418</v>
      </c>
      <c r="J1399" t="s">
        <v>3369</v>
      </c>
      <c r="K1399" t="s">
        <v>1661</v>
      </c>
      <c r="L1399" t="s">
        <v>3386</v>
      </c>
      <c r="M1399" t="s">
        <v>3364</v>
      </c>
      <c r="N1399" t="s">
        <v>3365</v>
      </c>
      <c r="O1399" t="s">
        <v>3366</v>
      </c>
      <c r="P1399" t="s">
        <v>3382</v>
      </c>
    </row>
    <row r="1400" spans="1:16" x14ac:dyDescent="0.3">
      <c r="A1400" t="s">
        <v>1036</v>
      </c>
      <c r="B1400" t="s">
        <v>3417</v>
      </c>
      <c r="C1400" t="s">
        <v>341</v>
      </c>
      <c r="F1400" t="s">
        <v>3361</v>
      </c>
      <c r="G1400" t="s">
        <v>2746</v>
      </c>
      <c r="H1400" t="s">
        <v>2250</v>
      </c>
      <c r="I1400" t="s">
        <v>3418</v>
      </c>
      <c r="J1400" t="s">
        <v>3369</v>
      </c>
      <c r="K1400" t="s">
        <v>1661</v>
      </c>
      <c r="L1400" t="s">
        <v>3386</v>
      </c>
      <c r="M1400" t="s">
        <v>3364</v>
      </c>
      <c r="N1400" t="s">
        <v>3365</v>
      </c>
      <c r="O1400" t="s">
        <v>3366</v>
      </c>
      <c r="P1400" t="s">
        <v>3382</v>
      </c>
    </row>
    <row r="1401" spans="1:16" x14ac:dyDescent="0.3">
      <c r="A1401" t="s">
        <v>1037</v>
      </c>
      <c r="B1401" t="s">
        <v>3417</v>
      </c>
      <c r="C1401" t="s">
        <v>341</v>
      </c>
      <c r="F1401" t="s">
        <v>3361</v>
      </c>
      <c r="G1401" t="s">
        <v>2746</v>
      </c>
      <c r="H1401" t="s">
        <v>2250</v>
      </c>
      <c r="I1401" t="s">
        <v>3418</v>
      </c>
      <c r="J1401" t="s">
        <v>3369</v>
      </c>
      <c r="K1401" t="s">
        <v>1661</v>
      </c>
      <c r="L1401" t="s">
        <v>3386</v>
      </c>
      <c r="M1401" t="s">
        <v>3364</v>
      </c>
      <c r="N1401" t="s">
        <v>3365</v>
      </c>
      <c r="O1401" t="s">
        <v>3366</v>
      </c>
      <c r="P1401" t="s">
        <v>3382</v>
      </c>
    </row>
    <row r="1402" spans="1:16" x14ac:dyDescent="0.3">
      <c r="A1402" t="s">
        <v>2346</v>
      </c>
      <c r="B1402" t="s">
        <v>3417</v>
      </c>
      <c r="C1402" t="s">
        <v>341</v>
      </c>
      <c r="F1402" t="s">
        <v>3361</v>
      </c>
      <c r="G1402" t="s">
        <v>2746</v>
      </c>
      <c r="H1402" t="s">
        <v>2250</v>
      </c>
      <c r="I1402" t="s">
        <v>3418</v>
      </c>
      <c r="J1402" t="s">
        <v>3369</v>
      </c>
      <c r="K1402" t="s">
        <v>1661</v>
      </c>
      <c r="L1402" t="s">
        <v>3386</v>
      </c>
      <c r="M1402" t="s">
        <v>3364</v>
      </c>
      <c r="N1402" t="s">
        <v>3365</v>
      </c>
      <c r="O1402" t="s">
        <v>3366</v>
      </c>
      <c r="P1402" t="s">
        <v>3382</v>
      </c>
    </row>
    <row r="1403" spans="1:16" x14ac:dyDescent="0.3">
      <c r="A1403" t="s">
        <v>2347</v>
      </c>
      <c r="B1403" t="s">
        <v>3417</v>
      </c>
      <c r="C1403" t="s">
        <v>341</v>
      </c>
      <c r="F1403" t="s">
        <v>3361</v>
      </c>
      <c r="G1403" t="s">
        <v>2746</v>
      </c>
      <c r="H1403" t="s">
        <v>2250</v>
      </c>
      <c r="I1403" t="s">
        <v>3418</v>
      </c>
      <c r="J1403" t="s">
        <v>3369</v>
      </c>
      <c r="K1403" t="s">
        <v>1661</v>
      </c>
      <c r="L1403" t="s">
        <v>3386</v>
      </c>
      <c r="M1403" t="s">
        <v>3364</v>
      </c>
      <c r="N1403" t="s">
        <v>3365</v>
      </c>
      <c r="O1403" t="s">
        <v>3366</v>
      </c>
      <c r="P1403" t="s">
        <v>3382</v>
      </c>
    </row>
    <row r="1404" spans="1:16" x14ac:dyDescent="0.3">
      <c r="A1404" t="s">
        <v>2348</v>
      </c>
      <c r="B1404" t="s">
        <v>3417</v>
      </c>
      <c r="C1404" t="s">
        <v>341</v>
      </c>
      <c r="F1404" t="s">
        <v>3361</v>
      </c>
      <c r="G1404" t="s">
        <v>2746</v>
      </c>
      <c r="H1404" t="s">
        <v>2250</v>
      </c>
      <c r="I1404" t="s">
        <v>3418</v>
      </c>
      <c r="J1404" t="s">
        <v>3369</v>
      </c>
      <c r="K1404" t="s">
        <v>1661</v>
      </c>
      <c r="L1404" t="s">
        <v>3386</v>
      </c>
      <c r="M1404" t="s">
        <v>3364</v>
      </c>
      <c r="N1404" t="s">
        <v>3365</v>
      </c>
      <c r="O1404" t="s">
        <v>3366</v>
      </c>
      <c r="P1404" t="s">
        <v>3382</v>
      </c>
    </row>
    <row r="1405" spans="1:16" x14ac:dyDescent="0.3">
      <c r="A1405" t="s">
        <v>2349</v>
      </c>
      <c r="B1405" t="s">
        <v>3417</v>
      </c>
      <c r="C1405" t="s">
        <v>341</v>
      </c>
      <c r="F1405" t="s">
        <v>3361</v>
      </c>
      <c r="G1405" t="s">
        <v>2746</v>
      </c>
      <c r="H1405" t="s">
        <v>2250</v>
      </c>
      <c r="I1405" t="s">
        <v>3418</v>
      </c>
      <c r="J1405" t="s">
        <v>3369</v>
      </c>
      <c r="K1405" t="s">
        <v>1661</v>
      </c>
      <c r="L1405" t="s">
        <v>3386</v>
      </c>
      <c r="M1405" t="s">
        <v>3364</v>
      </c>
      <c r="N1405" t="s">
        <v>3365</v>
      </c>
      <c r="O1405" t="s">
        <v>3366</v>
      </c>
      <c r="P1405" t="s">
        <v>3382</v>
      </c>
    </row>
    <row r="1406" spans="1:16" x14ac:dyDescent="0.3">
      <c r="A1406" t="s">
        <v>2324</v>
      </c>
      <c r="B1406" t="s">
        <v>3417</v>
      </c>
      <c r="C1406" t="s">
        <v>341</v>
      </c>
      <c r="F1406" t="s">
        <v>3361</v>
      </c>
      <c r="G1406" t="s">
        <v>2746</v>
      </c>
      <c r="H1406" t="s">
        <v>2250</v>
      </c>
      <c r="I1406" t="s">
        <v>3418</v>
      </c>
      <c r="J1406" t="s">
        <v>3369</v>
      </c>
      <c r="K1406" t="s">
        <v>1661</v>
      </c>
      <c r="L1406" t="s">
        <v>3386</v>
      </c>
      <c r="M1406" t="s">
        <v>3364</v>
      </c>
      <c r="N1406" t="s">
        <v>3365</v>
      </c>
      <c r="O1406" t="s">
        <v>3366</v>
      </c>
      <c r="P1406" t="s">
        <v>3382</v>
      </c>
    </row>
    <row r="1407" spans="1:16" x14ac:dyDescent="0.3">
      <c r="A1407" t="s">
        <v>882</v>
      </c>
      <c r="B1407" t="s">
        <v>3417</v>
      </c>
      <c r="C1407" t="s">
        <v>341</v>
      </c>
      <c r="F1407" t="s">
        <v>3361</v>
      </c>
      <c r="G1407" t="s">
        <v>2746</v>
      </c>
      <c r="H1407" t="s">
        <v>2252</v>
      </c>
      <c r="I1407" t="s">
        <v>3418</v>
      </c>
      <c r="J1407" t="s">
        <v>3369</v>
      </c>
      <c r="K1407" t="s">
        <v>1661</v>
      </c>
      <c r="L1407" t="s">
        <v>3386</v>
      </c>
      <c r="M1407" t="s">
        <v>3364</v>
      </c>
      <c r="N1407" t="s">
        <v>3365</v>
      </c>
      <c r="O1407" t="s">
        <v>3366</v>
      </c>
      <c r="P1407" t="s">
        <v>3382</v>
      </c>
    </row>
    <row r="1408" spans="1:16" x14ac:dyDescent="0.3">
      <c r="A1408" t="s">
        <v>2350</v>
      </c>
      <c r="B1408" t="s">
        <v>3417</v>
      </c>
      <c r="C1408" t="s">
        <v>341</v>
      </c>
      <c r="F1408" t="s">
        <v>3361</v>
      </c>
      <c r="G1408" t="s">
        <v>2746</v>
      </c>
      <c r="H1408" t="s">
        <v>2252</v>
      </c>
      <c r="I1408" t="s">
        <v>3418</v>
      </c>
      <c r="J1408" t="s">
        <v>3362</v>
      </c>
      <c r="K1408" t="s">
        <v>1661</v>
      </c>
      <c r="L1408" t="s">
        <v>3386</v>
      </c>
      <c r="M1408" t="s">
        <v>3364</v>
      </c>
      <c r="N1408" t="s">
        <v>3365</v>
      </c>
      <c r="O1408" t="s">
        <v>3366</v>
      </c>
      <c r="P1408" t="s">
        <v>3367</v>
      </c>
    </row>
    <row r="1409" spans="1:16" x14ac:dyDescent="0.3">
      <c r="A1409" t="s">
        <v>2351</v>
      </c>
      <c r="B1409" t="s">
        <v>3417</v>
      </c>
      <c r="C1409" t="s">
        <v>341</v>
      </c>
      <c r="F1409" t="s">
        <v>3361</v>
      </c>
      <c r="G1409" t="s">
        <v>2746</v>
      </c>
      <c r="H1409" t="s">
        <v>2252</v>
      </c>
      <c r="I1409" t="s">
        <v>3418</v>
      </c>
      <c r="J1409" t="s">
        <v>3369</v>
      </c>
      <c r="K1409" t="s">
        <v>1661</v>
      </c>
      <c r="L1409" t="s">
        <v>3386</v>
      </c>
      <c r="M1409" t="s">
        <v>3364</v>
      </c>
      <c r="N1409" t="s">
        <v>3365</v>
      </c>
      <c r="O1409" t="s">
        <v>3366</v>
      </c>
      <c r="P1409" t="s">
        <v>3382</v>
      </c>
    </row>
    <row r="1410" spans="1:16" x14ac:dyDescent="0.3">
      <c r="A1410" t="s">
        <v>2352</v>
      </c>
      <c r="B1410" t="s">
        <v>3417</v>
      </c>
      <c r="C1410" t="s">
        <v>341</v>
      </c>
      <c r="F1410" t="s">
        <v>3361</v>
      </c>
      <c r="G1410" t="s">
        <v>2746</v>
      </c>
      <c r="H1410" t="s">
        <v>2252</v>
      </c>
      <c r="I1410" t="s">
        <v>3418</v>
      </c>
      <c r="J1410" t="s">
        <v>3369</v>
      </c>
      <c r="K1410" t="s">
        <v>1661</v>
      </c>
      <c r="L1410" t="s">
        <v>3386</v>
      </c>
      <c r="M1410" t="s">
        <v>3364</v>
      </c>
      <c r="N1410" t="s">
        <v>3365</v>
      </c>
      <c r="O1410" t="s">
        <v>3366</v>
      </c>
      <c r="P1410" t="s">
        <v>3382</v>
      </c>
    </row>
    <row r="1411" spans="1:16" x14ac:dyDescent="0.3">
      <c r="A1411" t="s">
        <v>2353</v>
      </c>
      <c r="B1411" t="s">
        <v>3417</v>
      </c>
      <c r="C1411" t="s">
        <v>341</v>
      </c>
      <c r="F1411" t="s">
        <v>3361</v>
      </c>
      <c r="G1411" t="s">
        <v>2746</v>
      </c>
      <c r="H1411" t="s">
        <v>2252</v>
      </c>
      <c r="I1411" t="s">
        <v>3418</v>
      </c>
      <c r="J1411" t="s">
        <v>3369</v>
      </c>
      <c r="K1411" t="s">
        <v>1661</v>
      </c>
      <c r="L1411" t="s">
        <v>3386</v>
      </c>
      <c r="M1411" t="s">
        <v>3364</v>
      </c>
      <c r="N1411" t="s">
        <v>3365</v>
      </c>
      <c r="O1411" t="s">
        <v>3366</v>
      </c>
      <c r="P1411" t="s">
        <v>3382</v>
      </c>
    </row>
    <row r="1412" spans="1:16" x14ac:dyDescent="0.3">
      <c r="A1412" t="s">
        <v>1621</v>
      </c>
      <c r="B1412" t="s">
        <v>3417</v>
      </c>
      <c r="C1412" t="s">
        <v>341</v>
      </c>
      <c r="F1412" t="s">
        <v>3361</v>
      </c>
      <c r="G1412" t="s">
        <v>2746</v>
      </c>
      <c r="H1412" t="s">
        <v>2252</v>
      </c>
      <c r="I1412" t="s">
        <v>3418</v>
      </c>
      <c r="J1412" t="s">
        <v>3369</v>
      </c>
      <c r="K1412" t="s">
        <v>1661</v>
      </c>
      <c r="L1412" t="s">
        <v>3386</v>
      </c>
      <c r="M1412" t="s">
        <v>3364</v>
      </c>
      <c r="N1412" t="s">
        <v>3365</v>
      </c>
      <c r="O1412" t="s">
        <v>3366</v>
      </c>
      <c r="P1412" t="s">
        <v>3382</v>
      </c>
    </row>
    <row r="1413" spans="1:16" x14ac:dyDescent="0.3">
      <c r="A1413" t="s">
        <v>2310</v>
      </c>
      <c r="B1413" t="s">
        <v>3417</v>
      </c>
      <c r="C1413" t="s">
        <v>341</v>
      </c>
      <c r="F1413" t="s">
        <v>3361</v>
      </c>
      <c r="G1413" t="s">
        <v>2746</v>
      </c>
      <c r="H1413" t="s">
        <v>2252</v>
      </c>
      <c r="I1413" t="s">
        <v>3418</v>
      </c>
      <c r="J1413" t="s">
        <v>3369</v>
      </c>
      <c r="K1413" t="s">
        <v>1661</v>
      </c>
      <c r="L1413" t="s">
        <v>3386</v>
      </c>
      <c r="M1413" t="s">
        <v>3364</v>
      </c>
      <c r="N1413" t="s">
        <v>3365</v>
      </c>
      <c r="O1413" t="s">
        <v>3366</v>
      </c>
      <c r="P1413" t="s">
        <v>3382</v>
      </c>
    </row>
    <row r="1414" spans="1:16" x14ac:dyDescent="0.3">
      <c r="A1414" t="s">
        <v>880</v>
      </c>
      <c r="B1414" t="s">
        <v>3417</v>
      </c>
      <c r="C1414" t="s">
        <v>341</v>
      </c>
      <c r="F1414" t="s">
        <v>3361</v>
      </c>
      <c r="G1414" t="s">
        <v>2746</v>
      </c>
      <c r="H1414" t="s">
        <v>2252</v>
      </c>
      <c r="I1414" t="s">
        <v>3418</v>
      </c>
      <c r="J1414" t="s">
        <v>3369</v>
      </c>
      <c r="K1414" t="s">
        <v>1661</v>
      </c>
      <c r="L1414" t="s">
        <v>3386</v>
      </c>
      <c r="M1414" t="s">
        <v>3364</v>
      </c>
      <c r="N1414" t="s">
        <v>3365</v>
      </c>
      <c r="O1414" t="s">
        <v>3366</v>
      </c>
      <c r="P1414" t="s">
        <v>3382</v>
      </c>
    </row>
    <row r="1415" spans="1:16" x14ac:dyDescent="0.3">
      <c r="A1415" t="s">
        <v>2354</v>
      </c>
      <c r="B1415" t="s">
        <v>3417</v>
      </c>
      <c r="C1415" t="s">
        <v>341</v>
      </c>
      <c r="F1415" t="s">
        <v>3361</v>
      </c>
      <c r="G1415" t="s">
        <v>2746</v>
      </c>
      <c r="H1415" t="s">
        <v>2252</v>
      </c>
      <c r="I1415" t="s">
        <v>3418</v>
      </c>
      <c r="J1415" t="s">
        <v>3362</v>
      </c>
      <c r="K1415" t="s">
        <v>1661</v>
      </c>
      <c r="L1415" t="s">
        <v>3386</v>
      </c>
      <c r="M1415" t="s">
        <v>3364</v>
      </c>
      <c r="N1415" t="s">
        <v>3365</v>
      </c>
      <c r="O1415" t="s">
        <v>3366</v>
      </c>
      <c r="P1415" t="s">
        <v>3367</v>
      </c>
    </row>
    <row r="1416" spans="1:16" x14ac:dyDescent="0.3">
      <c r="A1416" t="s">
        <v>881</v>
      </c>
      <c r="B1416" t="s">
        <v>3417</v>
      </c>
      <c r="C1416" t="s">
        <v>341</v>
      </c>
      <c r="F1416" t="s">
        <v>3361</v>
      </c>
      <c r="G1416" t="s">
        <v>2746</v>
      </c>
      <c r="H1416" t="s">
        <v>2252</v>
      </c>
      <c r="I1416" t="s">
        <v>3418</v>
      </c>
      <c r="J1416" t="s">
        <v>3369</v>
      </c>
      <c r="K1416" t="s">
        <v>1661</v>
      </c>
      <c r="L1416" t="s">
        <v>3386</v>
      </c>
      <c r="M1416" t="s">
        <v>3364</v>
      </c>
      <c r="N1416" t="s">
        <v>3365</v>
      </c>
      <c r="O1416" t="s">
        <v>3366</v>
      </c>
      <c r="P1416" t="s">
        <v>3382</v>
      </c>
    </row>
    <row r="1417" spans="1:16" x14ac:dyDescent="0.3">
      <c r="A1417" t="s">
        <v>2355</v>
      </c>
      <c r="B1417" t="s">
        <v>3417</v>
      </c>
      <c r="C1417" t="s">
        <v>341</v>
      </c>
      <c r="F1417" t="s">
        <v>3361</v>
      </c>
      <c r="G1417" t="s">
        <v>2746</v>
      </c>
      <c r="H1417" t="s">
        <v>2252</v>
      </c>
      <c r="I1417" t="s">
        <v>3418</v>
      </c>
      <c r="J1417" t="s">
        <v>3369</v>
      </c>
      <c r="K1417" t="s">
        <v>1661</v>
      </c>
      <c r="L1417" t="s">
        <v>3386</v>
      </c>
      <c r="M1417" t="s">
        <v>3364</v>
      </c>
      <c r="N1417" t="s">
        <v>3365</v>
      </c>
      <c r="O1417" t="s">
        <v>3366</v>
      </c>
      <c r="P1417" t="s">
        <v>3382</v>
      </c>
    </row>
    <row r="1418" spans="1:16" x14ac:dyDescent="0.3">
      <c r="A1418" t="s">
        <v>2356</v>
      </c>
      <c r="B1418" t="s">
        <v>3417</v>
      </c>
      <c r="C1418" t="s">
        <v>341</v>
      </c>
      <c r="F1418" t="s">
        <v>3361</v>
      </c>
      <c r="G1418" t="s">
        <v>2746</v>
      </c>
      <c r="H1418" t="s">
        <v>2252</v>
      </c>
      <c r="I1418" t="s">
        <v>3418</v>
      </c>
      <c r="J1418" t="s">
        <v>3369</v>
      </c>
      <c r="K1418" t="s">
        <v>1661</v>
      </c>
      <c r="L1418" t="s">
        <v>3386</v>
      </c>
      <c r="M1418" t="s">
        <v>3364</v>
      </c>
      <c r="N1418" t="s">
        <v>3365</v>
      </c>
      <c r="O1418" t="s">
        <v>3366</v>
      </c>
      <c r="P1418" t="s">
        <v>3382</v>
      </c>
    </row>
    <row r="1419" spans="1:16" x14ac:dyDescent="0.3">
      <c r="A1419" t="s">
        <v>2357</v>
      </c>
      <c r="B1419" t="s">
        <v>3417</v>
      </c>
      <c r="C1419" t="s">
        <v>341</v>
      </c>
      <c r="F1419" t="s">
        <v>3361</v>
      </c>
      <c r="G1419" t="s">
        <v>2746</v>
      </c>
      <c r="H1419" t="s">
        <v>2252</v>
      </c>
      <c r="I1419" t="s">
        <v>3418</v>
      </c>
      <c r="J1419" t="s">
        <v>3369</v>
      </c>
      <c r="K1419" t="s">
        <v>1661</v>
      </c>
      <c r="L1419" t="s">
        <v>3386</v>
      </c>
      <c r="M1419" t="s">
        <v>3364</v>
      </c>
      <c r="N1419" t="s">
        <v>3365</v>
      </c>
      <c r="O1419" t="s">
        <v>3366</v>
      </c>
      <c r="P1419" t="s">
        <v>3382</v>
      </c>
    </row>
    <row r="1420" spans="1:16" x14ac:dyDescent="0.3">
      <c r="A1420" t="s">
        <v>2358</v>
      </c>
      <c r="B1420" t="s">
        <v>3417</v>
      </c>
      <c r="C1420" t="s">
        <v>341</v>
      </c>
      <c r="F1420" t="s">
        <v>3361</v>
      </c>
      <c r="G1420" t="s">
        <v>2746</v>
      </c>
      <c r="H1420" t="s">
        <v>2252</v>
      </c>
      <c r="I1420" t="s">
        <v>3418</v>
      </c>
      <c r="J1420" t="s">
        <v>3369</v>
      </c>
      <c r="K1420" t="s">
        <v>1661</v>
      </c>
      <c r="L1420" t="s">
        <v>3386</v>
      </c>
      <c r="M1420" t="s">
        <v>3364</v>
      </c>
      <c r="N1420" t="s">
        <v>3365</v>
      </c>
      <c r="O1420" t="s">
        <v>3366</v>
      </c>
      <c r="P1420" t="s">
        <v>3382</v>
      </c>
    </row>
    <row r="1421" spans="1:16" x14ac:dyDescent="0.3">
      <c r="A1421" t="s">
        <v>343</v>
      </c>
      <c r="B1421" t="s">
        <v>3417</v>
      </c>
      <c r="C1421" t="s">
        <v>343</v>
      </c>
      <c r="F1421" t="s">
        <v>3361</v>
      </c>
      <c r="G1421" t="s">
        <v>2746</v>
      </c>
      <c r="H1421" t="s">
        <v>2242</v>
      </c>
      <c r="I1421" t="s">
        <v>3418</v>
      </c>
      <c r="J1421" t="s">
        <v>3369</v>
      </c>
      <c r="K1421" t="s">
        <v>1661</v>
      </c>
      <c r="L1421" t="s">
        <v>3386</v>
      </c>
      <c r="M1421" t="s">
        <v>3364</v>
      </c>
      <c r="N1421" t="s">
        <v>3365</v>
      </c>
      <c r="O1421" t="s">
        <v>3366</v>
      </c>
      <c r="P1421" t="s">
        <v>3382</v>
      </c>
    </row>
    <row r="1422" spans="1:16" x14ac:dyDescent="0.3">
      <c r="A1422" t="s">
        <v>2362</v>
      </c>
      <c r="B1422" t="s">
        <v>3417</v>
      </c>
      <c r="C1422" t="s">
        <v>343</v>
      </c>
      <c r="F1422" t="s">
        <v>3361</v>
      </c>
      <c r="G1422" t="s">
        <v>2746</v>
      </c>
      <c r="H1422" t="s">
        <v>2242</v>
      </c>
      <c r="I1422" t="s">
        <v>3418</v>
      </c>
      <c r="J1422" t="s">
        <v>3369</v>
      </c>
      <c r="K1422" t="s">
        <v>1661</v>
      </c>
      <c r="L1422" t="s">
        <v>3386</v>
      </c>
      <c r="M1422" t="s">
        <v>3364</v>
      </c>
      <c r="N1422" t="s">
        <v>3365</v>
      </c>
      <c r="O1422" t="s">
        <v>3366</v>
      </c>
      <c r="P1422" t="s">
        <v>3382</v>
      </c>
    </row>
    <row r="1423" spans="1:16" x14ac:dyDescent="0.3">
      <c r="A1423" t="s">
        <v>700</v>
      </c>
      <c r="B1423" t="s">
        <v>3417</v>
      </c>
      <c r="C1423" t="s">
        <v>343</v>
      </c>
      <c r="F1423" t="s">
        <v>3361</v>
      </c>
      <c r="G1423" t="s">
        <v>2746</v>
      </c>
      <c r="H1423" t="s">
        <v>2244</v>
      </c>
      <c r="I1423" t="s">
        <v>3418</v>
      </c>
      <c r="J1423" t="s">
        <v>3369</v>
      </c>
      <c r="K1423" t="s">
        <v>1661</v>
      </c>
      <c r="L1423" t="s">
        <v>3386</v>
      </c>
      <c r="M1423" t="s">
        <v>3364</v>
      </c>
      <c r="N1423" t="s">
        <v>3365</v>
      </c>
      <c r="O1423" t="s">
        <v>3366</v>
      </c>
      <c r="P1423" t="s">
        <v>3382</v>
      </c>
    </row>
    <row r="1424" spans="1:16" x14ac:dyDescent="0.3">
      <c r="A1424" t="s">
        <v>703</v>
      </c>
      <c r="B1424" t="s">
        <v>3417</v>
      </c>
      <c r="C1424" t="s">
        <v>343</v>
      </c>
      <c r="F1424" t="s">
        <v>3361</v>
      </c>
      <c r="G1424" t="s">
        <v>2746</v>
      </c>
      <c r="H1424" t="s">
        <v>2244</v>
      </c>
      <c r="I1424" t="s">
        <v>3418</v>
      </c>
      <c r="J1424" t="s">
        <v>3369</v>
      </c>
      <c r="K1424" t="s">
        <v>1661</v>
      </c>
      <c r="L1424" t="s">
        <v>3386</v>
      </c>
      <c r="M1424" t="s">
        <v>3364</v>
      </c>
      <c r="N1424" t="s">
        <v>3365</v>
      </c>
      <c r="O1424" t="s">
        <v>3366</v>
      </c>
      <c r="P1424" t="s">
        <v>3382</v>
      </c>
    </row>
    <row r="1425" spans="1:16" x14ac:dyDescent="0.3">
      <c r="A1425" t="s">
        <v>2363</v>
      </c>
      <c r="B1425" t="s">
        <v>3417</v>
      </c>
      <c r="C1425" t="s">
        <v>343</v>
      </c>
      <c r="F1425" t="s">
        <v>3361</v>
      </c>
      <c r="G1425" t="s">
        <v>2746</v>
      </c>
      <c r="H1425" t="s">
        <v>2244</v>
      </c>
      <c r="I1425" t="s">
        <v>3418</v>
      </c>
      <c r="J1425" t="s">
        <v>3369</v>
      </c>
      <c r="K1425" t="s">
        <v>1661</v>
      </c>
      <c r="L1425" t="s">
        <v>3386</v>
      </c>
      <c r="M1425" t="s">
        <v>3364</v>
      </c>
      <c r="N1425" t="s">
        <v>3365</v>
      </c>
      <c r="O1425" t="s">
        <v>3366</v>
      </c>
      <c r="P1425" t="s">
        <v>3382</v>
      </c>
    </row>
    <row r="1426" spans="1:16" x14ac:dyDescent="0.3">
      <c r="A1426" t="s">
        <v>2364</v>
      </c>
      <c r="B1426" t="s">
        <v>3417</v>
      </c>
      <c r="C1426" t="s">
        <v>343</v>
      </c>
      <c r="F1426" t="s">
        <v>3361</v>
      </c>
      <c r="G1426" t="s">
        <v>2746</v>
      </c>
      <c r="H1426" t="s">
        <v>2244</v>
      </c>
      <c r="I1426" t="s">
        <v>3418</v>
      </c>
      <c r="J1426" t="s">
        <v>3369</v>
      </c>
      <c r="K1426" t="s">
        <v>1661</v>
      </c>
      <c r="L1426" t="s">
        <v>3386</v>
      </c>
      <c r="M1426" t="s">
        <v>3364</v>
      </c>
      <c r="N1426" t="s">
        <v>3365</v>
      </c>
      <c r="O1426" t="s">
        <v>3366</v>
      </c>
      <c r="P1426" t="s">
        <v>3382</v>
      </c>
    </row>
    <row r="1427" spans="1:16" x14ac:dyDescent="0.3">
      <c r="A1427" t="s">
        <v>2365</v>
      </c>
      <c r="B1427" t="s">
        <v>3417</v>
      </c>
      <c r="C1427" t="s">
        <v>343</v>
      </c>
      <c r="F1427" t="s">
        <v>3361</v>
      </c>
      <c r="G1427" t="s">
        <v>2746</v>
      </c>
      <c r="H1427" t="s">
        <v>2244</v>
      </c>
      <c r="I1427" t="s">
        <v>3418</v>
      </c>
      <c r="J1427" t="s">
        <v>3369</v>
      </c>
      <c r="K1427" t="s">
        <v>1661</v>
      </c>
      <c r="L1427" t="s">
        <v>3386</v>
      </c>
      <c r="M1427" t="s">
        <v>3364</v>
      </c>
      <c r="N1427" t="s">
        <v>3365</v>
      </c>
      <c r="O1427" t="s">
        <v>3366</v>
      </c>
      <c r="P1427" t="s">
        <v>3382</v>
      </c>
    </row>
    <row r="1428" spans="1:16" x14ac:dyDescent="0.3">
      <c r="A1428" t="s">
        <v>870</v>
      </c>
      <c r="B1428" t="s">
        <v>3417</v>
      </c>
      <c r="C1428" t="s">
        <v>343</v>
      </c>
      <c r="F1428" t="s">
        <v>3361</v>
      </c>
      <c r="G1428" t="s">
        <v>2746</v>
      </c>
      <c r="H1428" t="s">
        <v>2244</v>
      </c>
      <c r="I1428" t="s">
        <v>3418</v>
      </c>
      <c r="J1428" t="s">
        <v>3369</v>
      </c>
      <c r="K1428" t="s">
        <v>1661</v>
      </c>
      <c r="L1428" t="s">
        <v>3386</v>
      </c>
      <c r="M1428" t="s">
        <v>3364</v>
      </c>
      <c r="N1428" t="s">
        <v>3365</v>
      </c>
      <c r="O1428" t="s">
        <v>3366</v>
      </c>
      <c r="P1428" t="s">
        <v>3382</v>
      </c>
    </row>
    <row r="1429" spans="1:16" x14ac:dyDescent="0.3">
      <c r="A1429" t="s">
        <v>2366</v>
      </c>
      <c r="B1429" t="s">
        <v>3417</v>
      </c>
      <c r="C1429" t="s">
        <v>343</v>
      </c>
      <c r="F1429" t="s">
        <v>3361</v>
      </c>
      <c r="G1429" t="s">
        <v>2746</v>
      </c>
      <c r="H1429" t="s">
        <v>2244</v>
      </c>
      <c r="I1429" t="s">
        <v>3418</v>
      </c>
      <c r="J1429" t="s">
        <v>3369</v>
      </c>
      <c r="K1429" t="s">
        <v>1661</v>
      </c>
      <c r="L1429" t="s">
        <v>3386</v>
      </c>
      <c r="M1429" t="s">
        <v>3364</v>
      </c>
      <c r="N1429" t="s">
        <v>3365</v>
      </c>
      <c r="O1429" t="s">
        <v>3366</v>
      </c>
      <c r="P1429" t="s">
        <v>3382</v>
      </c>
    </row>
    <row r="1430" spans="1:16" x14ac:dyDescent="0.3">
      <c r="A1430" t="s">
        <v>2367</v>
      </c>
      <c r="B1430" t="s">
        <v>3417</v>
      </c>
      <c r="C1430" t="s">
        <v>343</v>
      </c>
      <c r="F1430" t="s">
        <v>3361</v>
      </c>
      <c r="G1430" t="s">
        <v>2746</v>
      </c>
      <c r="H1430" t="s">
        <v>2244</v>
      </c>
      <c r="I1430" t="s">
        <v>3418</v>
      </c>
      <c r="J1430" t="s">
        <v>3369</v>
      </c>
      <c r="K1430" t="s">
        <v>1661</v>
      </c>
      <c r="L1430" t="s">
        <v>3386</v>
      </c>
      <c r="M1430" t="s">
        <v>3364</v>
      </c>
      <c r="N1430" t="s">
        <v>3365</v>
      </c>
      <c r="O1430" t="s">
        <v>3366</v>
      </c>
      <c r="P1430" t="s">
        <v>3382</v>
      </c>
    </row>
    <row r="1431" spans="1:16" x14ac:dyDescent="0.3">
      <c r="A1431" t="s">
        <v>702</v>
      </c>
      <c r="B1431" t="s">
        <v>3417</v>
      </c>
      <c r="C1431" t="s">
        <v>343</v>
      </c>
      <c r="F1431" t="s">
        <v>3361</v>
      </c>
      <c r="G1431" t="s">
        <v>2746</v>
      </c>
      <c r="H1431" t="s">
        <v>2244</v>
      </c>
      <c r="I1431" t="s">
        <v>3418</v>
      </c>
      <c r="J1431" t="s">
        <v>3369</v>
      </c>
      <c r="K1431" t="s">
        <v>1661</v>
      </c>
      <c r="L1431" t="s">
        <v>3386</v>
      </c>
      <c r="M1431" t="s">
        <v>3364</v>
      </c>
      <c r="N1431" t="s">
        <v>3365</v>
      </c>
      <c r="O1431" t="s">
        <v>3366</v>
      </c>
      <c r="P1431" t="s">
        <v>3382</v>
      </c>
    </row>
    <row r="1432" spans="1:16" x14ac:dyDescent="0.3">
      <c r="A1432" t="s">
        <v>2368</v>
      </c>
      <c r="B1432" t="s">
        <v>3417</v>
      </c>
      <c r="C1432" t="s">
        <v>343</v>
      </c>
      <c r="F1432" t="s">
        <v>3361</v>
      </c>
      <c r="G1432" t="s">
        <v>2746</v>
      </c>
      <c r="H1432" t="s">
        <v>2244</v>
      </c>
      <c r="I1432" t="s">
        <v>3418</v>
      </c>
      <c r="J1432" t="s">
        <v>3369</v>
      </c>
      <c r="K1432" t="s">
        <v>1661</v>
      </c>
      <c r="L1432" t="s">
        <v>3386</v>
      </c>
      <c r="M1432" t="s">
        <v>3364</v>
      </c>
      <c r="N1432" t="s">
        <v>3365</v>
      </c>
      <c r="O1432" t="s">
        <v>3366</v>
      </c>
      <c r="P1432" t="s">
        <v>3382</v>
      </c>
    </row>
    <row r="1433" spans="1:16" x14ac:dyDescent="0.3">
      <c r="A1433" t="s">
        <v>2369</v>
      </c>
      <c r="B1433" t="s">
        <v>3417</v>
      </c>
      <c r="C1433" t="s">
        <v>343</v>
      </c>
      <c r="F1433" t="s">
        <v>3361</v>
      </c>
      <c r="G1433" t="s">
        <v>2746</v>
      </c>
      <c r="H1433" t="s">
        <v>2244</v>
      </c>
      <c r="I1433" t="s">
        <v>3418</v>
      </c>
      <c r="J1433" t="s">
        <v>3369</v>
      </c>
      <c r="K1433" t="s">
        <v>1661</v>
      </c>
      <c r="L1433" t="s">
        <v>3386</v>
      </c>
      <c r="M1433" t="s">
        <v>3364</v>
      </c>
      <c r="N1433" t="s">
        <v>3365</v>
      </c>
      <c r="O1433" t="s">
        <v>3366</v>
      </c>
      <c r="P1433" t="s">
        <v>3382</v>
      </c>
    </row>
    <row r="1434" spans="1:16" x14ac:dyDescent="0.3">
      <c r="A1434" t="s">
        <v>2370</v>
      </c>
      <c r="B1434" t="s">
        <v>3417</v>
      </c>
      <c r="C1434" t="s">
        <v>343</v>
      </c>
      <c r="F1434" t="s">
        <v>3361</v>
      </c>
      <c r="G1434" t="s">
        <v>2746</v>
      </c>
      <c r="H1434" t="s">
        <v>2244</v>
      </c>
      <c r="I1434" t="s">
        <v>3418</v>
      </c>
      <c r="J1434" t="s">
        <v>3369</v>
      </c>
      <c r="K1434" t="s">
        <v>1661</v>
      </c>
      <c r="L1434" t="s">
        <v>3386</v>
      </c>
      <c r="M1434" t="s">
        <v>3364</v>
      </c>
      <c r="N1434" t="s">
        <v>3365</v>
      </c>
      <c r="O1434" t="s">
        <v>3366</v>
      </c>
      <c r="P1434" t="s">
        <v>3382</v>
      </c>
    </row>
    <row r="1435" spans="1:16" x14ac:dyDescent="0.3">
      <c r="A1435" t="s">
        <v>2371</v>
      </c>
      <c r="B1435" t="s">
        <v>3417</v>
      </c>
      <c r="C1435" t="s">
        <v>343</v>
      </c>
      <c r="F1435" t="s">
        <v>3361</v>
      </c>
      <c r="G1435" t="s">
        <v>2746</v>
      </c>
      <c r="H1435" t="s">
        <v>2244</v>
      </c>
      <c r="I1435" t="s">
        <v>3418</v>
      </c>
      <c r="J1435" t="s">
        <v>3369</v>
      </c>
      <c r="K1435" t="s">
        <v>1661</v>
      </c>
      <c r="L1435" t="s">
        <v>3386</v>
      </c>
      <c r="M1435" t="s">
        <v>3364</v>
      </c>
      <c r="N1435" t="s">
        <v>3365</v>
      </c>
      <c r="O1435" t="s">
        <v>3366</v>
      </c>
      <c r="P1435" t="s">
        <v>3382</v>
      </c>
    </row>
    <row r="1436" spans="1:16" x14ac:dyDescent="0.3">
      <c r="A1436" t="s">
        <v>2372</v>
      </c>
      <c r="B1436" t="s">
        <v>3417</v>
      </c>
      <c r="C1436" t="s">
        <v>343</v>
      </c>
      <c r="F1436" t="s">
        <v>3361</v>
      </c>
      <c r="G1436" t="s">
        <v>2746</v>
      </c>
      <c r="H1436" t="s">
        <v>2244</v>
      </c>
      <c r="I1436" t="s">
        <v>3418</v>
      </c>
      <c r="J1436" t="s">
        <v>3369</v>
      </c>
      <c r="K1436" t="s">
        <v>1661</v>
      </c>
      <c r="L1436" t="s">
        <v>3386</v>
      </c>
      <c r="M1436" t="s">
        <v>3364</v>
      </c>
      <c r="N1436" t="s">
        <v>3365</v>
      </c>
      <c r="O1436" t="s">
        <v>3366</v>
      </c>
      <c r="P1436" t="s">
        <v>3382</v>
      </c>
    </row>
    <row r="1437" spans="1:16" x14ac:dyDescent="0.3">
      <c r="A1437" t="s">
        <v>2373</v>
      </c>
      <c r="B1437" t="s">
        <v>3417</v>
      </c>
      <c r="C1437" t="s">
        <v>343</v>
      </c>
      <c r="F1437" t="s">
        <v>3361</v>
      </c>
      <c r="G1437" t="s">
        <v>2746</v>
      </c>
      <c r="H1437" t="s">
        <v>2244</v>
      </c>
      <c r="I1437" t="s">
        <v>3418</v>
      </c>
      <c r="J1437" t="s">
        <v>3369</v>
      </c>
      <c r="K1437" t="s">
        <v>1661</v>
      </c>
      <c r="L1437" t="s">
        <v>3386</v>
      </c>
      <c r="M1437" t="s">
        <v>3364</v>
      </c>
      <c r="N1437" t="s">
        <v>3365</v>
      </c>
      <c r="O1437" t="s">
        <v>3366</v>
      </c>
      <c r="P1437" t="s">
        <v>3382</v>
      </c>
    </row>
    <row r="1438" spans="1:16" x14ac:dyDescent="0.3">
      <c r="A1438" t="s">
        <v>793</v>
      </c>
      <c r="B1438" t="s">
        <v>3417</v>
      </c>
      <c r="C1438" t="s">
        <v>343</v>
      </c>
      <c r="F1438" t="s">
        <v>3361</v>
      </c>
      <c r="G1438" t="s">
        <v>2746</v>
      </c>
      <c r="H1438" t="s">
        <v>2244</v>
      </c>
      <c r="I1438" t="s">
        <v>3418</v>
      </c>
      <c r="J1438" t="s">
        <v>3369</v>
      </c>
      <c r="K1438" t="s">
        <v>1661</v>
      </c>
      <c r="L1438" t="s">
        <v>3386</v>
      </c>
      <c r="M1438" t="s">
        <v>3364</v>
      </c>
      <c r="N1438" t="s">
        <v>3365</v>
      </c>
      <c r="O1438" t="s">
        <v>3366</v>
      </c>
      <c r="P1438" t="s">
        <v>3382</v>
      </c>
    </row>
    <row r="1439" spans="1:16" x14ac:dyDescent="0.3">
      <c r="A1439" t="s">
        <v>1563</v>
      </c>
      <c r="B1439" t="s">
        <v>3417</v>
      </c>
      <c r="C1439" t="s">
        <v>343</v>
      </c>
      <c r="F1439" t="s">
        <v>3361</v>
      </c>
      <c r="G1439" t="s">
        <v>2746</v>
      </c>
      <c r="H1439" t="s">
        <v>2246</v>
      </c>
      <c r="I1439" t="s">
        <v>3418</v>
      </c>
      <c r="J1439" t="s">
        <v>3369</v>
      </c>
      <c r="K1439" t="s">
        <v>1661</v>
      </c>
      <c r="L1439" t="s">
        <v>3386</v>
      </c>
      <c r="M1439" t="s">
        <v>3364</v>
      </c>
      <c r="N1439" t="s">
        <v>3365</v>
      </c>
      <c r="O1439" t="s">
        <v>3366</v>
      </c>
      <c r="P1439" t="s">
        <v>3382</v>
      </c>
    </row>
    <row r="1440" spans="1:16" x14ac:dyDescent="0.3">
      <c r="A1440" t="s">
        <v>2374</v>
      </c>
      <c r="B1440" t="s">
        <v>3417</v>
      </c>
      <c r="C1440" t="s">
        <v>343</v>
      </c>
      <c r="F1440" t="s">
        <v>3361</v>
      </c>
      <c r="G1440" t="s">
        <v>2746</v>
      </c>
      <c r="H1440" t="s">
        <v>2246</v>
      </c>
      <c r="I1440" t="s">
        <v>3418</v>
      </c>
      <c r="J1440" t="s">
        <v>3369</v>
      </c>
      <c r="K1440" t="s">
        <v>1661</v>
      </c>
      <c r="L1440" t="s">
        <v>3386</v>
      </c>
      <c r="M1440" t="s">
        <v>3364</v>
      </c>
      <c r="N1440" t="s">
        <v>3365</v>
      </c>
      <c r="O1440" t="s">
        <v>3366</v>
      </c>
      <c r="P1440" t="s">
        <v>3382</v>
      </c>
    </row>
    <row r="1441" spans="1:16" x14ac:dyDescent="0.3">
      <c r="A1441" t="s">
        <v>2375</v>
      </c>
      <c r="B1441" t="s">
        <v>3417</v>
      </c>
      <c r="C1441" t="s">
        <v>343</v>
      </c>
      <c r="F1441" t="s">
        <v>3361</v>
      </c>
      <c r="G1441" t="s">
        <v>2746</v>
      </c>
      <c r="H1441" t="s">
        <v>2246</v>
      </c>
      <c r="I1441" t="s">
        <v>3418</v>
      </c>
      <c r="J1441" t="s">
        <v>3369</v>
      </c>
      <c r="K1441" t="s">
        <v>1661</v>
      </c>
      <c r="L1441" t="s">
        <v>3386</v>
      </c>
      <c r="M1441" t="s">
        <v>3364</v>
      </c>
      <c r="N1441" t="s">
        <v>3365</v>
      </c>
      <c r="O1441" t="s">
        <v>3366</v>
      </c>
      <c r="P1441" t="s">
        <v>3382</v>
      </c>
    </row>
    <row r="1442" spans="1:16" x14ac:dyDescent="0.3">
      <c r="A1442" t="s">
        <v>2376</v>
      </c>
      <c r="B1442" t="s">
        <v>3417</v>
      </c>
      <c r="C1442" t="s">
        <v>343</v>
      </c>
      <c r="F1442" t="s">
        <v>3361</v>
      </c>
      <c r="G1442" t="s">
        <v>2746</v>
      </c>
      <c r="H1442" t="s">
        <v>2246</v>
      </c>
      <c r="I1442" t="s">
        <v>3418</v>
      </c>
      <c r="J1442" t="s">
        <v>3369</v>
      </c>
      <c r="K1442" t="s">
        <v>1661</v>
      </c>
      <c r="L1442" t="s">
        <v>3386</v>
      </c>
      <c r="M1442" t="s">
        <v>3364</v>
      </c>
      <c r="N1442" t="s">
        <v>3365</v>
      </c>
      <c r="O1442" t="s">
        <v>3366</v>
      </c>
      <c r="P1442" t="s">
        <v>3382</v>
      </c>
    </row>
    <row r="1443" spans="1:16" x14ac:dyDescent="0.3">
      <c r="A1443" t="s">
        <v>2377</v>
      </c>
      <c r="B1443" t="s">
        <v>3417</v>
      </c>
      <c r="C1443" t="s">
        <v>343</v>
      </c>
      <c r="F1443" t="s">
        <v>3361</v>
      </c>
      <c r="G1443" t="s">
        <v>2746</v>
      </c>
      <c r="H1443" t="s">
        <v>2246</v>
      </c>
      <c r="I1443" t="s">
        <v>3418</v>
      </c>
      <c r="J1443" t="s">
        <v>3369</v>
      </c>
      <c r="K1443" t="s">
        <v>1661</v>
      </c>
      <c r="L1443" t="s">
        <v>3386</v>
      </c>
      <c r="M1443" t="s">
        <v>3364</v>
      </c>
      <c r="N1443" t="s">
        <v>3365</v>
      </c>
      <c r="O1443" t="s">
        <v>3366</v>
      </c>
      <c r="P1443" t="s">
        <v>3382</v>
      </c>
    </row>
    <row r="1444" spans="1:16" x14ac:dyDescent="0.3">
      <c r="A1444" t="s">
        <v>2378</v>
      </c>
      <c r="B1444" t="s">
        <v>3417</v>
      </c>
      <c r="C1444" t="s">
        <v>343</v>
      </c>
      <c r="F1444" t="s">
        <v>3361</v>
      </c>
      <c r="G1444" t="s">
        <v>2746</v>
      </c>
      <c r="H1444" t="s">
        <v>2246</v>
      </c>
      <c r="I1444" t="s">
        <v>3418</v>
      </c>
      <c r="J1444" t="s">
        <v>3369</v>
      </c>
      <c r="K1444" t="s">
        <v>1661</v>
      </c>
      <c r="L1444" t="s">
        <v>3386</v>
      </c>
      <c r="M1444" t="s">
        <v>3364</v>
      </c>
      <c r="N1444" t="s">
        <v>3365</v>
      </c>
      <c r="O1444" t="s">
        <v>3366</v>
      </c>
      <c r="P1444" t="s">
        <v>3382</v>
      </c>
    </row>
    <row r="1445" spans="1:16" x14ac:dyDescent="0.3">
      <c r="A1445" t="s">
        <v>2379</v>
      </c>
      <c r="B1445" t="s">
        <v>3417</v>
      </c>
      <c r="C1445" t="s">
        <v>343</v>
      </c>
      <c r="F1445" t="s">
        <v>3361</v>
      </c>
      <c r="G1445" t="s">
        <v>2746</v>
      </c>
      <c r="H1445" t="s">
        <v>2246</v>
      </c>
      <c r="I1445" t="s">
        <v>3418</v>
      </c>
      <c r="J1445" t="s">
        <v>3369</v>
      </c>
      <c r="K1445" t="s">
        <v>1661</v>
      </c>
      <c r="L1445" t="s">
        <v>3386</v>
      </c>
      <c r="M1445" t="s">
        <v>3364</v>
      </c>
      <c r="N1445" t="s">
        <v>3365</v>
      </c>
      <c r="O1445" t="s">
        <v>3366</v>
      </c>
      <c r="P1445" t="s">
        <v>3382</v>
      </c>
    </row>
    <row r="1446" spans="1:16" x14ac:dyDescent="0.3">
      <c r="A1446" t="s">
        <v>2380</v>
      </c>
      <c r="B1446" t="s">
        <v>3417</v>
      </c>
      <c r="C1446" t="s">
        <v>343</v>
      </c>
      <c r="F1446" t="s">
        <v>3361</v>
      </c>
      <c r="G1446" t="s">
        <v>2746</v>
      </c>
      <c r="H1446" t="s">
        <v>2246</v>
      </c>
      <c r="I1446" t="s">
        <v>3418</v>
      </c>
      <c r="J1446" t="s">
        <v>3369</v>
      </c>
      <c r="K1446" t="s">
        <v>1661</v>
      </c>
      <c r="L1446" t="s">
        <v>3386</v>
      </c>
      <c r="M1446" t="s">
        <v>3364</v>
      </c>
      <c r="N1446" t="s">
        <v>3365</v>
      </c>
      <c r="O1446" t="s">
        <v>3366</v>
      </c>
      <c r="P1446" t="s">
        <v>3382</v>
      </c>
    </row>
    <row r="1447" spans="1:16" x14ac:dyDescent="0.3">
      <c r="A1447" t="s">
        <v>2381</v>
      </c>
      <c r="B1447" t="s">
        <v>3417</v>
      </c>
      <c r="C1447" t="s">
        <v>343</v>
      </c>
      <c r="F1447" t="s">
        <v>3361</v>
      </c>
      <c r="G1447" t="s">
        <v>2746</v>
      </c>
      <c r="H1447" t="s">
        <v>2246</v>
      </c>
      <c r="I1447" t="s">
        <v>3418</v>
      </c>
      <c r="J1447" t="s">
        <v>3369</v>
      </c>
      <c r="K1447" t="s">
        <v>1661</v>
      </c>
      <c r="L1447" t="s">
        <v>3386</v>
      </c>
      <c r="M1447" t="s">
        <v>3364</v>
      </c>
      <c r="N1447" t="s">
        <v>3365</v>
      </c>
      <c r="O1447" t="s">
        <v>3366</v>
      </c>
      <c r="P1447" t="s">
        <v>3382</v>
      </c>
    </row>
    <row r="1448" spans="1:16" x14ac:dyDescent="0.3">
      <c r="A1448" t="s">
        <v>2382</v>
      </c>
      <c r="B1448" t="s">
        <v>3417</v>
      </c>
      <c r="C1448" t="s">
        <v>343</v>
      </c>
      <c r="F1448" t="s">
        <v>3361</v>
      </c>
      <c r="G1448" t="s">
        <v>2746</v>
      </c>
      <c r="H1448" t="s">
        <v>2246</v>
      </c>
      <c r="I1448" t="s">
        <v>3418</v>
      </c>
      <c r="J1448" t="s">
        <v>3369</v>
      </c>
      <c r="K1448" t="s">
        <v>1661</v>
      </c>
      <c r="L1448" t="s">
        <v>3386</v>
      </c>
      <c r="M1448" t="s">
        <v>3364</v>
      </c>
      <c r="N1448" t="s">
        <v>3365</v>
      </c>
      <c r="O1448" t="s">
        <v>3366</v>
      </c>
      <c r="P1448" t="s">
        <v>3382</v>
      </c>
    </row>
    <row r="1449" spans="1:16" x14ac:dyDescent="0.3">
      <c r="A1449" t="s">
        <v>2383</v>
      </c>
      <c r="B1449" t="s">
        <v>3417</v>
      </c>
      <c r="C1449" t="s">
        <v>343</v>
      </c>
      <c r="F1449" t="s">
        <v>3361</v>
      </c>
      <c r="G1449" t="s">
        <v>2746</v>
      </c>
      <c r="H1449" t="s">
        <v>2246</v>
      </c>
      <c r="I1449" t="s">
        <v>3418</v>
      </c>
      <c r="J1449" t="s">
        <v>3369</v>
      </c>
      <c r="K1449" t="s">
        <v>1661</v>
      </c>
      <c r="L1449" t="s">
        <v>3386</v>
      </c>
      <c r="M1449" t="s">
        <v>3364</v>
      </c>
      <c r="N1449" t="s">
        <v>3365</v>
      </c>
      <c r="O1449" t="s">
        <v>3366</v>
      </c>
      <c r="P1449" t="s">
        <v>3382</v>
      </c>
    </row>
    <row r="1450" spans="1:16" x14ac:dyDescent="0.3">
      <c r="A1450" t="s">
        <v>2384</v>
      </c>
      <c r="B1450" t="s">
        <v>3417</v>
      </c>
      <c r="C1450" t="s">
        <v>343</v>
      </c>
      <c r="F1450" t="s">
        <v>3361</v>
      </c>
      <c r="G1450" t="s">
        <v>2746</v>
      </c>
      <c r="H1450" t="s">
        <v>2246</v>
      </c>
      <c r="I1450" t="s">
        <v>3418</v>
      </c>
      <c r="J1450" t="s">
        <v>3369</v>
      </c>
      <c r="K1450" t="s">
        <v>1661</v>
      </c>
      <c r="L1450" t="s">
        <v>3386</v>
      </c>
      <c r="M1450" t="s">
        <v>3364</v>
      </c>
      <c r="N1450" t="s">
        <v>3365</v>
      </c>
      <c r="O1450" t="s">
        <v>3366</v>
      </c>
      <c r="P1450" t="s">
        <v>3382</v>
      </c>
    </row>
    <row r="1451" spans="1:16" x14ac:dyDescent="0.3">
      <c r="A1451" t="s">
        <v>2385</v>
      </c>
      <c r="B1451" t="s">
        <v>3417</v>
      </c>
      <c r="C1451" t="s">
        <v>343</v>
      </c>
      <c r="F1451" t="s">
        <v>3361</v>
      </c>
      <c r="G1451" t="s">
        <v>2746</v>
      </c>
      <c r="H1451" t="s">
        <v>2248</v>
      </c>
      <c r="I1451" t="s">
        <v>3418</v>
      </c>
      <c r="J1451" t="s">
        <v>3369</v>
      </c>
      <c r="K1451" t="s">
        <v>1661</v>
      </c>
      <c r="L1451" t="s">
        <v>2043</v>
      </c>
      <c r="M1451" t="s">
        <v>3364</v>
      </c>
      <c r="N1451" t="s">
        <v>3365</v>
      </c>
      <c r="O1451" t="s">
        <v>3366</v>
      </c>
      <c r="P1451" t="s">
        <v>3382</v>
      </c>
    </row>
    <row r="1452" spans="1:16" x14ac:dyDescent="0.3">
      <c r="A1452" t="s">
        <v>2290</v>
      </c>
      <c r="B1452" t="s">
        <v>3417</v>
      </c>
      <c r="C1452" t="s">
        <v>343</v>
      </c>
      <c r="F1452" t="s">
        <v>3361</v>
      </c>
      <c r="G1452" t="s">
        <v>2746</v>
      </c>
      <c r="H1452" t="s">
        <v>2248</v>
      </c>
      <c r="I1452" t="s">
        <v>3418</v>
      </c>
      <c r="J1452" t="s">
        <v>3369</v>
      </c>
      <c r="K1452" t="s">
        <v>1661</v>
      </c>
      <c r="L1452" t="s">
        <v>2043</v>
      </c>
      <c r="M1452" t="s">
        <v>3364</v>
      </c>
      <c r="N1452" t="s">
        <v>3365</v>
      </c>
      <c r="O1452" t="s">
        <v>3366</v>
      </c>
      <c r="P1452" t="s">
        <v>3382</v>
      </c>
    </row>
    <row r="1453" spans="1:16" x14ac:dyDescent="0.3">
      <c r="A1453" t="s">
        <v>2386</v>
      </c>
      <c r="B1453" t="s">
        <v>3417</v>
      </c>
      <c r="C1453" t="s">
        <v>343</v>
      </c>
      <c r="F1453" t="s">
        <v>3361</v>
      </c>
      <c r="G1453" t="s">
        <v>2746</v>
      </c>
      <c r="H1453" t="s">
        <v>2248</v>
      </c>
      <c r="I1453" t="s">
        <v>3418</v>
      </c>
      <c r="J1453" t="s">
        <v>3369</v>
      </c>
      <c r="K1453" t="s">
        <v>1661</v>
      </c>
      <c r="L1453" t="s">
        <v>2043</v>
      </c>
      <c r="M1453" t="s">
        <v>3364</v>
      </c>
      <c r="N1453" t="s">
        <v>3365</v>
      </c>
      <c r="O1453" t="s">
        <v>3366</v>
      </c>
      <c r="P1453" t="s">
        <v>3382</v>
      </c>
    </row>
    <row r="1454" spans="1:16" x14ac:dyDescent="0.3">
      <c r="A1454" t="s">
        <v>2387</v>
      </c>
      <c r="B1454" t="s">
        <v>3417</v>
      </c>
      <c r="C1454" t="s">
        <v>343</v>
      </c>
      <c r="F1454" t="s">
        <v>3361</v>
      </c>
      <c r="G1454" t="s">
        <v>2746</v>
      </c>
      <c r="H1454" t="s">
        <v>2248</v>
      </c>
      <c r="I1454" t="s">
        <v>3418</v>
      </c>
      <c r="J1454" t="s">
        <v>3369</v>
      </c>
      <c r="K1454" t="s">
        <v>1661</v>
      </c>
      <c r="L1454" t="s">
        <v>2043</v>
      </c>
      <c r="M1454" t="s">
        <v>3364</v>
      </c>
      <c r="N1454" t="s">
        <v>3365</v>
      </c>
      <c r="O1454" t="s">
        <v>3366</v>
      </c>
      <c r="P1454" t="s">
        <v>3382</v>
      </c>
    </row>
    <row r="1455" spans="1:16" x14ac:dyDescent="0.3">
      <c r="A1455" t="s">
        <v>1571</v>
      </c>
      <c r="B1455" t="s">
        <v>3417</v>
      </c>
      <c r="C1455" t="s">
        <v>343</v>
      </c>
      <c r="F1455" t="s">
        <v>3361</v>
      </c>
      <c r="G1455" t="s">
        <v>2746</v>
      </c>
      <c r="H1455" t="s">
        <v>2248</v>
      </c>
      <c r="I1455" t="s">
        <v>3418</v>
      </c>
      <c r="J1455" t="s">
        <v>3369</v>
      </c>
      <c r="K1455" t="s">
        <v>1661</v>
      </c>
      <c r="L1455" t="s">
        <v>2043</v>
      </c>
      <c r="M1455" t="s">
        <v>3364</v>
      </c>
      <c r="N1455" t="s">
        <v>3365</v>
      </c>
      <c r="O1455" t="s">
        <v>3366</v>
      </c>
      <c r="P1455" t="s">
        <v>3382</v>
      </c>
    </row>
    <row r="1456" spans="1:16" x14ac:dyDescent="0.3">
      <c r="A1456" t="s">
        <v>2388</v>
      </c>
      <c r="B1456" t="s">
        <v>3417</v>
      </c>
      <c r="C1456" t="s">
        <v>343</v>
      </c>
      <c r="F1456" t="s">
        <v>3361</v>
      </c>
      <c r="G1456" t="s">
        <v>2746</v>
      </c>
      <c r="H1456" t="s">
        <v>2248</v>
      </c>
      <c r="I1456" t="s">
        <v>3418</v>
      </c>
      <c r="J1456" t="s">
        <v>3369</v>
      </c>
      <c r="K1456" t="s">
        <v>1661</v>
      </c>
      <c r="L1456" t="s">
        <v>2043</v>
      </c>
      <c r="M1456" t="s">
        <v>3364</v>
      </c>
      <c r="N1456" t="s">
        <v>3365</v>
      </c>
      <c r="O1456" t="s">
        <v>3366</v>
      </c>
      <c r="P1456" t="s">
        <v>3382</v>
      </c>
    </row>
    <row r="1457" spans="1:16" x14ac:dyDescent="0.3">
      <c r="A1457" t="s">
        <v>2389</v>
      </c>
      <c r="B1457" t="s">
        <v>3417</v>
      </c>
      <c r="C1457" t="s">
        <v>343</v>
      </c>
      <c r="F1457" t="s">
        <v>3361</v>
      </c>
      <c r="G1457" t="s">
        <v>2746</v>
      </c>
      <c r="H1457" t="s">
        <v>2248</v>
      </c>
      <c r="I1457" t="s">
        <v>3418</v>
      </c>
      <c r="J1457" t="s">
        <v>3369</v>
      </c>
      <c r="K1457" t="s">
        <v>1661</v>
      </c>
      <c r="L1457" t="s">
        <v>2043</v>
      </c>
      <c r="M1457" t="s">
        <v>3364</v>
      </c>
      <c r="N1457" t="s">
        <v>3365</v>
      </c>
      <c r="O1457" t="s">
        <v>3366</v>
      </c>
      <c r="P1457" t="s">
        <v>3382</v>
      </c>
    </row>
    <row r="1458" spans="1:16" x14ac:dyDescent="0.3">
      <c r="A1458" t="s">
        <v>2390</v>
      </c>
      <c r="B1458" t="s">
        <v>3417</v>
      </c>
      <c r="C1458" t="s">
        <v>343</v>
      </c>
      <c r="F1458" t="s">
        <v>3361</v>
      </c>
      <c r="G1458" t="s">
        <v>2746</v>
      </c>
      <c r="H1458" t="s">
        <v>2248</v>
      </c>
      <c r="I1458" t="s">
        <v>3418</v>
      </c>
      <c r="J1458" t="s">
        <v>3369</v>
      </c>
      <c r="K1458" t="s">
        <v>1661</v>
      </c>
      <c r="L1458" t="s">
        <v>2043</v>
      </c>
      <c r="M1458" t="s">
        <v>3364</v>
      </c>
      <c r="N1458" t="s">
        <v>3365</v>
      </c>
      <c r="O1458" t="s">
        <v>3366</v>
      </c>
      <c r="P1458" t="s">
        <v>3382</v>
      </c>
    </row>
    <row r="1459" spans="1:16" x14ac:dyDescent="0.3">
      <c r="A1459" t="s">
        <v>2391</v>
      </c>
      <c r="B1459" t="s">
        <v>3417</v>
      </c>
      <c r="C1459" t="s">
        <v>343</v>
      </c>
      <c r="F1459" t="s">
        <v>3361</v>
      </c>
      <c r="G1459" t="s">
        <v>2746</v>
      </c>
      <c r="H1459" t="s">
        <v>2250</v>
      </c>
      <c r="I1459" t="s">
        <v>3418</v>
      </c>
      <c r="J1459" t="s">
        <v>3369</v>
      </c>
      <c r="K1459" t="s">
        <v>1661</v>
      </c>
      <c r="L1459" t="s">
        <v>3386</v>
      </c>
      <c r="M1459" t="s">
        <v>3364</v>
      </c>
      <c r="N1459" t="s">
        <v>3365</v>
      </c>
      <c r="O1459" t="s">
        <v>3366</v>
      </c>
      <c r="P1459" t="s">
        <v>3382</v>
      </c>
    </row>
    <row r="1460" spans="1:16" x14ac:dyDescent="0.3">
      <c r="A1460" t="s">
        <v>677</v>
      </c>
      <c r="B1460" t="s">
        <v>3417</v>
      </c>
      <c r="C1460" t="s">
        <v>343</v>
      </c>
      <c r="F1460" t="s">
        <v>3361</v>
      </c>
      <c r="G1460" t="s">
        <v>2746</v>
      </c>
      <c r="H1460" t="s">
        <v>2250</v>
      </c>
      <c r="I1460" t="s">
        <v>3418</v>
      </c>
      <c r="J1460" t="s">
        <v>3369</v>
      </c>
      <c r="K1460" t="s">
        <v>1661</v>
      </c>
      <c r="L1460" t="s">
        <v>3386</v>
      </c>
      <c r="M1460" t="s">
        <v>3364</v>
      </c>
      <c r="N1460" t="s">
        <v>3365</v>
      </c>
      <c r="O1460" t="s">
        <v>3366</v>
      </c>
      <c r="P1460" t="s">
        <v>3382</v>
      </c>
    </row>
    <row r="1461" spans="1:16" x14ac:dyDescent="0.3">
      <c r="A1461" t="s">
        <v>725</v>
      </c>
      <c r="B1461" t="s">
        <v>3417</v>
      </c>
      <c r="C1461" t="s">
        <v>343</v>
      </c>
      <c r="F1461" t="s">
        <v>3361</v>
      </c>
      <c r="G1461" t="s">
        <v>2746</v>
      </c>
      <c r="H1461" t="s">
        <v>2250</v>
      </c>
      <c r="I1461" t="s">
        <v>3418</v>
      </c>
      <c r="J1461" t="s">
        <v>3369</v>
      </c>
      <c r="K1461" t="s">
        <v>1661</v>
      </c>
      <c r="L1461" t="s">
        <v>3386</v>
      </c>
      <c r="M1461" t="s">
        <v>3364</v>
      </c>
      <c r="N1461" t="s">
        <v>3365</v>
      </c>
      <c r="O1461" t="s">
        <v>3366</v>
      </c>
      <c r="P1461" t="s">
        <v>3382</v>
      </c>
    </row>
    <row r="1462" spans="1:16" x14ac:dyDescent="0.3">
      <c r="A1462" t="s">
        <v>2392</v>
      </c>
      <c r="B1462" t="s">
        <v>3417</v>
      </c>
      <c r="C1462" t="s">
        <v>343</v>
      </c>
      <c r="F1462" t="s">
        <v>3361</v>
      </c>
      <c r="G1462" t="s">
        <v>2746</v>
      </c>
      <c r="H1462" t="s">
        <v>2250</v>
      </c>
      <c r="I1462" t="s">
        <v>3418</v>
      </c>
      <c r="J1462" t="s">
        <v>3369</v>
      </c>
      <c r="K1462" t="s">
        <v>1661</v>
      </c>
      <c r="L1462" t="s">
        <v>3386</v>
      </c>
      <c r="M1462" t="s">
        <v>3364</v>
      </c>
      <c r="N1462" t="s">
        <v>3365</v>
      </c>
      <c r="O1462" t="s">
        <v>3366</v>
      </c>
      <c r="P1462" t="s">
        <v>3382</v>
      </c>
    </row>
    <row r="1463" spans="1:16" x14ac:dyDescent="0.3">
      <c r="A1463" t="s">
        <v>2393</v>
      </c>
      <c r="B1463" t="s">
        <v>3417</v>
      </c>
      <c r="C1463" t="s">
        <v>343</v>
      </c>
      <c r="F1463" t="s">
        <v>3361</v>
      </c>
      <c r="G1463" t="s">
        <v>2746</v>
      </c>
      <c r="H1463" t="s">
        <v>2250</v>
      </c>
      <c r="I1463" t="s">
        <v>3418</v>
      </c>
      <c r="J1463" t="s">
        <v>3369</v>
      </c>
      <c r="K1463" t="s">
        <v>1661</v>
      </c>
      <c r="L1463" t="s">
        <v>3386</v>
      </c>
      <c r="M1463" t="s">
        <v>3364</v>
      </c>
      <c r="N1463" t="s">
        <v>3365</v>
      </c>
      <c r="O1463" t="s">
        <v>3366</v>
      </c>
      <c r="P1463" t="s">
        <v>3382</v>
      </c>
    </row>
    <row r="1464" spans="1:16" x14ac:dyDescent="0.3">
      <c r="A1464" t="s">
        <v>1571</v>
      </c>
      <c r="B1464" t="s">
        <v>3417</v>
      </c>
      <c r="C1464" t="s">
        <v>343</v>
      </c>
      <c r="F1464" t="s">
        <v>3361</v>
      </c>
      <c r="G1464" t="s">
        <v>2746</v>
      </c>
      <c r="H1464" t="s">
        <v>2250</v>
      </c>
      <c r="I1464" t="s">
        <v>3418</v>
      </c>
      <c r="J1464" t="s">
        <v>3369</v>
      </c>
      <c r="K1464" t="s">
        <v>1661</v>
      </c>
      <c r="L1464" t="s">
        <v>3386</v>
      </c>
      <c r="M1464" t="s">
        <v>3364</v>
      </c>
      <c r="N1464" t="s">
        <v>3365</v>
      </c>
      <c r="O1464" t="s">
        <v>3366</v>
      </c>
      <c r="P1464" t="s">
        <v>3382</v>
      </c>
    </row>
    <row r="1465" spans="1:16" x14ac:dyDescent="0.3">
      <c r="A1465" t="s">
        <v>2394</v>
      </c>
      <c r="B1465" t="s">
        <v>3417</v>
      </c>
      <c r="C1465" t="s">
        <v>343</v>
      </c>
      <c r="F1465" t="s">
        <v>3361</v>
      </c>
      <c r="G1465" t="s">
        <v>2746</v>
      </c>
      <c r="H1465" t="s">
        <v>2250</v>
      </c>
      <c r="I1465" t="s">
        <v>3418</v>
      </c>
      <c r="J1465" t="s">
        <v>3369</v>
      </c>
      <c r="K1465" t="s">
        <v>1661</v>
      </c>
      <c r="L1465" t="s">
        <v>3386</v>
      </c>
      <c r="M1465" t="s">
        <v>3364</v>
      </c>
      <c r="N1465" t="s">
        <v>3365</v>
      </c>
      <c r="O1465" t="s">
        <v>3366</v>
      </c>
      <c r="P1465" t="s">
        <v>3382</v>
      </c>
    </row>
    <row r="1466" spans="1:16" x14ac:dyDescent="0.3">
      <c r="A1466" t="s">
        <v>2301</v>
      </c>
      <c r="B1466" t="s">
        <v>3417</v>
      </c>
      <c r="C1466" t="s">
        <v>343</v>
      </c>
      <c r="F1466" t="s">
        <v>3361</v>
      </c>
      <c r="G1466" t="s">
        <v>2746</v>
      </c>
      <c r="H1466" t="s">
        <v>2250</v>
      </c>
      <c r="I1466" t="s">
        <v>3418</v>
      </c>
      <c r="J1466" t="s">
        <v>3369</v>
      </c>
      <c r="K1466" t="s">
        <v>1661</v>
      </c>
      <c r="L1466" t="s">
        <v>3386</v>
      </c>
      <c r="M1466" t="s">
        <v>3364</v>
      </c>
      <c r="N1466" t="s">
        <v>3365</v>
      </c>
      <c r="O1466" t="s">
        <v>3366</v>
      </c>
      <c r="P1466" t="s">
        <v>3382</v>
      </c>
    </row>
    <row r="1467" spans="1:16" x14ac:dyDescent="0.3">
      <c r="A1467" t="s">
        <v>2395</v>
      </c>
      <c r="B1467" t="s">
        <v>3417</v>
      </c>
      <c r="C1467" t="s">
        <v>343</v>
      </c>
      <c r="F1467" t="s">
        <v>3361</v>
      </c>
      <c r="G1467" t="s">
        <v>2746</v>
      </c>
      <c r="H1467" t="s">
        <v>2250</v>
      </c>
      <c r="I1467" t="s">
        <v>3418</v>
      </c>
      <c r="J1467" t="s">
        <v>3369</v>
      </c>
      <c r="K1467" t="s">
        <v>1661</v>
      </c>
      <c r="L1467" t="s">
        <v>3386</v>
      </c>
      <c r="M1467" t="s">
        <v>3364</v>
      </c>
      <c r="N1467" t="s">
        <v>3365</v>
      </c>
      <c r="O1467" t="s">
        <v>3366</v>
      </c>
      <c r="P1467" t="s">
        <v>3382</v>
      </c>
    </row>
    <row r="1468" spans="1:16" x14ac:dyDescent="0.3">
      <c r="A1468" t="s">
        <v>2396</v>
      </c>
      <c r="B1468" t="s">
        <v>3417</v>
      </c>
      <c r="C1468" t="s">
        <v>343</v>
      </c>
      <c r="F1468" t="s">
        <v>3361</v>
      </c>
      <c r="G1468" t="s">
        <v>2746</v>
      </c>
      <c r="H1468" t="s">
        <v>2252</v>
      </c>
      <c r="I1468" t="s">
        <v>3418</v>
      </c>
      <c r="J1468" t="s">
        <v>3369</v>
      </c>
      <c r="K1468" t="s">
        <v>1661</v>
      </c>
      <c r="L1468" t="s">
        <v>3386</v>
      </c>
      <c r="M1468" t="s">
        <v>3364</v>
      </c>
      <c r="N1468" t="s">
        <v>3365</v>
      </c>
      <c r="O1468" t="s">
        <v>3366</v>
      </c>
      <c r="P1468" t="s">
        <v>3382</v>
      </c>
    </row>
    <row r="1469" spans="1:16" x14ac:dyDescent="0.3">
      <c r="A1469" t="s">
        <v>2397</v>
      </c>
      <c r="B1469" t="s">
        <v>3417</v>
      </c>
      <c r="C1469" t="s">
        <v>343</v>
      </c>
      <c r="F1469" t="s">
        <v>3361</v>
      </c>
      <c r="G1469" t="s">
        <v>2746</v>
      </c>
      <c r="H1469" t="s">
        <v>2252</v>
      </c>
      <c r="I1469" t="s">
        <v>3418</v>
      </c>
      <c r="J1469" t="s">
        <v>3369</v>
      </c>
      <c r="K1469" t="s">
        <v>1661</v>
      </c>
      <c r="L1469" t="s">
        <v>3386</v>
      </c>
      <c r="M1469" t="s">
        <v>3364</v>
      </c>
      <c r="N1469" t="s">
        <v>3365</v>
      </c>
      <c r="O1469" t="s">
        <v>3366</v>
      </c>
      <c r="P1469" t="s">
        <v>3382</v>
      </c>
    </row>
    <row r="1470" spans="1:16" x14ac:dyDescent="0.3">
      <c r="A1470" t="s">
        <v>883</v>
      </c>
      <c r="B1470" t="s">
        <v>3417</v>
      </c>
      <c r="C1470" t="s">
        <v>343</v>
      </c>
      <c r="F1470" t="s">
        <v>3361</v>
      </c>
      <c r="G1470" t="s">
        <v>2746</v>
      </c>
      <c r="H1470" t="s">
        <v>2252</v>
      </c>
      <c r="I1470" t="s">
        <v>3418</v>
      </c>
      <c r="J1470" t="s">
        <v>3369</v>
      </c>
      <c r="K1470" t="s">
        <v>1661</v>
      </c>
      <c r="L1470" t="s">
        <v>3386</v>
      </c>
      <c r="M1470" t="s">
        <v>3364</v>
      </c>
      <c r="N1470" t="s">
        <v>3365</v>
      </c>
      <c r="O1470" t="s">
        <v>3366</v>
      </c>
      <c r="P1470" t="s">
        <v>3382</v>
      </c>
    </row>
    <row r="1471" spans="1:16" x14ac:dyDescent="0.3">
      <c r="A1471" t="s">
        <v>1050</v>
      </c>
      <c r="B1471" t="s">
        <v>3417</v>
      </c>
      <c r="C1471" t="s">
        <v>343</v>
      </c>
      <c r="F1471" t="s">
        <v>3361</v>
      </c>
      <c r="G1471" t="s">
        <v>2746</v>
      </c>
      <c r="H1471" t="s">
        <v>2252</v>
      </c>
      <c r="I1471" t="s">
        <v>3418</v>
      </c>
      <c r="J1471" t="s">
        <v>3369</v>
      </c>
      <c r="K1471" t="s">
        <v>1661</v>
      </c>
      <c r="L1471" t="s">
        <v>3386</v>
      </c>
      <c r="M1471" t="s">
        <v>3364</v>
      </c>
      <c r="N1471" t="s">
        <v>3365</v>
      </c>
      <c r="O1471" t="s">
        <v>3366</v>
      </c>
      <c r="P1471" t="s">
        <v>3382</v>
      </c>
    </row>
    <row r="1472" spans="1:16" x14ac:dyDescent="0.3">
      <c r="A1472" t="s">
        <v>2398</v>
      </c>
      <c r="B1472" t="s">
        <v>3417</v>
      </c>
      <c r="C1472" t="s">
        <v>343</v>
      </c>
      <c r="F1472" t="s">
        <v>3361</v>
      </c>
      <c r="G1472" t="s">
        <v>2746</v>
      </c>
      <c r="H1472" t="s">
        <v>2252</v>
      </c>
      <c r="I1472" t="s">
        <v>3418</v>
      </c>
      <c r="J1472" t="s">
        <v>3369</v>
      </c>
      <c r="K1472" t="s">
        <v>1661</v>
      </c>
      <c r="L1472" t="s">
        <v>3386</v>
      </c>
      <c r="M1472" t="s">
        <v>3364</v>
      </c>
      <c r="N1472" t="s">
        <v>3365</v>
      </c>
      <c r="O1472" t="s">
        <v>3366</v>
      </c>
      <c r="P1472" t="s">
        <v>3382</v>
      </c>
    </row>
    <row r="1473" spans="1:16" x14ac:dyDescent="0.3">
      <c r="A1473" t="s">
        <v>2399</v>
      </c>
      <c r="B1473" t="s">
        <v>3417</v>
      </c>
      <c r="C1473" t="s">
        <v>343</v>
      </c>
      <c r="F1473" t="s">
        <v>3361</v>
      </c>
      <c r="G1473" t="s">
        <v>2746</v>
      </c>
      <c r="H1473" t="s">
        <v>2252</v>
      </c>
      <c r="I1473" t="s">
        <v>3418</v>
      </c>
      <c r="J1473" t="s">
        <v>3369</v>
      </c>
      <c r="K1473" t="s">
        <v>1661</v>
      </c>
      <c r="L1473" t="s">
        <v>3386</v>
      </c>
      <c r="M1473" t="s">
        <v>3364</v>
      </c>
      <c r="N1473" t="s">
        <v>3365</v>
      </c>
      <c r="O1473" t="s">
        <v>3366</v>
      </c>
      <c r="P1473" t="s">
        <v>3382</v>
      </c>
    </row>
    <row r="1474" spans="1:16" x14ac:dyDescent="0.3">
      <c r="A1474" t="s">
        <v>2400</v>
      </c>
      <c r="B1474" t="s">
        <v>3417</v>
      </c>
      <c r="C1474" t="s">
        <v>343</v>
      </c>
      <c r="F1474" t="s">
        <v>3361</v>
      </c>
      <c r="G1474" t="s">
        <v>2746</v>
      </c>
      <c r="H1474" t="s">
        <v>2252</v>
      </c>
      <c r="I1474" t="s">
        <v>3418</v>
      </c>
      <c r="J1474" t="s">
        <v>3369</v>
      </c>
      <c r="K1474" t="s">
        <v>1661</v>
      </c>
      <c r="L1474" t="s">
        <v>3386</v>
      </c>
      <c r="M1474" t="s">
        <v>3364</v>
      </c>
      <c r="N1474" t="s">
        <v>3365</v>
      </c>
      <c r="O1474" t="s">
        <v>3366</v>
      </c>
      <c r="P1474" t="s">
        <v>3382</v>
      </c>
    </row>
    <row r="1475" spans="1:16" x14ac:dyDescent="0.3">
      <c r="A1475" t="s">
        <v>2401</v>
      </c>
      <c r="B1475" t="s">
        <v>3417</v>
      </c>
      <c r="C1475" t="s">
        <v>343</v>
      </c>
      <c r="F1475" t="s">
        <v>3361</v>
      </c>
      <c r="G1475" t="s">
        <v>2746</v>
      </c>
      <c r="H1475" t="s">
        <v>2252</v>
      </c>
      <c r="I1475" t="s">
        <v>3418</v>
      </c>
      <c r="J1475" t="s">
        <v>3369</v>
      </c>
      <c r="K1475" t="s">
        <v>1661</v>
      </c>
      <c r="L1475" t="s">
        <v>3386</v>
      </c>
      <c r="M1475" t="s">
        <v>3364</v>
      </c>
      <c r="N1475" t="s">
        <v>3365</v>
      </c>
      <c r="O1475" t="s">
        <v>3366</v>
      </c>
      <c r="P1475" t="s">
        <v>3382</v>
      </c>
    </row>
    <row r="1476" spans="1:16" x14ac:dyDescent="0.3">
      <c r="A1476" t="s">
        <v>2402</v>
      </c>
      <c r="B1476" t="s">
        <v>3417</v>
      </c>
      <c r="C1476" t="s">
        <v>343</v>
      </c>
      <c r="F1476" t="s">
        <v>3361</v>
      </c>
      <c r="G1476" t="s">
        <v>2746</v>
      </c>
      <c r="H1476" t="s">
        <v>2252</v>
      </c>
      <c r="I1476" t="s">
        <v>3418</v>
      </c>
      <c r="J1476" t="s">
        <v>3369</v>
      </c>
      <c r="K1476" t="s">
        <v>1661</v>
      </c>
      <c r="L1476" t="s">
        <v>3386</v>
      </c>
      <c r="M1476" t="s">
        <v>3364</v>
      </c>
      <c r="N1476" t="s">
        <v>3365</v>
      </c>
      <c r="O1476" t="s">
        <v>3366</v>
      </c>
      <c r="P1476" t="s">
        <v>3382</v>
      </c>
    </row>
    <row r="1477" spans="1:16" x14ac:dyDescent="0.3">
      <c r="A1477" t="s">
        <v>2403</v>
      </c>
      <c r="B1477" t="s">
        <v>3417</v>
      </c>
      <c r="C1477" t="s">
        <v>343</v>
      </c>
      <c r="F1477" t="s">
        <v>3361</v>
      </c>
      <c r="G1477" t="s">
        <v>2746</v>
      </c>
      <c r="H1477" t="s">
        <v>2252</v>
      </c>
      <c r="I1477" t="s">
        <v>3418</v>
      </c>
      <c r="J1477" t="s">
        <v>3369</v>
      </c>
      <c r="K1477" t="s">
        <v>1661</v>
      </c>
      <c r="L1477" t="s">
        <v>3386</v>
      </c>
      <c r="M1477" t="s">
        <v>3364</v>
      </c>
      <c r="N1477" t="s">
        <v>3365</v>
      </c>
      <c r="O1477" t="s">
        <v>3366</v>
      </c>
      <c r="P1477" t="s">
        <v>3382</v>
      </c>
    </row>
    <row r="1478" spans="1:16" x14ac:dyDescent="0.3">
      <c r="A1478" t="s">
        <v>884</v>
      </c>
      <c r="B1478" t="s">
        <v>3417</v>
      </c>
      <c r="C1478" t="s">
        <v>343</v>
      </c>
      <c r="F1478" t="s">
        <v>3361</v>
      </c>
      <c r="G1478" t="s">
        <v>2746</v>
      </c>
      <c r="H1478" t="s">
        <v>2252</v>
      </c>
      <c r="I1478" t="s">
        <v>3418</v>
      </c>
      <c r="J1478" t="s">
        <v>3369</v>
      </c>
      <c r="K1478" t="s">
        <v>1661</v>
      </c>
      <c r="L1478" t="s">
        <v>3386</v>
      </c>
      <c r="M1478" t="s">
        <v>3364</v>
      </c>
      <c r="N1478" t="s">
        <v>3365</v>
      </c>
      <c r="O1478" t="s">
        <v>3366</v>
      </c>
      <c r="P1478" t="s">
        <v>3382</v>
      </c>
    </row>
    <row r="1479" spans="1:16" x14ac:dyDescent="0.3">
      <c r="A1479" t="s">
        <v>886</v>
      </c>
      <c r="B1479" t="s">
        <v>3417</v>
      </c>
      <c r="C1479" t="s">
        <v>343</v>
      </c>
      <c r="F1479" t="s">
        <v>3361</v>
      </c>
      <c r="G1479" t="s">
        <v>2746</v>
      </c>
      <c r="H1479" t="s">
        <v>2252</v>
      </c>
      <c r="I1479" t="s">
        <v>3418</v>
      </c>
      <c r="J1479" t="s">
        <v>3369</v>
      </c>
      <c r="K1479" t="s">
        <v>1661</v>
      </c>
      <c r="L1479" t="s">
        <v>3386</v>
      </c>
      <c r="M1479" t="s">
        <v>3364</v>
      </c>
      <c r="N1479" t="s">
        <v>3365</v>
      </c>
      <c r="O1479" t="s">
        <v>3366</v>
      </c>
      <c r="P1479" t="s">
        <v>3382</v>
      </c>
    </row>
    <row r="1480" spans="1:16" x14ac:dyDescent="0.3">
      <c r="A1480" t="s">
        <v>2404</v>
      </c>
      <c r="B1480" t="s">
        <v>3417</v>
      </c>
      <c r="C1480" t="s">
        <v>343</v>
      </c>
      <c r="F1480" t="s">
        <v>3361</v>
      </c>
      <c r="G1480" t="s">
        <v>2746</v>
      </c>
      <c r="H1480" t="s">
        <v>2252</v>
      </c>
      <c r="I1480" t="s">
        <v>3418</v>
      </c>
      <c r="J1480" t="s">
        <v>3369</v>
      </c>
      <c r="K1480" t="s">
        <v>1661</v>
      </c>
      <c r="L1480" t="s">
        <v>3386</v>
      </c>
      <c r="M1480" t="s">
        <v>3364</v>
      </c>
      <c r="N1480" t="s">
        <v>3365</v>
      </c>
      <c r="O1480" t="s">
        <v>3366</v>
      </c>
      <c r="P1480" t="s">
        <v>3382</v>
      </c>
    </row>
    <row r="1481" spans="1:16" x14ac:dyDescent="0.3">
      <c r="A1481" t="s">
        <v>885</v>
      </c>
      <c r="B1481" t="s">
        <v>3417</v>
      </c>
      <c r="C1481" t="s">
        <v>343</v>
      </c>
      <c r="F1481" t="s">
        <v>3361</v>
      </c>
      <c r="G1481" t="s">
        <v>2746</v>
      </c>
      <c r="H1481" t="s">
        <v>2252</v>
      </c>
      <c r="I1481" t="s">
        <v>3418</v>
      </c>
      <c r="J1481" t="s">
        <v>3369</v>
      </c>
      <c r="K1481" t="s">
        <v>1661</v>
      </c>
      <c r="L1481" t="s">
        <v>3386</v>
      </c>
      <c r="M1481" t="s">
        <v>3364</v>
      </c>
      <c r="N1481" t="s">
        <v>3365</v>
      </c>
      <c r="O1481" t="s">
        <v>3366</v>
      </c>
      <c r="P1481" t="s">
        <v>3382</v>
      </c>
    </row>
    <row r="1482" spans="1:16" x14ac:dyDescent="0.3">
      <c r="A1482" t="s">
        <v>2405</v>
      </c>
      <c r="B1482" t="s">
        <v>3417</v>
      </c>
      <c r="C1482" t="s">
        <v>343</v>
      </c>
      <c r="F1482" t="s">
        <v>3361</v>
      </c>
      <c r="G1482" t="s">
        <v>2746</v>
      </c>
      <c r="H1482" t="s">
        <v>2252</v>
      </c>
      <c r="I1482" t="s">
        <v>3418</v>
      </c>
      <c r="J1482" t="s">
        <v>3369</v>
      </c>
      <c r="K1482" t="s">
        <v>1661</v>
      </c>
      <c r="L1482" t="s">
        <v>3386</v>
      </c>
      <c r="M1482" t="s">
        <v>3364</v>
      </c>
      <c r="N1482" t="s">
        <v>3365</v>
      </c>
      <c r="O1482" t="s">
        <v>3366</v>
      </c>
      <c r="P1482" t="s">
        <v>3382</v>
      </c>
    </row>
    <row r="1483" spans="1:16" x14ac:dyDescent="0.3">
      <c r="A1483" t="s">
        <v>2406</v>
      </c>
      <c r="B1483" t="s">
        <v>3417</v>
      </c>
      <c r="C1483" t="s">
        <v>343</v>
      </c>
      <c r="F1483" t="s">
        <v>3361</v>
      </c>
      <c r="G1483" t="s">
        <v>2746</v>
      </c>
      <c r="H1483" t="s">
        <v>2252</v>
      </c>
      <c r="I1483" t="s">
        <v>3418</v>
      </c>
      <c r="J1483" t="s">
        <v>3369</v>
      </c>
      <c r="K1483" t="s">
        <v>1661</v>
      </c>
      <c r="L1483" t="s">
        <v>3386</v>
      </c>
      <c r="M1483" t="s">
        <v>3364</v>
      </c>
      <c r="N1483" t="s">
        <v>3365</v>
      </c>
      <c r="O1483" t="s">
        <v>3366</v>
      </c>
      <c r="P1483" t="s">
        <v>3382</v>
      </c>
    </row>
    <row r="1484" spans="1:16" x14ac:dyDescent="0.3">
      <c r="A1484" t="s">
        <v>345</v>
      </c>
      <c r="B1484" t="s">
        <v>3417</v>
      </c>
      <c r="C1484" t="s">
        <v>345</v>
      </c>
      <c r="F1484" t="s">
        <v>3361</v>
      </c>
      <c r="G1484" t="s">
        <v>2746</v>
      </c>
      <c r="H1484" t="s">
        <v>2242</v>
      </c>
      <c r="I1484" t="s">
        <v>3418</v>
      </c>
      <c r="J1484" t="s">
        <v>3362</v>
      </c>
      <c r="K1484" t="s">
        <v>1661</v>
      </c>
      <c r="L1484" t="s">
        <v>3386</v>
      </c>
      <c r="M1484" t="s">
        <v>3364</v>
      </c>
      <c r="N1484" t="s">
        <v>3365</v>
      </c>
      <c r="O1484" t="s">
        <v>3366</v>
      </c>
      <c r="P1484" t="s">
        <v>3367</v>
      </c>
    </row>
    <row r="1485" spans="1:16" x14ac:dyDescent="0.3">
      <c r="A1485" t="s">
        <v>2410</v>
      </c>
      <c r="B1485" t="s">
        <v>3417</v>
      </c>
      <c r="C1485" t="s">
        <v>345</v>
      </c>
      <c r="F1485" t="s">
        <v>3361</v>
      </c>
      <c r="G1485" t="s">
        <v>2746</v>
      </c>
      <c r="H1485" t="s">
        <v>2242</v>
      </c>
      <c r="I1485" t="s">
        <v>3418</v>
      </c>
      <c r="J1485" t="s">
        <v>3369</v>
      </c>
      <c r="K1485" t="s">
        <v>1661</v>
      </c>
      <c r="L1485" t="s">
        <v>3386</v>
      </c>
      <c r="M1485" t="s">
        <v>3364</v>
      </c>
      <c r="N1485" t="s">
        <v>3365</v>
      </c>
      <c r="O1485" t="s">
        <v>3366</v>
      </c>
      <c r="P1485" t="s">
        <v>3382</v>
      </c>
    </row>
    <row r="1486" spans="1:16" x14ac:dyDescent="0.3">
      <c r="A1486" t="s">
        <v>708</v>
      </c>
      <c r="B1486" t="s">
        <v>3417</v>
      </c>
      <c r="C1486" t="s">
        <v>345</v>
      </c>
      <c r="F1486" t="s">
        <v>3361</v>
      </c>
      <c r="G1486" t="s">
        <v>2746</v>
      </c>
      <c r="H1486" t="s">
        <v>2242</v>
      </c>
      <c r="I1486" t="s">
        <v>3418</v>
      </c>
      <c r="J1486" t="s">
        <v>3369</v>
      </c>
      <c r="K1486" t="s">
        <v>1661</v>
      </c>
      <c r="L1486" t="s">
        <v>3386</v>
      </c>
      <c r="M1486" t="s">
        <v>3364</v>
      </c>
      <c r="N1486" t="s">
        <v>3365</v>
      </c>
      <c r="O1486" t="s">
        <v>3366</v>
      </c>
      <c r="P1486" t="s">
        <v>3382</v>
      </c>
    </row>
    <row r="1487" spans="1:16" x14ac:dyDescent="0.3">
      <c r="A1487" t="s">
        <v>872</v>
      </c>
      <c r="B1487" t="s">
        <v>3417</v>
      </c>
      <c r="C1487" t="s">
        <v>345</v>
      </c>
      <c r="F1487" t="s">
        <v>3361</v>
      </c>
      <c r="G1487" t="s">
        <v>2746</v>
      </c>
      <c r="H1487" t="s">
        <v>2242</v>
      </c>
      <c r="I1487" t="s">
        <v>3418</v>
      </c>
      <c r="J1487" t="s">
        <v>3369</v>
      </c>
      <c r="K1487" t="s">
        <v>1661</v>
      </c>
      <c r="L1487" t="s">
        <v>3386</v>
      </c>
      <c r="M1487" t="s">
        <v>3364</v>
      </c>
      <c r="N1487" t="s">
        <v>3365</v>
      </c>
      <c r="O1487" t="s">
        <v>3366</v>
      </c>
      <c r="P1487" t="s">
        <v>3382</v>
      </c>
    </row>
    <row r="1488" spans="1:16" x14ac:dyDescent="0.3">
      <c r="A1488" t="s">
        <v>2411</v>
      </c>
      <c r="B1488" t="s">
        <v>3417</v>
      </c>
      <c r="C1488" t="s">
        <v>345</v>
      </c>
      <c r="F1488" t="s">
        <v>3361</v>
      </c>
      <c r="G1488" t="s">
        <v>2746</v>
      </c>
      <c r="H1488" t="s">
        <v>2244</v>
      </c>
      <c r="I1488" t="s">
        <v>3418</v>
      </c>
      <c r="J1488" t="s">
        <v>3369</v>
      </c>
      <c r="K1488" t="s">
        <v>1661</v>
      </c>
      <c r="L1488" t="s">
        <v>3386</v>
      </c>
      <c r="M1488" t="s">
        <v>3364</v>
      </c>
      <c r="N1488" t="s">
        <v>3365</v>
      </c>
      <c r="O1488" t="s">
        <v>3366</v>
      </c>
      <c r="P1488" t="s">
        <v>3382</v>
      </c>
    </row>
    <row r="1489" spans="1:16" x14ac:dyDescent="0.3">
      <c r="A1489" t="s">
        <v>1579</v>
      </c>
      <c r="B1489" t="s">
        <v>3417</v>
      </c>
      <c r="C1489" t="s">
        <v>345</v>
      </c>
      <c r="F1489" t="s">
        <v>3361</v>
      </c>
      <c r="G1489" t="s">
        <v>2746</v>
      </c>
      <c r="H1489" t="s">
        <v>2244</v>
      </c>
      <c r="I1489" t="s">
        <v>3418</v>
      </c>
      <c r="J1489" t="s">
        <v>3369</v>
      </c>
      <c r="K1489" t="s">
        <v>1661</v>
      </c>
      <c r="L1489" t="s">
        <v>3386</v>
      </c>
      <c r="M1489" t="s">
        <v>3364</v>
      </c>
      <c r="N1489" t="s">
        <v>3365</v>
      </c>
      <c r="O1489" t="s">
        <v>3366</v>
      </c>
      <c r="P1489" t="s">
        <v>3382</v>
      </c>
    </row>
    <row r="1490" spans="1:16" x14ac:dyDescent="0.3">
      <c r="A1490" t="s">
        <v>2412</v>
      </c>
      <c r="B1490" t="s">
        <v>3417</v>
      </c>
      <c r="C1490" t="s">
        <v>345</v>
      </c>
      <c r="F1490" t="s">
        <v>3361</v>
      </c>
      <c r="G1490" t="s">
        <v>2746</v>
      </c>
      <c r="H1490" t="s">
        <v>2244</v>
      </c>
      <c r="I1490" t="s">
        <v>3418</v>
      </c>
      <c r="J1490" t="s">
        <v>3369</v>
      </c>
      <c r="K1490" t="s">
        <v>1661</v>
      </c>
      <c r="L1490" t="s">
        <v>3386</v>
      </c>
      <c r="M1490" t="s">
        <v>3364</v>
      </c>
      <c r="N1490" t="s">
        <v>3365</v>
      </c>
      <c r="O1490" t="s">
        <v>3366</v>
      </c>
      <c r="P1490" t="s">
        <v>3382</v>
      </c>
    </row>
    <row r="1491" spans="1:16" x14ac:dyDescent="0.3">
      <c r="A1491" t="s">
        <v>2413</v>
      </c>
      <c r="B1491" t="s">
        <v>3417</v>
      </c>
      <c r="C1491" t="s">
        <v>345</v>
      </c>
      <c r="F1491" t="s">
        <v>3361</v>
      </c>
      <c r="G1491" t="s">
        <v>2746</v>
      </c>
      <c r="H1491" t="s">
        <v>2244</v>
      </c>
      <c r="I1491" t="s">
        <v>3418</v>
      </c>
      <c r="J1491" t="s">
        <v>3369</v>
      </c>
      <c r="K1491" t="s">
        <v>1661</v>
      </c>
      <c r="L1491" t="s">
        <v>3386</v>
      </c>
      <c r="M1491" t="s">
        <v>3364</v>
      </c>
      <c r="N1491" t="s">
        <v>3365</v>
      </c>
      <c r="O1491" t="s">
        <v>3366</v>
      </c>
      <c r="P1491" t="s">
        <v>3382</v>
      </c>
    </row>
    <row r="1492" spans="1:16" x14ac:dyDescent="0.3">
      <c r="A1492" t="s">
        <v>1594</v>
      </c>
      <c r="B1492" t="s">
        <v>3417</v>
      </c>
      <c r="C1492" t="s">
        <v>345</v>
      </c>
      <c r="F1492" t="s">
        <v>3361</v>
      </c>
      <c r="G1492" t="s">
        <v>2746</v>
      </c>
      <c r="H1492" t="s">
        <v>2244</v>
      </c>
      <c r="I1492" t="s">
        <v>3418</v>
      </c>
      <c r="J1492" t="s">
        <v>3369</v>
      </c>
      <c r="K1492" t="s">
        <v>1661</v>
      </c>
      <c r="L1492" t="s">
        <v>3386</v>
      </c>
      <c r="M1492" t="s">
        <v>3364</v>
      </c>
      <c r="N1492" t="s">
        <v>3365</v>
      </c>
      <c r="O1492" t="s">
        <v>3366</v>
      </c>
      <c r="P1492" t="s">
        <v>3382</v>
      </c>
    </row>
    <row r="1493" spans="1:16" x14ac:dyDescent="0.3">
      <c r="A1493" t="s">
        <v>2301</v>
      </c>
      <c r="B1493" t="s">
        <v>3417</v>
      </c>
      <c r="C1493" t="s">
        <v>345</v>
      </c>
      <c r="F1493" t="s">
        <v>3361</v>
      </c>
      <c r="G1493" t="s">
        <v>2746</v>
      </c>
      <c r="H1493" t="s">
        <v>2244</v>
      </c>
      <c r="I1493" t="s">
        <v>3418</v>
      </c>
      <c r="J1493" t="s">
        <v>3369</v>
      </c>
      <c r="K1493" t="s">
        <v>1661</v>
      </c>
      <c r="L1493" t="s">
        <v>3386</v>
      </c>
      <c r="M1493" t="s">
        <v>3364</v>
      </c>
      <c r="N1493" t="s">
        <v>3365</v>
      </c>
      <c r="O1493" t="s">
        <v>3366</v>
      </c>
      <c r="P1493" t="s">
        <v>3382</v>
      </c>
    </row>
    <row r="1494" spans="1:16" x14ac:dyDescent="0.3">
      <c r="A1494" t="s">
        <v>2370</v>
      </c>
      <c r="B1494" t="s">
        <v>3417</v>
      </c>
      <c r="C1494" t="s">
        <v>345</v>
      </c>
      <c r="F1494" t="s">
        <v>3361</v>
      </c>
      <c r="G1494" t="s">
        <v>2746</v>
      </c>
      <c r="H1494" t="s">
        <v>2244</v>
      </c>
      <c r="I1494" t="s">
        <v>3418</v>
      </c>
      <c r="J1494" t="s">
        <v>3369</v>
      </c>
      <c r="K1494" t="s">
        <v>1661</v>
      </c>
      <c r="L1494" t="s">
        <v>3386</v>
      </c>
      <c r="M1494" t="s">
        <v>3364</v>
      </c>
      <c r="N1494" t="s">
        <v>3365</v>
      </c>
      <c r="O1494" t="s">
        <v>3366</v>
      </c>
      <c r="P1494" t="s">
        <v>3382</v>
      </c>
    </row>
    <row r="1495" spans="1:16" x14ac:dyDescent="0.3">
      <c r="A1495" t="s">
        <v>2414</v>
      </c>
      <c r="B1495" t="s">
        <v>3417</v>
      </c>
      <c r="C1495" t="s">
        <v>345</v>
      </c>
      <c r="F1495" t="s">
        <v>3361</v>
      </c>
      <c r="G1495" t="s">
        <v>2746</v>
      </c>
      <c r="H1495" t="s">
        <v>2244</v>
      </c>
      <c r="I1495" t="s">
        <v>3418</v>
      </c>
      <c r="J1495" t="s">
        <v>3369</v>
      </c>
      <c r="K1495" t="s">
        <v>1661</v>
      </c>
      <c r="L1495" t="s">
        <v>3386</v>
      </c>
      <c r="M1495" t="s">
        <v>3364</v>
      </c>
      <c r="N1495" t="s">
        <v>3365</v>
      </c>
      <c r="O1495" t="s">
        <v>3366</v>
      </c>
      <c r="P1495" t="s">
        <v>3382</v>
      </c>
    </row>
    <row r="1496" spans="1:16" x14ac:dyDescent="0.3">
      <c r="A1496" t="s">
        <v>1577</v>
      </c>
      <c r="B1496" t="s">
        <v>3417</v>
      </c>
      <c r="C1496" t="s">
        <v>345</v>
      </c>
      <c r="F1496" t="s">
        <v>3361</v>
      </c>
      <c r="G1496" t="s">
        <v>2746</v>
      </c>
      <c r="H1496" t="s">
        <v>2244</v>
      </c>
      <c r="I1496" t="s">
        <v>3418</v>
      </c>
      <c r="J1496" t="s">
        <v>3369</v>
      </c>
      <c r="K1496" t="s">
        <v>1661</v>
      </c>
      <c r="L1496" t="s">
        <v>3386</v>
      </c>
      <c r="M1496" t="s">
        <v>3364</v>
      </c>
      <c r="N1496" t="s">
        <v>3365</v>
      </c>
      <c r="O1496" t="s">
        <v>3366</v>
      </c>
      <c r="P1496" t="s">
        <v>3382</v>
      </c>
    </row>
    <row r="1497" spans="1:16" x14ac:dyDescent="0.3">
      <c r="A1497" t="s">
        <v>2415</v>
      </c>
      <c r="B1497" t="s">
        <v>3417</v>
      </c>
      <c r="C1497" t="s">
        <v>345</v>
      </c>
      <c r="F1497" t="s">
        <v>3361</v>
      </c>
      <c r="G1497" t="s">
        <v>2746</v>
      </c>
      <c r="H1497" t="s">
        <v>2244</v>
      </c>
      <c r="I1497" t="s">
        <v>3418</v>
      </c>
      <c r="J1497" t="s">
        <v>3369</v>
      </c>
      <c r="K1497" t="s">
        <v>1661</v>
      </c>
      <c r="L1497" t="s">
        <v>3386</v>
      </c>
      <c r="M1497" t="s">
        <v>3364</v>
      </c>
      <c r="N1497" t="s">
        <v>3365</v>
      </c>
      <c r="O1497" t="s">
        <v>3366</v>
      </c>
      <c r="P1497" t="s">
        <v>3382</v>
      </c>
    </row>
    <row r="1498" spans="1:16" x14ac:dyDescent="0.3">
      <c r="A1498" t="s">
        <v>2416</v>
      </c>
      <c r="B1498" t="s">
        <v>3417</v>
      </c>
      <c r="C1498" t="s">
        <v>345</v>
      </c>
      <c r="F1498" t="s">
        <v>3361</v>
      </c>
      <c r="G1498" t="s">
        <v>2746</v>
      </c>
      <c r="H1498" t="s">
        <v>2244</v>
      </c>
      <c r="I1498" t="s">
        <v>3418</v>
      </c>
      <c r="J1498" t="s">
        <v>3369</v>
      </c>
      <c r="K1498" t="s">
        <v>1661</v>
      </c>
      <c r="L1498" t="s">
        <v>3386</v>
      </c>
      <c r="M1498" t="s">
        <v>3364</v>
      </c>
      <c r="N1498" t="s">
        <v>3365</v>
      </c>
      <c r="O1498" t="s">
        <v>3366</v>
      </c>
      <c r="P1498" t="s">
        <v>3382</v>
      </c>
    </row>
    <row r="1499" spans="1:16" x14ac:dyDescent="0.3">
      <c r="A1499" t="s">
        <v>2417</v>
      </c>
      <c r="B1499" t="s">
        <v>3417</v>
      </c>
      <c r="C1499" t="s">
        <v>345</v>
      </c>
      <c r="F1499" t="s">
        <v>3361</v>
      </c>
      <c r="G1499" t="s">
        <v>2746</v>
      </c>
      <c r="H1499" t="s">
        <v>2246</v>
      </c>
      <c r="I1499" t="s">
        <v>3418</v>
      </c>
      <c r="J1499" t="s">
        <v>3369</v>
      </c>
      <c r="K1499" t="s">
        <v>1661</v>
      </c>
      <c r="L1499" t="s">
        <v>3386</v>
      </c>
      <c r="M1499" t="s">
        <v>3364</v>
      </c>
      <c r="N1499" t="s">
        <v>3365</v>
      </c>
      <c r="O1499" t="s">
        <v>3366</v>
      </c>
      <c r="P1499" t="s">
        <v>3382</v>
      </c>
    </row>
    <row r="1500" spans="1:16" x14ac:dyDescent="0.3">
      <c r="A1500" t="s">
        <v>2418</v>
      </c>
      <c r="B1500" t="s">
        <v>3417</v>
      </c>
      <c r="C1500" t="s">
        <v>345</v>
      </c>
      <c r="F1500" t="s">
        <v>3361</v>
      </c>
      <c r="G1500" t="s">
        <v>2746</v>
      </c>
      <c r="H1500" t="s">
        <v>2246</v>
      </c>
      <c r="I1500" t="s">
        <v>3418</v>
      </c>
      <c r="J1500" t="s">
        <v>3369</v>
      </c>
      <c r="K1500" t="s">
        <v>1661</v>
      </c>
      <c r="L1500" t="s">
        <v>3386</v>
      </c>
      <c r="M1500" t="s">
        <v>3364</v>
      </c>
      <c r="N1500" t="s">
        <v>3365</v>
      </c>
      <c r="O1500" t="s">
        <v>3366</v>
      </c>
      <c r="P1500" t="s">
        <v>3382</v>
      </c>
    </row>
    <row r="1501" spans="1:16" x14ac:dyDescent="0.3">
      <c r="A1501" t="s">
        <v>2419</v>
      </c>
      <c r="B1501" t="s">
        <v>3417</v>
      </c>
      <c r="C1501" t="s">
        <v>345</v>
      </c>
      <c r="F1501" t="s">
        <v>3361</v>
      </c>
      <c r="G1501" t="s">
        <v>2746</v>
      </c>
      <c r="H1501" t="s">
        <v>2246</v>
      </c>
      <c r="I1501" t="s">
        <v>3418</v>
      </c>
      <c r="J1501" t="s">
        <v>3369</v>
      </c>
      <c r="K1501" t="s">
        <v>1661</v>
      </c>
      <c r="L1501" t="s">
        <v>3386</v>
      </c>
      <c r="M1501" t="s">
        <v>3364</v>
      </c>
      <c r="N1501" t="s">
        <v>3365</v>
      </c>
      <c r="O1501" t="s">
        <v>3366</v>
      </c>
      <c r="P1501" t="s">
        <v>3382</v>
      </c>
    </row>
    <row r="1502" spans="1:16" x14ac:dyDescent="0.3">
      <c r="A1502" t="s">
        <v>2420</v>
      </c>
      <c r="B1502" t="s">
        <v>3417</v>
      </c>
      <c r="C1502" t="s">
        <v>345</v>
      </c>
      <c r="F1502" t="s">
        <v>3361</v>
      </c>
      <c r="G1502" t="s">
        <v>2746</v>
      </c>
      <c r="H1502" t="s">
        <v>2246</v>
      </c>
      <c r="I1502" t="s">
        <v>3418</v>
      </c>
      <c r="J1502" t="s">
        <v>3369</v>
      </c>
      <c r="K1502" t="s">
        <v>1661</v>
      </c>
      <c r="L1502" t="s">
        <v>3386</v>
      </c>
      <c r="M1502" t="s">
        <v>3364</v>
      </c>
      <c r="N1502" t="s">
        <v>3365</v>
      </c>
      <c r="O1502" t="s">
        <v>3366</v>
      </c>
      <c r="P1502" t="s">
        <v>3382</v>
      </c>
    </row>
    <row r="1503" spans="1:16" x14ac:dyDescent="0.3">
      <c r="A1503" t="s">
        <v>2421</v>
      </c>
      <c r="B1503" t="s">
        <v>3417</v>
      </c>
      <c r="C1503" t="s">
        <v>345</v>
      </c>
      <c r="F1503" t="s">
        <v>3361</v>
      </c>
      <c r="G1503" t="s">
        <v>2746</v>
      </c>
      <c r="H1503" t="s">
        <v>2246</v>
      </c>
      <c r="I1503" t="s">
        <v>3418</v>
      </c>
      <c r="J1503" t="s">
        <v>3369</v>
      </c>
      <c r="K1503" t="s">
        <v>1661</v>
      </c>
      <c r="L1503" t="s">
        <v>3386</v>
      </c>
      <c r="M1503" t="s">
        <v>3364</v>
      </c>
      <c r="N1503" t="s">
        <v>3365</v>
      </c>
      <c r="O1503" t="s">
        <v>3366</v>
      </c>
      <c r="P1503" t="s">
        <v>3382</v>
      </c>
    </row>
    <row r="1504" spans="1:16" x14ac:dyDescent="0.3">
      <c r="A1504" t="s">
        <v>2422</v>
      </c>
      <c r="B1504" t="s">
        <v>3417</v>
      </c>
      <c r="C1504" t="s">
        <v>345</v>
      </c>
      <c r="F1504" t="s">
        <v>3361</v>
      </c>
      <c r="G1504" t="s">
        <v>2746</v>
      </c>
      <c r="H1504" t="s">
        <v>2246</v>
      </c>
      <c r="I1504" t="s">
        <v>3418</v>
      </c>
      <c r="J1504" t="s">
        <v>3369</v>
      </c>
      <c r="K1504" t="s">
        <v>1661</v>
      </c>
      <c r="L1504" t="s">
        <v>3386</v>
      </c>
      <c r="M1504" t="s">
        <v>3364</v>
      </c>
      <c r="N1504" t="s">
        <v>3365</v>
      </c>
      <c r="O1504" t="s">
        <v>3366</v>
      </c>
      <c r="P1504" t="s">
        <v>3382</v>
      </c>
    </row>
    <row r="1505" spans="1:16" x14ac:dyDescent="0.3">
      <c r="A1505" t="s">
        <v>2423</v>
      </c>
      <c r="B1505" t="s">
        <v>3417</v>
      </c>
      <c r="C1505" t="s">
        <v>345</v>
      </c>
      <c r="F1505" t="s">
        <v>3361</v>
      </c>
      <c r="G1505" t="s">
        <v>2746</v>
      </c>
      <c r="H1505" t="s">
        <v>2246</v>
      </c>
      <c r="I1505" t="s">
        <v>3418</v>
      </c>
      <c r="J1505" t="s">
        <v>3369</v>
      </c>
      <c r="K1505" t="s">
        <v>1661</v>
      </c>
      <c r="L1505" t="s">
        <v>3386</v>
      </c>
      <c r="M1505" t="s">
        <v>3364</v>
      </c>
      <c r="N1505" t="s">
        <v>3365</v>
      </c>
      <c r="O1505" t="s">
        <v>3366</v>
      </c>
      <c r="P1505" t="s">
        <v>3382</v>
      </c>
    </row>
    <row r="1506" spans="1:16" x14ac:dyDescent="0.3">
      <c r="A1506" t="s">
        <v>2424</v>
      </c>
      <c r="B1506" t="s">
        <v>3417</v>
      </c>
      <c r="C1506" t="s">
        <v>345</v>
      </c>
      <c r="F1506" t="s">
        <v>3361</v>
      </c>
      <c r="G1506" t="s">
        <v>2746</v>
      </c>
      <c r="H1506" t="s">
        <v>2246</v>
      </c>
      <c r="I1506" t="s">
        <v>3418</v>
      </c>
      <c r="J1506" t="s">
        <v>3369</v>
      </c>
      <c r="K1506" t="s">
        <v>1661</v>
      </c>
      <c r="L1506" t="s">
        <v>3386</v>
      </c>
      <c r="M1506" t="s">
        <v>3364</v>
      </c>
      <c r="N1506" t="s">
        <v>3365</v>
      </c>
      <c r="O1506" t="s">
        <v>3366</v>
      </c>
      <c r="P1506" t="s">
        <v>3382</v>
      </c>
    </row>
    <row r="1507" spans="1:16" x14ac:dyDescent="0.3">
      <c r="A1507" t="s">
        <v>2425</v>
      </c>
      <c r="B1507" t="s">
        <v>3417</v>
      </c>
      <c r="C1507" t="s">
        <v>345</v>
      </c>
      <c r="F1507" t="s">
        <v>3361</v>
      </c>
      <c r="G1507" t="s">
        <v>2746</v>
      </c>
      <c r="H1507" t="s">
        <v>2246</v>
      </c>
      <c r="I1507" t="s">
        <v>3418</v>
      </c>
      <c r="J1507" t="s">
        <v>3369</v>
      </c>
      <c r="K1507" t="s">
        <v>1661</v>
      </c>
      <c r="L1507" t="s">
        <v>3386</v>
      </c>
      <c r="M1507" t="s">
        <v>3364</v>
      </c>
      <c r="N1507" t="s">
        <v>3365</v>
      </c>
      <c r="O1507" t="s">
        <v>3366</v>
      </c>
      <c r="P1507" t="s">
        <v>3382</v>
      </c>
    </row>
    <row r="1508" spans="1:16" x14ac:dyDescent="0.3">
      <c r="A1508" t="s">
        <v>2426</v>
      </c>
      <c r="B1508" t="s">
        <v>3417</v>
      </c>
      <c r="C1508" t="s">
        <v>345</v>
      </c>
      <c r="F1508" t="s">
        <v>3361</v>
      </c>
      <c r="G1508" t="s">
        <v>2746</v>
      </c>
      <c r="H1508" t="s">
        <v>2246</v>
      </c>
      <c r="I1508" t="s">
        <v>3418</v>
      </c>
      <c r="J1508" t="s">
        <v>3369</v>
      </c>
      <c r="K1508" t="s">
        <v>1661</v>
      </c>
      <c r="L1508" t="s">
        <v>3386</v>
      </c>
      <c r="M1508" t="s">
        <v>3364</v>
      </c>
      <c r="N1508" t="s">
        <v>3365</v>
      </c>
      <c r="O1508" t="s">
        <v>3366</v>
      </c>
      <c r="P1508" t="s">
        <v>3382</v>
      </c>
    </row>
    <row r="1509" spans="1:16" x14ac:dyDescent="0.3">
      <c r="A1509" t="s">
        <v>2427</v>
      </c>
      <c r="B1509" t="s">
        <v>3417</v>
      </c>
      <c r="C1509" t="s">
        <v>345</v>
      </c>
      <c r="F1509" t="s">
        <v>3361</v>
      </c>
      <c r="G1509" t="s">
        <v>2746</v>
      </c>
      <c r="H1509" t="s">
        <v>2246</v>
      </c>
      <c r="I1509" t="s">
        <v>3418</v>
      </c>
      <c r="J1509" t="s">
        <v>3369</v>
      </c>
      <c r="K1509" t="s">
        <v>1661</v>
      </c>
      <c r="L1509" t="s">
        <v>3386</v>
      </c>
      <c r="M1509" t="s">
        <v>3364</v>
      </c>
      <c r="N1509" t="s">
        <v>3365</v>
      </c>
      <c r="O1509" t="s">
        <v>3366</v>
      </c>
      <c r="P1509" t="s">
        <v>3382</v>
      </c>
    </row>
    <row r="1510" spans="1:16" x14ac:dyDescent="0.3">
      <c r="A1510" t="s">
        <v>2428</v>
      </c>
      <c r="B1510" t="s">
        <v>3417</v>
      </c>
      <c r="C1510" t="s">
        <v>345</v>
      </c>
      <c r="F1510" t="s">
        <v>3361</v>
      </c>
      <c r="G1510" t="s">
        <v>2746</v>
      </c>
      <c r="H1510" t="s">
        <v>2246</v>
      </c>
      <c r="I1510" t="s">
        <v>3418</v>
      </c>
      <c r="J1510" t="s">
        <v>3369</v>
      </c>
      <c r="K1510" t="s">
        <v>1661</v>
      </c>
      <c r="L1510" t="s">
        <v>3386</v>
      </c>
      <c r="M1510" t="s">
        <v>3364</v>
      </c>
      <c r="N1510" t="s">
        <v>3365</v>
      </c>
      <c r="O1510" t="s">
        <v>3366</v>
      </c>
      <c r="P1510" t="s">
        <v>3382</v>
      </c>
    </row>
    <row r="1511" spans="1:16" x14ac:dyDescent="0.3">
      <c r="A1511" t="s">
        <v>2429</v>
      </c>
      <c r="B1511" t="s">
        <v>3417</v>
      </c>
      <c r="C1511" t="s">
        <v>345</v>
      </c>
      <c r="F1511" t="s">
        <v>3361</v>
      </c>
      <c r="G1511" t="s">
        <v>2746</v>
      </c>
      <c r="H1511" t="s">
        <v>2246</v>
      </c>
      <c r="I1511" t="s">
        <v>3418</v>
      </c>
      <c r="J1511" t="s">
        <v>3369</v>
      </c>
      <c r="K1511" t="s">
        <v>1661</v>
      </c>
      <c r="L1511" t="s">
        <v>3386</v>
      </c>
      <c r="M1511" t="s">
        <v>3364</v>
      </c>
      <c r="N1511" t="s">
        <v>3365</v>
      </c>
      <c r="O1511" t="s">
        <v>3366</v>
      </c>
      <c r="P1511" t="s">
        <v>3382</v>
      </c>
    </row>
    <row r="1512" spans="1:16" x14ac:dyDescent="0.3">
      <c r="A1512" t="s">
        <v>2430</v>
      </c>
      <c r="B1512" t="s">
        <v>3417</v>
      </c>
      <c r="C1512" t="s">
        <v>345</v>
      </c>
      <c r="F1512" t="s">
        <v>3361</v>
      </c>
      <c r="G1512" t="s">
        <v>2746</v>
      </c>
      <c r="H1512" t="s">
        <v>2248</v>
      </c>
      <c r="I1512" t="s">
        <v>3418</v>
      </c>
      <c r="J1512" t="s">
        <v>3369</v>
      </c>
      <c r="K1512" t="s">
        <v>1661</v>
      </c>
      <c r="L1512" t="s">
        <v>2043</v>
      </c>
      <c r="M1512" t="s">
        <v>3364</v>
      </c>
      <c r="N1512" t="s">
        <v>3365</v>
      </c>
      <c r="O1512" t="s">
        <v>3366</v>
      </c>
      <c r="P1512" t="s">
        <v>3382</v>
      </c>
    </row>
    <row r="1513" spans="1:16" x14ac:dyDescent="0.3">
      <c r="A1513" t="s">
        <v>2431</v>
      </c>
      <c r="B1513" t="s">
        <v>3417</v>
      </c>
      <c r="C1513" t="s">
        <v>345</v>
      </c>
      <c r="F1513" t="s">
        <v>3361</v>
      </c>
      <c r="G1513" t="s">
        <v>2746</v>
      </c>
      <c r="H1513" t="s">
        <v>2248</v>
      </c>
      <c r="I1513" t="s">
        <v>3418</v>
      </c>
      <c r="J1513" t="s">
        <v>3369</v>
      </c>
      <c r="K1513" t="s">
        <v>1661</v>
      </c>
      <c r="L1513" t="s">
        <v>2043</v>
      </c>
      <c r="M1513" t="s">
        <v>3364</v>
      </c>
      <c r="N1513" t="s">
        <v>3365</v>
      </c>
      <c r="O1513" t="s">
        <v>3366</v>
      </c>
      <c r="P1513" t="s">
        <v>3382</v>
      </c>
    </row>
    <row r="1514" spans="1:16" x14ac:dyDescent="0.3">
      <c r="A1514" t="s">
        <v>2432</v>
      </c>
      <c r="B1514" t="s">
        <v>3417</v>
      </c>
      <c r="C1514" t="s">
        <v>345</v>
      </c>
      <c r="F1514" t="s">
        <v>3361</v>
      </c>
      <c r="G1514" t="s">
        <v>2746</v>
      </c>
      <c r="H1514" t="s">
        <v>2248</v>
      </c>
      <c r="I1514" t="s">
        <v>3418</v>
      </c>
      <c r="J1514" t="s">
        <v>3369</v>
      </c>
      <c r="K1514" t="s">
        <v>1661</v>
      </c>
      <c r="L1514" t="s">
        <v>2043</v>
      </c>
      <c r="M1514" t="s">
        <v>3364</v>
      </c>
      <c r="N1514" t="s">
        <v>3365</v>
      </c>
      <c r="O1514" t="s">
        <v>3366</v>
      </c>
      <c r="P1514" t="s">
        <v>3382</v>
      </c>
    </row>
    <row r="1515" spans="1:16" x14ac:dyDescent="0.3">
      <c r="A1515" t="s">
        <v>2433</v>
      </c>
      <c r="B1515" t="s">
        <v>3417</v>
      </c>
      <c r="C1515" t="s">
        <v>345</v>
      </c>
      <c r="F1515" t="s">
        <v>3361</v>
      </c>
      <c r="G1515" t="s">
        <v>2746</v>
      </c>
      <c r="H1515" t="s">
        <v>2248</v>
      </c>
      <c r="I1515" t="s">
        <v>3418</v>
      </c>
      <c r="J1515" t="s">
        <v>3362</v>
      </c>
      <c r="K1515" t="s">
        <v>1661</v>
      </c>
      <c r="L1515" t="s">
        <v>2043</v>
      </c>
      <c r="M1515" t="s">
        <v>3364</v>
      </c>
      <c r="N1515" t="s">
        <v>3365</v>
      </c>
      <c r="O1515" t="s">
        <v>3366</v>
      </c>
      <c r="P1515" t="s">
        <v>3367</v>
      </c>
    </row>
    <row r="1516" spans="1:16" x14ac:dyDescent="0.3">
      <c r="A1516" t="s">
        <v>1602</v>
      </c>
      <c r="B1516" t="s">
        <v>3417</v>
      </c>
      <c r="C1516" t="s">
        <v>345</v>
      </c>
      <c r="F1516" t="s">
        <v>3361</v>
      </c>
      <c r="G1516" t="s">
        <v>2746</v>
      </c>
      <c r="H1516" t="s">
        <v>2248</v>
      </c>
      <c r="I1516" t="s">
        <v>3418</v>
      </c>
      <c r="J1516" t="s">
        <v>3369</v>
      </c>
      <c r="K1516" t="s">
        <v>1661</v>
      </c>
      <c r="L1516" t="s">
        <v>2043</v>
      </c>
      <c r="M1516" t="s">
        <v>3364</v>
      </c>
      <c r="N1516" t="s">
        <v>3365</v>
      </c>
      <c r="O1516" t="s">
        <v>3366</v>
      </c>
      <c r="P1516" t="s">
        <v>3382</v>
      </c>
    </row>
    <row r="1517" spans="1:16" x14ac:dyDescent="0.3">
      <c r="A1517" t="s">
        <v>2434</v>
      </c>
      <c r="B1517" t="s">
        <v>3417</v>
      </c>
      <c r="C1517" t="s">
        <v>345</v>
      </c>
      <c r="F1517" t="s">
        <v>3361</v>
      </c>
      <c r="G1517" t="s">
        <v>2746</v>
      </c>
      <c r="H1517" t="s">
        <v>2248</v>
      </c>
      <c r="I1517" t="s">
        <v>3418</v>
      </c>
      <c r="J1517" t="s">
        <v>3369</v>
      </c>
      <c r="K1517" t="s">
        <v>1661</v>
      </c>
      <c r="L1517" t="s">
        <v>2043</v>
      </c>
      <c r="M1517" t="s">
        <v>3364</v>
      </c>
      <c r="N1517" t="s">
        <v>3365</v>
      </c>
      <c r="O1517" t="s">
        <v>3366</v>
      </c>
      <c r="P1517" t="s">
        <v>3382</v>
      </c>
    </row>
    <row r="1518" spans="1:16" x14ac:dyDescent="0.3">
      <c r="A1518" t="s">
        <v>2301</v>
      </c>
      <c r="B1518" t="s">
        <v>3417</v>
      </c>
      <c r="C1518" t="s">
        <v>345</v>
      </c>
      <c r="F1518" t="s">
        <v>3361</v>
      </c>
      <c r="G1518" t="s">
        <v>2746</v>
      </c>
      <c r="H1518" t="s">
        <v>2250</v>
      </c>
      <c r="I1518" t="s">
        <v>3418</v>
      </c>
      <c r="J1518" t="s">
        <v>3369</v>
      </c>
      <c r="K1518" t="s">
        <v>1661</v>
      </c>
      <c r="L1518" t="s">
        <v>3386</v>
      </c>
      <c r="M1518" t="s">
        <v>3364</v>
      </c>
      <c r="N1518" t="s">
        <v>3365</v>
      </c>
      <c r="O1518" t="s">
        <v>3366</v>
      </c>
      <c r="P1518" t="s">
        <v>3382</v>
      </c>
    </row>
    <row r="1519" spans="1:16" x14ac:dyDescent="0.3">
      <c r="A1519" t="s">
        <v>2435</v>
      </c>
      <c r="B1519" t="s">
        <v>3417</v>
      </c>
      <c r="C1519" t="s">
        <v>345</v>
      </c>
      <c r="F1519" t="s">
        <v>3361</v>
      </c>
      <c r="G1519" t="s">
        <v>2746</v>
      </c>
      <c r="H1519" t="s">
        <v>2250</v>
      </c>
      <c r="I1519" t="s">
        <v>3418</v>
      </c>
      <c r="J1519" t="s">
        <v>3369</v>
      </c>
      <c r="K1519" t="s">
        <v>1661</v>
      </c>
      <c r="L1519" t="s">
        <v>3386</v>
      </c>
      <c r="M1519" t="s">
        <v>3364</v>
      </c>
      <c r="N1519" t="s">
        <v>3365</v>
      </c>
      <c r="O1519" t="s">
        <v>3366</v>
      </c>
      <c r="P1519" t="s">
        <v>3382</v>
      </c>
    </row>
    <row r="1520" spans="1:16" x14ac:dyDescent="0.3">
      <c r="A1520" t="s">
        <v>2297</v>
      </c>
      <c r="B1520" t="s">
        <v>3417</v>
      </c>
      <c r="C1520" t="s">
        <v>345</v>
      </c>
      <c r="F1520" t="s">
        <v>3361</v>
      </c>
      <c r="G1520" t="s">
        <v>2746</v>
      </c>
      <c r="H1520" t="s">
        <v>2250</v>
      </c>
      <c r="I1520" t="s">
        <v>3418</v>
      </c>
      <c r="J1520" t="s">
        <v>3369</v>
      </c>
      <c r="K1520" t="s">
        <v>1661</v>
      </c>
      <c r="L1520" t="s">
        <v>3386</v>
      </c>
      <c r="M1520" t="s">
        <v>3364</v>
      </c>
      <c r="N1520" t="s">
        <v>3365</v>
      </c>
      <c r="O1520" t="s">
        <v>3366</v>
      </c>
      <c r="P1520" t="s">
        <v>3382</v>
      </c>
    </row>
    <row r="1521" spans="1:16" x14ac:dyDescent="0.3">
      <c r="A1521" t="s">
        <v>2436</v>
      </c>
      <c r="B1521" t="s">
        <v>3417</v>
      </c>
      <c r="C1521" t="s">
        <v>345</v>
      </c>
      <c r="F1521" t="s">
        <v>3361</v>
      </c>
      <c r="G1521" t="s">
        <v>2746</v>
      </c>
      <c r="H1521" t="s">
        <v>2250</v>
      </c>
      <c r="I1521" t="s">
        <v>3418</v>
      </c>
      <c r="J1521" t="s">
        <v>3369</v>
      </c>
      <c r="K1521" t="s">
        <v>1661</v>
      </c>
      <c r="L1521" t="s">
        <v>3386</v>
      </c>
      <c r="M1521" t="s">
        <v>3364</v>
      </c>
      <c r="N1521" t="s">
        <v>3365</v>
      </c>
      <c r="O1521" t="s">
        <v>3366</v>
      </c>
      <c r="P1521" t="s">
        <v>3382</v>
      </c>
    </row>
    <row r="1522" spans="1:16" x14ac:dyDescent="0.3">
      <c r="A1522" t="s">
        <v>2437</v>
      </c>
      <c r="B1522" t="s">
        <v>3417</v>
      </c>
      <c r="C1522" t="s">
        <v>345</v>
      </c>
      <c r="F1522" t="s">
        <v>3361</v>
      </c>
      <c r="G1522" t="s">
        <v>2746</v>
      </c>
      <c r="H1522" t="s">
        <v>2250</v>
      </c>
      <c r="I1522" t="s">
        <v>3418</v>
      </c>
      <c r="J1522" t="s">
        <v>3369</v>
      </c>
      <c r="K1522" t="s">
        <v>1661</v>
      </c>
      <c r="L1522" t="s">
        <v>3386</v>
      </c>
      <c r="M1522" t="s">
        <v>3364</v>
      </c>
      <c r="N1522" t="s">
        <v>3365</v>
      </c>
      <c r="O1522" t="s">
        <v>3366</v>
      </c>
      <c r="P1522" t="s">
        <v>3382</v>
      </c>
    </row>
    <row r="1523" spans="1:16" x14ac:dyDescent="0.3">
      <c r="A1523" t="s">
        <v>2438</v>
      </c>
      <c r="B1523" t="s">
        <v>3417</v>
      </c>
      <c r="C1523" t="s">
        <v>345</v>
      </c>
      <c r="F1523" t="s">
        <v>3361</v>
      </c>
      <c r="G1523" t="s">
        <v>2746</v>
      </c>
      <c r="H1523" t="s">
        <v>2250</v>
      </c>
      <c r="I1523" t="s">
        <v>3418</v>
      </c>
      <c r="J1523" t="s">
        <v>3369</v>
      </c>
      <c r="K1523" t="s">
        <v>1661</v>
      </c>
      <c r="L1523" t="s">
        <v>3386</v>
      </c>
      <c r="M1523" t="s">
        <v>3364</v>
      </c>
      <c r="N1523" t="s">
        <v>3365</v>
      </c>
      <c r="O1523" t="s">
        <v>3366</v>
      </c>
      <c r="P1523" t="s">
        <v>3382</v>
      </c>
    </row>
    <row r="1524" spans="1:16" x14ac:dyDescent="0.3">
      <c r="A1524" t="s">
        <v>1579</v>
      </c>
      <c r="B1524" t="s">
        <v>3417</v>
      </c>
      <c r="C1524" t="s">
        <v>345</v>
      </c>
      <c r="F1524" t="s">
        <v>3361</v>
      </c>
      <c r="G1524" t="s">
        <v>2746</v>
      </c>
      <c r="H1524" t="s">
        <v>2250</v>
      </c>
      <c r="I1524" t="s">
        <v>3418</v>
      </c>
      <c r="J1524" t="s">
        <v>3369</v>
      </c>
      <c r="K1524" t="s">
        <v>1661</v>
      </c>
      <c r="L1524" t="s">
        <v>3386</v>
      </c>
      <c r="M1524" t="s">
        <v>3364</v>
      </c>
      <c r="N1524" t="s">
        <v>3365</v>
      </c>
      <c r="O1524" t="s">
        <v>3366</v>
      </c>
      <c r="P1524" t="s">
        <v>3382</v>
      </c>
    </row>
    <row r="1525" spans="1:16" x14ac:dyDescent="0.3">
      <c r="A1525" t="s">
        <v>889</v>
      </c>
      <c r="B1525" t="s">
        <v>3417</v>
      </c>
      <c r="C1525" t="s">
        <v>345</v>
      </c>
      <c r="F1525" t="s">
        <v>3361</v>
      </c>
      <c r="G1525" t="s">
        <v>2746</v>
      </c>
      <c r="H1525" t="s">
        <v>2252</v>
      </c>
      <c r="I1525" t="s">
        <v>3418</v>
      </c>
      <c r="J1525" t="s">
        <v>3362</v>
      </c>
      <c r="K1525" t="s">
        <v>1661</v>
      </c>
      <c r="L1525" t="s">
        <v>3386</v>
      </c>
      <c r="M1525" t="s">
        <v>3364</v>
      </c>
      <c r="N1525" t="s">
        <v>3365</v>
      </c>
      <c r="O1525" t="s">
        <v>3366</v>
      </c>
      <c r="P1525" t="s">
        <v>3367</v>
      </c>
    </row>
    <row r="1526" spans="1:16" x14ac:dyDescent="0.3">
      <c r="A1526" t="s">
        <v>2439</v>
      </c>
      <c r="B1526" t="s">
        <v>3417</v>
      </c>
      <c r="C1526" t="s">
        <v>345</v>
      </c>
      <c r="F1526" t="s">
        <v>3361</v>
      </c>
      <c r="G1526" t="s">
        <v>2746</v>
      </c>
      <c r="H1526" t="s">
        <v>2252</v>
      </c>
      <c r="I1526" t="s">
        <v>3418</v>
      </c>
      <c r="J1526" t="s">
        <v>3369</v>
      </c>
      <c r="K1526" t="s">
        <v>1661</v>
      </c>
      <c r="L1526" t="s">
        <v>3386</v>
      </c>
      <c r="M1526" t="s">
        <v>3364</v>
      </c>
      <c r="N1526" t="s">
        <v>3365</v>
      </c>
      <c r="O1526" t="s">
        <v>3366</v>
      </c>
      <c r="P1526" t="s">
        <v>3382</v>
      </c>
    </row>
    <row r="1527" spans="1:16" x14ac:dyDescent="0.3">
      <c r="A1527" t="s">
        <v>2440</v>
      </c>
      <c r="B1527" t="s">
        <v>3417</v>
      </c>
      <c r="C1527" t="s">
        <v>345</v>
      </c>
      <c r="F1527" t="s">
        <v>3361</v>
      </c>
      <c r="G1527" t="s">
        <v>2746</v>
      </c>
      <c r="H1527" t="s">
        <v>2252</v>
      </c>
      <c r="I1527" t="s">
        <v>3418</v>
      </c>
      <c r="J1527" t="s">
        <v>3369</v>
      </c>
      <c r="K1527" t="s">
        <v>1661</v>
      </c>
      <c r="L1527" t="s">
        <v>3386</v>
      </c>
      <c r="M1527" t="s">
        <v>3364</v>
      </c>
      <c r="N1527" t="s">
        <v>3365</v>
      </c>
      <c r="O1527" t="s">
        <v>3366</v>
      </c>
      <c r="P1527" t="s">
        <v>3382</v>
      </c>
    </row>
    <row r="1528" spans="1:16" x14ac:dyDescent="0.3">
      <c r="A1528" t="s">
        <v>2441</v>
      </c>
      <c r="B1528" t="s">
        <v>3417</v>
      </c>
      <c r="C1528" t="s">
        <v>345</v>
      </c>
      <c r="F1528" t="s">
        <v>3361</v>
      </c>
      <c r="G1528" t="s">
        <v>2746</v>
      </c>
      <c r="H1528" t="s">
        <v>2252</v>
      </c>
      <c r="I1528" t="s">
        <v>3418</v>
      </c>
      <c r="J1528" t="s">
        <v>3369</v>
      </c>
      <c r="K1528" t="s">
        <v>1661</v>
      </c>
      <c r="L1528" t="s">
        <v>3386</v>
      </c>
      <c r="M1528" t="s">
        <v>3364</v>
      </c>
      <c r="N1528" t="s">
        <v>3365</v>
      </c>
      <c r="O1528" t="s">
        <v>3366</v>
      </c>
      <c r="P1528" t="s">
        <v>3382</v>
      </c>
    </row>
    <row r="1529" spans="1:16" x14ac:dyDescent="0.3">
      <c r="A1529" t="s">
        <v>2442</v>
      </c>
      <c r="B1529" t="s">
        <v>3417</v>
      </c>
      <c r="C1529" t="s">
        <v>345</v>
      </c>
      <c r="F1529" t="s">
        <v>3361</v>
      </c>
      <c r="G1529" t="s">
        <v>2746</v>
      </c>
      <c r="H1529" t="s">
        <v>2252</v>
      </c>
      <c r="I1529" t="s">
        <v>3418</v>
      </c>
      <c r="J1529" t="s">
        <v>3369</v>
      </c>
      <c r="K1529" t="s">
        <v>1661</v>
      </c>
      <c r="L1529" t="s">
        <v>3386</v>
      </c>
      <c r="M1529" t="s">
        <v>3364</v>
      </c>
      <c r="N1529" t="s">
        <v>3365</v>
      </c>
      <c r="O1529" t="s">
        <v>3366</v>
      </c>
      <c r="P1529" t="s">
        <v>3382</v>
      </c>
    </row>
    <row r="1530" spans="1:16" x14ac:dyDescent="0.3">
      <c r="A1530" t="s">
        <v>2443</v>
      </c>
      <c r="B1530" t="s">
        <v>3417</v>
      </c>
      <c r="C1530" t="s">
        <v>345</v>
      </c>
      <c r="F1530" t="s">
        <v>3361</v>
      </c>
      <c r="G1530" t="s">
        <v>2746</v>
      </c>
      <c r="H1530" t="s">
        <v>2252</v>
      </c>
      <c r="I1530" t="s">
        <v>3418</v>
      </c>
      <c r="J1530" t="s">
        <v>3369</v>
      </c>
      <c r="K1530" t="s">
        <v>1661</v>
      </c>
      <c r="L1530" t="s">
        <v>3386</v>
      </c>
      <c r="M1530" t="s">
        <v>3364</v>
      </c>
      <c r="N1530" t="s">
        <v>3365</v>
      </c>
      <c r="O1530" t="s">
        <v>3366</v>
      </c>
      <c r="P1530" t="s">
        <v>3382</v>
      </c>
    </row>
    <row r="1531" spans="1:16" x14ac:dyDescent="0.3">
      <c r="A1531" t="s">
        <v>2444</v>
      </c>
      <c r="B1531" t="s">
        <v>3417</v>
      </c>
      <c r="C1531" t="s">
        <v>345</v>
      </c>
      <c r="F1531" t="s">
        <v>3361</v>
      </c>
      <c r="G1531" t="s">
        <v>2746</v>
      </c>
      <c r="H1531" t="s">
        <v>2252</v>
      </c>
      <c r="I1531" t="s">
        <v>3418</v>
      </c>
      <c r="J1531" t="s">
        <v>3369</v>
      </c>
      <c r="K1531" t="s">
        <v>1661</v>
      </c>
      <c r="L1531" t="s">
        <v>3386</v>
      </c>
      <c r="M1531" t="s">
        <v>3364</v>
      </c>
      <c r="N1531" t="s">
        <v>3365</v>
      </c>
      <c r="O1531" t="s">
        <v>3366</v>
      </c>
      <c r="P1531" t="s">
        <v>3382</v>
      </c>
    </row>
    <row r="1532" spans="1:16" x14ac:dyDescent="0.3">
      <c r="A1532" t="s">
        <v>2404</v>
      </c>
      <c r="B1532" t="s">
        <v>3417</v>
      </c>
      <c r="C1532" t="s">
        <v>345</v>
      </c>
      <c r="F1532" t="s">
        <v>3361</v>
      </c>
      <c r="G1532" t="s">
        <v>2746</v>
      </c>
      <c r="H1532" t="s">
        <v>2252</v>
      </c>
      <c r="I1532" t="s">
        <v>3418</v>
      </c>
      <c r="J1532" t="s">
        <v>3369</v>
      </c>
      <c r="K1532" t="s">
        <v>1661</v>
      </c>
      <c r="L1532" t="s">
        <v>3386</v>
      </c>
      <c r="M1532" t="s">
        <v>3364</v>
      </c>
      <c r="N1532" t="s">
        <v>3365</v>
      </c>
      <c r="O1532" t="s">
        <v>3366</v>
      </c>
      <c r="P1532" t="s">
        <v>3382</v>
      </c>
    </row>
    <row r="1533" spans="1:16" x14ac:dyDescent="0.3">
      <c r="A1533" t="s">
        <v>2405</v>
      </c>
      <c r="B1533" t="s">
        <v>3417</v>
      </c>
      <c r="C1533" t="s">
        <v>345</v>
      </c>
      <c r="F1533" t="s">
        <v>3361</v>
      </c>
      <c r="G1533" t="s">
        <v>2746</v>
      </c>
      <c r="H1533" t="s">
        <v>2252</v>
      </c>
      <c r="I1533" t="s">
        <v>3418</v>
      </c>
      <c r="J1533" t="s">
        <v>3369</v>
      </c>
      <c r="K1533" t="s">
        <v>1661</v>
      </c>
      <c r="L1533" t="s">
        <v>3386</v>
      </c>
      <c r="M1533" t="s">
        <v>3364</v>
      </c>
      <c r="N1533" t="s">
        <v>3365</v>
      </c>
      <c r="O1533" t="s">
        <v>3366</v>
      </c>
      <c r="P1533" t="s">
        <v>3382</v>
      </c>
    </row>
    <row r="1534" spans="1:16" x14ac:dyDescent="0.3">
      <c r="A1534" t="s">
        <v>2445</v>
      </c>
      <c r="B1534" t="s">
        <v>3417</v>
      </c>
      <c r="C1534" t="s">
        <v>345</v>
      </c>
      <c r="F1534" t="s">
        <v>3361</v>
      </c>
      <c r="G1534" t="s">
        <v>2746</v>
      </c>
      <c r="H1534" t="s">
        <v>2252</v>
      </c>
      <c r="I1534" t="s">
        <v>3418</v>
      </c>
      <c r="J1534" t="s">
        <v>3369</v>
      </c>
      <c r="K1534" t="s">
        <v>1661</v>
      </c>
      <c r="L1534" t="s">
        <v>3386</v>
      </c>
      <c r="M1534" t="s">
        <v>3364</v>
      </c>
      <c r="N1534" t="s">
        <v>3365</v>
      </c>
      <c r="O1534" t="s">
        <v>3366</v>
      </c>
      <c r="P1534" t="s">
        <v>3382</v>
      </c>
    </row>
    <row r="1535" spans="1:16" x14ac:dyDescent="0.3">
      <c r="A1535" t="s">
        <v>2446</v>
      </c>
      <c r="B1535" t="s">
        <v>3417</v>
      </c>
      <c r="C1535" t="s">
        <v>345</v>
      </c>
      <c r="F1535" t="s">
        <v>3361</v>
      </c>
      <c r="G1535" t="s">
        <v>2746</v>
      </c>
      <c r="H1535" t="s">
        <v>2252</v>
      </c>
      <c r="I1535" t="s">
        <v>3418</v>
      </c>
      <c r="J1535" t="s">
        <v>3369</v>
      </c>
      <c r="K1535" t="s">
        <v>1661</v>
      </c>
      <c r="L1535" t="s">
        <v>3386</v>
      </c>
      <c r="M1535" t="s">
        <v>3364</v>
      </c>
      <c r="N1535" t="s">
        <v>3365</v>
      </c>
      <c r="O1535" t="s">
        <v>3366</v>
      </c>
      <c r="P1535" t="s">
        <v>3382</v>
      </c>
    </row>
    <row r="1536" spans="1:16" x14ac:dyDescent="0.3">
      <c r="A1536" t="s">
        <v>2447</v>
      </c>
      <c r="B1536" t="s">
        <v>3417</v>
      </c>
      <c r="C1536" t="s">
        <v>345</v>
      </c>
      <c r="F1536" t="s">
        <v>3361</v>
      </c>
      <c r="G1536" t="s">
        <v>2746</v>
      </c>
      <c r="H1536" t="s">
        <v>2252</v>
      </c>
      <c r="I1536" t="s">
        <v>3418</v>
      </c>
      <c r="J1536" t="s">
        <v>3369</v>
      </c>
      <c r="K1536" t="s">
        <v>1661</v>
      </c>
      <c r="L1536" t="s">
        <v>3386</v>
      </c>
      <c r="M1536" t="s">
        <v>3364</v>
      </c>
      <c r="N1536" t="s">
        <v>3365</v>
      </c>
      <c r="O1536" t="s">
        <v>3366</v>
      </c>
      <c r="P1536" t="s">
        <v>3382</v>
      </c>
    </row>
    <row r="1537" spans="1:16" x14ac:dyDescent="0.3">
      <c r="A1537" t="s">
        <v>1612</v>
      </c>
      <c r="B1537" t="s">
        <v>3417</v>
      </c>
      <c r="C1537" t="s">
        <v>345</v>
      </c>
      <c r="F1537" t="s">
        <v>3361</v>
      </c>
      <c r="G1537" t="s">
        <v>2746</v>
      </c>
      <c r="H1537" t="s">
        <v>2252</v>
      </c>
      <c r="I1537" t="s">
        <v>3418</v>
      </c>
      <c r="J1537" t="s">
        <v>3369</v>
      </c>
      <c r="K1537" t="s">
        <v>1661</v>
      </c>
      <c r="L1537" t="s">
        <v>3386</v>
      </c>
      <c r="M1537" t="s">
        <v>3364</v>
      </c>
      <c r="N1537" t="s">
        <v>3365</v>
      </c>
      <c r="O1537" t="s">
        <v>3366</v>
      </c>
      <c r="P1537" t="s">
        <v>3382</v>
      </c>
    </row>
    <row r="1538" spans="1:16" x14ac:dyDescent="0.3">
      <c r="A1538" t="s">
        <v>2448</v>
      </c>
      <c r="B1538" t="s">
        <v>3417</v>
      </c>
      <c r="C1538" t="s">
        <v>345</v>
      </c>
      <c r="F1538" t="s">
        <v>3361</v>
      </c>
      <c r="G1538" t="s">
        <v>2746</v>
      </c>
      <c r="H1538" t="s">
        <v>2252</v>
      </c>
      <c r="I1538" t="s">
        <v>3418</v>
      </c>
      <c r="J1538" t="s">
        <v>3369</v>
      </c>
      <c r="K1538" t="s">
        <v>1661</v>
      </c>
      <c r="L1538" t="s">
        <v>3386</v>
      </c>
      <c r="M1538" t="s">
        <v>3364</v>
      </c>
      <c r="N1538" t="s">
        <v>3365</v>
      </c>
      <c r="O1538" t="s">
        <v>3366</v>
      </c>
      <c r="P1538" t="s">
        <v>3382</v>
      </c>
    </row>
    <row r="1539" spans="1:16" x14ac:dyDescent="0.3">
      <c r="A1539" t="s">
        <v>347</v>
      </c>
      <c r="B1539" t="s">
        <v>3417</v>
      </c>
      <c r="C1539" t="s">
        <v>347</v>
      </c>
      <c r="F1539" t="s">
        <v>3361</v>
      </c>
      <c r="G1539" t="s">
        <v>2746</v>
      </c>
      <c r="H1539" t="s">
        <v>2242</v>
      </c>
      <c r="I1539" t="s">
        <v>3418</v>
      </c>
      <c r="J1539" t="s">
        <v>3369</v>
      </c>
      <c r="K1539" t="s">
        <v>1661</v>
      </c>
      <c r="L1539" t="s">
        <v>3386</v>
      </c>
      <c r="M1539" t="s">
        <v>3364</v>
      </c>
      <c r="N1539" t="s">
        <v>3365</v>
      </c>
      <c r="O1539" t="s">
        <v>3366</v>
      </c>
      <c r="P1539" t="s">
        <v>3382</v>
      </c>
    </row>
    <row r="1540" spans="1:16" x14ac:dyDescent="0.3">
      <c r="A1540" t="s">
        <v>709</v>
      </c>
      <c r="B1540" t="s">
        <v>3417</v>
      </c>
      <c r="C1540" t="s">
        <v>347</v>
      </c>
      <c r="F1540" t="s">
        <v>3361</v>
      </c>
      <c r="G1540" t="s">
        <v>2746</v>
      </c>
      <c r="H1540" t="s">
        <v>2242</v>
      </c>
      <c r="I1540" t="s">
        <v>3418</v>
      </c>
      <c r="J1540" t="s">
        <v>3369</v>
      </c>
      <c r="K1540" t="s">
        <v>1661</v>
      </c>
      <c r="L1540" t="s">
        <v>3386</v>
      </c>
      <c r="M1540" t="s">
        <v>3364</v>
      </c>
      <c r="N1540" t="s">
        <v>3365</v>
      </c>
      <c r="O1540" t="s">
        <v>3366</v>
      </c>
      <c r="P1540" t="s">
        <v>3382</v>
      </c>
    </row>
    <row r="1541" spans="1:16" x14ac:dyDescent="0.3">
      <c r="A1541" t="s">
        <v>2268</v>
      </c>
      <c r="B1541" t="s">
        <v>3417</v>
      </c>
      <c r="C1541" t="s">
        <v>347</v>
      </c>
      <c r="F1541" t="s">
        <v>3361</v>
      </c>
      <c r="G1541" t="s">
        <v>2746</v>
      </c>
      <c r="H1541" t="s">
        <v>2244</v>
      </c>
      <c r="I1541" t="s">
        <v>3418</v>
      </c>
      <c r="J1541" t="s">
        <v>3369</v>
      </c>
      <c r="K1541" t="s">
        <v>1661</v>
      </c>
      <c r="L1541" t="s">
        <v>3386</v>
      </c>
      <c r="M1541" t="s">
        <v>3364</v>
      </c>
      <c r="N1541" t="s">
        <v>3365</v>
      </c>
      <c r="O1541" t="s">
        <v>3366</v>
      </c>
      <c r="P1541" t="s">
        <v>3382</v>
      </c>
    </row>
    <row r="1542" spans="1:16" x14ac:dyDescent="0.3">
      <c r="A1542" t="s">
        <v>711</v>
      </c>
      <c r="B1542" t="s">
        <v>3417</v>
      </c>
      <c r="C1542" t="s">
        <v>347</v>
      </c>
      <c r="F1542" t="s">
        <v>3361</v>
      </c>
      <c r="G1542" t="s">
        <v>2746</v>
      </c>
      <c r="H1542" t="s">
        <v>2244</v>
      </c>
      <c r="I1542" t="s">
        <v>3418</v>
      </c>
      <c r="J1542" t="s">
        <v>3369</v>
      </c>
      <c r="K1542" t="s">
        <v>1661</v>
      </c>
      <c r="L1542" t="s">
        <v>3386</v>
      </c>
      <c r="M1542" t="s">
        <v>3364</v>
      </c>
      <c r="N1542" t="s">
        <v>3365</v>
      </c>
      <c r="O1542" t="s">
        <v>3366</v>
      </c>
      <c r="P1542" t="s">
        <v>3382</v>
      </c>
    </row>
    <row r="1543" spans="1:16" x14ac:dyDescent="0.3">
      <c r="A1543" t="s">
        <v>712</v>
      </c>
      <c r="B1543" t="s">
        <v>3417</v>
      </c>
      <c r="C1543" t="s">
        <v>347</v>
      </c>
      <c r="F1543" t="s">
        <v>3361</v>
      </c>
      <c r="G1543" t="s">
        <v>2746</v>
      </c>
      <c r="H1543" t="s">
        <v>2244</v>
      </c>
      <c r="I1543" t="s">
        <v>3418</v>
      </c>
      <c r="J1543" t="s">
        <v>3362</v>
      </c>
      <c r="K1543" t="s">
        <v>1661</v>
      </c>
      <c r="L1543" t="s">
        <v>3386</v>
      </c>
      <c r="M1543" t="s">
        <v>3364</v>
      </c>
      <c r="N1543" t="s">
        <v>3365</v>
      </c>
      <c r="O1543" t="s">
        <v>3366</v>
      </c>
      <c r="P1543" t="s">
        <v>3367</v>
      </c>
    </row>
    <row r="1544" spans="1:16" x14ac:dyDescent="0.3">
      <c r="A1544" t="s">
        <v>2452</v>
      </c>
      <c r="B1544" t="s">
        <v>3417</v>
      </c>
      <c r="C1544" t="s">
        <v>347</v>
      </c>
      <c r="F1544" t="s">
        <v>3361</v>
      </c>
      <c r="G1544" t="s">
        <v>2746</v>
      </c>
      <c r="H1544" t="s">
        <v>2244</v>
      </c>
      <c r="I1544" t="s">
        <v>3418</v>
      </c>
      <c r="J1544" t="s">
        <v>3369</v>
      </c>
      <c r="K1544" t="s">
        <v>1661</v>
      </c>
      <c r="L1544" t="s">
        <v>3386</v>
      </c>
      <c r="M1544" t="s">
        <v>3364</v>
      </c>
      <c r="N1544" t="s">
        <v>3365</v>
      </c>
      <c r="O1544" t="s">
        <v>3366</v>
      </c>
      <c r="P1544" t="s">
        <v>3382</v>
      </c>
    </row>
    <row r="1545" spans="1:16" x14ac:dyDescent="0.3">
      <c r="A1545" t="s">
        <v>2453</v>
      </c>
      <c r="B1545" t="s">
        <v>3417</v>
      </c>
      <c r="C1545" t="s">
        <v>347</v>
      </c>
      <c r="F1545" t="s">
        <v>3361</v>
      </c>
      <c r="G1545" t="s">
        <v>2746</v>
      </c>
      <c r="H1545" t="s">
        <v>2244</v>
      </c>
      <c r="I1545" t="s">
        <v>3418</v>
      </c>
      <c r="J1545" t="s">
        <v>3369</v>
      </c>
      <c r="K1545" t="s">
        <v>1661</v>
      </c>
      <c r="L1545" t="s">
        <v>3386</v>
      </c>
      <c r="M1545" t="s">
        <v>3364</v>
      </c>
      <c r="N1545" t="s">
        <v>3365</v>
      </c>
      <c r="O1545" t="s">
        <v>3366</v>
      </c>
      <c r="P1545" t="s">
        <v>3382</v>
      </c>
    </row>
    <row r="1546" spans="1:16" x14ac:dyDescent="0.3">
      <c r="A1546" t="s">
        <v>2454</v>
      </c>
      <c r="B1546" t="s">
        <v>3417</v>
      </c>
      <c r="C1546" t="s">
        <v>347</v>
      </c>
      <c r="F1546" t="s">
        <v>3361</v>
      </c>
      <c r="G1546" t="s">
        <v>2746</v>
      </c>
      <c r="H1546" t="s">
        <v>2244</v>
      </c>
      <c r="I1546" t="s">
        <v>3418</v>
      </c>
      <c r="J1546" t="s">
        <v>3369</v>
      </c>
      <c r="K1546" t="s">
        <v>1661</v>
      </c>
      <c r="L1546" t="s">
        <v>3386</v>
      </c>
      <c r="M1546" t="s">
        <v>3364</v>
      </c>
      <c r="N1546" t="s">
        <v>3365</v>
      </c>
      <c r="O1546" t="s">
        <v>3366</v>
      </c>
      <c r="P1546" t="s">
        <v>3382</v>
      </c>
    </row>
    <row r="1547" spans="1:16" x14ac:dyDescent="0.3">
      <c r="A1547" t="s">
        <v>2455</v>
      </c>
      <c r="B1547" t="s">
        <v>3417</v>
      </c>
      <c r="C1547" t="s">
        <v>347</v>
      </c>
      <c r="F1547" t="s">
        <v>3361</v>
      </c>
      <c r="G1547" t="s">
        <v>2746</v>
      </c>
      <c r="H1547" t="s">
        <v>2244</v>
      </c>
      <c r="I1547" t="s">
        <v>3418</v>
      </c>
      <c r="J1547" t="s">
        <v>3369</v>
      </c>
      <c r="K1547" t="s">
        <v>1661</v>
      </c>
      <c r="L1547" t="s">
        <v>3386</v>
      </c>
      <c r="M1547" t="s">
        <v>3364</v>
      </c>
      <c r="N1547" t="s">
        <v>3365</v>
      </c>
      <c r="O1547" t="s">
        <v>3366</v>
      </c>
      <c r="P1547" t="s">
        <v>3382</v>
      </c>
    </row>
    <row r="1548" spans="1:16" x14ac:dyDescent="0.3">
      <c r="A1548" t="s">
        <v>1585</v>
      </c>
      <c r="B1548" t="s">
        <v>3417</v>
      </c>
      <c r="C1548" t="s">
        <v>347</v>
      </c>
      <c r="F1548" t="s">
        <v>3361</v>
      </c>
      <c r="G1548" t="s">
        <v>2746</v>
      </c>
      <c r="H1548" t="s">
        <v>2244</v>
      </c>
      <c r="I1548" t="s">
        <v>3418</v>
      </c>
      <c r="J1548" t="s">
        <v>3369</v>
      </c>
      <c r="K1548" t="s">
        <v>1661</v>
      </c>
      <c r="L1548" t="s">
        <v>3386</v>
      </c>
      <c r="M1548" t="s">
        <v>3364</v>
      </c>
      <c r="N1548" t="s">
        <v>3365</v>
      </c>
      <c r="O1548" t="s">
        <v>3366</v>
      </c>
      <c r="P1548" t="s">
        <v>3382</v>
      </c>
    </row>
    <row r="1549" spans="1:16" x14ac:dyDescent="0.3">
      <c r="A1549" t="s">
        <v>2456</v>
      </c>
      <c r="B1549" t="s">
        <v>3417</v>
      </c>
      <c r="C1549" t="s">
        <v>347</v>
      </c>
      <c r="F1549" t="s">
        <v>3361</v>
      </c>
      <c r="G1549" t="s">
        <v>2746</v>
      </c>
      <c r="H1549" t="s">
        <v>2244</v>
      </c>
      <c r="I1549" t="s">
        <v>3418</v>
      </c>
      <c r="J1549" t="s">
        <v>3369</v>
      </c>
      <c r="K1549" t="s">
        <v>1661</v>
      </c>
      <c r="L1549" t="s">
        <v>3386</v>
      </c>
      <c r="M1549" t="s">
        <v>3364</v>
      </c>
      <c r="N1549" t="s">
        <v>3365</v>
      </c>
      <c r="O1549" t="s">
        <v>3366</v>
      </c>
      <c r="P1549" t="s">
        <v>3382</v>
      </c>
    </row>
    <row r="1550" spans="1:16" x14ac:dyDescent="0.3">
      <c r="A1550" t="s">
        <v>1584</v>
      </c>
      <c r="B1550" t="s">
        <v>3417</v>
      </c>
      <c r="C1550" t="s">
        <v>347</v>
      </c>
      <c r="F1550" t="s">
        <v>3361</v>
      </c>
      <c r="G1550" t="s">
        <v>2746</v>
      </c>
      <c r="H1550" t="s">
        <v>2244</v>
      </c>
      <c r="I1550" t="s">
        <v>3418</v>
      </c>
      <c r="J1550" t="s">
        <v>3369</v>
      </c>
      <c r="K1550" t="s">
        <v>1661</v>
      </c>
      <c r="L1550" t="s">
        <v>3386</v>
      </c>
      <c r="M1550" t="s">
        <v>3364</v>
      </c>
      <c r="N1550" t="s">
        <v>3365</v>
      </c>
      <c r="O1550" t="s">
        <v>3366</v>
      </c>
      <c r="P1550" t="s">
        <v>3382</v>
      </c>
    </row>
    <row r="1551" spans="1:16" x14ac:dyDescent="0.3">
      <c r="A1551" t="s">
        <v>2457</v>
      </c>
      <c r="B1551" t="s">
        <v>3417</v>
      </c>
      <c r="C1551" t="s">
        <v>347</v>
      </c>
      <c r="F1551" t="s">
        <v>3361</v>
      </c>
      <c r="G1551" t="s">
        <v>2746</v>
      </c>
      <c r="H1551" t="s">
        <v>2244</v>
      </c>
      <c r="I1551" t="s">
        <v>3418</v>
      </c>
      <c r="J1551" t="s">
        <v>3369</v>
      </c>
      <c r="K1551" t="s">
        <v>1661</v>
      </c>
      <c r="L1551" t="s">
        <v>3386</v>
      </c>
      <c r="M1551" t="s">
        <v>3364</v>
      </c>
      <c r="N1551" t="s">
        <v>3365</v>
      </c>
      <c r="O1551" t="s">
        <v>3366</v>
      </c>
      <c r="P1551" t="s">
        <v>3382</v>
      </c>
    </row>
    <row r="1552" spans="1:16" x14ac:dyDescent="0.3">
      <c r="A1552" t="s">
        <v>2458</v>
      </c>
      <c r="B1552" t="s">
        <v>3417</v>
      </c>
      <c r="C1552" t="s">
        <v>347</v>
      </c>
      <c r="F1552" t="s">
        <v>3361</v>
      </c>
      <c r="G1552" t="s">
        <v>2746</v>
      </c>
      <c r="H1552" t="s">
        <v>2244</v>
      </c>
      <c r="I1552" t="s">
        <v>3418</v>
      </c>
      <c r="J1552" t="s">
        <v>3369</v>
      </c>
      <c r="K1552" t="s">
        <v>1661</v>
      </c>
      <c r="L1552" t="s">
        <v>3386</v>
      </c>
      <c r="M1552" t="s">
        <v>3364</v>
      </c>
      <c r="N1552" t="s">
        <v>3365</v>
      </c>
      <c r="O1552" t="s">
        <v>3366</v>
      </c>
      <c r="P1552" t="s">
        <v>3382</v>
      </c>
    </row>
    <row r="1553" spans="1:16" x14ac:dyDescent="0.3">
      <c r="A1553" t="s">
        <v>2273</v>
      </c>
      <c r="B1553" t="s">
        <v>3417</v>
      </c>
      <c r="C1553" t="s">
        <v>347</v>
      </c>
      <c r="F1553" t="s">
        <v>3361</v>
      </c>
      <c r="G1553" t="s">
        <v>2746</v>
      </c>
      <c r="H1553" t="s">
        <v>2244</v>
      </c>
      <c r="I1553" t="s">
        <v>3418</v>
      </c>
      <c r="J1553" t="s">
        <v>3369</v>
      </c>
      <c r="K1553" t="s">
        <v>1661</v>
      </c>
      <c r="L1553" t="s">
        <v>3386</v>
      </c>
      <c r="M1553" t="s">
        <v>3364</v>
      </c>
      <c r="N1553" t="s">
        <v>3365</v>
      </c>
      <c r="O1553" t="s">
        <v>3366</v>
      </c>
      <c r="P1553" t="s">
        <v>3382</v>
      </c>
    </row>
    <row r="1554" spans="1:16" x14ac:dyDescent="0.3">
      <c r="A1554" t="s">
        <v>2459</v>
      </c>
      <c r="B1554" t="s">
        <v>3417</v>
      </c>
      <c r="C1554" t="s">
        <v>347</v>
      </c>
      <c r="F1554" t="s">
        <v>3361</v>
      </c>
      <c r="G1554" t="s">
        <v>2746</v>
      </c>
      <c r="H1554" t="s">
        <v>2244</v>
      </c>
      <c r="I1554" t="s">
        <v>3418</v>
      </c>
      <c r="J1554" t="s">
        <v>3369</v>
      </c>
      <c r="K1554" t="s">
        <v>1661</v>
      </c>
      <c r="L1554" t="s">
        <v>3386</v>
      </c>
      <c r="M1554" t="s">
        <v>3364</v>
      </c>
      <c r="N1554" t="s">
        <v>3365</v>
      </c>
      <c r="O1554" t="s">
        <v>3366</v>
      </c>
      <c r="P1554" t="s">
        <v>3382</v>
      </c>
    </row>
    <row r="1555" spans="1:16" x14ac:dyDescent="0.3">
      <c r="A1555" t="s">
        <v>2460</v>
      </c>
      <c r="B1555" t="s">
        <v>3417</v>
      </c>
      <c r="C1555" t="s">
        <v>347</v>
      </c>
      <c r="F1555" t="s">
        <v>3361</v>
      </c>
      <c r="G1555" t="s">
        <v>2746</v>
      </c>
      <c r="H1555" t="s">
        <v>2246</v>
      </c>
      <c r="I1555" t="s">
        <v>3418</v>
      </c>
      <c r="J1555" t="s">
        <v>3369</v>
      </c>
      <c r="K1555" t="s">
        <v>1661</v>
      </c>
      <c r="L1555" t="s">
        <v>3386</v>
      </c>
      <c r="M1555" t="s">
        <v>3364</v>
      </c>
      <c r="N1555" t="s">
        <v>3365</v>
      </c>
      <c r="O1555" t="s">
        <v>3366</v>
      </c>
      <c r="P1555" t="s">
        <v>3382</v>
      </c>
    </row>
    <row r="1556" spans="1:16" x14ac:dyDescent="0.3">
      <c r="A1556" t="s">
        <v>2461</v>
      </c>
      <c r="B1556" t="s">
        <v>3417</v>
      </c>
      <c r="C1556" t="s">
        <v>347</v>
      </c>
      <c r="F1556" t="s">
        <v>3361</v>
      </c>
      <c r="G1556" t="s">
        <v>2746</v>
      </c>
      <c r="H1556" t="s">
        <v>2246</v>
      </c>
      <c r="I1556" t="s">
        <v>3418</v>
      </c>
      <c r="J1556" t="s">
        <v>3369</v>
      </c>
      <c r="K1556" t="s">
        <v>1661</v>
      </c>
      <c r="L1556" t="s">
        <v>3386</v>
      </c>
      <c r="M1556" t="s">
        <v>3364</v>
      </c>
      <c r="N1556" t="s">
        <v>3365</v>
      </c>
      <c r="O1556" t="s">
        <v>3366</v>
      </c>
      <c r="P1556" t="s">
        <v>3382</v>
      </c>
    </row>
    <row r="1557" spans="1:16" x14ac:dyDescent="0.3">
      <c r="A1557" t="s">
        <v>2462</v>
      </c>
      <c r="B1557" t="s">
        <v>3417</v>
      </c>
      <c r="C1557" t="s">
        <v>347</v>
      </c>
      <c r="F1557" t="s">
        <v>3361</v>
      </c>
      <c r="G1557" t="s">
        <v>2746</v>
      </c>
      <c r="H1557" t="s">
        <v>2246</v>
      </c>
      <c r="I1557" t="s">
        <v>3418</v>
      </c>
      <c r="J1557" t="s">
        <v>3369</v>
      </c>
      <c r="K1557" t="s">
        <v>1661</v>
      </c>
      <c r="L1557" t="s">
        <v>3386</v>
      </c>
      <c r="M1557" t="s">
        <v>3364</v>
      </c>
      <c r="N1557" t="s">
        <v>3365</v>
      </c>
      <c r="O1557" t="s">
        <v>3366</v>
      </c>
      <c r="P1557" t="s">
        <v>3382</v>
      </c>
    </row>
    <row r="1558" spans="1:16" x14ac:dyDescent="0.3">
      <c r="A1558" t="s">
        <v>2463</v>
      </c>
      <c r="B1558" t="s">
        <v>3417</v>
      </c>
      <c r="C1558" t="s">
        <v>347</v>
      </c>
      <c r="F1558" t="s">
        <v>3361</v>
      </c>
      <c r="G1558" t="s">
        <v>2746</v>
      </c>
      <c r="H1558" t="s">
        <v>2246</v>
      </c>
      <c r="I1558" t="s">
        <v>3418</v>
      </c>
      <c r="J1558" t="s">
        <v>3369</v>
      </c>
      <c r="K1558" t="s">
        <v>1661</v>
      </c>
      <c r="L1558" t="s">
        <v>3386</v>
      </c>
      <c r="M1558" t="s">
        <v>3364</v>
      </c>
      <c r="N1558" t="s">
        <v>3365</v>
      </c>
      <c r="O1558" t="s">
        <v>3366</v>
      </c>
      <c r="P1558" t="s">
        <v>3382</v>
      </c>
    </row>
    <row r="1559" spans="1:16" x14ac:dyDescent="0.3">
      <c r="A1559" t="s">
        <v>2464</v>
      </c>
      <c r="B1559" t="s">
        <v>3417</v>
      </c>
      <c r="C1559" t="s">
        <v>347</v>
      </c>
      <c r="F1559" t="s">
        <v>3361</v>
      </c>
      <c r="G1559" t="s">
        <v>2746</v>
      </c>
      <c r="H1559" t="s">
        <v>2246</v>
      </c>
      <c r="I1559" t="s">
        <v>3418</v>
      </c>
      <c r="J1559" t="s">
        <v>3369</v>
      </c>
      <c r="K1559" t="s">
        <v>1661</v>
      </c>
      <c r="L1559" t="s">
        <v>3386</v>
      </c>
      <c r="M1559" t="s">
        <v>3364</v>
      </c>
      <c r="N1559" t="s">
        <v>3365</v>
      </c>
      <c r="O1559" t="s">
        <v>3366</v>
      </c>
      <c r="P1559" t="s">
        <v>3382</v>
      </c>
    </row>
    <row r="1560" spans="1:16" x14ac:dyDescent="0.3">
      <c r="A1560" t="s">
        <v>2465</v>
      </c>
      <c r="B1560" t="s">
        <v>3417</v>
      </c>
      <c r="C1560" t="s">
        <v>347</v>
      </c>
      <c r="F1560" t="s">
        <v>3361</v>
      </c>
      <c r="G1560" t="s">
        <v>2746</v>
      </c>
      <c r="H1560" t="s">
        <v>2246</v>
      </c>
      <c r="I1560" t="s">
        <v>3418</v>
      </c>
      <c r="J1560" t="s">
        <v>3369</v>
      </c>
      <c r="K1560" t="s">
        <v>1661</v>
      </c>
      <c r="L1560" t="s">
        <v>3386</v>
      </c>
      <c r="M1560" t="s">
        <v>3364</v>
      </c>
      <c r="N1560" t="s">
        <v>3365</v>
      </c>
      <c r="O1560" t="s">
        <v>3366</v>
      </c>
      <c r="P1560" t="s">
        <v>3382</v>
      </c>
    </row>
    <row r="1561" spans="1:16" x14ac:dyDescent="0.3">
      <c r="A1561" t="s">
        <v>2279</v>
      </c>
      <c r="B1561" t="s">
        <v>3417</v>
      </c>
      <c r="C1561" t="s">
        <v>347</v>
      </c>
      <c r="F1561" t="s">
        <v>3361</v>
      </c>
      <c r="G1561" t="s">
        <v>2746</v>
      </c>
      <c r="H1561" t="s">
        <v>2246</v>
      </c>
      <c r="I1561" t="s">
        <v>3418</v>
      </c>
      <c r="J1561" t="s">
        <v>3369</v>
      </c>
      <c r="K1561" t="s">
        <v>1661</v>
      </c>
      <c r="L1561" t="s">
        <v>3386</v>
      </c>
      <c r="M1561" t="s">
        <v>3364</v>
      </c>
      <c r="N1561" t="s">
        <v>3365</v>
      </c>
      <c r="O1561" t="s">
        <v>3366</v>
      </c>
      <c r="P1561" t="s">
        <v>3382</v>
      </c>
    </row>
    <row r="1562" spans="1:16" x14ac:dyDescent="0.3">
      <c r="A1562" t="s">
        <v>2466</v>
      </c>
      <c r="B1562" t="s">
        <v>3417</v>
      </c>
      <c r="C1562" t="s">
        <v>347</v>
      </c>
      <c r="F1562" t="s">
        <v>3361</v>
      </c>
      <c r="G1562" t="s">
        <v>2746</v>
      </c>
      <c r="H1562" t="s">
        <v>2246</v>
      </c>
      <c r="I1562" t="s">
        <v>3418</v>
      </c>
      <c r="J1562" t="s">
        <v>3369</v>
      </c>
      <c r="K1562" t="s">
        <v>1661</v>
      </c>
      <c r="L1562" t="s">
        <v>3386</v>
      </c>
      <c r="M1562" t="s">
        <v>3364</v>
      </c>
      <c r="N1562" t="s">
        <v>3365</v>
      </c>
      <c r="O1562" t="s">
        <v>3366</v>
      </c>
      <c r="P1562" t="s">
        <v>3382</v>
      </c>
    </row>
    <row r="1563" spans="1:16" x14ac:dyDescent="0.3">
      <c r="A1563" t="s">
        <v>2467</v>
      </c>
      <c r="B1563" t="s">
        <v>3417</v>
      </c>
      <c r="C1563" t="s">
        <v>347</v>
      </c>
      <c r="F1563" t="s">
        <v>3361</v>
      </c>
      <c r="G1563" t="s">
        <v>2746</v>
      </c>
      <c r="H1563" t="s">
        <v>2246</v>
      </c>
      <c r="I1563" t="s">
        <v>3418</v>
      </c>
      <c r="J1563" t="s">
        <v>3369</v>
      </c>
      <c r="K1563" t="s">
        <v>1661</v>
      </c>
      <c r="L1563" t="s">
        <v>3386</v>
      </c>
      <c r="M1563" t="s">
        <v>3364</v>
      </c>
      <c r="N1563" t="s">
        <v>3365</v>
      </c>
      <c r="O1563" t="s">
        <v>3366</v>
      </c>
      <c r="P1563" t="s">
        <v>3382</v>
      </c>
    </row>
    <row r="1564" spans="1:16" x14ac:dyDescent="0.3">
      <c r="A1564" t="s">
        <v>2468</v>
      </c>
      <c r="B1564" t="s">
        <v>3417</v>
      </c>
      <c r="C1564" t="s">
        <v>347</v>
      </c>
      <c r="F1564" t="s">
        <v>3361</v>
      </c>
      <c r="G1564" t="s">
        <v>2746</v>
      </c>
      <c r="H1564" t="s">
        <v>2246</v>
      </c>
      <c r="I1564" t="s">
        <v>3418</v>
      </c>
      <c r="J1564" t="s">
        <v>3369</v>
      </c>
      <c r="K1564" t="s">
        <v>1661</v>
      </c>
      <c r="L1564" t="s">
        <v>3386</v>
      </c>
      <c r="M1564" t="s">
        <v>3364</v>
      </c>
      <c r="N1564" t="s">
        <v>3365</v>
      </c>
      <c r="O1564" t="s">
        <v>3366</v>
      </c>
      <c r="P1564" t="s">
        <v>3382</v>
      </c>
    </row>
    <row r="1565" spans="1:16" x14ac:dyDescent="0.3">
      <c r="A1565" t="s">
        <v>2469</v>
      </c>
      <c r="B1565" t="s">
        <v>3417</v>
      </c>
      <c r="C1565" t="s">
        <v>347</v>
      </c>
      <c r="F1565" t="s">
        <v>3361</v>
      </c>
      <c r="G1565" t="s">
        <v>2746</v>
      </c>
      <c r="H1565" t="s">
        <v>2246</v>
      </c>
      <c r="I1565" t="s">
        <v>3418</v>
      </c>
      <c r="J1565" t="s">
        <v>3369</v>
      </c>
      <c r="K1565" t="s">
        <v>1661</v>
      </c>
      <c r="L1565" t="s">
        <v>3386</v>
      </c>
      <c r="M1565" t="s">
        <v>3364</v>
      </c>
      <c r="N1565" t="s">
        <v>3365</v>
      </c>
      <c r="O1565" t="s">
        <v>3366</v>
      </c>
      <c r="P1565" t="s">
        <v>3382</v>
      </c>
    </row>
    <row r="1566" spans="1:16" x14ac:dyDescent="0.3">
      <c r="A1566" t="s">
        <v>2470</v>
      </c>
      <c r="B1566" t="s">
        <v>3417</v>
      </c>
      <c r="C1566" t="s">
        <v>347</v>
      </c>
      <c r="F1566" t="s">
        <v>3361</v>
      </c>
      <c r="G1566" t="s">
        <v>2746</v>
      </c>
      <c r="H1566" t="s">
        <v>2246</v>
      </c>
      <c r="I1566" t="s">
        <v>3418</v>
      </c>
      <c r="J1566" t="s">
        <v>3369</v>
      </c>
      <c r="K1566" t="s">
        <v>1661</v>
      </c>
      <c r="L1566" t="s">
        <v>3386</v>
      </c>
      <c r="M1566" t="s">
        <v>3364</v>
      </c>
      <c r="N1566" t="s">
        <v>3365</v>
      </c>
      <c r="O1566" t="s">
        <v>3366</v>
      </c>
      <c r="P1566" t="s">
        <v>3382</v>
      </c>
    </row>
    <row r="1567" spans="1:16" x14ac:dyDescent="0.3">
      <c r="A1567" t="s">
        <v>2471</v>
      </c>
      <c r="B1567" t="s">
        <v>3417</v>
      </c>
      <c r="C1567" t="s">
        <v>347</v>
      </c>
      <c r="F1567" t="s">
        <v>3361</v>
      </c>
      <c r="G1567" t="s">
        <v>2746</v>
      </c>
      <c r="H1567" t="s">
        <v>2246</v>
      </c>
      <c r="I1567" t="s">
        <v>3418</v>
      </c>
      <c r="J1567" t="s">
        <v>3369</v>
      </c>
      <c r="K1567" t="s">
        <v>1661</v>
      </c>
      <c r="L1567" t="s">
        <v>3386</v>
      </c>
      <c r="M1567" t="s">
        <v>3364</v>
      </c>
      <c r="N1567" t="s">
        <v>3365</v>
      </c>
      <c r="O1567" t="s">
        <v>3366</v>
      </c>
      <c r="P1567" t="s">
        <v>3382</v>
      </c>
    </row>
    <row r="1568" spans="1:16" x14ac:dyDescent="0.3">
      <c r="A1568" t="s">
        <v>2472</v>
      </c>
      <c r="B1568" t="s">
        <v>3417</v>
      </c>
      <c r="C1568" t="s">
        <v>347</v>
      </c>
      <c r="F1568" t="s">
        <v>3361</v>
      </c>
      <c r="G1568" t="s">
        <v>2746</v>
      </c>
      <c r="H1568" t="s">
        <v>2246</v>
      </c>
      <c r="I1568" t="s">
        <v>3418</v>
      </c>
      <c r="J1568" t="s">
        <v>3362</v>
      </c>
      <c r="K1568" t="s">
        <v>1661</v>
      </c>
      <c r="L1568" t="s">
        <v>3386</v>
      </c>
      <c r="M1568" t="s">
        <v>3364</v>
      </c>
      <c r="N1568" t="s">
        <v>3365</v>
      </c>
      <c r="O1568" t="s">
        <v>3366</v>
      </c>
      <c r="P1568" t="s">
        <v>3367</v>
      </c>
    </row>
    <row r="1569" spans="1:16" x14ac:dyDescent="0.3">
      <c r="A1569" t="s">
        <v>2473</v>
      </c>
      <c r="B1569" t="s">
        <v>3417</v>
      </c>
      <c r="C1569" t="s">
        <v>347</v>
      </c>
      <c r="F1569" t="s">
        <v>3361</v>
      </c>
      <c r="G1569" t="s">
        <v>2746</v>
      </c>
      <c r="H1569" t="s">
        <v>2248</v>
      </c>
      <c r="I1569" t="s">
        <v>3418</v>
      </c>
      <c r="J1569" t="s">
        <v>3369</v>
      </c>
      <c r="K1569" t="s">
        <v>1661</v>
      </c>
      <c r="L1569" t="s">
        <v>2043</v>
      </c>
      <c r="M1569" t="s">
        <v>3364</v>
      </c>
      <c r="N1569" t="s">
        <v>3365</v>
      </c>
      <c r="O1569" t="s">
        <v>3366</v>
      </c>
      <c r="P1569" t="s">
        <v>3382</v>
      </c>
    </row>
    <row r="1570" spans="1:16" x14ac:dyDescent="0.3">
      <c r="A1570" t="s">
        <v>2474</v>
      </c>
      <c r="B1570" t="s">
        <v>3417</v>
      </c>
      <c r="C1570" t="s">
        <v>347</v>
      </c>
      <c r="F1570" t="s">
        <v>3361</v>
      </c>
      <c r="G1570" t="s">
        <v>2746</v>
      </c>
      <c r="H1570" t="s">
        <v>2248</v>
      </c>
      <c r="I1570" t="s">
        <v>3418</v>
      </c>
      <c r="J1570" t="s">
        <v>3369</v>
      </c>
      <c r="K1570" t="s">
        <v>1661</v>
      </c>
      <c r="L1570" t="s">
        <v>2043</v>
      </c>
      <c r="M1570" t="s">
        <v>3364</v>
      </c>
      <c r="N1570" t="s">
        <v>3365</v>
      </c>
      <c r="O1570" t="s">
        <v>3366</v>
      </c>
      <c r="P1570" t="s">
        <v>3382</v>
      </c>
    </row>
    <row r="1571" spans="1:16" x14ac:dyDescent="0.3">
      <c r="A1571" t="s">
        <v>868</v>
      </c>
      <c r="B1571" t="s">
        <v>3417</v>
      </c>
      <c r="C1571" t="s">
        <v>347</v>
      </c>
      <c r="F1571" t="s">
        <v>3361</v>
      </c>
      <c r="G1571" t="s">
        <v>2746</v>
      </c>
      <c r="H1571" t="s">
        <v>2248</v>
      </c>
      <c r="I1571" t="s">
        <v>3418</v>
      </c>
      <c r="J1571" t="s">
        <v>3369</v>
      </c>
      <c r="K1571" t="s">
        <v>1661</v>
      </c>
      <c r="L1571" t="s">
        <v>2043</v>
      </c>
      <c r="M1571" t="s">
        <v>3364</v>
      </c>
      <c r="N1571" t="s">
        <v>3365</v>
      </c>
      <c r="O1571" t="s">
        <v>3366</v>
      </c>
      <c r="P1571" t="s">
        <v>3382</v>
      </c>
    </row>
    <row r="1572" spans="1:16" x14ac:dyDescent="0.3">
      <c r="A1572" t="s">
        <v>2475</v>
      </c>
      <c r="B1572" t="s">
        <v>3417</v>
      </c>
      <c r="C1572" t="s">
        <v>347</v>
      </c>
      <c r="F1572" t="s">
        <v>3361</v>
      </c>
      <c r="G1572" t="s">
        <v>2746</v>
      </c>
      <c r="H1572" t="s">
        <v>2248</v>
      </c>
      <c r="I1572" t="s">
        <v>3418</v>
      </c>
      <c r="J1572" t="s">
        <v>3369</v>
      </c>
      <c r="K1572" t="s">
        <v>1661</v>
      </c>
      <c r="L1572" t="s">
        <v>2043</v>
      </c>
      <c r="M1572" t="s">
        <v>3364</v>
      </c>
      <c r="N1572" t="s">
        <v>3365</v>
      </c>
      <c r="O1572" t="s">
        <v>3366</v>
      </c>
      <c r="P1572" t="s">
        <v>3382</v>
      </c>
    </row>
    <row r="1573" spans="1:16" x14ac:dyDescent="0.3">
      <c r="A1573" t="s">
        <v>2476</v>
      </c>
      <c r="B1573" t="s">
        <v>3417</v>
      </c>
      <c r="C1573" t="s">
        <v>347</v>
      </c>
      <c r="F1573" t="s">
        <v>3361</v>
      </c>
      <c r="G1573" t="s">
        <v>2746</v>
      </c>
      <c r="H1573" t="s">
        <v>2248</v>
      </c>
      <c r="I1573" t="s">
        <v>3418</v>
      </c>
      <c r="J1573" t="s">
        <v>3369</v>
      </c>
      <c r="K1573" t="s">
        <v>1661</v>
      </c>
      <c r="L1573" t="s">
        <v>2043</v>
      </c>
      <c r="M1573" t="s">
        <v>3364</v>
      </c>
      <c r="N1573" t="s">
        <v>3365</v>
      </c>
      <c r="O1573" t="s">
        <v>3366</v>
      </c>
      <c r="P1573" t="s">
        <v>3382</v>
      </c>
    </row>
    <row r="1574" spans="1:16" x14ac:dyDescent="0.3">
      <c r="A1574" t="s">
        <v>2302</v>
      </c>
      <c r="B1574" t="s">
        <v>3417</v>
      </c>
      <c r="C1574" t="s">
        <v>347</v>
      </c>
      <c r="F1574" t="s">
        <v>3361</v>
      </c>
      <c r="G1574" t="s">
        <v>2746</v>
      </c>
      <c r="H1574" t="s">
        <v>2248</v>
      </c>
      <c r="I1574" t="s">
        <v>3418</v>
      </c>
      <c r="J1574" t="s">
        <v>3369</v>
      </c>
      <c r="K1574" t="s">
        <v>1661</v>
      </c>
      <c r="L1574" t="s">
        <v>2043</v>
      </c>
      <c r="M1574" t="s">
        <v>3364</v>
      </c>
      <c r="N1574" t="s">
        <v>3365</v>
      </c>
      <c r="O1574" t="s">
        <v>3366</v>
      </c>
      <c r="P1574" t="s">
        <v>3382</v>
      </c>
    </row>
    <row r="1575" spans="1:16" x14ac:dyDescent="0.3">
      <c r="A1575" t="s">
        <v>2477</v>
      </c>
      <c r="B1575" t="s">
        <v>3417</v>
      </c>
      <c r="C1575" t="s">
        <v>347</v>
      </c>
      <c r="F1575" t="s">
        <v>3361</v>
      </c>
      <c r="G1575" t="s">
        <v>2746</v>
      </c>
      <c r="H1575" t="s">
        <v>2248</v>
      </c>
      <c r="I1575" t="s">
        <v>3418</v>
      </c>
      <c r="J1575" t="s">
        <v>3369</v>
      </c>
      <c r="K1575" t="s">
        <v>1661</v>
      </c>
      <c r="L1575" t="s">
        <v>2043</v>
      </c>
      <c r="M1575" t="s">
        <v>3364</v>
      </c>
      <c r="N1575" t="s">
        <v>3365</v>
      </c>
      <c r="O1575" t="s">
        <v>3366</v>
      </c>
      <c r="P1575" t="s">
        <v>3382</v>
      </c>
    </row>
    <row r="1576" spans="1:16" x14ac:dyDescent="0.3">
      <c r="A1576" t="s">
        <v>2478</v>
      </c>
      <c r="B1576" t="s">
        <v>3417</v>
      </c>
      <c r="C1576" t="s">
        <v>347</v>
      </c>
      <c r="F1576" t="s">
        <v>3361</v>
      </c>
      <c r="G1576" t="s">
        <v>2746</v>
      </c>
      <c r="H1576" t="s">
        <v>2250</v>
      </c>
      <c r="I1576" t="s">
        <v>3418</v>
      </c>
      <c r="J1576" t="s">
        <v>3369</v>
      </c>
      <c r="K1576" t="s">
        <v>1661</v>
      </c>
      <c r="L1576" t="s">
        <v>3386</v>
      </c>
      <c r="M1576" t="s">
        <v>3364</v>
      </c>
      <c r="N1576" t="s">
        <v>3365</v>
      </c>
      <c r="O1576" t="s">
        <v>3366</v>
      </c>
      <c r="P1576" t="s">
        <v>3382</v>
      </c>
    </row>
    <row r="1577" spans="1:16" x14ac:dyDescent="0.3">
      <c r="A1577" t="s">
        <v>2479</v>
      </c>
      <c r="B1577" t="s">
        <v>3417</v>
      </c>
      <c r="C1577" t="s">
        <v>347</v>
      </c>
      <c r="F1577" t="s">
        <v>3361</v>
      </c>
      <c r="G1577" t="s">
        <v>2746</v>
      </c>
      <c r="H1577" t="s">
        <v>2250</v>
      </c>
      <c r="I1577" t="s">
        <v>3418</v>
      </c>
      <c r="J1577" t="s">
        <v>3369</v>
      </c>
      <c r="K1577" t="s">
        <v>1661</v>
      </c>
      <c r="L1577" t="s">
        <v>3386</v>
      </c>
      <c r="M1577" t="s">
        <v>3364</v>
      </c>
      <c r="N1577" t="s">
        <v>3365</v>
      </c>
      <c r="O1577" t="s">
        <v>3366</v>
      </c>
      <c r="P1577" t="s">
        <v>3382</v>
      </c>
    </row>
    <row r="1578" spans="1:16" x14ac:dyDescent="0.3">
      <c r="A1578" t="s">
        <v>2480</v>
      </c>
      <c r="B1578" t="s">
        <v>3417</v>
      </c>
      <c r="C1578" t="s">
        <v>347</v>
      </c>
      <c r="F1578" t="s">
        <v>3361</v>
      </c>
      <c r="G1578" t="s">
        <v>2746</v>
      </c>
      <c r="H1578" t="s">
        <v>2250</v>
      </c>
      <c r="I1578" t="s">
        <v>3418</v>
      </c>
      <c r="J1578" t="s">
        <v>3369</v>
      </c>
      <c r="K1578" t="s">
        <v>1661</v>
      </c>
      <c r="L1578" t="s">
        <v>3386</v>
      </c>
      <c r="M1578" t="s">
        <v>3364</v>
      </c>
      <c r="N1578" t="s">
        <v>3365</v>
      </c>
      <c r="O1578" t="s">
        <v>3366</v>
      </c>
      <c r="P1578" t="s">
        <v>3382</v>
      </c>
    </row>
    <row r="1579" spans="1:16" x14ac:dyDescent="0.3">
      <c r="A1579" t="s">
        <v>2481</v>
      </c>
      <c r="B1579" t="s">
        <v>3417</v>
      </c>
      <c r="C1579" t="s">
        <v>347</v>
      </c>
      <c r="F1579" t="s">
        <v>3361</v>
      </c>
      <c r="G1579" t="s">
        <v>2746</v>
      </c>
      <c r="H1579" t="s">
        <v>2250</v>
      </c>
      <c r="I1579" t="s">
        <v>3418</v>
      </c>
      <c r="J1579" t="s">
        <v>3369</v>
      </c>
      <c r="K1579" t="s">
        <v>1661</v>
      </c>
      <c r="L1579" t="s">
        <v>3386</v>
      </c>
      <c r="M1579" t="s">
        <v>3364</v>
      </c>
      <c r="N1579" t="s">
        <v>3365</v>
      </c>
      <c r="O1579" t="s">
        <v>3366</v>
      </c>
      <c r="P1579" t="s">
        <v>3382</v>
      </c>
    </row>
    <row r="1580" spans="1:16" x14ac:dyDescent="0.3">
      <c r="A1580" t="s">
        <v>2300</v>
      </c>
      <c r="B1580" t="s">
        <v>3417</v>
      </c>
      <c r="C1580" t="s">
        <v>347</v>
      </c>
      <c r="F1580" t="s">
        <v>3361</v>
      </c>
      <c r="G1580" t="s">
        <v>2746</v>
      </c>
      <c r="H1580" t="s">
        <v>2250</v>
      </c>
      <c r="I1580" t="s">
        <v>3418</v>
      </c>
      <c r="J1580" t="s">
        <v>3369</v>
      </c>
      <c r="K1580" t="s">
        <v>1661</v>
      </c>
      <c r="L1580" t="s">
        <v>3386</v>
      </c>
      <c r="M1580" t="s">
        <v>3364</v>
      </c>
      <c r="N1580" t="s">
        <v>3365</v>
      </c>
      <c r="O1580" t="s">
        <v>3366</v>
      </c>
      <c r="P1580" t="s">
        <v>3382</v>
      </c>
    </row>
    <row r="1581" spans="1:16" x14ac:dyDescent="0.3">
      <c r="A1581" t="s">
        <v>2482</v>
      </c>
      <c r="B1581" t="s">
        <v>3417</v>
      </c>
      <c r="C1581" t="s">
        <v>347</v>
      </c>
      <c r="F1581" t="s">
        <v>3361</v>
      </c>
      <c r="G1581" t="s">
        <v>2746</v>
      </c>
      <c r="H1581" t="s">
        <v>2250</v>
      </c>
      <c r="I1581" t="s">
        <v>3418</v>
      </c>
      <c r="J1581" t="s">
        <v>3369</v>
      </c>
      <c r="K1581" t="s">
        <v>1661</v>
      </c>
      <c r="L1581" t="s">
        <v>3386</v>
      </c>
      <c r="M1581" t="s">
        <v>3364</v>
      </c>
      <c r="N1581" t="s">
        <v>3365</v>
      </c>
      <c r="O1581" t="s">
        <v>3366</v>
      </c>
      <c r="P1581" t="s">
        <v>3389</v>
      </c>
    </row>
    <row r="1582" spans="1:16" x14ac:dyDescent="0.3">
      <c r="A1582" t="s">
        <v>2483</v>
      </c>
      <c r="B1582" t="s">
        <v>3417</v>
      </c>
      <c r="C1582" t="s">
        <v>347</v>
      </c>
      <c r="F1582" t="s">
        <v>3361</v>
      </c>
      <c r="G1582" t="s">
        <v>2746</v>
      </c>
      <c r="H1582" t="s">
        <v>2250</v>
      </c>
      <c r="I1582" t="s">
        <v>3418</v>
      </c>
      <c r="J1582" t="s">
        <v>3369</v>
      </c>
      <c r="K1582" t="s">
        <v>1661</v>
      </c>
      <c r="L1582" t="s">
        <v>3386</v>
      </c>
      <c r="M1582" t="s">
        <v>3364</v>
      </c>
      <c r="N1582" t="s">
        <v>3365</v>
      </c>
      <c r="O1582" t="s">
        <v>3366</v>
      </c>
      <c r="P1582" t="s">
        <v>3382</v>
      </c>
    </row>
    <row r="1583" spans="1:16" x14ac:dyDescent="0.3">
      <c r="A1583" t="s">
        <v>353</v>
      </c>
      <c r="B1583" t="s">
        <v>3417</v>
      </c>
      <c r="C1583" t="s">
        <v>347</v>
      </c>
      <c r="F1583" t="s">
        <v>3361</v>
      </c>
      <c r="G1583" t="s">
        <v>2746</v>
      </c>
      <c r="H1583" t="s">
        <v>2250</v>
      </c>
      <c r="I1583" t="s">
        <v>3418</v>
      </c>
      <c r="J1583" t="s">
        <v>3369</v>
      </c>
      <c r="K1583" t="s">
        <v>1661</v>
      </c>
      <c r="L1583" t="s">
        <v>3386</v>
      </c>
      <c r="M1583" t="s">
        <v>3364</v>
      </c>
      <c r="N1583" t="s">
        <v>3365</v>
      </c>
      <c r="O1583" t="s">
        <v>3366</v>
      </c>
      <c r="P1583" t="s">
        <v>3382</v>
      </c>
    </row>
    <row r="1584" spans="1:16" x14ac:dyDescent="0.3">
      <c r="A1584" t="s">
        <v>876</v>
      </c>
      <c r="B1584" t="s">
        <v>3417</v>
      </c>
      <c r="C1584" t="s">
        <v>347</v>
      </c>
      <c r="F1584" t="s">
        <v>3361</v>
      </c>
      <c r="G1584" t="s">
        <v>2746</v>
      </c>
      <c r="H1584" t="s">
        <v>2252</v>
      </c>
      <c r="I1584" t="s">
        <v>3418</v>
      </c>
      <c r="J1584" t="s">
        <v>3369</v>
      </c>
      <c r="K1584" t="s">
        <v>1661</v>
      </c>
      <c r="L1584" t="s">
        <v>3386</v>
      </c>
      <c r="M1584" t="s">
        <v>3364</v>
      </c>
      <c r="N1584" t="s">
        <v>3365</v>
      </c>
      <c r="O1584" t="s">
        <v>3366</v>
      </c>
      <c r="P1584" t="s">
        <v>3382</v>
      </c>
    </row>
    <row r="1585" spans="1:16" x14ac:dyDescent="0.3">
      <c r="A1585" t="s">
        <v>1053</v>
      </c>
      <c r="B1585" t="s">
        <v>3417</v>
      </c>
      <c r="C1585" t="s">
        <v>347</v>
      </c>
      <c r="F1585" t="s">
        <v>3361</v>
      </c>
      <c r="G1585" t="s">
        <v>2746</v>
      </c>
      <c r="H1585" t="s">
        <v>2252</v>
      </c>
      <c r="I1585" t="s">
        <v>3418</v>
      </c>
      <c r="J1585" t="s">
        <v>3369</v>
      </c>
      <c r="K1585" t="s">
        <v>1661</v>
      </c>
      <c r="L1585" t="s">
        <v>3386</v>
      </c>
      <c r="M1585" t="s">
        <v>3364</v>
      </c>
      <c r="N1585" t="s">
        <v>3365</v>
      </c>
      <c r="O1585" t="s">
        <v>3366</v>
      </c>
      <c r="P1585" t="s">
        <v>3382</v>
      </c>
    </row>
    <row r="1586" spans="1:16" x14ac:dyDescent="0.3">
      <c r="A1586" t="s">
        <v>2484</v>
      </c>
      <c r="B1586" t="s">
        <v>3417</v>
      </c>
      <c r="C1586" t="s">
        <v>347</v>
      </c>
      <c r="F1586" t="s">
        <v>3361</v>
      </c>
      <c r="G1586" t="s">
        <v>2746</v>
      </c>
      <c r="H1586" t="s">
        <v>2252</v>
      </c>
      <c r="I1586" t="s">
        <v>3418</v>
      </c>
      <c r="J1586" t="s">
        <v>3369</v>
      </c>
      <c r="K1586" t="s">
        <v>1661</v>
      </c>
      <c r="L1586" t="s">
        <v>3386</v>
      </c>
      <c r="M1586" t="s">
        <v>3364</v>
      </c>
      <c r="N1586" t="s">
        <v>3365</v>
      </c>
      <c r="O1586" t="s">
        <v>3366</v>
      </c>
      <c r="P1586" t="s">
        <v>3382</v>
      </c>
    </row>
    <row r="1587" spans="1:16" x14ac:dyDescent="0.3">
      <c r="A1587" t="s">
        <v>2485</v>
      </c>
      <c r="B1587" t="s">
        <v>3417</v>
      </c>
      <c r="C1587" t="s">
        <v>347</v>
      </c>
      <c r="F1587" t="s">
        <v>3361</v>
      </c>
      <c r="G1587" t="s">
        <v>2746</v>
      </c>
      <c r="H1587" t="s">
        <v>2252</v>
      </c>
      <c r="I1587" t="s">
        <v>3418</v>
      </c>
      <c r="J1587" t="s">
        <v>3369</v>
      </c>
      <c r="K1587" t="s">
        <v>1661</v>
      </c>
      <c r="L1587" t="s">
        <v>3386</v>
      </c>
      <c r="M1587" t="s">
        <v>3364</v>
      </c>
      <c r="N1587" t="s">
        <v>3365</v>
      </c>
      <c r="O1587" t="s">
        <v>3366</v>
      </c>
      <c r="P1587" t="s">
        <v>3382</v>
      </c>
    </row>
    <row r="1588" spans="1:16" x14ac:dyDescent="0.3">
      <c r="A1588" t="s">
        <v>2486</v>
      </c>
      <c r="B1588" t="s">
        <v>3417</v>
      </c>
      <c r="C1588" t="s">
        <v>347</v>
      </c>
      <c r="F1588" t="s">
        <v>3361</v>
      </c>
      <c r="G1588" t="s">
        <v>2746</v>
      </c>
      <c r="H1588" t="s">
        <v>2252</v>
      </c>
      <c r="I1588" t="s">
        <v>3418</v>
      </c>
      <c r="J1588" t="s">
        <v>3369</v>
      </c>
      <c r="K1588" t="s">
        <v>1661</v>
      </c>
      <c r="L1588" t="s">
        <v>3386</v>
      </c>
      <c r="M1588" t="s">
        <v>3364</v>
      </c>
      <c r="N1588" t="s">
        <v>3365</v>
      </c>
      <c r="O1588" t="s">
        <v>3366</v>
      </c>
      <c r="P1588" t="s">
        <v>3382</v>
      </c>
    </row>
    <row r="1589" spans="1:16" x14ac:dyDescent="0.3">
      <c r="A1589" t="s">
        <v>877</v>
      </c>
      <c r="B1589" t="s">
        <v>3417</v>
      </c>
      <c r="C1589" t="s">
        <v>347</v>
      </c>
      <c r="F1589" t="s">
        <v>3361</v>
      </c>
      <c r="G1589" t="s">
        <v>2746</v>
      </c>
      <c r="H1589" t="s">
        <v>2252</v>
      </c>
      <c r="I1589" t="s">
        <v>3418</v>
      </c>
      <c r="J1589" t="s">
        <v>3369</v>
      </c>
      <c r="K1589" t="s">
        <v>1661</v>
      </c>
      <c r="L1589" t="s">
        <v>3386</v>
      </c>
      <c r="M1589" t="s">
        <v>3364</v>
      </c>
      <c r="N1589" t="s">
        <v>3365</v>
      </c>
      <c r="O1589" t="s">
        <v>3366</v>
      </c>
      <c r="P1589" t="s">
        <v>3382</v>
      </c>
    </row>
    <row r="1590" spans="1:16" x14ac:dyDescent="0.3">
      <c r="A1590" t="s">
        <v>2487</v>
      </c>
      <c r="B1590" t="s">
        <v>3417</v>
      </c>
      <c r="C1590" t="s">
        <v>347</v>
      </c>
      <c r="F1590" t="s">
        <v>3361</v>
      </c>
      <c r="G1590" t="s">
        <v>2746</v>
      </c>
      <c r="H1590" t="s">
        <v>2252</v>
      </c>
      <c r="I1590" t="s">
        <v>3418</v>
      </c>
      <c r="J1590" t="s">
        <v>3369</v>
      </c>
      <c r="K1590" t="s">
        <v>1661</v>
      </c>
      <c r="L1590" t="s">
        <v>3386</v>
      </c>
      <c r="M1590" t="s">
        <v>3364</v>
      </c>
      <c r="N1590" t="s">
        <v>3365</v>
      </c>
      <c r="O1590" t="s">
        <v>3366</v>
      </c>
      <c r="P1590" t="s">
        <v>3382</v>
      </c>
    </row>
    <row r="1591" spans="1:16" x14ac:dyDescent="0.3">
      <c r="A1591" t="s">
        <v>2311</v>
      </c>
      <c r="B1591" t="s">
        <v>3417</v>
      </c>
      <c r="C1591" t="s">
        <v>347</v>
      </c>
      <c r="F1591" t="s">
        <v>3361</v>
      </c>
      <c r="G1591" t="s">
        <v>2746</v>
      </c>
      <c r="H1591" t="s">
        <v>2252</v>
      </c>
      <c r="I1591" t="s">
        <v>3418</v>
      </c>
      <c r="J1591" t="s">
        <v>3369</v>
      </c>
      <c r="K1591" t="s">
        <v>1661</v>
      </c>
      <c r="L1591" t="s">
        <v>3386</v>
      </c>
      <c r="M1591" t="s">
        <v>3364</v>
      </c>
      <c r="N1591" t="s">
        <v>3365</v>
      </c>
      <c r="O1591" t="s">
        <v>3366</v>
      </c>
      <c r="P1591" t="s">
        <v>3382</v>
      </c>
    </row>
    <row r="1592" spans="1:16" x14ac:dyDescent="0.3">
      <c r="A1592" t="s">
        <v>2488</v>
      </c>
      <c r="B1592" t="s">
        <v>3417</v>
      </c>
      <c r="C1592" t="s">
        <v>347</v>
      </c>
      <c r="F1592" t="s">
        <v>3361</v>
      </c>
      <c r="G1592" t="s">
        <v>2746</v>
      </c>
      <c r="H1592" t="s">
        <v>2252</v>
      </c>
      <c r="I1592" t="s">
        <v>3418</v>
      </c>
      <c r="J1592" t="s">
        <v>3369</v>
      </c>
      <c r="K1592" t="s">
        <v>1661</v>
      </c>
      <c r="L1592" t="s">
        <v>3386</v>
      </c>
      <c r="M1592" t="s">
        <v>3364</v>
      </c>
      <c r="N1592" t="s">
        <v>3365</v>
      </c>
      <c r="O1592" t="s">
        <v>3366</v>
      </c>
      <c r="P1592" t="s">
        <v>3382</v>
      </c>
    </row>
    <row r="1593" spans="1:16" x14ac:dyDescent="0.3">
      <c r="A1593" t="s">
        <v>2489</v>
      </c>
      <c r="B1593" t="s">
        <v>3417</v>
      </c>
      <c r="C1593" t="s">
        <v>347</v>
      </c>
      <c r="F1593" t="s">
        <v>3361</v>
      </c>
      <c r="G1593" t="s">
        <v>2746</v>
      </c>
      <c r="H1593" t="s">
        <v>2252</v>
      </c>
      <c r="I1593" t="s">
        <v>3418</v>
      </c>
      <c r="J1593" t="s">
        <v>3369</v>
      </c>
      <c r="K1593" t="s">
        <v>1661</v>
      </c>
      <c r="L1593" t="s">
        <v>3386</v>
      </c>
      <c r="M1593" t="s">
        <v>3364</v>
      </c>
      <c r="N1593" t="s">
        <v>3365</v>
      </c>
      <c r="O1593" t="s">
        <v>3366</v>
      </c>
      <c r="P1593" t="s">
        <v>3382</v>
      </c>
    </row>
    <row r="1594" spans="1:16" x14ac:dyDescent="0.3">
      <c r="A1594" t="s">
        <v>2490</v>
      </c>
      <c r="B1594" t="s">
        <v>3417</v>
      </c>
      <c r="C1594" t="s">
        <v>347</v>
      </c>
      <c r="F1594" t="s">
        <v>3361</v>
      </c>
      <c r="G1594" t="s">
        <v>2746</v>
      </c>
      <c r="H1594" t="s">
        <v>2252</v>
      </c>
      <c r="I1594" t="s">
        <v>3418</v>
      </c>
      <c r="J1594" t="s">
        <v>3369</v>
      </c>
      <c r="K1594" t="s">
        <v>1661</v>
      </c>
      <c r="L1594" t="s">
        <v>3386</v>
      </c>
      <c r="M1594" t="s">
        <v>3364</v>
      </c>
      <c r="N1594" t="s">
        <v>3365</v>
      </c>
      <c r="O1594" t="s">
        <v>3366</v>
      </c>
      <c r="P1594" t="s">
        <v>3382</v>
      </c>
    </row>
    <row r="1595" spans="1:16" x14ac:dyDescent="0.3">
      <c r="A1595" t="s">
        <v>2491</v>
      </c>
      <c r="B1595" t="s">
        <v>3417</v>
      </c>
      <c r="C1595" t="s">
        <v>347</v>
      </c>
      <c r="F1595" t="s">
        <v>3361</v>
      </c>
      <c r="G1595" t="s">
        <v>2746</v>
      </c>
      <c r="H1595" t="s">
        <v>2252</v>
      </c>
      <c r="I1595" t="s">
        <v>3418</v>
      </c>
      <c r="J1595" t="s">
        <v>3369</v>
      </c>
      <c r="K1595" t="s">
        <v>1661</v>
      </c>
      <c r="L1595" t="s">
        <v>3386</v>
      </c>
      <c r="M1595" t="s">
        <v>3364</v>
      </c>
      <c r="N1595" t="s">
        <v>3365</v>
      </c>
      <c r="O1595" t="s">
        <v>3366</v>
      </c>
      <c r="P1595" t="s">
        <v>3382</v>
      </c>
    </row>
    <row r="1596" spans="1:16" x14ac:dyDescent="0.3">
      <c r="A1596" t="s">
        <v>2492</v>
      </c>
      <c r="B1596" t="s">
        <v>3417</v>
      </c>
      <c r="C1596" t="s">
        <v>347</v>
      </c>
      <c r="F1596" t="s">
        <v>3361</v>
      </c>
      <c r="G1596" t="s">
        <v>2746</v>
      </c>
      <c r="H1596" t="s">
        <v>2252</v>
      </c>
      <c r="I1596" t="s">
        <v>3418</v>
      </c>
      <c r="J1596" t="s">
        <v>3369</v>
      </c>
      <c r="K1596" t="s">
        <v>1661</v>
      </c>
      <c r="L1596" t="s">
        <v>3386</v>
      </c>
      <c r="M1596" t="s">
        <v>3364</v>
      </c>
      <c r="N1596" t="s">
        <v>3365</v>
      </c>
      <c r="O1596" t="s">
        <v>3366</v>
      </c>
      <c r="P1596" t="s">
        <v>3382</v>
      </c>
    </row>
    <row r="1597" spans="1:16" x14ac:dyDescent="0.3">
      <c r="A1597" t="s">
        <v>2493</v>
      </c>
      <c r="B1597" t="s">
        <v>3417</v>
      </c>
      <c r="C1597" t="s">
        <v>347</v>
      </c>
      <c r="F1597" t="s">
        <v>3361</v>
      </c>
      <c r="G1597" t="s">
        <v>2746</v>
      </c>
      <c r="H1597" t="s">
        <v>2252</v>
      </c>
      <c r="I1597" t="s">
        <v>3418</v>
      </c>
      <c r="J1597" t="s">
        <v>3369</v>
      </c>
      <c r="K1597" t="s">
        <v>1661</v>
      </c>
      <c r="L1597" t="s">
        <v>3386</v>
      </c>
      <c r="M1597" t="s">
        <v>3364</v>
      </c>
      <c r="N1597" t="s">
        <v>3365</v>
      </c>
      <c r="O1597" t="s">
        <v>3366</v>
      </c>
      <c r="P1597" t="s">
        <v>3382</v>
      </c>
    </row>
    <row r="1598" spans="1:16" x14ac:dyDescent="0.3">
      <c r="A1598" t="s">
        <v>2494</v>
      </c>
      <c r="B1598" t="s">
        <v>3417</v>
      </c>
      <c r="C1598" t="s">
        <v>347</v>
      </c>
      <c r="F1598" t="s">
        <v>3361</v>
      </c>
      <c r="G1598" t="s">
        <v>2746</v>
      </c>
      <c r="H1598" t="s">
        <v>2252</v>
      </c>
      <c r="I1598" t="s">
        <v>3418</v>
      </c>
      <c r="J1598" t="s">
        <v>3369</v>
      </c>
      <c r="K1598" t="s">
        <v>1661</v>
      </c>
      <c r="L1598" t="s">
        <v>3386</v>
      </c>
      <c r="M1598" t="s">
        <v>3364</v>
      </c>
      <c r="N1598" t="s">
        <v>3365</v>
      </c>
      <c r="O1598" t="s">
        <v>3366</v>
      </c>
      <c r="P1598" t="s">
        <v>3382</v>
      </c>
    </row>
    <row r="1599" spans="1:16" x14ac:dyDescent="0.3">
      <c r="A1599" t="s">
        <v>349</v>
      </c>
      <c r="B1599" t="s">
        <v>3417</v>
      </c>
      <c r="C1599" t="s">
        <v>349</v>
      </c>
      <c r="F1599" t="s">
        <v>3361</v>
      </c>
      <c r="G1599" t="s">
        <v>2746</v>
      </c>
      <c r="H1599" t="s">
        <v>2242</v>
      </c>
      <c r="I1599" t="s">
        <v>3418</v>
      </c>
      <c r="J1599" t="s">
        <v>3369</v>
      </c>
      <c r="K1599" t="s">
        <v>1661</v>
      </c>
      <c r="L1599" t="s">
        <v>3386</v>
      </c>
      <c r="M1599" t="s">
        <v>3364</v>
      </c>
      <c r="N1599" t="s">
        <v>3365</v>
      </c>
      <c r="O1599" t="s">
        <v>3366</v>
      </c>
      <c r="P1599" t="s">
        <v>3382</v>
      </c>
    </row>
    <row r="1600" spans="1:16" x14ac:dyDescent="0.3">
      <c r="A1600" t="s">
        <v>714</v>
      </c>
      <c r="B1600" t="s">
        <v>3417</v>
      </c>
      <c r="C1600" t="s">
        <v>349</v>
      </c>
      <c r="F1600" t="s">
        <v>3361</v>
      </c>
      <c r="G1600" t="s">
        <v>2746</v>
      </c>
      <c r="H1600" t="s">
        <v>2242</v>
      </c>
      <c r="I1600" t="s">
        <v>3418</v>
      </c>
      <c r="J1600" t="s">
        <v>3369</v>
      </c>
      <c r="K1600" t="s">
        <v>1661</v>
      </c>
      <c r="L1600" t="s">
        <v>3386</v>
      </c>
      <c r="M1600" t="s">
        <v>3364</v>
      </c>
      <c r="N1600" t="s">
        <v>3365</v>
      </c>
      <c r="O1600" t="s">
        <v>3366</v>
      </c>
      <c r="P1600" t="s">
        <v>3382</v>
      </c>
    </row>
    <row r="1601" spans="1:16" x14ac:dyDescent="0.3">
      <c r="A1601" t="s">
        <v>634</v>
      </c>
      <c r="B1601" t="s">
        <v>3417</v>
      </c>
      <c r="C1601" t="s">
        <v>349</v>
      </c>
      <c r="F1601" t="s">
        <v>3361</v>
      </c>
      <c r="G1601" t="s">
        <v>2746</v>
      </c>
      <c r="H1601" t="s">
        <v>2244</v>
      </c>
      <c r="I1601" t="s">
        <v>3418</v>
      </c>
      <c r="J1601" t="s">
        <v>3369</v>
      </c>
      <c r="K1601" t="s">
        <v>1661</v>
      </c>
      <c r="L1601" t="s">
        <v>3386</v>
      </c>
      <c r="M1601" t="s">
        <v>3364</v>
      </c>
      <c r="N1601" t="s">
        <v>3365</v>
      </c>
      <c r="O1601" t="s">
        <v>3366</v>
      </c>
      <c r="P1601" t="s">
        <v>3382</v>
      </c>
    </row>
    <row r="1602" spans="1:16" x14ac:dyDescent="0.3">
      <c r="A1602" t="s">
        <v>716</v>
      </c>
      <c r="B1602" t="s">
        <v>3417</v>
      </c>
      <c r="C1602" t="s">
        <v>349</v>
      </c>
      <c r="F1602" t="s">
        <v>3361</v>
      </c>
      <c r="G1602" t="s">
        <v>2746</v>
      </c>
      <c r="H1602" t="s">
        <v>2244</v>
      </c>
      <c r="I1602" t="s">
        <v>3418</v>
      </c>
      <c r="J1602" t="s">
        <v>3369</v>
      </c>
      <c r="K1602" t="s">
        <v>1661</v>
      </c>
      <c r="L1602" t="s">
        <v>3386</v>
      </c>
      <c r="M1602" t="s">
        <v>3364</v>
      </c>
      <c r="N1602" t="s">
        <v>3365</v>
      </c>
      <c r="O1602" t="s">
        <v>3366</v>
      </c>
      <c r="P1602" t="s">
        <v>3382</v>
      </c>
    </row>
    <row r="1603" spans="1:16" x14ac:dyDescent="0.3">
      <c r="A1603" t="s">
        <v>635</v>
      </c>
      <c r="B1603" t="s">
        <v>3417</v>
      </c>
      <c r="C1603" t="s">
        <v>349</v>
      </c>
      <c r="F1603" t="s">
        <v>3361</v>
      </c>
      <c r="G1603" t="s">
        <v>2746</v>
      </c>
      <c r="H1603" t="s">
        <v>2244</v>
      </c>
      <c r="I1603" t="s">
        <v>3418</v>
      </c>
      <c r="J1603" t="s">
        <v>3369</v>
      </c>
      <c r="K1603" t="s">
        <v>1661</v>
      </c>
      <c r="L1603" t="s">
        <v>3386</v>
      </c>
      <c r="M1603" t="s">
        <v>3364</v>
      </c>
      <c r="N1603" t="s">
        <v>3365</v>
      </c>
      <c r="O1603" t="s">
        <v>3366</v>
      </c>
      <c r="P1603" t="s">
        <v>3382</v>
      </c>
    </row>
    <row r="1604" spans="1:16" x14ac:dyDescent="0.3">
      <c r="A1604" t="s">
        <v>1587</v>
      </c>
      <c r="B1604" t="s">
        <v>3417</v>
      </c>
      <c r="C1604" t="s">
        <v>349</v>
      </c>
      <c r="F1604" t="s">
        <v>3361</v>
      </c>
      <c r="G1604" t="s">
        <v>2746</v>
      </c>
      <c r="H1604" t="s">
        <v>2244</v>
      </c>
      <c r="I1604" t="s">
        <v>3418</v>
      </c>
      <c r="J1604" t="s">
        <v>3369</v>
      </c>
      <c r="K1604" t="s">
        <v>1661</v>
      </c>
      <c r="L1604" t="s">
        <v>3386</v>
      </c>
      <c r="M1604" t="s">
        <v>3364</v>
      </c>
      <c r="N1604" t="s">
        <v>3365</v>
      </c>
      <c r="O1604" t="s">
        <v>3366</v>
      </c>
      <c r="P1604" t="s">
        <v>3382</v>
      </c>
    </row>
    <row r="1605" spans="1:16" x14ac:dyDescent="0.3">
      <c r="A1605" t="s">
        <v>2498</v>
      </c>
      <c r="B1605" t="s">
        <v>3417</v>
      </c>
      <c r="C1605" t="s">
        <v>349</v>
      </c>
      <c r="F1605" t="s">
        <v>3361</v>
      </c>
      <c r="G1605" t="s">
        <v>2746</v>
      </c>
      <c r="H1605" t="s">
        <v>2244</v>
      </c>
      <c r="I1605" t="s">
        <v>3418</v>
      </c>
      <c r="J1605" t="s">
        <v>3369</v>
      </c>
      <c r="K1605" t="s">
        <v>1661</v>
      </c>
      <c r="L1605" t="s">
        <v>3386</v>
      </c>
      <c r="M1605" t="s">
        <v>3364</v>
      </c>
      <c r="N1605" t="s">
        <v>3365</v>
      </c>
      <c r="O1605" t="s">
        <v>3366</v>
      </c>
      <c r="P1605" t="s">
        <v>3382</v>
      </c>
    </row>
    <row r="1606" spans="1:16" x14ac:dyDescent="0.3">
      <c r="A1606" t="s">
        <v>2499</v>
      </c>
      <c r="B1606" t="s">
        <v>3417</v>
      </c>
      <c r="C1606" t="s">
        <v>349</v>
      </c>
      <c r="F1606" t="s">
        <v>3361</v>
      </c>
      <c r="G1606" t="s">
        <v>2746</v>
      </c>
      <c r="H1606" t="s">
        <v>2244</v>
      </c>
      <c r="I1606" t="s">
        <v>3418</v>
      </c>
      <c r="J1606" t="s">
        <v>3369</v>
      </c>
      <c r="K1606" t="s">
        <v>1661</v>
      </c>
      <c r="L1606" t="s">
        <v>3386</v>
      </c>
      <c r="M1606" t="s">
        <v>3364</v>
      </c>
      <c r="N1606" t="s">
        <v>3365</v>
      </c>
      <c r="O1606" t="s">
        <v>3366</v>
      </c>
      <c r="P1606" t="s">
        <v>3382</v>
      </c>
    </row>
    <row r="1607" spans="1:16" x14ac:dyDescent="0.3">
      <c r="A1607" t="s">
        <v>2500</v>
      </c>
      <c r="B1607" t="s">
        <v>3417</v>
      </c>
      <c r="C1607" t="s">
        <v>349</v>
      </c>
      <c r="F1607" t="s">
        <v>3361</v>
      </c>
      <c r="G1607" t="s">
        <v>2746</v>
      </c>
      <c r="H1607" t="s">
        <v>2244</v>
      </c>
      <c r="I1607" t="s">
        <v>3418</v>
      </c>
      <c r="J1607" t="s">
        <v>3369</v>
      </c>
      <c r="K1607" t="s">
        <v>1661</v>
      </c>
      <c r="L1607" t="s">
        <v>3386</v>
      </c>
      <c r="M1607" t="s">
        <v>3364</v>
      </c>
      <c r="N1607" t="s">
        <v>3365</v>
      </c>
      <c r="O1607" t="s">
        <v>3366</v>
      </c>
      <c r="P1607" t="s">
        <v>3382</v>
      </c>
    </row>
    <row r="1608" spans="1:16" x14ac:dyDescent="0.3">
      <c r="A1608" t="s">
        <v>2501</v>
      </c>
      <c r="B1608" t="s">
        <v>3417</v>
      </c>
      <c r="C1608" t="s">
        <v>349</v>
      </c>
      <c r="F1608" t="s">
        <v>3361</v>
      </c>
      <c r="G1608" t="s">
        <v>2746</v>
      </c>
      <c r="H1608" t="s">
        <v>2244</v>
      </c>
      <c r="I1608" t="s">
        <v>3418</v>
      </c>
      <c r="J1608" t="s">
        <v>3369</v>
      </c>
      <c r="K1608" t="s">
        <v>1661</v>
      </c>
      <c r="L1608" t="s">
        <v>3386</v>
      </c>
      <c r="M1608" t="s">
        <v>3364</v>
      </c>
      <c r="N1608" t="s">
        <v>3365</v>
      </c>
      <c r="O1608" t="s">
        <v>3366</v>
      </c>
      <c r="P1608" t="s">
        <v>3382</v>
      </c>
    </row>
    <row r="1609" spans="1:16" x14ac:dyDescent="0.3">
      <c r="A1609" t="s">
        <v>2502</v>
      </c>
      <c r="B1609" t="s">
        <v>3417</v>
      </c>
      <c r="C1609" t="s">
        <v>349</v>
      </c>
      <c r="F1609" t="s">
        <v>3361</v>
      </c>
      <c r="G1609" t="s">
        <v>2746</v>
      </c>
      <c r="H1609" t="s">
        <v>2244</v>
      </c>
      <c r="I1609" t="s">
        <v>3418</v>
      </c>
      <c r="J1609" t="s">
        <v>3369</v>
      </c>
      <c r="K1609" t="s">
        <v>1661</v>
      </c>
      <c r="L1609" t="s">
        <v>3386</v>
      </c>
      <c r="M1609" t="s">
        <v>3364</v>
      </c>
      <c r="N1609" t="s">
        <v>3365</v>
      </c>
      <c r="O1609" t="s">
        <v>3366</v>
      </c>
      <c r="P1609" t="s">
        <v>3382</v>
      </c>
    </row>
    <row r="1610" spans="1:16" x14ac:dyDescent="0.3">
      <c r="A1610" t="s">
        <v>2503</v>
      </c>
      <c r="B1610" t="s">
        <v>3417</v>
      </c>
      <c r="C1610" t="s">
        <v>349</v>
      </c>
      <c r="F1610" t="s">
        <v>3361</v>
      </c>
      <c r="G1610" t="s">
        <v>2746</v>
      </c>
      <c r="H1610" t="s">
        <v>2244</v>
      </c>
      <c r="I1610" t="s">
        <v>3418</v>
      </c>
      <c r="J1610" t="s">
        <v>3369</v>
      </c>
      <c r="K1610" t="s">
        <v>1661</v>
      </c>
      <c r="L1610" t="s">
        <v>3386</v>
      </c>
      <c r="M1610" t="s">
        <v>3364</v>
      </c>
      <c r="N1610" t="s">
        <v>3365</v>
      </c>
      <c r="O1610" t="s">
        <v>3366</v>
      </c>
      <c r="P1610" t="s">
        <v>3382</v>
      </c>
    </row>
    <row r="1611" spans="1:16" x14ac:dyDescent="0.3">
      <c r="A1611" t="s">
        <v>2504</v>
      </c>
      <c r="B1611" t="s">
        <v>3417</v>
      </c>
      <c r="C1611" t="s">
        <v>349</v>
      </c>
      <c r="F1611" t="s">
        <v>3361</v>
      </c>
      <c r="G1611" t="s">
        <v>2746</v>
      </c>
      <c r="H1611" t="s">
        <v>2244</v>
      </c>
      <c r="I1611" t="s">
        <v>3418</v>
      </c>
      <c r="J1611" t="s">
        <v>3369</v>
      </c>
      <c r="K1611" t="s">
        <v>1661</v>
      </c>
      <c r="L1611" t="s">
        <v>3386</v>
      </c>
      <c r="M1611" t="s">
        <v>3364</v>
      </c>
      <c r="N1611" t="s">
        <v>3365</v>
      </c>
      <c r="O1611" t="s">
        <v>3366</v>
      </c>
      <c r="P1611" t="s">
        <v>3382</v>
      </c>
    </row>
    <row r="1612" spans="1:16" x14ac:dyDescent="0.3">
      <c r="A1612" t="s">
        <v>1094</v>
      </c>
      <c r="B1612" t="s">
        <v>3417</v>
      </c>
      <c r="C1612" t="s">
        <v>349</v>
      </c>
      <c r="F1612" t="s">
        <v>3361</v>
      </c>
      <c r="G1612" t="s">
        <v>2746</v>
      </c>
      <c r="H1612" t="s">
        <v>2244</v>
      </c>
      <c r="I1612" t="s">
        <v>3418</v>
      </c>
      <c r="J1612" t="s">
        <v>3369</v>
      </c>
      <c r="K1612" t="s">
        <v>1661</v>
      </c>
      <c r="L1612" t="s">
        <v>3386</v>
      </c>
      <c r="M1612" t="s">
        <v>3364</v>
      </c>
      <c r="N1612" t="s">
        <v>3365</v>
      </c>
      <c r="O1612" t="s">
        <v>3366</v>
      </c>
      <c r="P1612" t="s">
        <v>3382</v>
      </c>
    </row>
    <row r="1613" spans="1:16" x14ac:dyDescent="0.3">
      <c r="A1613" t="s">
        <v>2505</v>
      </c>
      <c r="B1613" t="s">
        <v>3417</v>
      </c>
      <c r="C1613" t="s">
        <v>349</v>
      </c>
      <c r="F1613" t="s">
        <v>3361</v>
      </c>
      <c r="G1613" t="s">
        <v>2746</v>
      </c>
      <c r="H1613" t="s">
        <v>2244</v>
      </c>
      <c r="I1613" t="s">
        <v>3418</v>
      </c>
      <c r="J1613" t="s">
        <v>3369</v>
      </c>
      <c r="K1613" t="s">
        <v>1661</v>
      </c>
      <c r="L1613" t="s">
        <v>3386</v>
      </c>
      <c r="M1613" t="s">
        <v>3364</v>
      </c>
      <c r="N1613" t="s">
        <v>3365</v>
      </c>
      <c r="O1613" t="s">
        <v>3366</v>
      </c>
      <c r="P1613" t="s">
        <v>3382</v>
      </c>
    </row>
    <row r="1614" spans="1:16" x14ac:dyDescent="0.3">
      <c r="A1614" t="s">
        <v>2506</v>
      </c>
      <c r="B1614" t="s">
        <v>3417</v>
      </c>
      <c r="C1614" t="s">
        <v>349</v>
      </c>
      <c r="F1614" t="s">
        <v>3361</v>
      </c>
      <c r="G1614" t="s">
        <v>2746</v>
      </c>
      <c r="H1614" t="s">
        <v>2244</v>
      </c>
      <c r="I1614" t="s">
        <v>3418</v>
      </c>
      <c r="J1614" t="s">
        <v>3369</v>
      </c>
      <c r="K1614" t="s">
        <v>1661</v>
      </c>
      <c r="L1614" t="s">
        <v>3386</v>
      </c>
      <c r="M1614" t="s">
        <v>3364</v>
      </c>
      <c r="N1614" t="s">
        <v>3365</v>
      </c>
      <c r="O1614" t="s">
        <v>3366</v>
      </c>
      <c r="P1614" t="s">
        <v>3382</v>
      </c>
    </row>
    <row r="1615" spans="1:16" x14ac:dyDescent="0.3">
      <c r="A1615" t="s">
        <v>2507</v>
      </c>
      <c r="B1615" t="s">
        <v>3417</v>
      </c>
      <c r="C1615" t="s">
        <v>349</v>
      </c>
      <c r="F1615" t="s">
        <v>3361</v>
      </c>
      <c r="G1615" t="s">
        <v>2746</v>
      </c>
      <c r="H1615" t="s">
        <v>2244</v>
      </c>
      <c r="I1615" t="s">
        <v>3418</v>
      </c>
      <c r="J1615" t="s">
        <v>3369</v>
      </c>
      <c r="K1615" t="s">
        <v>1661</v>
      </c>
      <c r="L1615" t="s">
        <v>3386</v>
      </c>
      <c r="M1615" t="s">
        <v>3364</v>
      </c>
      <c r="N1615" t="s">
        <v>3365</v>
      </c>
      <c r="O1615" t="s">
        <v>3366</v>
      </c>
      <c r="P1615" t="s">
        <v>3382</v>
      </c>
    </row>
    <row r="1616" spans="1:16" x14ac:dyDescent="0.3">
      <c r="A1616" t="s">
        <v>2508</v>
      </c>
      <c r="B1616" t="s">
        <v>3417</v>
      </c>
      <c r="C1616" t="s">
        <v>349</v>
      </c>
      <c r="F1616" t="s">
        <v>3361</v>
      </c>
      <c r="G1616" t="s">
        <v>2746</v>
      </c>
      <c r="H1616" t="s">
        <v>2246</v>
      </c>
      <c r="I1616" t="s">
        <v>3418</v>
      </c>
      <c r="J1616" t="s">
        <v>3369</v>
      </c>
      <c r="K1616" t="s">
        <v>1661</v>
      </c>
      <c r="L1616" t="s">
        <v>3386</v>
      </c>
      <c r="M1616" t="s">
        <v>3364</v>
      </c>
      <c r="N1616" t="s">
        <v>3365</v>
      </c>
      <c r="O1616" t="s">
        <v>3366</v>
      </c>
      <c r="P1616" t="s">
        <v>3382</v>
      </c>
    </row>
    <row r="1617" spans="1:16" x14ac:dyDescent="0.3">
      <c r="A1617" t="s">
        <v>2509</v>
      </c>
      <c r="B1617" t="s">
        <v>3417</v>
      </c>
      <c r="C1617" t="s">
        <v>349</v>
      </c>
      <c r="F1617" t="s">
        <v>3361</v>
      </c>
      <c r="G1617" t="s">
        <v>2746</v>
      </c>
      <c r="H1617" t="s">
        <v>2246</v>
      </c>
      <c r="I1617" t="s">
        <v>3418</v>
      </c>
      <c r="J1617" t="s">
        <v>3369</v>
      </c>
      <c r="K1617" t="s">
        <v>1661</v>
      </c>
      <c r="L1617" t="s">
        <v>3386</v>
      </c>
      <c r="M1617" t="s">
        <v>3364</v>
      </c>
      <c r="N1617" t="s">
        <v>3365</v>
      </c>
      <c r="O1617" t="s">
        <v>3366</v>
      </c>
      <c r="P1617" t="s">
        <v>3382</v>
      </c>
    </row>
    <row r="1618" spans="1:16" x14ac:dyDescent="0.3">
      <c r="A1618" t="s">
        <v>2510</v>
      </c>
      <c r="B1618" t="s">
        <v>3417</v>
      </c>
      <c r="C1618" t="s">
        <v>349</v>
      </c>
      <c r="F1618" t="s">
        <v>3361</v>
      </c>
      <c r="G1618" t="s">
        <v>2746</v>
      </c>
      <c r="H1618" t="s">
        <v>2246</v>
      </c>
      <c r="I1618" t="s">
        <v>3418</v>
      </c>
      <c r="J1618" t="s">
        <v>3369</v>
      </c>
      <c r="K1618" t="s">
        <v>1661</v>
      </c>
      <c r="L1618" t="s">
        <v>3386</v>
      </c>
      <c r="M1618" t="s">
        <v>3364</v>
      </c>
      <c r="N1618" t="s">
        <v>3365</v>
      </c>
      <c r="O1618" t="s">
        <v>3366</v>
      </c>
      <c r="P1618" t="s">
        <v>3382</v>
      </c>
    </row>
    <row r="1619" spans="1:16" x14ac:dyDescent="0.3">
      <c r="A1619" t="s">
        <v>2511</v>
      </c>
      <c r="B1619" t="s">
        <v>3417</v>
      </c>
      <c r="C1619" t="s">
        <v>349</v>
      </c>
      <c r="F1619" t="s">
        <v>3361</v>
      </c>
      <c r="G1619" t="s">
        <v>2746</v>
      </c>
      <c r="H1619" t="s">
        <v>2246</v>
      </c>
      <c r="I1619" t="s">
        <v>3418</v>
      </c>
      <c r="J1619" t="s">
        <v>3369</v>
      </c>
      <c r="K1619" t="s">
        <v>1661</v>
      </c>
      <c r="L1619" t="s">
        <v>3386</v>
      </c>
      <c r="M1619" t="s">
        <v>3364</v>
      </c>
      <c r="N1619" t="s">
        <v>3365</v>
      </c>
      <c r="O1619" t="s">
        <v>3366</v>
      </c>
      <c r="P1619" t="s">
        <v>3382</v>
      </c>
    </row>
    <row r="1620" spans="1:16" x14ac:dyDescent="0.3">
      <c r="A1620" t="s">
        <v>2512</v>
      </c>
      <c r="B1620" t="s">
        <v>3417</v>
      </c>
      <c r="C1620" t="s">
        <v>349</v>
      </c>
      <c r="F1620" t="s">
        <v>3361</v>
      </c>
      <c r="G1620" t="s">
        <v>2746</v>
      </c>
      <c r="H1620" t="s">
        <v>2246</v>
      </c>
      <c r="I1620" t="s">
        <v>3418</v>
      </c>
      <c r="J1620" t="s">
        <v>3369</v>
      </c>
      <c r="K1620" t="s">
        <v>1661</v>
      </c>
      <c r="L1620" t="s">
        <v>3386</v>
      </c>
      <c r="M1620" t="s">
        <v>3364</v>
      </c>
      <c r="N1620" t="s">
        <v>3365</v>
      </c>
      <c r="O1620" t="s">
        <v>3366</v>
      </c>
      <c r="P1620" t="s">
        <v>3382</v>
      </c>
    </row>
    <row r="1621" spans="1:16" x14ac:dyDescent="0.3">
      <c r="A1621" t="s">
        <v>2513</v>
      </c>
      <c r="B1621" t="s">
        <v>3417</v>
      </c>
      <c r="C1621" t="s">
        <v>349</v>
      </c>
      <c r="F1621" t="s">
        <v>3361</v>
      </c>
      <c r="G1621" t="s">
        <v>2746</v>
      </c>
      <c r="H1621" t="s">
        <v>2246</v>
      </c>
      <c r="I1621" t="s">
        <v>3418</v>
      </c>
      <c r="J1621" t="s">
        <v>3369</v>
      </c>
      <c r="K1621" t="s">
        <v>1661</v>
      </c>
      <c r="L1621" t="s">
        <v>3386</v>
      </c>
      <c r="M1621" t="s">
        <v>3364</v>
      </c>
      <c r="N1621" t="s">
        <v>3365</v>
      </c>
      <c r="O1621" t="s">
        <v>3366</v>
      </c>
      <c r="P1621" t="s">
        <v>3382</v>
      </c>
    </row>
    <row r="1622" spans="1:16" x14ac:dyDescent="0.3">
      <c r="A1622" t="s">
        <v>2514</v>
      </c>
      <c r="B1622" t="s">
        <v>3417</v>
      </c>
      <c r="C1622" t="s">
        <v>349</v>
      </c>
      <c r="F1622" t="s">
        <v>3361</v>
      </c>
      <c r="G1622" t="s">
        <v>2746</v>
      </c>
      <c r="H1622" t="s">
        <v>2246</v>
      </c>
      <c r="I1622" t="s">
        <v>3418</v>
      </c>
      <c r="J1622" t="s">
        <v>3369</v>
      </c>
      <c r="K1622" t="s">
        <v>1661</v>
      </c>
      <c r="L1622" t="s">
        <v>3386</v>
      </c>
      <c r="M1622" t="s">
        <v>3364</v>
      </c>
      <c r="N1622" t="s">
        <v>3365</v>
      </c>
      <c r="O1622" t="s">
        <v>3366</v>
      </c>
      <c r="P1622" t="s">
        <v>3382</v>
      </c>
    </row>
    <row r="1623" spans="1:16" x14ac:dyDescent="0.3">
      <c r="A1623" t="s">
        <v>2515</v>
      </c>
      <c r="B1623" t="s">
        <v>3417</v>
      </c>
      <c r="C1623" t="s">
        <v>349</v>
      </c>
      <c r="F1623" t="s">
        <v>3361</v>
      </c>
      <c r="G1623" t="s">
        <v>2746</v>
      </c>
      <c r="H1623" t="s">
        <v>2246</v>
      </c>
      <c r="I1623" t="s">
        <v>3418</v>
      </c>
      <c r="J1623" t="s">
        <v>3369</v>
      </c>
      <c r="K1623" t="s">
        <v>1661</v>
      </c>
      <c r="L1623" t="s">
        <v>3386</v>
      </c>
      <c r="M1623" t="s">
        <v>3364</v>
      </c>
      <c r="N1623" t="s">
        <v>3365</v>
      </c>
      <c r="O1623" t="s">
        <v>3366</v>
      </c>
      <c r="P1623" t="s">
        <v>3382</v>
      </c>
    </row>
    <row r="1624" spans="1:16" x14ac:dyDescent="0.3">
      <c r="A1624" t="s">
        <v>2516</v>
      </c>
      <c r="B1624" t="s">
        <v>3417</v>
      </c>
      <c r="C1624" t="s">
        <v>349</v>
      </c>
      <c r="F1624" t="s">
        <v>3361</v>
      </c>
      <c r="G1624" t="s">
        <v>2746</v>
      </c>
      <c r="H1624" t="s">
        <v>2246</v>
      </c>
      <c r="I1624" t="s">
        <v>3418</v>
      </c>
      <c r="J1624" t="s">
        <v>3369</v>
      </c>
      <c r="K1624" t="s">
        <v>1661</v>
      </c>
      <c r="L1624" t="s">
        <v>3386</v>
      </c>
      <c r="M1624" t="s">
        <v>3364</v>
      </c>
      <c r="N1624" t="s">
        <v>3365</v>
      </c>
      <c r="O1624" t="s">
        <v>3366</v>
      </c>
      <c r="P1624" t="s">
        <v>3382</v>
      </c>
    </row>
    <row r="1625" spans="1:16" x14ac:dyDescent="0.3">
      <c r="A1625" t="s">
        <v>2517</v>
      </c>
      <c r="B1625" t="s">
        <v>3417</v>
      </c>
      <c r="C1625" t="s">
        <v>349</v>
      </c>
      <c r="F1625" t="s">
        <v>3361</v>
      </c>
      <c r="G1625" t="s">
        <v>2746</v>
      </c>
      <c r="H1625" t="s">
        <v>2246</v>
      </c>
      <c r="I1625" t="s">
        <v>3418</v>
      </c>
      <c r="J1625" t="s">
        <v>3369</v>
      </c>
      <c r="K1625" t="s">
        <v>1661</v>
      </c>
      <c r="L1625" t="s">
        <v>3386</v>
      </c>
      <c r="M1625" t="s">
        <v>3364</v>
      </c>
      <c r="N1625" t="s">
        <v>3365</v>
      </c>
      <c r="O1625" t="s">
        <v>3366</v>
      </c>
      <c r="P1625" t="s">
        <v>3382</v>
      </c>
    </row>
    <row r="1626" spans="1:16" x14ac:dyDescent="0.3">
      <c r="A1626" t="s">
        <v>2518</v>
      </c>
      <c r="B1626" t="s">
        <v>3417</v>
      </c>
      <c r="C1626" t="s">
        <v>349</v>
      </c>
      <c r="F1626" t="s">
        <v>3361</v>
      </c>
      <c r="G1626" t="s">
        <v>2746</v>
      </c>
      <c r="H1626" t="s">
        <v>2246</v>
      </c>
      <c r="I1626" t="s">
        <v>3418</v>
      </c>
      <c r="J1626" t="s">
        <v>3369</v>
      </c>
      <c r="K1626" t="s">
        <v>1661</v>
      </c>
      <c r="L1626" t="s">
        <v>3386</v>
      </c>
      <c r="M1626" t="s">
        <v>3364</v>
      </c>
      <c r="N1626" t="s">
        <v>3365</v>
      </c>
      <c r="O1626" t="s">
        <v>3366</v>
      </c>
      <c r="P1626" t="s">
        <v>3382</v>
      </c>
    </row>
    <row r="1627" spans="1:16" x14ac:dyDescent="0.3">
      <c r="A1627" t="s">
        <v>2519</v>
      </c>
      <c r="B1627" t="s">
        <v>3417</v>
      </c>
      <c r="C1627" t="s">
        <v>349</v>
      </c>
      <c r="F1627" t="s">
        <v>3361</v>
      </c>
      <c r="G1627" t="s">
        <v>2746</v>
      </c>
      <c r="H1627" t="s">
        <v>2246</v>
      </c>
      <c r="I1627" t="s">
        <v>3418</v>
      </c>
      <c r="J1627" t="s">
        <v>3369</v>
      </c>
      <c r="K1627" t="s">
        <v>1661</v>
      </c>
      <c r="L1627" t="s">
        <v>3386</v>
      </c>
      <c r="M1627" t="s">
        <v>3364</v>
      </c>
      <c r="N1627" t="s">
        <v>3365</v>
      </c>
      <c r="O1627" t="s">
        <v>3366</v>
      </c>
      <c r="P1627" t="s">
        <v>3382</v>
      </c>
    </row>
    <row r="1628" spans="1:16" x14ac:dyDescent="0.3">
      <c r="A1628" t="s">
        <v>2520</v>
      </c>
      <c r="B1628" t="s">
        <v>3417</v>
      </c>
      <c r="C1628" t="s">
        <v>349</v>
      </c>
      <c r="F1628" t="s">
        <v>3361</v>
      </c>
      <c r="G1628" t="s">
        <v>2746</v>
      </c>
      <c r="H1628" t="s">
        <v>2248</v>
      </c>
      <c r="I1628" t="s">
        <v>3418</v>
      </c>
      <c r="J1628" t="s">
        <v>3369</v>
      </c>
      <c r="K1628" t="s">
        <v>1661</v>
      </c>
      <c r="L1628" t="s">
        <v>2043</v>
      </c>
      <c r="M1628" t="s">
        <v>3364</v>
      </c>
      <c r="N1628" t="s">
        <v>3365</v>
      </c>
      <c r="O1628" t="s">
        <v>3366</v>
      </c>
      <c r="P1628" t="s">
        <v>3382</v>
      </c>
    </row>
    <row r="1629" spans="1:16" x14ac:dyDescent="0.3">
      <c r="A1629" t="s">
        <v>2521</v>
      </c>
      <c r="B1629" t="s">
        <v>3417</v>
      </c>
      <c r="C1629" t="s">
        <v>349</v>
      </c>
      <c r="F1629" t="s">
        <v>3361</v>
      </c>
      <c r="G1629" t="s">
        <v>2746</v>
      </c>
      <c r="H1629" t="s">
        <v>2248</v>
      </c>
      <c r="I1629" t="s">
        <v>3418</v>
      </c>
      <c r="J1629" t="s">
        <v>3369</v>
      </c>
      <c r="K1629" t="s">
        <v>1661</v>
      </c>
      <c r="L1629" t="s">
        <v>2043</v>
      </c>
      <c r="M1629" t="s">
        <v>3364</v>
      </c>
      <c r="N1629" t="s">
        <v>3365</v>
      </c>
      <c r="O1629" t="s">
        <v>3366</v>
      </c>
      <c r="P1629" t="s">
        <v>3382</v>
      </c>
    </row>
    <row r="1630" spans="1:16" x14ac:dyDescent="0.3">
      <c r="A1630" t="s">
        <v>2522</v>
      </c>
      <c r="B1630" t="s">
        <v>3417</v>
      </c>
      <c r="C1630" t="s">
        <v>349</v>
      </c>
      <c r="F1630" t="s">
        <v>3361</v>
      </c>
      <c r="G1630" t="s">
        <v>2746</v>
      </c>
      <c r="H1630" t="s">
        <v>2248</v>
      </c>
      <c r="I1630" t="s">
        <v>3418</v>
      </c>
      <c r="J1630" t="s">
        <v>3369</v>
      </c>
      <c r="K1630" t="s">
        <v>1661</v>
      </c>
      <c r="L1630" t="s">
        <v>2043</v>
      </c>
      <c r="M1630" t="s">
        <v>3364</v>
      </c>
      <c r="N1630" t="s">
        <v>3365</v>
      </c>
      <c r="O1630" t="s">
        <v>3366</v>
      </c>
      <c r="P1630" t="s">
        <v>3382</v>
      </c>
    </row>
    <row r="1631" spans="1:16" x14ac:dyDescent="0.3">
      <c r="A1631" t="s">
        <v>2523</v>
      </c>
      <c r="B1631" t="s">
        <v>3417</v>
      </c>
      <c r="C1631" t="s">
        <v>349</v>
      </c>
      <c r="F1631" t="s">
        <v>3361</v>
      </c>
      <c r="G1631" t="s">
        <v>2746</v>
      </c>
      <c r="H1631" t="s">
        <v>2248</v>
      </c>
      <c r="I1631" t="s">
        <v>3418</v>
      </c>
      <c r="J1631" t="s">
        <v>3369</v>
      </c>
      <c r="K1631" t="s">
        <v>1661</v>
      </c>
      <c r="L1631" t="s">
        <v>2043</v>
      </c>
      <c r="M1631" t="s">
        <v>3364</v>
      </c>
      <c r="N1631" t="s">
        <v>3365</v>
      </c>
      <c r="O1631" t="s">
        <v>3366</v>
      </c>
      <c r="P1631" t="s">
        <v>3382</v>
      </c>
    </row>
    <row r="1632" spans="1:16" x14ac:dyDescent="0.3">
      <c r="A1632" t="s">
        <v>2524</v>
      </c>
      <c r="B1632" t="s">
        <v>3417</v>
      </c>
      <c r="C1632" t="s">
        <v>349</v>
      </c>
      <c r="F1632" t="s">
        <v>3361</v>
      </c>
      <c r="G1632" t="s">
        <v>2746</v>
      </c>
      <c r="H1632" t="s">
        <v>2248</v>
      </c>
      <c r="I1632" t="s">
        <v>3418</v>
      </c>
      <c r="J1632" t="s">
        <v>3369</v>
      </c>
      <c r="K1632" t="s">
        <v>1661</v>
      </c>
      <c r="L1632" t="s">
        <v>2043</v>
      </c>
      <c r="M1632" t="s">
        <v>3364</v>
      </c>
      <c r="N1632" t="s">
        <v>3365</v>
      </c>
      <c r="O1632" t="s">
        <v>3366</v>
      </c>
      <c r="P1632" t="s">
        <v>3382</v>
      </c>
    </row>
    <row r="1633" spans="1:16" x14ac:dyDescent="0.3">
      <c r="A1633" t="s">
        <v>1589</v>
      </c>
      <c r="B1633" t="s">
        <v>3417</v>
      </c>
      <c r="C1633" t="s">
        <v>349</v>
      </c>
      <c r="F1633" t="s">
        <v>3361</v>
      </c>
      <c r="G1633" t="s">
        <v>2746</v>
      </c>
      <c r="H1633" t="s">
        <v>2248</v>
      </c>
      <c r="I1633" t="s">
        <v>3418</v>
      </c>
      <c r="J1633" t="s">
        <v>3369</v>
      </c>
      <c r="K1633" t="s">
        <v>1661</v>
      </c>
      <c r="L1633" t="s">
        <v>2043</v>
      </c>
      <c r="M1633" t="s">
        <v>3364</v>
      </c>
      <c r="N1633" t="s">
        <v>3365</v>
      </c>
      <c r="O1633" t="s">
        <v>3366</v>
      </c>
      <c r="P1633" t="s">
        <v>3382</v>
      </c>
    </row>
    <row r="1634" spans="1:16" x14ac:dyDescent="0.3">
      <c r="A1634" t="s">
        <v>2525</v>
      </c>
      <c r="B1634" t="s">
        <v>3417</v>
      </c>
      <c r="C1634" t="s">
        <v>349</v>
      </c>
      <c r="F1634" t="s">
        <v>3361</v>
      </c>
      <c r="G1634" t="s">
        <v>2746</v>
      </c>
      <c r="H1634" t="s">
        <v>2248</v>
      </c>
      <c r="I1634" t="s">
        <v>3418</v>
      </c>
      <c r="J1634" t="s">
        <v>3362</v>
      </c>
      <c r="K1634" t="s">
        <v>1661</v>
      </c>
      <c r="L1634" t="s">
        <v>2043</v>
      </c>
      <c r="M1634" t="s">
        <v>3364</v>
      </c>
      <c r="N1634" t="s">
        <v>3365</v>
      </c>
      <c r="O1634" t="s">
        <v>3366</v>
      </c>
      <c r="P1634" t="s">
        <v>3367</v>
      </c>
    </row>
    <row r="1635" spans="1:16" x14ac:dyDescent="0.3">
      <c r="A1635" t="s">
        <v>2526</v>
      </c>
      <c r="B1635" t="s">
        <v>3417</v>
      </c>
      <c r="C1635" t="s">
        <v>349</v>
      </c>
      <c r="F1635" t="s">
        <v>3361</v>
      </c>
      <c r="G1635" t="s">
        <v>2746</v>
      </c>
      <c r="H1635" t="s">
        <v>2250</v>
      </c>
      <c r="I1635" t="s">
        <v>3418</v>
      </c>
      <c r="J1635" t="s">
        <v>3369</v>
      </c>
      <c r="K1635" t="s">
        <v>1661</v>
      </c>
      <c r="L1635" t="s">
        <v>3386</v>
      </c>
      <c r="M1635" t="s">
        <v>3364</v>
      </c>
      <c r="N1635" t="s">
        <v>3365</v>
      </c>
      <c r="O1635" t="s">
        <v>3366</v>
      </c>
      <c r="P1635" t="s">
        <v>3382</v>
      </c>
    </row>
    <row r="1636" spans="1:16" x14ac:dyDescent="0.3">
      <c r="A1636" t="s">
        <v>2527</v>
      </c>
      <c r="B1636" t="s">
        <v>3417</v>
      </c>
      <c r="C1636" t="s">
        <v>349</v>
      </c>
      <c r="F1636" t="s">
        <v>3361</v>
      </c>
      <c r="G1636" t="s">
        <v>2746</v>
      </c>
      <c r="H1636" t="s">
        <v>2250</v>
      </c>
      <c r="I1636" t="s">
        <v>3418</v>
      </c>
      <c r="J1636" t="s">
        <v>3369</v>
      </c>
      <c r="K1636" t="s">
        <v>1661</v>
      </c>
      <c r="L1636" t="s">
        <v>3386</v>
      </c>
      <c r="M1636" t="s">
        <v>3364</v>
      </c>
      <c r="N1636" t="s">
        <v>3365</v>
      </c>
      <c r="O1636" t="s">
        <v>3366</v>
      </c>
      <c r="P1636" t="s">
        <v>3382</v>
      </c>
    </row>
    <row r="1637" spans="1:16" x14ac:dyDescent="0.3">
      <c r="A1637" t="s">
        <v>2528</v>
      </c>
      <c r="B1637" t="s">
        <v>3417</v>
      </c>
      <c r="C1637" t="s">
        <v>349</v>
      </c>
      <c r="F1637" t="s">
        <v>3361</v>
      </c>
      <c r="G1637" t="s">
        <v>2746</v>
      </c>
      <c r="H1637" t="s">
        <v>2250</v>
      </c>
      <c r="I1637" t="s">
        <v>3418</v>
      </c>
      <c r="J1637" t="s">
        <v>3369</v>
      </c>
      <c r="K1637" t="s">
        <v>1661</v>
      </c>
      <c r="L1637" t="s">
        <v>3386</v>
      </c>
      <c r="M1637" t="s">
        <v>3364</v>
      </c>
      <c r="N1637" t="s">
        <v>3365</v>
      </c>
      <c r="O1637" t="s">
        <v>3366</v>
      </c>
      <c r="P1637" t="s">
        <v>3382</v>
      </c>
    </row>
    <row r="1638" spans="1:16" x14ac:dyDescent="0.3">
      <c r="A1638" t="s">
        <v>1094</v>
      </c>
      <c r="B1638" t="s">
        <v>3417</v>
      </c>
      <c r="C1638" t="s">
        <v>349</v>
      </c>
      <c r="F1638" t="s">
        <v>3361</v>
      </c>
      <c r="G1638" t="s">
        <v>2746</v>
      </c>
      <c r="H1638" t="s">
        <v>2250</v>
      </c>
      <c r="I1638" t="s">
        <v>3418</v>
      </c>
      <c r="J1638" t="s">
        <v>3369</v>
      </c>
      <c r="K1638" t="s">
        <v>1661</v>
      </c>
      <c r="L1638" t="s">
        <v>3386</v>
      </c>
      <c r="M1638" t="s">
        <v>3364</v>
      </c>
      <c r="N1638" t="s">
        <v>3365</v>
      </c>
      <c r="O1638" t="s">
        <v>3366</v>
      </c>
      <c r="P1638" t="s">
        <v>3382</v>
      </c>
    </row>
    <row r="1639" spans="1:16" x14ac:dyDescent="0.3">
      <c r="A1639" t="s">
        <v>2520</v>
      </c>
      <c r="B1639" t="s">
        <v>3417</v>
      </c>
      <c r="C1639" t="s">
        <v>349</v>
      </c>
      <c r="F1639" t="s">
        <v>3361</v>
      </c>
      <c r="G1639" t="s">
        <v>2746</v>
      </c>
      <c r="H1639" t="s">
        <v>2250</v>
      </c>
      <c r="I1639" t="s">
        <v>3418</v>
      </c>
      <c r="J1639" t="s">
        <v>3369</v>
      </c>
      <c r="K1639" t="s">
        <v>1661</v>
      </c>
      <c r="L1639" t="s">
        <v>3386</v>
      </c>
      <c r="M1639" t="s">
        <v>3364</v>
      </c>
      <c r="N1639" t="s">
        <v>3365</v>
      </c>
      <c r="O1639" t="s">
        <v>3366</v>
      </c>
      <c r="P1639" t="s">
        <v>3382</v>
      </c>
    </row>
    <row r="1640" spans="1:16" x14ac:dyDescent="0.3">
      <c r="A1640" t="s">
        <v>2529</v>
      </c>
      <c r="B1640" t="s">
        <v>3417</v>
      </c>
      <c r="C1640" t="s">
        <v>349</v>
      </c>
      <c r="F1640" t="s">
        <v>3361</v>
      </c>
      <c r="G1640" t="s">
        <v>2746</v>
      </c>
      <c r="H1640" t="s">
        <v>2250</v>
      </c>
      <c r="I1640" t="s">
        <v>3418</v>
      </c>
      <c r="J1640" t="s">
        <v>3369</v>
      </c>
      <c r="K1640" t="s">
        <v>1661</v>
      </c>
      <c r="L1640" t="s">
        <v>3386</v>
      </c>
      <c r="M1640" t="s">
        <v>3364</v>
      </c>
      <c r="N1640" t="s">
        <v>3365</v>
      </c>
      <c r="O1640" t="s">
        <v>3366</v>
      </c>
      <c r="P1640" t="s">
        <v>3382</v>
      </c>
    </row>
    <row r="1641" spans="1:16" x14ac:dyDescent="0.3">
      <c r="A1641" t="s">
        <v>2503</v>
      </c>
      <c r="B1641" t="s">
        <v>3417</v>
      </c>
      <c r="C1641" t="s">
        <v>349</v>
      </c>
      <c r="F1641" t="s">
        <v>3361</v>
      </c>
      <c r="G1641" t="s">
        <v>2746</v>
      </c>
      <c r="H1641" t="s">
        <v>2250</v>
      </c>
      <c r="I1641" t="s">
        <v>3418</v>
      </c>
      <c r="J1641" t="s">
        <v>3369</v>
      </c>
      <c r="K1641" t="s">
        <v>1661</v>
      </c>
      <c r="L1641" t="s">
        <v>3386</v>
      </c>
      <c r="M1641" t="s">
        <v>3364</v>
      </c>
      <c r="N1641" t="s">
        <v>3365</v>
      </c>
      <c r="O1641" t="s">
        <v>3366</v>
      </c>
      <c r="P1641" t="s">
        <v>3382</v>
      </c>
    </row>
    <row r="1642" spans="1:16" x14ac:dyDescent="0.3">
      <c r="A1642" t="s">
        <v>2530</v>
      </c>
      <c r="B1642" t="s">
        <v>3417</v>
      </c>
      <c r="C1642" t="s">
        <v>349</v>
      </c>
      <c r="F1642" t="s">
        <v>3361</v>
      </c>
      <c r="G1642" t="s">
        <v>2746</v>
      </c>
      <c r="H1642" t="s">
        <v>2250</v>
      </c>
      <c r="I1642" t="s">
        <v>3418</v>
      </c>
      <c r="J1642" t="s">
        <v>3369</v>
      </c>
      <c r="K1642" t="s">
        <v>1661</v>
      </c>
      <c r="L1642" t="s">
        <v>3386</v>
      </c>
      <c r="M1642" t="s">
        <v>3364</v>
      </c>
      <c r="N1642" t="s">
        <v>3365</v>
      </c>
      <c r="O1642" t="s">
        <v>3366</v>
      </c>
      <c r="P1642" t="s">
        <v>3382</v>
      </c>
    </row>
    <row r="1643" spans="1:16" x14ac:dyDescent="0.3">
      <c r="A1643" t="s">
        <v>2521</v>
      </c>
      <c r="B1643" t="s">
        <v>3417</v>
      </c>
      <c r="C1643" t="s">
        <v>349</v>
      </c>
      <c r="F1643" t="s">
        <v>3361</v>
      </c>
      <c r="G1643" t="s">
        <v>2746</v>
      </c>
      <c r="H1643" t="s">
        <v>2250</v>
      </c>
      <c r="I1643" t="s">
        <v>3418</v>
      </c>
      <c r="J1643" t="s">
        <v>3369</v>
      </c>
      <c r="K1643" t="s">
        <v>1661</v>
      </c>
      <c r="L1643" t="s">
        <v>3386</v>
      </c>
      <c r="M1643" t="s">
        <v>3364</v>
      </c>
      <c r="N1643" t="s">
        <v>3365</v>
      </c>
      <c r="O1643" t="s">
        <v>3366</v>
      </c>
      <c r="P1643" t="s">
        <v>3382</v>
      </c>
    </row>
    <row r="1644" spans="1:16" x14ac:dyDescent="0.3">
      <c r="A1644" t="s">
        <v>1051</v>
      </c>
      <c r="B1644" t="s">
        <v>3417</v>
      </c>
      <c r="C1644" t="s">
        <v>349</v>
      </c>
      <c r="F1644" t="s">
        <v>3361</v>
      </c>
      <c r="G1644" t="s">
        <v>2746</v>
      </c>
      <c r="H1644" t="s">
        <v>2252</v>
      </c>
      <c r="I1644" t="s">
        <v>3418</v>
      </c>
      <c r="J1644" t="s">
        <v>3369</v>
      </c>
      <c r="K1644" t="s">
        <v>1661</v>
      </c>
      <c r="L1644" t="s">
        <v>3386</v>
      </c>
      <c r="M1644" t="s">
        <v>3364</v>
      </c>
      <c r="N1644" t="s">
        <v>3365</v>
      </c>
      <c r="O1644" t="s">
        <v>3366</v>
      </c>
      <c r="P1644" t="s">
        <v>3382</v>
      </c>
    </row>
    <row r="1645" spans="1:16" x14ac:dyDescent="0.3">
      <c r="A1645" t="s">
        <v>2531</v>
      </c>
      <c r="B1645" t="s">
        <v>3417</v>
      </c>
      <c r="C1645" t="s">
        <v>349</v>
      </c>
      <c r="F1645" t="s">
        <v>3361</v>
      </c>
      <c r="G1645" t="s">
        <v>2746</v>
      </c>
      <c r="H1645" t="s">
        <v>2252</v>
      </c>
      <c r="I1645" t="s">
        <v>3418</v>
      </c>
      <c r="J1645" t="s">
        <v>3369</v>
      </c>
      <c r="K1645" t="s">
        <v>1661</v>
      </c>
      <c r="L1645" t="s">
        <v>3386</v>
      </c>
      <c r="M1645" t="s">
        <v>3364</v>
      </c>
      <c r="N1645" t="s">
        <v>3365</v>
      </c>
      <c r="O1645" t="s">
        <v>3366</v>
      </c>
      <c r="P1645" t="s">
        <v>3382</v>
      </c>
    </row>
    <row r="1646" spans="1:16" x14ac:dyDescent="0.3">
      <c r="A1646" t="s">
        <v>2532</v>
      </c>
      <c r="B1646" t="s">
        <v>3417</v>
      </c>
      <c r="C1646" t="s">
        <v>349</v>
      </c>
      <c r="F1646" t="s">
        <v>3361</v>
      </c>
      <c r="G1646" t="s">
        <v>2746</v>
      </c>
      <c r="H1646" t="s">
        <v>2252</v>
      </c>
      <c r="I1646" t="s">
        <v>3418</v>
      </c>
      <c r="J1646" t="s">
        <v>3369</v>
      </c>
      <c r="K1646" t="s">
        <v>1661</v>
      </c>
      <c r="L1646" t="s">
        <v>3386</v>
      </c>
      <c r="M1646" t="s">
        <v>3364</v>
      </c>
      <c r="N1646" t="s">
        <v>3365</v>
      </c>
      <c r="O1646" t="s">
        <v>3366</v>
      </c>
      <c r="P1646" t="s">
        <v>3382</v>
      </c>
    </row>
    <row r="1647" spans="1:16" x14ac:dyDescent="0.3">
      <c r="A1647" t="s">
        <v>2533</v>
      </c>
      <c r="B1647" t="s">
        <v>3417</v>
      </c>
      <c r="C1647" t="s">
        <v>349</v>
      </c>
      <c r="F1647" t="s">
        <v>3361</v>
      </c>
      <c r="G1647" t="s">
        <v>2746</v>
      </c>
      <c r="H1647" t="s">
        <v>2252</v>
      </c>
      <c r="I1647" t="s">
        <v>3418</v>
      </c>
      <c r="J1647" t="s">
        <v>3369</v>
      </c>
      <c r="K1647" t="s">
        <v>1661</v>
      </c>
      <c r="L1647" t="s">
        <v>3386</v>
      </c>
      <c r="M1647" t="s">
        <v>3364</v>
      </c>
      <c r="N1647" t="s">
        <v>3365</v>
      </c>
      <c r="O1647" t="s">
        <v>3366</v>
      </c>
      <c r="P1647" t="s">
        <v>3382</v>
      </c>
    </row>
    <row r="1648" spans="1:16" x14ac:dyDescent="0.3">
      <c r="A1648" t="s">
        <v>2534</v>
      </c>
      <c r="B1648" t="s">
        <v>3417</v>
      </c>
      <c r="C1648" t="s">
        <v>349</v>
      </c>
      <c r="F1648" t="s">
        <v>3361</v>
      </c>
      <c r="G1648" t="s">
        <v>2746</v>
      </c>
      <c r="H1648" t="s">
        <v>2252</v>
      </c>
      <c r="I1648" t="s">
        <v>3418</v>
      </c>
      <c r="J1648" t="s">
        <v>3369</v>
      </c>
      <c r="K1648" t="s">
        <v>1661</v>
      </c>
      <c r="L1648" t="s">
        <v>3386</v>
      </c>
      <c r="M1648" t="s">
        <v>3364</v>
      </c>
      <c r="N1648" t="s">
        <v>3365</v>
      </c>
      <c r="O1648" t="s">
        <v>3366</v>
      </c>
      <c r="P1648" t="s">
        <v>3382</v>
      </c>
    </row>
    <row r="1649" spans="1:16" x14ac:dyDescent="0.3">
      <c r="A1649" t="s">
        <v>2535</v>
      </c>
      <c r="B1649" t="s">
        <v>3417</v>
      </c>
      <c r="C1649" t="s">
        <v>349</v>
      </c>
      <c r="F1649" t="s">
        <v>3361</v>
      </c>
      <c r="G1649" t="s">
        <v>2746</v>
      </c>
      <c r="H1649" t="s">
        <v>2252</v>
      </c>
      <c r="I1649" t="s">
        <v>3418</v>
      </c>
      <c r="J1649" t="s">
        <v>3369</v>
      </c>
      <c r="K1649" t="s">
        <v>1661</v>
      </c>
      <c r="L1649" t="s">
        <v>3386</v>
      </c>
      <c r="M1649" t="s">
        <v>3364</v>
      </c>
      <c r="N1649" t="s">
        <v>3365</v>
      </c>
      <c r="O1649" t="s">
        <v>3366</v>
      </c>
      <c r="P1649" t="s">
        <v>3382</v>
      </c>
    </row>
    <row r="1650" spans="1:16" x14ac:dyDescent="0.3">
      <c r="A1650" t="s">
        <v>2536</v>
      </c>
      <c r="B1650" t="s">
        <v>3417</v>
      </c>
      <c r="C1650" t="s">
        <v>349</v>
      </c>
      <c r="F1650" t="s">
        <v>3361</v>
      </c>
      <c r="G1650" t="s">
        <v>2746</v>
      </c>
      <c r="H1650" t="s">
        <v>2252</v>
      </c>
      <c r="I1650" t="s">
        <v>3418</v>
      </c>
      <c r="J1650" t="s">
        <v>3369</v>
      </c>
      <c r="K1650" t="s">
        <v>1661</v>
      </c>
      <c r="L1650" t="s">
        <v>3386</v>
      </c>
      <c r="M1650" t="s">
        <v>3364</v>
      </c>
      <c r="N1650" t="s">
        <v>3365</v>
      </c>
      <c r="O1650" t="s">
        <v>3366</v>
      </c>
      <c r="P1650" t="s">
        <v>3382</v>
      </c>
    </row>
    <row r="1651" spans="1:16" x14ac:dyDescent="0.3">
      <c r="A1651" t="s">
        <v>2537</v>
      </c>
      <c r="B1651" t="s">
        <v>3417</v>
      </c>
      <c r="C1651" t="s">
        <v>349</v>
      </c>
      <c r="F1651" t="s">
        <v>3361</v>
      </c>
      <c r="G1651" t="s">
        <v>2746</v>
      </c>
      <c r="H1651" t="s">
        <v>2252</v>
      </c>
      <c r="I1651" t="s">
        <v>3418</v>
      </c>
      <c r="J1651" t="s">
        <v>3369</v>
      </c>
      <c r="K1651" t="s">
        <v>1661</v>
      </c>
      <c r="L1651" t="s">
        <v>3386</v>
      </c>
      <c r="M1651" t="s">
        <v>3364</v>
      </c>
      <c r="N1651" t="s">
        <v>3365</v>
      </c>
      <c r="O1651" t="s">
        <v>3366</v>
      </c>
      <c r="P1651" t="s">
        <v>3382</v>
      </c>
    </row>
    <row r="1652" spans="1:16" x14ac:dyDescent="0.3">
      <c r="A1652" t="s">
        <v>2538</v>
      </c>
      <c r="B1652" t="s">
        <v>3417</v>
      </c>
      <c r="C1652" t="s">
        <v>349</v>
      </c>
      <c r="F1652" t="s">
        <v>3361</v>
      </c>
      <c r="G1652" t="s">
        <v>2746</v>
      </c>
      <c r="H1652" t="s">
        <v>2252</v>
      </c>
      <c r="I1652" t="s">
        <v>3418</v>
      </c>
      <c r="J1652" t="s">
        <v>3369</v>
      </c>
      <c r="K1652" t="s">
        <v>1661</v>
      </c>
      <c r="L1652" t="s">
        <v>3386</v>
      </c>
      <c r="M1652" t="s">
        <v>3364</v>
      </c>
      <c r="N1652" t="s">
        <v>3365</v>
      </c>
      <c r="O1652" t="s">
        <v>3366</v>
      </c>
      <c r="P1652" t="s">
        <v>3382</v>
      </c>
    </row>
    <row r="1653" spans="1:16" x14ac:dyDescent="0.3">
      <c r="A1653" t="s">
        <v>2539</v>
      </c>
      <c r="B1653" t="s">
        <v>3417</v>
      </c>
      <c r="C1653" t="s">
        <v>349</v>
      </c>
      <c r="F1653" t="s">
        <v>3361</v>
      </c>
      <c r="G1653" t="s">
        <v>2746</v>
      </c>
      <c r="H1653" t="s">
        <v>2252</v>
      </c>
      <c r="I1653" t="s">
        <v>3418</v>
      </c>
      <c r="J1653" t="s">
        <v>3369</v>
      </c>
      <c r="K1653" t="s">
        <v>1661</v>
      </c>
      <c r="L1653" t="s">
        <v>3386</v>
      </c>
      <c r="M1653" t="s">
        <v>3364</v>
      </c>
      <c r="N1653" t="s">
        <v>3365</v>
      </c>
      <c r="O1653" t="s">
        <v>3366</v>
      </c>
      <c r="P1653" t="s">
        <v>3382</v>
      </c>
    </row>
    <row r="1654" spans="1:16" x14ac:dyDescent="0.3">
      <c r="A1654" t="s">
        <v>1615</v>
      </c>
      <c r="B1654" t="s">
        <v>3417</v>
      </c>
      <c r="C1654" t="s">
        <v>349</v>
      </c>
      <c r="F1654" t="s">
        <v>3361</v>
      </c>
      <c r="G1654" t="s">
        <v>2746</v>
      </c>
      <c r="H1654" t="s">
        <v>2252</v>
      </c>
      <c r="I1654" t="s">
        <v>3418</v>
      </c>
      <c r="J1654" t="s">
        <v>3369</v>
      </c>
      <c r="K1654" t="s">
        <v>1661</v>
      </c>
      <c r="L1654" t="s">
        <v>3386</v>
      </c>
      <c r="M1654" t="s">
        <v>3364</v>
      </c>
      <c r="N1654" t="s">
        <v>3365</v>
      </c>
      <c r="O1654" t="s">
        <v>3366</v>
      </c>
      <c r="P1654" t="s">
        <v>3382</v>
      </c>
    </row>
    <row r="1655" spans="1:16" x14ac:dyDescent="0.3">
      <c r="A1655" t="s">
        <v>2540</v>
      </c>
      <c r="B1655" t="s">
        <v>3417</v>
      </c>
      <c r="C1655" t="s">
        <v>349</v>
      </c>
      <c r="F1655" t="s">
        <v>3361</v>
      </c>
      <c r="G1655" t="s">
        <v>2746</v>
      </c>
      <c r="H1655" t="s">
        <v>2252</v>
      </c>
      <c r="I1655" t="s">
        <v>3418</v>
      </c>
      <c r="J1655" t="s">
        <v>3369</v>
      </c>
      <c r="K1655" t="s">
        <v>1661</v>
      </c>
      <c r="L1655" t="s">
        <v>3386</v>
      </c>
      <c r="M1655" t="s">
        <v>3364</v>
      </c>
      <c r="N1655" t="s">
        <v>3365</v>
      </c>
      <c r="O1655" t="s">
        <v>3366</v>
      </c>
      <c r="P1655" t="s">
        <v>3382</v>
      </c>
    </row>
    <row r="1656" spans="1:16" x14ac:dyDescent="0.3">
      <c r="A1656" t="s">
        <v>2541</v>
      </c>
      <c r="B1656" t="s">
        <v>3417</v>
      </c>
      <c r="C1656" t="s">
        <v>349</v>
      </c>
      <c r="F1656" t="s">
        <v>3361</v>
      </c>
      <c r="G1656" t="s">
        <v>2746</v>
      </c>
      <c r="H1656" t="s">
        <v>2252</v>
      </c>
      <c r="I1656" t="s">
        <v>3418</v>
      </c>
      <c r="J1656" t="s">
        <v>3369</v>
      </c>
      <c r="K1656" t="s">
        <v>1661</v>
      </c>
      <c r="L1656" t="s">
        <v>3386</v>
      </c>
      <c r="M1656" t="s">
        <v>3364</v>
      </c>
      <c r="N1656" t="s">
        <v>3365</v>
      </c>
      <c r="O1656" t="s">
        <v>3366</v>
      </c>
      <c r="P1656" t="s">
        <v>3382</v>
      </c>
    </row>
    <row r="1657" spans="1:16" x14ac:dyDescent="0.3">
      <c r="A1657" t="s">
        <v>2542</v>
      </c>
      <c r="B1657" t="s">
        <v>3417</v>
      </c>
      <c r="C1657" t="s">
        <v>349</v>
      </c>
      <c r="F1657" t="s">
        <v>3361</v>
      </c>
      <c r="G1657" t="s">
        <v>2746</v>
      </c>
      <c r="H1657" t="s">
        <v>2252</v>
      </c>
      <c r="I1657" t="s">
        <v>3418</v>
      </c>
      <c r="J1657" t="s">
        <v>3369</v>
      </c>
      <c r="K1657" t="s">
        <v>1661</v>
      </c>
      <c r="L1657" t="s">
        <v>3386</v>
      </c>
      <c r="M1657" t="s">
        <v>3364</v>
      </c>
      <c r="N1657" t="s">
        <v>3365</v>
      </c>
      <c r="O1657" t="s">
        <v>3366</v>
      </c>
      <c r="P1657" t="s">
        <v>3382</v>
      </c>
    </row>
    <row r="1658" spans="1:16" x14ac:dyDescent="0.3">
      <c r="A1658" t="s">
        <v>2543</v>
      </c>
      <c r="B1658" t="s">
        <v>3417</v>
      </c>
      <c r="C1658" t="s">
        <v>349</v>
      </c>
      <c r="F1658" t="s">
        <v>3361</v>
      </c>
      <c r="G1658" t="s">
        <v>2746</v>
      </c>
      <c r="H1658" t="s">
        <v>2252</v>
      </c>
      <c r="I1658" t="s">
        <v>3418</v>
      </c>
      <c r="J1658" t="s">
        <v>3369</v>
      </c>
      <c r="K1658" t="s">
        <v>1661</v>
      </c>
      <c r="L1658" t="s">
        <v>3386</v>
      </c>
      <c r="M1658" t="s">
        <v>3364</v>
      </c>
      <c r="N1658" t="s">
        <v>3365</v>
      </c>
      <c r="O1658" t="s">
        <v>3366</v>
      </c>
      <c r="P1658" t="s">
        <v>3382</v>
      </c>
    </row>
    <row r="1659" spans="1:16" x14ac:dyDescent="0.3">
      <c r="A1659" t="s">
        <v>2544</v>
      </c>
      <c r="B1659" t="s">
        <v>3417</v>
      </c>
      <c r="C1659" t="s">
        <v>349</v>
      </c>
      <c r="F1659" t="s">
        <v>3361</v>
      </c>
      <c r="G1659" t="s">
        <v>2746</v>
      </c>
      <c r="H1659" t="s">
        <v>2252</v>
      </c>
      <c r="I1659" t="s">
        <v>3418</v>
      </c>
      <c r="J1659" t="s">
        <v>3369</v>
      </c>
      <c r="K1659" t="s">
        <v>1661</v>
      </c>
      <c r="L1659" t="s">
        <v>3386</v>
      </c>
      <c r="M1659" t="s">
        <v>3364</v>
      </c>
      <c r="N1659" t="s">
        <v>3365</v>
      </c>
      <c r="O1659" t="s">
        <v>3366</v>
      </c>
      <c r="P1659" t="s">
        <v>3382</v>
      </c>
    </row>
    <row r="1660" spans="1:16" x14ac:dyDescent="0.3">
      <c r="A1660" t="s">
        <v>757</v>
      </c>
      <c r="B1660" t="s">
        <v>3417</v>
      </c>
      <c r="C1660" t="s">
        <v>349</v>
      </c>
      <c r="F1660" t="s">
        <v>3361</v>
      </c>
      <c r="G1660" t="s">
        <v>2746</v>
      </c>
      <c r="H1660" t="s">
        <v>2252</v>
      </c>
      <c r="I1660" t="s">
        <v>3418</v>
      </c>
      <c r="J1660" t="s">
        <v>3369</v>
      </c>
      <c r="K1660" t="s">
        <v>1661</v>
      </c>
      <c r="L1660" t="s">
        <v>3386</v>
      </c>
      <c r="M1660" t="s">
        <v>3364</v>
      </c>
      <c r="N1660" t="s">
        <v>3365</v>
      </c>
      <c r="O1660" t="s">
        <v>3366</v>
      </c>
      <c r="P1660" t="s">
        <v>3382</v>
      </c>
    </row>
    <row r="1661" spans="1:16" x14ac:dyDescent="0.3">
      <c r="A1661" t="s">
        <v>351</v>
      </c>
      <c r="B1661" t="s">
        <v>3417</v>
      </c>
      <c r="C1661" t="s">
        <v>351</v>
      </c>
      <c r="F1661" t="s">
        <v>3361</v>
      </c>
      <c r="G1661" t="s">
        <v>2746</v>
      </c>
      <c r="H1661" t="s">
        <v>2242</v>
      </c>
      <c r="I1661" t="s">
        <v>3418</v>
      </c>
      <c r="J1661" t="s">
        <v>3362</v>
      </c>
      <c r="K1661" t="s">
        <v>1661</v>
      </c>
      <c r="L1661" t="s">
        <v>3386</v>
      </c>
      <c r="M1661" t="s">
        <v>3364</v>
      </c>
      <c r="N1661" t="s">
        <v>3365</v>
      </c>
      <c r="O1661" t="s">
        <v>3366</v>
      </c>
      <c r="P1661" t="s">
        <v>3367</v>
      </c>
    </row>
    <row r="1662" spans="1:16" x14ac:dyDescent="0.3">
      <c r="A1662" t="s">
        <v>718</v>
      </c>
      <c r="B1662" t="s">
        <v>3417</v>
      </c>
      <c r="C1662" t="s">
        <v>351</v>
      </c>
      <c r="F1662" t="s">
        <v>3361</v>
      </c>
      <c r="G1662" t="s">
        <v>2746</v>
      </c>
      <c r="H1662" t="s">
        <v>2242</v>
      </c>
      <c r="I1662" t="s">
        <v>3418</v>
      </c>
      <c r="J1662" t="s">
        <v>3362</v>
      </c>
      <c r="K1662" t="s">
        <v>1661</v>
      </c>
      <c r="L1662" t="s">
        <v>3386</v>
      </c>
      <c r="M1662" t="s">
        <v>3364</v>
      </c>
      <c r="N1662" t="s">
        <v>3365</v>
      </c>
      <c r="O1662" t="s">
        <v>3366</v>
      </c>
      <c r="P1662" t="s">
        <v>3367</v>
      </c>
    </row>
    <row r="1663" spans="1:16" x14ac:dyDescent="0.3">
      <c r="A1663" t="s">
        <v>2547</v>
      </c>
      <c r="B1663" t="s">
        <v>3417</v>
      </c>
      <c r="C1663" t="s">
        <v>351</v>
      </c>
      <c r="F1663" t="s">
        <v>3361</v>
      </c>
      <c r="G1663" t="s">
        <v>2746</v>
      </c>
      <c r="H1663" t="s">
        <v>2244</v>
      </c>
      <c r="I1663" t="s">
        <v>3418</v>
      </c>
      <c r="J1663" t="s">
        <v>3369</v>
      </c>
      <c r="K1663" t="s">
        <v>1661</v>
      </c>
      <c r="L1663" t="s">
        <v>3386</v>
      </c>
      <c r="M1663" t="s">
        <v>3364</v>
      </c>
      <c r="N1663" t="s">
        <v>3365</v>
      </c>
      <c r="O1663" t="s">
        <v>3366</v>
      </c>
      <c r="P1663" t="s">
        <v>3382</v>
      </c>
    </row>
    <row r="1664" spans="1:16" x14ac:dyDescent="0.3">
      <c r="A1664" t="s">
        <v>1592</v>
      </c>
      <c r="B1664" t="s">
        <v>3417</v>
      </c>
      <c r="C1664" t="s">
        <v>351</v>
      </c>
      <c r="F1664" t="s">
        <v>3361</v>
      </c>
      <c r="G1664" t="s">
        <v>2746</v>
      </c>
      <c r="H1664" t="s">
        <v>2244</v>
      </c>
      <c r="I1664" t="s">
        <v>3418</v>
      </c>
      <c r="J1664" t="s">
        <v>3369</v>
      </c>
      <c r="K1664" t="s">
        <v>1661</v>
      </c>
      <c r="L1664" t="s">
        <v>3386</v>
      </c>
      <c r="M1664" t="s">
        <v>3364</v>
      </c>
      <c r="N1664" t="s">
        <v>3365</v>
      </c>
      <c r="O1664" t="s">
        <v>3366</v>
      </c>
      <c r="P1664" t="s">
        <v>3382</v>
      </c>
    </row>
    <row r="1665" spans="1:16" x14ac:dyDescent="0.3">
      <c r="A1665" t="s">
        <v>1594</v>
      </c>
      <c r="B1665" t="s">
        <v>3417</v>
      </c>
      <c r="C1665" t="s">
        <v>351</v>
      </c>
      <c r="F1665" t="s">
        <v>3361</v>
      </c>
      <c r="G1665" t="s">
        <v>2746</v>
      </c>
      <c r="H1665" t="s">
        <v>2244</v>
      </c>
      <c r="I1665" t="s">
        <v>3418</v>
      </c>
      <c r="J1665" t="s">
        <v>3369</v>
      </c>
      <c r="K1665" t="s">
        <v>1661</v>
      </c>
      <c r="L1665" t="s">
        <v>3386</v>
      </c>
      <c r="M1665" t="s">
        <v>3364</v>
      </c>
      <c r="N1665" t="s">
        <v>3365</v>
      </c>
      <c r="O1665" t="s">
        <v>3366</v>
      </c>
      <c r="P1665" t="s">
        <v>3382</v>
      </c>
    </row>
    <row r="1666" spans="1:16" x14ac:dyDescent="0.3">
      <c r="A1666" t="s">
        <v>2413</v>
      </c>
      <c r="B1666" t="s">
        <v>3417</v>
      </c>
      <c r="C1666" t="s">
        <v>351</v>
      </c>
      <c r="F1666" t="s">
        <v>3361</v>
      </c>
      <c r="G1666" t="s">
        <v>2746</v>
      </c>
      <c r="H1666" t="s">
        <v>2244</v>
      </c>
      <c r="I1666" t="s">
        <v>3418</v>
      </c>
      <c r="J1666" t="s">
        <v>3369</v>
      </c>
      <c r="K1666" t="s">
        <v>1661</v>
      </c>
      <c r="L1666" t="s">
        <v>3386</v>
      </c>
      <c r="M1666" t="s">
        <v>3364</v>
      </c>
      <c r="N1666" t="s">
        <v>3365</v>
      </c>
      <c r="O1666" t="s">
        <v>3366</v>
      </c>
      <c r="P1666" t="s">
        <v>3382</v>
      </c>
    </row>
    <row r="1667" spans="1:16" x14ac:dyDescent="0.3">
      <c r="A1667" t="s">
        <v>1593</v>
      </c>
      <c r="B1667" t="s">
        <v>3417</v>
      </c>
      <c r="C1667" t="s">
        <v>351</v>
      </c>
      <c r="F1667" t="s">
        <v>3361</v>
      </c>
      <c r="G1667" t="s">
        <v>2746</v>
      </c>
      <c r="H1667" t="s">
        <v>2244</v>
      </c>
      <c r="I1667" t="s">
        <v>3418</v>
      </c>
      <c r="J1667" t="s">
        <v>3369</v>
      </c>
      <c r="K1667" t="s">
        <v>1661</v>
      </c>
      <c r="L1667" t="s">
        <v>3386</v>
      </c>
      <c r="M1667" t="s">
        <v>3364</v>
      </c>
      <c r="N1667" t="s">
        <v>3365</v>
      </c>
      <c r="O1667" t="s">
        <v>3366</v>
      </c>
      <c r="P1667" t="s">
        <v>3382</v>
      </c>
    </row>
    <row r="1668" spans="1:16" x14ac:dyDescent="0.3">
      <c r="A1668" t="s">
        <v>2548</v>
      </c>
      <c r="B1668" t="s">
        <v>3417</v>
      </c>
      <c r="C1668" t="s">
        <v>351</v>
      </c>
      <c r="F1668" t="s">
        <v>3361</v>
      </c>
      <c r="G1668" t="s">
        <v>2746</v>
      </c>
      <c r="H1668" t="s">
        <v>2244</v>
      </c>
      <c r="I1668" t="s">
        <v>3418</v>
      </c>
      <c r="J1668" t="s">
        <v>3369</v>
      </c>
      <c r="K1668" t="s">
        <v>1661</v>
      </c>
      <c r="L1668" t="s">
        <v>3386</v>
      </c>
      <c r="M1668" t="s">
        <v>3364</v>
      </c>
      <c r="N1668" t="s">
        <v>3365</v>
      </c>
      <c r="O1668" t="s">
        <v>3366</v>
      </c>
      <c r="P1668" t="s">
        <v>3382</v>
      </c>
    </row>
    <row r="1669" spans="1:16" x14ac:dyDescent="0.3">
      <c r="A1669" t="s">
        <v>2549</v>
      </c>
      <c r="B1669" t="s">
        <v>3417</v>
      </c>
      <c r="C1669" t="s">
        <v>351</v>
      </c>
      <c r="F1669" t="s">
        <v>3361</v>
      </c>
      <c r="G1669" t="s">
        <v>2746</v>
      </c>
      <c r="H1669" t="s">
        <v>2244</v>
      </c>
      <c r="I1669" t="s">
        <v>3418</v>
      </c>
      <c r="J1669" t="s">
        <v>3369</v>
      </c>
      <c r="K1669" t="s">
        <v>1661</v>
      </c>
      <c r="L1669" t="s">
        <v>3386</v>
      </c>
      <c r="M1669" t="s">
        <v>3364</v>
      </c>
      <c r="N1669" t="s">
        <v>3365</v>
      </c>
      <c r="O1669" t="s">
        <v>3366</v>
      </c>
      <c r="P1669" t="s">
        <v>3382</v>
      </c>
    </row>
    <row r="1670" spans="1:16" x14ac:dyDescent="0.3">
      <c r="A1670" t="s">
        <v>2550</v>
      </c>
      <c r="B1670" t="s">
        <v>3417</v>
      </c>
      <c r="C1670" t="s">
        <v>351</v>
      </c>
      <c r="F1670" t="s">
        <v>3361</v>
      </c>
      <c r="G1670" t="s">
        <v>2746</v>
      </c>
      <c r="H1670" t="s">
        <v>2244</v>
      </c>
      <c r="I1670" t="s">
        <v>3418</v>
      </c>
      <c r="J1670" t="s">
        <v>3369</v>
      </c>
      <c r="K1670" t="s">
        <v>1661</v>
      </c>
      <c r="L1670" t="s">
        <v>3386</v>
      </c>
      <c r="M1670" t="s">
        <v>3364</v>
      </c>
      <c r="N1670" t="s">
        <v>3365</v>
      </c>
      <c r="O1670" t="s">
        <v>3366</v>
      </c>
      <c r="P1670" t="s">
        <v>3382</v>
      </c>
    </row>
    <row r="1671" spans="1:16" x14ac:dyDescent="0.3">
      <c r="A1671" t="s">
        <v>2269</v>
      </c>
      <c r="B1671" t="s">
        <v>3417</v>
      </c>
      <c r="C1671" t="s">
        <v>351</v>
      </c>
      <c r="F1671" t="s">
        <v>3361</v>
      </c>
      <c r="G1671" t="s">
        <v>2746</v>
      </c>
      <c r="H1671" t="s">
        <v>2244</v>
      </c>
      <c r="I1671" t="s">
        <v>3418</v>
      </c>
      <c r="J1671" t="s">
        <v>3369</v>
      </c>
      <c r="K1671" t="s">
        <v>1661</v>
      </c>
      <c r="L1671" t="s">
        <v>3386</v>
      </c>
      <c r="M1671" t="s">
        <v>3364</v>
      </c>
      <c r="N1671" t="s">
        <v>3365</v>
      </c>
      <c r="O1671" t="s">
        <v>3366</v>
      </c>
      <c r="P1671" t="s">
        <v>3382</v>
      </c>
    </row>
    <row r="1672" spans="1:16" x14ac:dyDescent="0.3">
      <c r="A1672" t="s">
        <v>2551</v>
      </c>
      <c r="B1672" t="s">
        <v>3417</v>
      </c>
      <c r="C1672" t="s">
        <v>351</v>
      </c>
      <c r="F1672" t="s">
        <v>3361</v>
      </c>
      <c r="G1672" t="s">
        <v>2746</v>
      </c>
      <c r="H1672" t="s">
        <v>2244</v>
      </c>
      <c r="I1672" t="s">
        <v>3418</v>
      </c>
      <c r="J1672" t="s">
        <v>3369</v>
      </c>
      <c r="K1672" t="s">
        <v>1661</v>
      </c>
      <c r="L1672" t="s">
        <v>3386</v>
      </c>
      <c r="M1672" t="s">
        <v>3364</v>
      </c>
      <c r="N1672" t="s">
        <v>3365</v>
      </c>
      <c r="O1672" t="s">
        <v>3366</v>
      </c>
      <c r="P1672" t="s">
        <v>3382</v>
      </c>
    </row>
    <row r="1673" spans="1:16" x14ac:dyDescent="0.3">
      <c r="A1673" t="s">
        <v>2552</v>
      </c>
      <c r="B1673" t="s">
        <v>3417</v>
      </c>
      <c r="C1673" t="s">
        <v>351</v>
      </c>
      <c r="F1673" t="s">
        <v>3361</v>
      </c>
      <c r="G1673" t="s">
        <v>2746</v>
      </c>
      <c r="H1673" t="s">
        <v>2244</v>
      </c>
      <c r="I1673" t="s">
        <v>3418</v>
      </c>
      <c r="J1673" t="s">
        <v>3369</v>
      </c>
      <c r="K1673" t="s">
        <v>1661</v>
      </c>
      <c r="L1673" t="s">
        <v>3386</v>
      </c>
      <c r="M1673" t="s">
        <v>3364</v>
      </c>
      <c r="N1673" t="s">
        <v>3365</v>
      </c>
      <c r="O1673" t="s">
        <v>3366</v>
      </c>
      <c r="P1673" t="s">
        <v>3382</v>
      </c>
    </row>
    <row r="1674" spans="1:16" x14ac:dyDescent="0.3">
      <c r="A1674" t="s">
        <v>2553</v>
      </c>
      <c r="B1674" t="s">
        <v>3417</v>
      </c>
      <c r="C1674" t="s">
        <v>351</v>
      </c>
      <c r="F1674" t="s">
        <v>3361</v>
      </c>
      <c r="G1674" t="s">
        <v>2746</v>
      </c>
      <c r="H1674" t="s">
        <v>2244</v>
      </c>
      <c r="I1674" t="s">
        <v>3418</v>
      </c>
      <c r="J1674" t="s">
        <v>3362</v>
      </c>
      <c r="K1674" t="s">
        <v>1661</v>
      </c>
      <c r="L1674" t="s">
        <v>3386</v>
      </c>
      <c r="M1674" t="s">
        <v>3364</v>
      </c>
      <c r="N1674" t="s">
        <v>3365</v>
      </c>
      <c r="O1674" t="s">
        <v>3366</v>
      </c>
      <c r="P1674" t="s">
        <v>3367</v>
      </c>
    </row>
    <row r="1675" spans="1:16" x14ac:dyDescent="0.3">
      <c r="A1675" t="s">
        <v>2554</v>
      </c>
      <c r="B1675" t="s">
        <v>3417</v>
      </c>
      <c r="C1675" t="s">
        <v>351</v>
      </c>
      <c r="F1675" t="s">
        <v>3361</v>
      </c>
      <c r="G1675" t="s">
        <v>2746</v>
      </c>
      <c r="H1675" t="s">
        <v>2244</v>
      </c>
      <c r="I1675" t="s">
        <v>3418</v>
      </c>
      <c r="J1675" t="s">
        <v>3369</v>
      </c>
      <c r="K1675" t="s">
        <v>1661</v>
      </c>
      <c r="L1675" t="s">
        <v>3386</v>
      </c>
      <c r="M1675" t="s">
        <v>3364</v>
      </c>
      <c r="N1675" t="s">
        <v>3365</v>
      </c>
      <c r="O1675" t="s">
        <v>3366</v>
      </c>
      <c r="P1675" t="s">
        <v>3382</v>
      </c>
    </row>
    <row r="1676" spans="1:16" x14ac:dyDescent="0.3">
      <c r="A1676" t="s">
        <v>2555</v>
      </c>
      <c r="B1676" t="s">
        <v>3417</v>
      </c>
      <c r="C1676" t="s">
        <v>351</v>
      </c>
      <c r="F1676" t="s">
        <v>3361</v>
      </c>
      <c r="G1676" t="s">
        <v>2746</v>
      </c>
      <c r="H1676" t="s">
        <v>2246</v>
      </c>
      <c r="I1676" t="s">
        <v>3418</v>
      </c>
      <c r="J1676" t="s">
        <v>3369</v>
      </c>
      <c r="K1676" t="s">
        <v>1661</v>
      </c>
      <c r="L1676" t="s">
        <v>3386</v>
      </c>
      <c r="M1676" t="s">
        <v>3364</v>
      </c>
      <c r="N1676" t="s">
        <v>3365</v>
      </c>
      <c r="O1676" t="s">
        <v>3366</v>
      </c>
      <c r="P1676" t="s">
        <v>3382</v>
      </c>
    </row>
    <row r="1677" spans="1:16" x14ac:dyDescent="0.3">
      <c r="A1677" t="s">
        <v>2556</v>
      </c>
      <c r="B1677" t="s">
        <v>3417</v>
      </c>
      <c r="C1677" t="s">
        <v>351</v>
      </c>
      <c r="F1677" t="s">
        <v>3361</v>
      </c>
      <c r="G1677" t="s">
        <v>2746</v>
      </c>
      <c r="H1677" t="s">
        <v>2246</v>
      </c>
      <c r="I1677" t="s">
        <v>3418</v>
      </c>
      <c r="J1677" t="s">
        <v>3369</v>
      </c>
      <c r="K1677" t="s">
        <v>1661</v>
      </c>
      <c r="L1677" t="s">
        <v>3386</v>
      </c>
      <c r="M1677" t="s">
        <v>3364</v>
      </c>
      <c r="N1677" t="s">
        <v>3365</v>
      </c>
      <c r="O1677" t="s">
        <v>3366</v>
      </c>
      <c r="P1677" t="s">
        <v>3382</v>
      </c>
    </row>
    <row r="1678" spans="1:16" x14ac:dyDescent="0.3">
      <c r="A1678" t="s">
        <v>2557</v>
      </c>
      <c r="B1678" t="s">
        <v>3417</v>
      </c>
      <c r="C1678" t="s">
        <v>351</v>
      </c>
      <c r="F1678" t="s">
        <v>3361</v>
      </c>
      <c r="G1678" t="s">
        <v>2746</v>
      </c>
      <c r="H1678" t="s">
        <v>2246</v>
      </c>
      <c r="I1678" t="s">
        <v>3418</v>
      </c>
      <c r="J1678" t="s">
        <v>3369</v>
      </c>
      <c r="K1678" t="s">
        <v>1661</v>
      </c>
      <c r="L1678" t="s">
        <v>3386</v>
      </c>
      <c r="M1678" t="s">
        <v>3364</v>
      </c>
      <c r="N1678" t="s">
        <v>3365</v>
      </c>
      <c r="O1678" t="s">
        <v>3366</v>
      </c>
      <c r="P1678" t="s">
        <v>3382</v>
      </c>
    </row>
    <row r="1679" spans="1:16" x14ac:dyDescent="0.3">
      <c r="A1679" t="s">
        <v>2558</v>
      </c>
      <c r="B1679" t="s">
        <v>3417</v>
      </c>
      <c r="C1679" t="s">
        <v>351</v>
      </c>
      <c r="F1679" t="s">
        <v>3361</v>
      </c>
      <c r="G1679" t="s">
        <v>2746</v>
      </c>
      <c r="H1679" t="s">
        <v>2246</v>
      </c>
      <c r="I1679" t="s">
        <v>3418</v>
      </c>
      <c r="J1679" t="s">
        <v>3369</v>
      </c>
      <c r="K1679" t="s">
        <v>1661</v>
      </c>
      <c r="L1679" t="s">
        <v>3386</v>
      </c>
      <c r="M1679" t="s">
        <v>3364</v>
      </c>
      <c r="N1679" t="s">
        <v>3365</v>
      </c>
      <c r="O1679" t="s">
        <v>3366</v>
      </c>
      <c r="P1679" t="s">
        <v>3382</v>
      </c>
    </row>
    <row r="1680" spans="1:16" x14ac:dyDescent="0.3">
      <c r="A1680" t="s">
        <v>2559</v>
      </c>
      <c r="B1680" t="s">
        <v>3417</v>
      </c>
      <c r="C1680" t="s">
        <v>351</v>
      </c>
      <c r="F1680" t="s">
        <v>3361</v>
      </c>
      <c r="G1680" t="s">
        <v>2746</v>
      </c>
      <c r="H1680" t="s">
        <v>2246</v>
      </c>
      <c r="I1680" t="s">
        <v>3418</v>
      </c>
      <c r="J1680" t="s">
        <v>3369</v>
      </c>
      <c r="K1680" t="s">
        <v>1661</v>
      </c>
      <c r="L1680" t="s">
        <v>3386</v>
      </c>
      <c r="M1680" t="s">
        <v>3364</v>
      </c>
      <c r="N1680" t="s">
        <v>3365</v>
      </c>
      <c r="O1680" t="s">
        <v>3366</v>
      </c>
      <c r="P1680" t="s">
        <v>3382</v>
      </c>
    </row>
    <row r="1681" spans="1:16" x14ac:dyDescent="0.3">
      <c r="A1681" t="s">
        <v>2560</v>
      </c>
      <c r="B1681" t="s">
        <v>3417</v>
      </c>
      <c r="C1681" t="s">
        <v>351</v>
      </c>
      <c r="F1681" t="s">
        <v>3361</v>
      </c>
      <c r="G1681" t="s">
        <v>2746</v>
      </c>
      <c r="H1681" t="s">
        <v>2246</v>
      </c>
      <c r="I1681" t="s">
        <v>3418</v>
      </c>
      <c r="J1681" t="s">
        <v>3362</v>
      </c>
      <c r="K1681" t="s">
        <v>1661</v>
      </c>
      <c r="L1681" t="s">
        <v>3386</v>
      </c>
      <c r="M1681" t="s">
        <v>3364</v>
      </c>
      <c r="N1681" t="s">
        <v>3365</v>
      </c>
      <c r="O1681" t="s">
        <v>3366</v>
      </c>
      <c r="P1681" t="s">
        <v>3367</v>
      </c>
    </row>
    <row r="1682" spans="1:16" x14ac:dyDescent="0.3">
      <c r="A1682" t="s">
        <v>2561</v>
      </c>
      <c r="B1682" t="s">
        <v>3417</v>
      </c>
      <c r="C1682" t="s">
        <v>351</v>
      </c>
      <c r="F1682" t="s">
        <v>3361</v>
      </c>
      <c r="G1682" t="s">
        <v>2746</v>
      </c>
      <c r="H1682" t="s">
        <v>2246</v>
      </c>
      <c r="I1682" t="s">
        <v>3418</v>
      </c>
      <c r="J1682" t="s">
        <v>3369</v>
      </c>
      <c r="K1682" t="s">
        <v>1661</v>
      </c>
      <c r="L1682" t="s">
        <v>3386</v>
      </c>
      <c r="M1682" t="s">
        <v>3364</v>
      </c>
      <c r="N1682" t="s">
        <v>3365</v>
      </c>
      <c r="O1682" t="s">
        <v>3366</v>
      </c>
      <c r="P1682" t="s">
        <v>3382</v>
      </c>
    </row>
    <row r="1683" spans="1:16" x14ac:dyDescent="0.3">
      <c r="A1683" t="s">
        <v>2562</v>
      </c>
      <c r="B1683" t="s">
        <v>3417</v>
      </c>
      <c r="C1683" t="s">
        <v>351</v>
      </c>
      <c r="F1683" t="s">
        <v>3361</v>
      </c>
      <c r="G1683" t="s">
        <v>2746</v>
      </c>
      <c r="H1683" t="s">
        <v>2246</v>
      </c>
      <c r="I1683" t="s">
        <v>3418</v>
      </c>
      <c r="J1683" t="s">
        <v>3369</v>
      </c>
      <c r="K1683" t="s">
        <v>1661</v>
      </c>
      <c r="L1683" t="s">
        <v>3386</v>
      </c>
      <c r="M1683" t="s">
        <v>3364</v>
      </c>
      <c r="N1683" t="s">
        <v>3365</v>
      </c>
      <c r="O1683" t="s">
        <v>3366</v>
      </c>
      <c r="P1683" t="s">
        <v>3382</v>
      </c>
    </row>
    <row r="1684" spans="1:16" x14ac:dyDescent="0.3">
      <c r="A1684" t="s">
        <v>2563</v>
      </c>
      <c r="B1684" t="s">
        <v>3417</v>
      </c>
      <c r="C1684" t="s">
        <v>351</v>
      </c>
      <c r="F1684" t="s">
        <v>3361</v>
      </c>
      <c r="G1684" t="s">
        <v>2746</v>
      </c>
      <c r="H1684" t="s">
        <v>2246</v>
      </c>
      <c r="I1684" t="s">
        <v>3418</v>
      </c>
      <c r="J1684" t="s">
        <v>3369</v>
      </c>
      <c r="K1684" t="s">
        <v>1661</v>
      </c>
      <c r="L1684" t="s">
        <v>3386</v>
      </c>
      <c r="M1684" t="s">
        <v>3364</v>
      </c>
      <c r="N1684" t="s">
        <v>3365</v>
      </c>
      <c r="O1684" t="s">
        <v>3366</v>
      </c>
      <c r="P1684" t="s">
        <v>3382</v>
      </c>
    </row>
    <row r="1685" spans="1:16" x14ac:dyDescent="0.3">
      <c r="A1685" t="s">
        <v>2564</v>
      </c>
      <c r="B1685" t="s">
        <v>3417</v>
      </c>
      <c r="C1685" t="s">
        <v>351</v>
      </c>
      <c r="F1685" t="s">
        <v>3361</v>
      </c>
      <c r="G1685" t="s">
        <v>2746</v>
      </c>
      <c r="H1685" t="s">
        <v>2246</v>
      </c>
      <c r="I1685" t="s">
        <v>3418</v>
      </c>
      <c r="J1685" t="s">
        <v>3362</v>
      </c>
      <c r="K1685" t="s">
        <v>1661</v>
      </c>
      <c r="L1685" t="s">
        <v>3386</v>
      </c>
      <c r="M1685" t="s">
        <v>3364</v>
      </c>
      <c r="N1685" t="s">
        <v>3365</v>
      </c>
      <c r="O1685" t="s">
        <v>3366</v>
      </c>
      <c r="P1685" t="s">
        <v>3367</v>
      </c>
    </row>
    <row r="1686" spans="1:16" x14ac:dyDescent="0.3">
      <c r="A1686" t="s">
        <v>2565</v>
      </c>
      <c r="B1686" t="s">
        <v>3417</v>
      </c>
      <c r="C1686" t="s">
        <v>351</v>
      </c>
      <c r="F1686" t="s">
        <v>3361</v>
      </c>
      <c r="G1686" t="s">
        <v>2746</v>
      </c>
      <c r="H1686" t="s">
        <v>2246</v>
      </c>
      <c r="I1686" t="s">
        <v>3418</v>
      </c>
      <c r="J1686" t="s">
        <v>3369</v>
      </c>
      <c r="K1686" t="s">
        <v>1661</v>
      </c>
      <c r="L1686" t="s">
        <v>3386</v>
      </c>
      <c r="M1686" t="s">
        <v>3364</v>
      </c>
      <c r="N1686" t="s">
        <v>3365</v>
      </c>
      <c r="O1686" t="s">
        <v>3366</v>
      </c>
      <c r="P1686" t="s">
        <v>3382</v>
      </c>
    </row>
    <row r="1687" spans="1:16" x14ac:dyDescent="0.3">
      <c r="A1687" t="s">
        <v>2566</v>
      </c>
      <c r="B1687" t="s">
        <v>3417</v>
      </c>
      <c r="C1687" t="s">
        <v>351</v>
      </c>
      <c r="F1687" t="s">
        <v>3361</v>
      </c>
      <c r="G1687" t="s">
        <v>2746</v>
      </c>
      <c r="H1687" t="s">
        <v>2246</v>
      </c>
      <c r="I1687" t="s">
        <v>3418</v>
      </c>
      <c r="J1687" t="s">
        <v>3369</v>
      </c>
      <c r="K1687" t="s">
        <v>1661</v>
      </c>
      <c r="L1687" t="s">
        <v>3386</v>
      </c>
      <c r="M1687" t="s">
        <v>3364</v>
      </c>
      <c r="N1687" t="s">
        <v>3365</v>
      </c>
      <c r="O1687" t="s">
        <v>3366</v>
      </c>
      <c r="P1687" t="s">
        <v>3382</v>
      </c>
    </row>
    <row r="1688" spans="1:16" x14ac:dyDescent="0.3">
      <c r="A1688" t="s">
        <v>786</v>
      </c>
      <c r="B1688" t="s">
        <v>3417</v>
      </c>
      <c r="C1688" t="s">
        <v>351</v>
      </c>
      <c r="F1688" t="s">
        <v>3361</v>
      </c>
      <c r="G1688" t="s">
        <v>2746</v>
      </c>
      <c r="H1688" t="s">
        <v>2248</v>
      </c>
      <c r="I1688" t="s">
        <v>3418</v>
      </c>
      <c r="J1688" t="s">
        <v>3369</v>
      </c>
      <c r="K1688" t="s">
        <v>1661</v>
      </c>
      <c r="L1688" t="s">
        <v>2043</v>
      </c>
      <c r="M1688" t="s">
        <v>3364</v>
      </c>
      <c r="N1688" t="s">
        <v>3365</v>
      </c>
      <c r="O1688" t="s">
        <v>3366</v>
      </c>
      <c r="P1688" t="s">
        <v>3382</v>
      </c>
    </row>
    <row r="1689" spans="1:16" x14ac:dyDescent="0.3">
      <c r="A1689" t="s">
        <v>2261</v>
      </c>
      <c r="B1689" t="s">
        <v>3417</v>
      </c>
      <c r="C1689" t="s">
        <v>351</v>
      </c>
      <c r="F1689" t="s">
        <v>3361</v>
      </c>
      <c r="G1689" t="s">
        <v>2746</v>
      </c>
      <c r="H1689" t="s">
        <v>2248</v>
      </c>
      <c r="I1689" t="s">
        <v>3418</v>
      </c>
      <c r="J1689" t="s">
        <v>3369</v>
      </c>
      <c r="K1689" t="s">
        <v>1661</v>
      </c>
      <c r="L1689" t="s">
        <v>2043</v>
      </c>
      <c r="M1689" t="s">
        <v>3364</v>
      </c>
      <c r="N1689" t="s">
        <v>3365</v>
      </c>
      <c r="O1689" t="s">
        <v>3366</v>
      </c>
      <c r="P1689" t="s">
        <v>3382</v>
      </c>
    </row>
    <row r="1690" spans="1:16" x14ac:dyDescent="0.3">
      <c r="A1690" t="s">
        <v>2567</v>
      </c>
      <c r="B1690" t="s">
        <v>3417</v>
      </c>
      <c r="C1690" t="s">
        <v>351</v>
      </c>
      <c r="F1690" t="s">
        <v>3361</v>
      </c>
      <c r="G1690" t="s">
        <v>2746</v>
      </c>
      <c r="H1690" t="s">
        <v>2248</v>
      </c>
      <c r="I1690" t="s">
        <v>3418</v>
      </c>
      <c r="J1690" t="s">
        <v>3369</v>
      </c>
      <c r="K1690" t="s">
        <v>1661</v>
      </c>
      <c r="L1690" t="s">
        <v>2043</v>
      </c>
      <c r="M1690" t="s">
        <v>3364</v>
      </c>
      <c r="N1690" t="s">
        <v>3365</v>
      </c>
      <c r="O1690" t="s">
        <v>3366</v>
      </c>
      <c r="P1690" t="s">
        <v>3382</v>
      </c>
    </row>
    <row r="1691" spans="1:16" x14ac:dyDescent="0.3">
      <c r="A1691" t="s">
        <v>2568</v>
      </c>
      <c r="B1691" t="s">
        <v>3417</v>
      </c>
      <c r="C1691" t="s">
        <v>351</v>
      </c>
      <c r="F1691" t="s">
        <v>3361</v>
      </c>
      <c r="G1691" t="s">
        <v>2746</v>
      </c>
      <c r="H1691" t="s">
        <v>2248</v>
      </c>
      <c r="I1691" t="s">
        <v>3418</v>
      </c>
      <c r="J1691" t="s">
        <v>3369</v>
      </c>
      <c r="K1691" t="s">
        <v>1661</v>
      </c>
      <c r="L1691" t="s">
        <v>2043</v>
      </c>
      <c r="M1691" t="s">
        <v>3364</v>
      </c>
      <c r="N1691" t="s">
        <v>3365</v>
      </c>
      <c r="O1691" t="s">
        <v>3366</v>
      </c>
      <c r="P1691" t="s">
        <v>3382</v>
      </c>
    </row>
    <row r="1692" spans="1:16" x14ac:dyDescent="0.3">
      <c r="A1692" t="s">
        <v>2569</v>
      </c>
      <c r="B1692" t="s">
        <v>3417</v>
      </c>
      <c r="C1692" t="s">
        <v>351</v>
      </c>
      <c r="F1692" t="s">
        <v>3361</v>
      </c>
      <c r="G1692" t="s">
        <v>2746</v>
      </c>
      <c r="H1692" t="s">
        <v>2248</v>
      </c>
      <c r="I1692" t="s">
        <v>3418</v>
      </c>
      <c r="J1692" t="s">
        <v>3362</v>
      </c>
      <c r="K1692" t="s">
        <v>1661</v>
      </c>
      <c r="L1692" t="s">
        <v>2043</v>
      </c>
      <c r="M1692" t="s">
        <v>3364</v>
      </c>
      <c r="N1692" t="s">
        <v>3365</v>
      </c>
      <c r="O1692" t="s">
        <v>3366</v>
      </c>
      <c r="P1692" t="s">
        <v>3367</v>
      </c>
    </row>
    <row r="1693" spans="1:16" x14ac:dyDescent="0.3">
      <c r="A1693" t="s">
        <v>2570</v>
      </c>
      <c r="B1693" t="s">
        <v>3417</v>
      </c>
      <c r="C1693" t="s">
        <v>351</v>
      </c>
      <c r="F1693" t="s">
        <v>3361</v>
      </c>
      <c r="G1693" t="s">
        <v>2746</v>
      </c>
      <c r="H1693" t="s">
        <v>2248</v>
      </c>
      <c r="I1693" t="s">
        <v>3418</v>
      </c>
      <c r="J1693" t="s">
        <v>3369</v>
      </c>
      <c r="K1693" t="s">
        <v>1661</v>
      </c>
      <c r="L1693" t="s">
        <v>2043</v>
      </c>
      <c r="M1693" t="s">
        <v>3364</v>
      </c>
      <c r="N1693" t="s">
        <v>3365</v>
      </c>
      <c r="O1693" t="s">
        <v>3366</v>
      </c>
      <c r="P1693" t="s">
        <v>3382</v>
      </c>
    </row>
    <row r="1694" spans="1:16" x14ac:dyDescent="0.3">
      <c r="A1694" t="s">
        <v>2548</v>
      </c>
      <c r="B1694" t="s">
        <v>3417</v>
      </c>
      <c r="C1694" t="s">
        <v>351</v>
      </c>
      <c r="F1694" t="s">
        <v>3361</v>
      </c>
      <c r="G1694" t="s">
        <v>2746</v>
      </c>
      <c r="H1694" t="s">
        <v>2248</v>
      </c>
      <c r="I1694" t="s">
        <v>3418</v>
      </c>
      <c r="J1694" t="s">
        <v>3369</v>
      </c>
      <c r="K1694" t="s">
        <v>1661</v>
      </c>
      <c r="L1694" t="s">
        <v>2043</v>
      </c>
      <c r="M1694" t="s">
        <v>3364</v>
      </c>
      <c r="N1694" t="s">
        <v>3365</v>
      </c>
      <c r="O1694" t="s">
        <v>3366</v>
      </c>
      <c r="P1694" t="s">
        <v>3382</v>
      </c>
    </row>
    <row r="1695" spans="1:16" x14ac:dyDescent="0.3">
      <c r="A1695" t="s">
        <v>787</v>
      </c>
      <c r="B1695" t="s">
        <v>3417</v>
      </c>
      <c r="C1695" t="s">
        <v>351</v>
      </c>
      <c r="F1695" t="s">
        <v>3361</v>
      </c>
      <c r="G1695" t="s">
        <v>2746</v>
      </c>
      <c r="H1695" t="s">
        <v>2250</v>
      </c>
      <c r="I1695" t="s">
        <v>3418</v>
      </c>
      <c r="J1695" t="s">
        <v>3369</v>
      </c>
      <c r="K1695" t="s">
        <v>1661</v>
      </c>
      <c r="L1695" t="s">
        <v>3386</v>
      </c>
      <c r="M1695" t="s">
        <v>3364</v>
      </c>
      <c r="N1695" t="s">
        <v>3365</v>
      </c>
      <c r="O1695" t="s">
        <v>3366</v>
      </c>
      <c r="P1695" t="s">
        <v>3382</v>
      </c>
    </row>
    <row r="1696" spans="1:16" x14ac:dyDescent="0.3">
      <c r="A1696" t="s">
        <v>638</v>
      </c>
      <c r="B1696" t="s">
        <v>3417</v>
      </c>
      <c r="C1696" t="s">
        <v>351</v>
      </c>
      <c r="F1696" t="s">
        <v>3361</v>
      </c>
      <c r="G1696" t="s">
        <v>2746</v>
      </c>
      <c r="H1696" t="s">
        <v>2250</v>
      </c>
      <c r="I1696" t="s">
        <v>3418</v>
      </c>
      <c r="J1696" t="s">
        <v>3362</v>
      </c>
      <c r="K1696" t="s">
        <v>1661</v>
      </c>
      <c r="L1696" t="s">
        <v>3386</v>
      </c>
      <c r="M1696" t="s">
        <v>3364</v>
      </c>
      <c r="N1696" t="s">
        <v>3365</v>
      </c>
      <c r="O1696" t="s">
        <v>3366</v>
      </c>
      <c r="P1696" t="s">
        <v>3367</v>
      </c>
    </row>
    <row r="1697" spans="1:16" x14ac:dyDescent="0.3">
      <c r="A1697" t="s">
        <v>1592</v>
      </c>
      <c r="B1697" t="s">
        <v>3417</v>
      </c>
      <c r="C1697" t="s">
        <v>351</v>
      </c>
      <c r="F1697" t="s">
        <v>3361</v>
      </c>
      <c r="G1697" t="s">
        <v>2746</v>
      </c>
      <c r="H1697" t="s">
        <v>2250</v>
      </c>
      <c r="I1697" t="s">
        <v>3418</v>
      </c>
      <c r="J1697" t="s">
        <v>3369</v>
      </c>
      <c r="K1697" t="s">
        <v>1661</v>
      </c>
      <c r="L1697" t="s">
        <v>3386</v>
      </c>
      <c r="M1697" t="s">
        <v>3364</v>
      </c>
      <c r="N1697" t="s">
        <v>3365</v>
      </c>
      <c r="O1697" t="s">
        <v>3366</v>
      </c>
      <c r="P1697" t="s">
        <v>3382</v>
      </c>
    </row>
    <row r="1698" spans="1:16" x14ac:dyDescent="0.3">
      <c r="A1698" t="s">
        <v>2571</v>
      </c>
      <c r="B1698" t="s">
        <v>3417</v>
      </c>
      <c r="C1698" t="s">
        <v>351</v>
      </c>
      <c r="F1698" t="s">
        <v>3361</v>
      </c>
      <c r="G1698" t="s">
        <v>2746</v>
      </c>
      <c r="H1698" t="s">
        <v>2250</v>
      </c>
      <c r="I1698" t="s">
        <v>3418</v>
      </c>
      <c r="J1698" t="s">
        <v>3369</v>
      </c>
      <c r="K1698" t="s">
        <v>1661</v>
      </c>
      <c r="L1698" t="s">
        <v>3386</v>
      </c>
      <c r="M1698" t="s">
        <v>3364</v>
      </c>
      <c r="N1698" t="s">
        <v>3365</v>
      </c>
      <c r="O1698" t="s">
        <v>3366</v>
      </c>
      <c r="P1698" t="s">
        <v>3382</v>
      </c>
    </row>
    <row r="1699" spans="1:16" x14ac:dyDescent="0.3">
      <c r="A1699" t="s">
        <v>2572</v>
      </c>
      <c r="B1699" t="s">
        <v>3417</v>
      </c>
      <c r="C1699" t="s">
        <v>351</v>
      </c>
      <c r="F1699" t="s">
        <v>3361</v>
      </c>
      <c r="G1699" t="s">
        <v>2746</v>
      </c>
      <c r="H1699" t="s">
        <v>2250</v>
      </c>
      <c r="I1699" t="s">
        <v>3418</v>
      </c>
      <c r="J1699" t="s">
        <v>3369</v>
      </c>
      <c r="K1699" t="s">
        <v>1661</v>
      </c>
      <c r="L1699" t="s">
        <v>3386</v>
      </c>
      <c r="M1699" t="s">
        <v>3364</v>
      </c>
      <c r="N1699" t="s">
        <v>3365</v>
      </c>
      <c r="O1699" t="s">
        <v>3366</v>
      </c>
      <c r="P1699" t="s">
        <v>3382</v>
      </c>
    </row>
    <row r="1700" spans="1:16" x14ac:dyDescent="0.3">
      <c r="A1700" t="s">
        <v>2550</v>
      </c>
      <c r="B1700" t="s">
        <v>3417</v>
      </c>
      <c r="C1700" t="s">
        <v>351</v>
      </c>
      <c r="F1700" t="s">
        <v>3361</v>
      </c>
      <c r="G1700" t="s">
        <v>2746</v>
      </c>
      <c r="H1700" t="s">
        <v>2250</v>
      </c>
      <c r="I1700" t="s">
        <v>3418</v>
      </c>
      <c r="J1700" t="s">
        <v>3369</v>
      </c>
      <c r="K1700" t="s">
        <v>1661</v>
      </c>
      <c r="L1700" t="s">
        <v>3386</v>
      </c>
      <c r="M1700" t="s">
        <v>3364</v>
      </c>
      <c r="N1700" t="s">
        <v>3365</v>
      </c>
      <c r="O1700" t="s">
        <v>3366</v>
      </c>
      <c r="P1700" t="s">
        <v>3382</v>
      </c>
    </row>
    <row r="1701" spans="1:16" x14ac:dyDescent="0.3">
      <c r="A1701" t="s">
        <v>2554</v>
      </c>
      <c r="B1701" t="s">
        <v>3417</v>
      </c>
      <c r="C1701" t="s">
        <v>351</v>
      </c>
      <c r="F1701" t="s">
        <v>3361</v>
      </c>
      <c r="G1701" t="s">
        <v>2746</v>
      </c>
      <c r="H1701" t="s">
        <v>2250</v>
      </c>
      <c r="I1701" t="s">
        <v>3418</v>
      </c>
      <c r="J1701" t="s">
        <v>3369</v>
      </c>
      <c r="K1701" t="s">
        <v>1661</v>
      </c>
      <c r="L1701" t="s">
        <v>3386</v>
      </c>
      <c r="M1701" t="s">
        <v>3364</v>
      </c>
      <c r="N1701" t="s">
        <v>3365</v>
      </c>
      <c r="O1701" t="s">
        <v>3366</v>
      </c>
      <c r="P1701" t="s">
        <v>3382</v>
      </c>
    </row>
    <row r="1702" spans="1:16" x14ac:dyDescent="0.3">
      <c r="A1702" t="s">
        <v>2412</v>
      </c>
      <c r="B1702" t="s">
        <v>3417</v>
      </c>
      <c r="C1702" t="s">
        <v>351</v>
      </c>
      <c r="F1702" t="s">
        <v>3361</v>
      </c>
      <c r="G1702" t="s">
        <v>2746</v>
      </c>
      <c r="H1702" t="s">
        <v>2250</v>
      </c>
      <c r="I1702" t="s">
        <v>3418</v>
      </c>
      <c r="J1702" t="s">
        <v>3369</v>
      </c>
      <c r="K1702" t="s">
        <v>1661</v>
      </c>
      <c r="L1702" t="s">
        <v>3386</v>
      </c>
      <c r="M1702" t="s">
        <v>3364</v>
      </c>
      <c r="N1702" t="s">
        <v>3365</v>
      </c>
      <c r="O1702" t="s">
        <v>3366</v>
      </c>
      <c r="P1702" t="s">
        <v>3382</v>
      </c>
    </row>
    <row r="1703" spans="1:16" x14ac:dyDescent="0.3">
      <c r="A1703" t="s">
        <v>1052</v>
      </c>
      <c r="B1703" t="s">
        <v>3417</v>
      </c>
      <c r="C1703" t="s">
        <v>351</v>
      </c>
      <c r="F1703" t="s">
        <v>3361</v>
      </c>
      <c r="G1703" t="s">
        <v>2746</v>
      </c>
      <c r="H1703" t="s">
        <v>2252</v>
      </c>
      <c r="I1703" t="s">
        <v>3418</v>
      </c>
      <c r="J1703" t="s">
        <v>3369</v>
      </c>
      <c r="K1703" t="s">
        <v>1661</v>
      </c>
      <c r="L1703" t="s">
        <v>3386</v>
      </c>
      <c r="M1703" t="s">
        <v>3364</v>
      </c>
      <c r="N1703" t="s">
        <v>3365</v>
      </c>
      <c r="O1703" t="s">
        <v>3366</v>
      </c>
      <c r="P1703" t="s">
        <v>3382</v>
      </c>
    </row>
    <row r="1704" spans="1:16" x14ac:dyDescent="0.3">
      <c r="A1704" t="s">
        <v>2573</v>
      </c>
      <c r="B1704" t="s">
        <v>3417</v>
      </c>
      <c r="C1704" t="s">
        <v>351</v>
      </c>
      <c r="F1704" t="s">
        <v>3361</v>
      </c>
      <c r="G1704" t="s">
        <v>2746</v>
      </c>
      <c r="H1704" t="s">
        <v>2252</v>
      </c>
      <c r="I1704" t="s">
        <v>3418</v>
      </c>
      <c r="J1704" t="s">
        <v>3369</v>
      </c>
      <c r="K1704" t="s">
        <v>1661</v>
      </c>
      <c r="L1704" t="s">
        <v>3386</v>
      </c>
      <c r="M1704" t="s">
        <v>3364</v>
      </c>
      <c r="N1704" t="s">
        <v>3365</v>
      </c>
      <c r="O1704" t="s">
        <v>3366</v>
      </c>
      <c r="P1704" t="s">
        <v>3382</v>
      </c>
    </row>
    <row r="1705" spans="1:16" x14ac:dyDescent="0.3">
      <c r="A1705" t="s">
        <v>2574</v>
      </c>
      <c r="B1705" t="s">
        <v>3417</v>
      </c>
      <c r="C1705" t="s">
        <v>351</v>
      </c>
      <c r="F1705" t="s">
        <v>3361</v>
      </c>
      <c r="G1705" t="s">
        <v>2746</v>
      </c>
      <c r="H1705" t="s">
        <v>2252</v>
      </c>
      <c r="I1705" t="s">
        <v>3418</v>
      </c>
      <c r="J1705" t="s">
        <v>3369</v>
      </c>
      <c r="K1705" t="s">
        <v>1661</v>
      </c>
      <c r="L1705" t="s">
        <v>3386</v>
      </c>
      <c r="M1705" t="s">
        <v>3364</v>
      </c>
      <c r="N1705" t="s">
        <v>3365</v>
      </c>
      <c r="O1705" t="s">
        <v>3366</v>
      </c>
      <c r="P1705" t="s">
        <v>3382</v>
      </c>
    </row>
    <row r="1706" spans="1:16" x14ac:dyDescent="0.3">
      <c r="A1706" t="s">
        <v>2575</v>
      </c>
      <c r="B1706" t="s">
        <v>3417</v>
      </c>
      <c r="C1706" t="s">
        <v>351</v>
      </c>
      <c r="F1706" t="s">
        <v>3361</v>
      </c>
      <c r="G1706" t="s">
        <v>2746</v>
      </c>
      <c r="H1706" t="s">
        <v>2252</v>
      </c>
      <c r="I1706" t="s">
        <v>3418</v>
      </c>
      <c r="J1706" t="s">
        <v>3369</v>
      </c>
      <c r="K1706" t="s">
        <v>1661</v>
      </c>
      <c r="L1706" t="s">
        <v>3386</v>
      </c>
      <c r="M1706" t="s">
        <v>3364</v>
      </c>
      <c r="N1706" t="s">
        <v>3365</v>
      </c>
      <c r="O1706" t="s">
        <v>3366</v>
      </c>
      <c r="P1706" t="s">
        <v>3382</v>
      </c>
    </row>
    <row r="1707" spans="1:16" x14ac:dyDescent="0.3">
      <c r="A1707" t="s">
        <v>2576</v>
      </c>
      <c r="B1707" t="s">
        <v>3417</v>
      </c>
      <c r="C1707" t="s">
        <v>351</v>
      </c>
      <c r="F1707" t="s">
        <v>3361</v>
      </c>
      <c r="G1707" t="s">
        <v>2746</v>
      </c>
      <c r="H1707" t="s">
        <v>2252</v>
      </c>
      <c r="I1707" t="s">
        <v>3418</v>
      </c>
      <c r="J1707" t="s">
        <v>3369</v>
      </c>
      <c r="K1707" t="s">
        <v>1661</v>
      </c>
      <c r="L1707" t="s">
        <v>3386</v>
      </c>
      <c r="M1707" t="s">
        <v>3364</v>
      </c>
      <c r="N1707" t="s">
        <v>3365</v>
      </c>
      <c r="O1707" t="s">
        <v>3366</v>
      </c>
      <c r="P1707" t="s">
        <v>3382</v>
      </c>
    </row>
    <row r="1708" spans="1:16" x14ac:dyDescent="0.3">
      <c r="A1708" t="s">
        <v>2577</v>
      </c>
      <c r="B1708" t="s">
        <v>3417</v>
      </c>
      <c r="C1708" t="s">
        <v>351</v>
      </c>
      <c r="F1708" t="s">
        <v>3361</v>
      </c>
      <c r="G1708" t="s">
        <v>2746</v>
      </c>
      <c r="H1708" t="s">
        <v>2252</v>
      </c>
      <c r="I1708" t="s">
        <v>3418</v>
      </c>
      <c r="J1708" t="s">
        <v>3369</v>
      </c>
      <c r="K1708" t="s">
        <v>1661</v>
      </c>
      <c r="L1708" t="s">
        <v>3386</v>
      </c>
      <c r="M1708" t="s">
        <v>3364</v>
      </c>
      <c r="N1708" t="s">
        <v>3365</v>
      </c>
      <c r="O1708" t="s">
        <v>3366</v>
      </c>
      <c r="P1708" t="s">
        <v>3382</v>
      </c>
    </row>
    <row r="1709" spans="1:16" x14ac:dyDescent="0.3">
      <c r="A1709" t="s">
        <v>2578</v>
      </c>
      <c r="B1709" t="s">
        <v>3417</v>
      </c>
      <c r="C1709" t="s">
        <v>351</v>
      </c>
      <c r="F1709" t="s">
        <v>3361</v>
      </c>
      <c r="G1709" t="s">
        <v>2746</v>
      </c>
      <c r="H1709" t="s">
        <v>2252</v>
      </c>
      <c r="I1709" t="s">
        <v>3418</v>
      </c>
      <c r="J1709" t="s">
        <v>3369</v>
      </c>
      <c r="K1709" t="s">
        <v>1661</v>
      </c>
      <c r="L1709" t="s">
        <v>3386</v>
      </c>
      <c r="M1709" t="s">
        <v>3364</v>
      </c>
      <c r="N1709" t="s">
        <v>3365</v>
      </c>
      <c r="O1709" t="s">
        <v>3366</v>
      </c>
      <c r="P1709" t="s">
        <v>3382</v>
      </c>
    </row>
    <row r="1710" spans="1:16" x14ac:dyDescent="0.3">
      <c r="A1710" t="s">
        <v>2579</v>
      </c>
      <c r="B1710" t="s">
        <v>3417</v>
      </c>
      <c r="C1710" t="s">
        <v>351</v>
      </c>
      <c r="F1710" t="s">
        <v>3361</v>
      </c>
      <c r="G1710" t="s">
        <v>2746</v>
      </c>
      <c r="H1710" t="s">
        <v>2252</v>
      </c>
      <c r="I1710" t="s">
        <v>3418</v>
      </c>
      <c r="J1710" t="s">
        <v>3369</v>
      </c>
      <c r="K1710" t="s">
        <v>1661</v>
      </c>
      <c r="L1710" t="s">
        <v>3386</v>
      </c>
      <c r="M1710" t="s">
        <v>3364</v>
      </c>
      <c r="N1710" t="s">
        <v>3365</v>
      </c>
      <c r="O1710" t="s">
        <v>3366</v>
      </c>
      <c r="P1710" t="s">
        <v>3382</v>
      </c>
    </row>
    <row r="1711" spans="1:16" x14ac:dyDescent="0.3">
      <c r="A1711" t="s">
        <v>2580</v>
      </c>
      <c r="B1711" t="s">
        <v>3417</v>
      </c>
      <c r="C1711" t="s">
        <v>351</v>
      </c>
      <c r="F1711" t="s">
        <v>3361</v>
      </c>
      <c r="G1711" t="s">
        <v>2746</v>
      </c>
      <c r="H1711" t="s">
        <v>2252</v>
      </c>
      <c r="I1711" t="s">
        <v>3418</v>
      </c>
      <c r="J1711" t="s">
        <v>3362</v>
      </c>
      <c r="K1711" t="s">
        <v>1661</v>
      </c>
      <c r="L1711" t="s">
        <v>3386</v>
      </c>
      <c r="M1711" t="s">
        <v>3364</v>
      </c>
      <c r="N1711" t="s">
        <v>3365</v>
      </c>
      <c r="O1711" t="s">
        <v>3366</v>
      </c>
      <c r="P1711" t="s">
        <v>3367</v>
      </c>
    </row>
    <row r="1712" spans="1:16" x14ac:dyDescent="0.3">
      <c r="A1712" t="s">
        <v>2581</v>
      </c>
      <c r="B1712" t="s">
        <v>3417</v>
      </c>
      <c r="C1712" t="s">
        <v>351</v>
      </c>
      <c r="F1712" t="s">
        <v>3361</v>
      </c>
      <c r="G1712" t="s">
        <v>2746</v>
      </c>
      <c r="H1712" t="s">
        <v>2252</v>
      </c>
      <c r="I1712" t="s">
        <v>3418</v>
      </c>
      <c r="J1712" t="s">
        <v>3369</v>
      </c>
      <c r="K1712" t="s">
        <v>1661</v>
      </c>
      <c r="L1712" t="s">
        <v>3386</v>
      </c>
      <c r="M1712" t="s">
        <v>3364</v>
      </c>
      <c r="N1712" t="s">
        <v>3365</v>
      </c>
      <c r="O1712" t="s">
        <v>3366</v>
      </c>
      <c r="P1712" t="s">
        <v>3382</v>
      </c>
    </row>
    <row r="1713" spans="1:16" x14ac:dyDescent="0.3">
      <c r="A1713" t="s">
        <v>2582</v>
      </c>
      <c r="B1713" t="s">
        <v>3417</v>
      </c>
      <c r="C1713" t="s">
        <v>351</v>
      </c>
      <c r="F1713" t="s">
        <v>3361</v>
      </c>
      <c r="G1713" t="s">
        <v>2746</v>
      </c>
      <c r="H1713" t="s">
        <v>2252</v>
      </c>
      <c r="I1713" t="s">
        <v>3418</v>
      </c>
      <c r="J1713" t="s">
        <v>3369</v>
      </c>
      <c r="K1713" t="s">
        <v>1661</v>
      </c>
      <c r="L1713" t="s">
        <v>3386</v>
      </c>
      <c r="M1713" t="s">
        <v>3364</v>
      </c>
      <c r="N1713" t="s">
        <v>3365</v>
      </c>
      <c r="O1713" t="s">
        <v>3366</v>
      </c>
      <c r="P1713" t="s">
        <v>3382</v>
      </c>
    </row>
    <row r="1714" spans="1:16" x14ac:dyDescent="0.3">
      <c r="A1714" t="s">
        <v>2583</v>
      </c>
      <c r="B1714" t="s">
        <v>3417</v>
      </c>
      <c r="C1714" t="s">
        <v>351</v>
      </c>
      <c r="F1714" t="s">
        <v>3361</v>
      </c>
      <c r="G1714" t="s">
        <v>2746</v>
      </c>
      <c r="H1714" t="s">
        <v>2252</v>
      </c>
      <c r="I1714" t="s">
        <v>3418</v>
      </c>
      <c r="J1714" t="s">
        <v>3369</v>
      </c>
      <c r="K1714" t="s">
        <v>1661</v>
      </c>
      <c r="L1714" t="s">
        <v>3386</v>
      </c>
      <c r="M1714" t="s">
        <v>3364</v>
      </c>
      <c r="N1714" t="s">
        <v>3365</v>
      </c>
      <c r="O1714" t="s">
        <v>3366</v>
      </c>
      <c r="P1714" t="s">
        <v>3382</v>
      </c>
    </row>
    <row r="1715" spans="1:16" x14ac:dyDescent="0.3">
      <c r="A1715" t="s">
        <v>2584</v>
      </c>
      <c r="B1715" t="s">
        <v>3417</v>
      </c>
      <c r="C1715" t="s">
        <v>351</v>
      </c>
      <c r="F1715" t="s">
        <v>3361</v>
      </c>
      <c r="G1715" t="s">
        <v>2746</v>
      </c>
      <c r="H1715" t="s">
        <v>2252</v>
      </c>
      <c r="I1715" t="s">
        <v>3418</v>
      </c>
      <c r="J1715" t="s">
        <v>3369</v>
      </c>
      <c r="K1715" t="s">
        <v>1661</v>
      </c>
      <c r="L1715" t="s">
        <v>3386</v>
      </c>
      <c r="M1715" t="s">
        <v>3364</v>
      </c>
      <c r="N1715" t="s">
        <v>3365</v>
      </c>
      <c r="O1715" t="s">
        <v>3366</v>
      </c>
      <c r="P1715" t="s">
        <v>3382</v>
      </c>
    </row>
    <row r="1716" spans="1:16" x14ac:dyDescent="0.3">
      <c r="A1716" t="s">
        <v>2585</v>
      </c>
      <c r="B1716" t="s">
        <v>3417</v>
      </c>
      <c r="C1716" t="s">
        <v>351</v>
      </c>
      <c r="F1716" t="s">
        <v>3361</v>
      </c>
      <c r="G1716" t="s">
        <v>2746</v>
      </c>
      <c r="H1716" t="s">
        <v>2252</v>
      </c>
      <c r="I1716" t="s">
        <v>3418</v>
      </c>
      <c r="J1716" t="s">
        <v>3369</v>
      </c>
      <c r="K1716" t="s">
        <v>1661</v>
      </c>
      <c r="L1716" t="s">
        <v>3386</v>
      </c>
      <c r="M1716" t="s">
        <v>3364</v>
      </c>
      <c r="N1716" t="s">
        <v>3365</v>
      </c>
      <c r="O1716" t="s">
        <v>3366</v>
      </c>
      <c r="P1716" t="s">
        <v>3382</v>
      </c>
    </row>
    <row r="1717" spans="1:16" x14ac:dyDescent="0.3">
      <c r="A1717" t="s">
        <v>353</v>
      </c>
      <c r="B1717" t="s">
        <v>3417</v>
      </c>
      <c r="C1717" t="s">
        <v>353</v>
      </c>
      <c r="F1717" t="s">
        <v>3361</v>
      </c>
      <c r="G1717" t="s">
        <v>2746</v>
      </c>
      <c r="H1717" t="s">
        <v>2242</v>
      </c>
      <c r="I1717" t="s">
        <v>3418</v>
      </c>
      <c r="J1717" t="s">
        <v>3369</v>
      </c>
      <c r="K1717" t="s">
        <v>1661</v>
      </c>
      <c r="L1717" t="s">
        <v>3386</v>
      </c>
      <c r="M1717" t="s">
        <v>3364</v>
      </c>
      <c r="N1717" t="s">
        <v>3365</v>
      </c>
      <c r="O1717" t="s">
        <v>3366</v>
      </c>
      <c r="P1717" t="s">
        <v>3382</v>
      </c>
    </row>
    <row r="1718" spans="1:16" x14ac:dyDescent="0.3">
      <c r="A1718" t="s">
        <v>713</v>
      </c>
      <c r="B1718" t="s">
        <v>3417</v>
      </c>
      <c r="C1718" t="s">
        <v>353</v>
      </c>
      <c r="F1718" t="s">
        <v>3361</v>
      </c>
      <c r="G1718" t="s">
        <v>2746</v>
      </c>
      <c r="H1718" t="s">
        <v>2242</v>
      </c>
      <c r="I1718" t="s">
        <v>3418</v>
      </c>
      <c r="J1718" t="s">
        <v>3369</v>
      </c>
      <c r="K1718" t="s">
        <v>1661</v>
      </c>
      <c r="L1718" t="s">
        <v>3386</v>
      </c>
      <c r="M1718" t="s">
        <v>3364</v>
      </c>
      <c r="N1718" t="s">
        <v>3365</v>
      </c>
      <c r="O1718" t="s">
        <v>3366</v>
      </c>
      <c r="P1718" t="s">
        <v>3382</v>
      </c>
    </row>
    <row r="1719" spans="1:16" x14ac:dyDescent="0.3">
      <c r="A1719" t="s">
        <v>2589</v>
      </c>
      <c r="B1719" t="s">
        <v>3417</v>
      </c>
      <c r="C1719" t="s">
        <v>353</v>
      </c>
      <c r="F1719" t="s">
        <v>3361</v>
      </c>
      <c r="G1719" t="s">
        <v>2746</v>
      </c>
      <c r="H1719" t="s">
        <v>2244</v>
      </c>
      <c r="I1719" t="s">
        <v>3418</v>
      </c>
      <c r="J1719" t="s">
        <v>3369</v>
      </c>
      <c r="K1719" t="s">
        <v>1661</v>
      </c>
      <c r="L1719" t="s">
        <v>3386</v>
      </c>
      <c r="M1719" t="s">
        <v>3364</v>
      </c>
      <c r="N1719" t="s">
        <v>3365</v>
      </c>
      <c r="O1719" t="s">
        <v>3366</v>
      </c>
      <c r="P1719" t="s">
        <v>3382</v>
      </c>
    </row>
    <row r="1720" spans="1:16" x14ac:dyDescent="0.3">
      <c r="A1720" t="s">
        <v>2590</v>
      </c>
      <c r="B1720" t="s">
        <v>3417</v>
      </c>
      <c r="C1720" t="s">
        <v>353</v>
      </c>
      <c r="F1720" t="s">
        <v>3361</v>
      </c>
      <c r="G1720" t="s">
        <v>2746</v>
      </c>
      <c r="H1720" t="s">
        <v>2244</v>
      </c>
      <c r="I1720" t="s">
        <v>3418</v>
      </c>
      <c r="J1720" t="s">
        <v>3369</v>
      </c>
      <c r="K1720" t="s">
        <v>1661</v>
      </c>
      <c r="L1720" t="s">
        <v>3386</v>
      </c>
      <c r="M1720" t="s">
        <v>3364</v>
      </c>
      <c r="N1720" t="s">
        <v>3365</v>
      </c>
      <c r="O1720" t="s">
        <v>3366</v>
      </c>
      <c r="P1720" t="s">
        <v>3382</v>
      </c>
    </row>
    <row r="1721" spans="1:16" x14ac:dyDescent="0.3">
      <c r="A1721" t="s">
        <v>2483</v>
      </c>
      <c r="B1721" t="s">
        <v>3417</v>
      </c>
      <c r="C1721" t="s">
        <v>353</v>
      </c>
      <c r="F1721" t="s">
        <v>3361</v>
      </c>
      <c r="G1721" t="s">
        <v>2746</v>
      </c>
      <c r="H1721" t="s">
        <v>2244</v>
      </c>
      <c r="I1721" t="s">
        <v>3418</v>
      </c>
      <c r="J1721" t="s">
        <v>3369</v>
      </c>
      <c r="K1721" t="s">
        <v>1661</v>
      </c>
      <c r="L1721" t="s">
        <v>3386</v>
      </c>
      <c r="M1721" t="s">
        <v>3364</v>
      </c>
      <c r="N1721" t="s">
        <v>3365</v>
      </c>
      <c r="O1721" t="s">
        <v>3366</v>
      </c>
      <c r="P1721" t="s">
        <v>3382</v>
      </c>
    </row>
    <row r="1722" spans="1:16" x14ac:dyDescent="0.3">
      <c r="A1722" t="s">
        <v>1584</v>
      </c>
      <c r="B1722" t="s">
        <v>3417</v>
      </c>
      <c r="C1722" t="s">
        <v>353</v>
      </c>
      <c r="F1722" t="s">
        <v>3361</v>
      </c>
      <c r="G1722" t="s">
        <v>2746</v>
      </c>
      <c r="H1722" t="s">
        <v>2244</v>
      </c>
      <c r="I1722" t="s">
        <v>3418</v>
      </c>
      <c r="J1722" t="s">
        <v>3369</v>
      </c>
      <c r="K1722" t="s">
        <v>1661</v>
      </c>
      <c r="L1722" t="s">
        <v>3386</v>
      </c>
      <c r="M1722" t="s">
        <v>3364</v>
      </c>
      <c r="N1722" t="s">
        <v>3365</v>
      </c>
      <c r="O1722" t="s">
        <v>3366</v>
      </c>
      <c r="P1722" t="s">
        <v>3382</v>
      </c>
    </row>
    <row r="1723" spans="1:16" x14ac:dyDescent="0.3">
      <c r="A1723" t="s">
        <v>362</v>
      </c>
      <c r="B1723" t="s">
        <v>3417</v>
      </c>
      <c r="C1723" t="s">
        <v>353</v>
      </c>
      <c r="F1723" t="s">
        <v>3361</v>
      </c>
      <c r="G1723" t="s">
        <v>2746</v>
      </c>
      <c r="H1723" t="s">
        <v>2244</v>
      </c>
      <c r="I1723" t="s">
        <v>3418</v>
      </c>
      <c r="J1723" t="s">
        <v>3369</v>
      </c>
      <c r="K1723" t="s">
        <v>1661</v>
      </c>
      <c r="L1723" t="s">
        <v>3386</v>
      </c>
      <c r="M1723" t="s">
        <v>3364</v>
      </c>
      <c r="N1723" t="s">
        <v>3365</v>
      </c>
      <c r="O1723" t="s">
        <v>3366</v>
      </c>
      <c r="P1723" t="s">
        <v>3382</v>
      </c>
    </row>
    <row r="1724" spans="1:16" x14ac:dyDescent="0.3">
      <c r="A1724" t="s">
        <v>2591</v>
      </c>
      <c r="B1724" t="s">
        <v>3417</v>
      </c>
      <c r="C1724" t="s">
        <v>353</v>
      </c>
      <c r="F1724" t="s">
        <v>3361</v>
      </c>
      <c r="G1724" t="s">
        <v>2746</v>
      </c>
      <c r="H1724" t="s">
        <v>2244</v>
      </c>
      <c r="I1724" t="s">
        <v>3418</v>
      </c>
      <c r="J1724" t="s">
        <v>3369</v>
      </c>
      <c r="K1724" t="s">
        <v>1661</v>
      </c>
      <c r="L1724" t="s">
        <v>3386</v>
      </c>
      <c r="M1724" t="s">
        <v>3364</v>
      </c>
      <c r="N1724" t="s">
        <v>3365</v>
      </c>
      <c r="O1724" t="s">
        <v>3366</v>
      </c>
      <c r="P1724" t="s">
        <v>3382</v>
      </c>
    </row>
    <row r="1725" spans="1:16" x14ac:dyDescent="0.3">
      <c r="A1725" t="s">
        <v>2395</v>
      </c>
      <c r="B1725" t="s">
        <v>3417</v>
      </c>
      <c r="C1725" t="s">
        <v>353</v>
      </c>
      <c r="F1725" t="s">
        <v>3361</v>
      </c>
      <c r="G1725" t="s">
        <v>2746</v>
      </c>
      <c r="H1725" t="s">
        <v>2244</v>
      </c>
      <c r="I1725" t="s">
        <v>3418</v>
      </c>
      <c r="J1725" t="s">
        <v>3369</v>
      </c>
      <c r="K1725" t="s">
        <v>1661</v>
      </c>
      <c r="L1725" t="s">
        <v>3386</v>
      </c>
      <c r="M1725" t="s">
        <v>3364</v>
      </c>
      <c r="N1725" t="s">
        <v>3365</v>
      </c>
      <c r="O1725" t="s">
        <v>3366</v>
      </c>
      <c r="P1725" t="s">
        <v>3382</v>
      </c>
    </row>
    <row r="1726" spans="1:16" x14ac:dyDescent="0.3">
      <c r="A1726" t="s">
        <v>2592</v>
      </c>
      <c r="B1726" t="s">
        <v>3417</v>
      </c>
      <c r="C1726" t="s">
        <v>353</v>
      </c>
      <c r="F1726" t="s">
        <v>3361</v>
      </c>
      <c r="G1726" t="s">
        <v>2746</v>
      </c>
      <c r="H1726" t="s">
        <v>2244</v>
      </c>
      <c r="I1726" t="s">
        <v>3418</v>
      </c>
      <c r="J1726" t="s">
        <v>3369</v>
      </c>
      <c r="K1726" t="s">
        <v>1661</v>
      </c>
      <c r="L1726" t="s">
        <v>3386</v>
      </c>
      <c r="M1726" t="s">
        <v>3364</v>
      </c>
      <c r="N1726" t="s">
        <v>3365</v>
      </c>
      <c r="O1726" t="s">
        <v>3366</v>
      </c>
      <c r="P1726" t="s">
        <v>3382</v>
      </c>
    </row>
    <row r="1727" spans="1:16" x14ac:dyDescent="0.3">
      <c r="A1727" t="s">
        <v>2593</v>
      </c>
      <c r="B1727" t="s">
        <v>3417</v>
      </c>
      <c r="C1727" t="s">
        <v>353</v>
      </c>
      <c r="F1727" t="s">
        <v>3361</v>
      </c>
      <c r="G1727" t="s">
        <v>2746</v>
      </c>
      <c r="H1727" t="s">
        <v>2244</v>
      </c>
      <c r="I1727" t="s">
        <v>3418</v>
      </c>
      <c r="J1727" t="s">
        <v>3369</v>
      </c>
      <c r="K1727" t="s">
        <v>1661</v>
      </c>
      <c r="L1727" t="s">
        <v>3386</v>
      </c>
      <c r="M1727" t="s">
        <v>3364</v>
      </c>
      <c r="N1727" t="s">
        <v>3365</v>
      </c>
      <c r="O1727" t="s">
        <v>3366</v>
      </c>
      <c r="P1727" t="s">
        <v>3382</v>
      </c>
    </row>
    <row r="1728" spans="1:16" x14ac:dyDescent="0.3">
      <c r="A1728" t="s">
        <v>2594</v>
      </c>
      <c r="B1728" t="s">
        <v>3417</v>
      </c>
      <c r="C1728" t="s">
        <v>353</v>
      </c>
      <c r="F1728" t="s">
        <v>3361</v>
      </c>
      <c r="G1728" t="s">
        <v>2746</v>
      </c>
      <c r="H1728" t="s">
        <v>2244</v>
      </c>
      <c r="I1728" t="s">
        <v>3418</v>
      </c>
      <c r="J1728" t="s">
        <v>3369</v>
      </c>
      <c r="K1728" t="s">
        <v>1661</v>
      </c>
      <c r="L1728" t="s">
        <v>3386</v>
      </c>
      <c r="M1728" t="s">
        <v>3364</v>
      </c>
      <c r="N1728" t="s">
        <v>3365</v>
      </c>
      <c r="O1728" t="s">
        <v>3366</v>
      </c>
      <c r="P1728" t="s">
        <v>3382</v>
      </c>
    </row>
    <row r="1729" spans="1:16" x14ac:dyDescent="0.3">
      <c r="A1729" t="s">
        <v>2595</v>
      </c>
      <c r="B1729" t="s">
        <v>3417</v>
      </c>
      <c r="C1729" t="s">
        <v>353</v>
      </c>
      <c r="F1729" t="s">
        <v>3361</v>
      </c>
      <c r="G1729" t="s">
        <v>2746</v>
      </c>
      <c r="H1729" t="s">
        <v>2244</v>
      </c>
      <c r="I1729" t="s">
        <v>3418</v>
      </c>
      <c r="J1729" t="s">
        <v>3369</v>
      </c>
      <c r="K1729" t="s">
        <v>1661</v>
      </c>
      <c r="L1729" t="s">
        <v>3386</v>
      </c>
      <c r="M1729" t="s">
        <v>3364</v>
      </c>
      <c r="N1729" t="s">
        <v>3365</v>
      </c>
      <c r="O1729" t="s">
        <v>3366</v>
      </c>
      <c r="P1729" t="s">
        <v>3382</v>
      </c>
    </row>
    <row r="1730" spans="1:16" x14ac:dyDescent="0.3">
      <c r="A1730" t="s">
        <v>2596</v>
      </c>
      <c r="B1730" t="s">
        <v>3417</v>
      </c>
      <c r="C1730" t="s">
        <v>353</v>
      </c>
      <c r="F1730" t="s">
        <v>3361</v>
      </c>
      <c r="G1730" t="s">
        <v>2746</v>
      </c>
      <c r="H1730" t="s">
        <v>2244</v>
      </c>
      <c r="I1730" t="s">
        <v>3418</v>
      </c>
      <c r="J1730" t="s">
        <v>3369</v>
      </c>
      <c r="K1730" t="s">
        <v>1661</v>
      </c>
      <c r="L1730" t="s">
        <v>3386</v>
      </c>
      <c r="M1730" t="s">
        <v>3364</v>
      </c>
      <c r="N1730" t="s">
        <v>3365</v>
      </c>
      <c r="O1730" t="s">
        <v>3366</v>
      </c>
      <c r="P1730" t="s">
        <v>3382</v>
      </c>
    </row>
    <row r="1731" spans="1:16" x14ac:dyDescent="0.3">
      <c r="A1731" t="s">
        <v>2597</v>
      </c>
      <c r="B1731" t="s">
        <v>3417</v>
      </c>
      <c r="C1731" t="s">
        <v>353</v>
      </c>
      <c r="F1731" t="s">
        <v>3361</v>
      </c>
      <c r="G1731" t="s">
        <v>2746</v>
      </c>
      <c r="H1731" t="s">
        <v>2244</v>
      </c>
      <c r="I1731" t="s">
        <v>3418</v>
      </c>
      <c r="J1731" t="s">
        <v>3369</v>
      </c>
      <c r="K1731" t="s">
        <v>1661</v>
      </c>
      <c r="L1731" t="s">
        <v>3386</v>
      </c>
      <c r="M1731" t="s">
        <v>3364</v>
      </c>
      <c r="N1731" t="s">
        <v>3365</v>
      </c>
      <c r="O1731" t="s">
        <v>3366</v>
      </c>
      <c r="P1731" t="s">
        <v>3382</v>
      </c>
    </row>
    <row r="1732" spans="1:16" x14ac:dyDescent="0.3">
      <c r="A1732" t="s">
        <v>2598</v>
      </c>
      <c r="B1732" t="s">
        <v>3417</v>
      </c>
      <c r="C1732" t="s">
        <v>353</v>
      </c>
      <c r="F1732" t="s">
        <v>3361</v>
      </c>
      <c r="G1732" t="s">
        <v>2746</v>
      </c>
      <c r="H1732" t="s">
        <v>2246</v>
      </c>
      <c r="I1732" t="s">
        <v>3418</v>
      </c>
      <c r="J1732" t="s">
        <v>3369</v>
      </c>
      <c r="K1732" t="s">
        <v>1661</v>
      </c>
      <c r="L1732" t="s">
        <v>3386</v>
      </c>
      <c r="M1732" t="s">
        <v>3364</v>
      </c>
      <c r="N1732" t="s">
        <v>3365</v>
      </c>
      <c r="O1732" t="s">
        <v>3366</v>
      </c>
      <c r="P1732" t="s">
        <v>3382</v>
      </c>
    </row>
    <row r="1733" spans="1:16" x14ac:dyDescent="0.3">
      <c r="A1733" t="s">
        <v>2599</v>
      </c>
      <c r="B1733" t="s">
        <v>3417</v>
      </c>
      <c r="C1733" t="s">
        <v>353</v>
      </c>
      <c r="F1733" t="s">
        <v>3361</v>
      </c>
      <c r="G1733" t="s">
        <v>2746</v>
      </c>
      <c r="H1733" t="s">
        <v>2246</v>
      </c>
      <c r="I1733" t="s">
        <v>3418</v>
      </c>
      <c r="J1733" t="s">
        <v>3369</v>
      </c>
      <c r="K1733" t="s">
        <v>1661</v>
      </c>
      <c r="L1733" t="s">
        <v>3386</v>
      </c>
      <c r="M1733" t="s">
        <v>3364</v>
      </c>
      <c r="N1733" t="s">
        <v>3365</v>
      </c>
      <c r="O1733" t="s">
        <v>3366</v>
      </c>
      <c r="P1733" t="s">
        <v>3382</v>
      </c>
    </row>
    <row r="1734" spans="1:16" x14ac:dyDescent="0.3">
      <c r="A1734" t="s">
        <v>2600</v>
      </c>
      <c r="B1734" t="s">
        <v>3417</v>
      </c>
      <c r="C1734" t="s">
        <v>353</v>
      </c>
      <c r="F1734" t="s">
        <v>3361</v>
      </c>
      <c r="G1734" t="s">
        <v>2746</v>
      </c>
      <c r="H1734" t="s">
        <v>2246</v>
      </c>
      <c r="I1734" t="s">
        <v>3418</v>
      </c>
      <c r="J1734" t="s">
        <v>3369</v>
      </c>
      <c r="K1734" t="s">
        <v>1661</v>
      </c>
      <c r="L1734" t="s">
        <v>3386</v>
      </c>
      <c r="M1734" t="s">
        <v>3364</v>
      </c>
      <c r="N1734" t="s">
        <v>3365</v>
      </c>
      <c r="O1734" t="s">
        <v>3366</v>
      </c>
      <c r="P1734" t="s">
        <v>3382</v>
      </c>
    </row>
    <row r="1735" spans="1:16" x14ac:dyDescent="0.3">
      <c r="A1735" t="s">
        <v>2601</v>
      </c>
      <c r="B1735" t="s">
        <v>3417</v>
      </c>
      <c r="C1735" t="s">
        <v>353</v>
      </c>
      <c r="F1735" t="s">
        <v>3361</v>
      </c>
      <c r="G1735" t="s">
        <v>2746</v>
      </c>
      <c r="H1735" t="s">
        <v>2246</v>
      </c>
      <c r="I1735" t="s">
        <v>3418</v>
      </c>
      <c r="J1735" t="s">
        <v>3369</v>
      </c>
      <c r="K1735" t="s">
        <v>1661</v>
      </c>
      <c r="L1735" t="s">
        <v>3386</v>
      </c>
      <c r="M1735" t="s">
        <v>3364</v>
      </c>
      <c r="N1735" t="s">
        <v>3365</v>
      </c>
      <c r="O1735" t="s">
        <v>3366</v>
      </c>
      <c r="P1735" t="s">
        <v>3382</v>
      </c>
    </row>
    <row r="1736" spans="1:16" x14ac:dyDescent="0.3">
      <c r="A1736" t="s">
        <v>2602</v>
      </c>
      <c r="B1736" t="s">
        <v>3417</v>
      </c>
      <c r="C1736" t="s">
        <v>353</v>
      </c>
      <c r="F1736" t="s">
        <v>3361</v>
      </c>
      <c r="G1736" t="s">
        <v>2746</v>
      </c>
      <c r="H1736" t="s">
        <v>2246</v>
      </c>
      <c r="I1736" t="s">
        <v>3418</v>
      </c>
      <c r="J1736" t="s">
        <v>3369</v>
      </c>
      <c r="K1736" t="s">
        <v>1661</v>
      </c>
      <c r="L1736" t="s">
        <v>3386</v>
      </c>
      <c r="M1736" t="s">
        <v>3364</v>
      </c>
      <c r="N1736" t="s">
        <v>3365</v>
      </c>
      <c r="O1736" t="s">
        <v>3366</v>
      </c>
      <c r="P1736" t="s">
        <v>3382</v>
      </c>
    </row>
    <row r="1737" spans="1:16" x14ac:dyDescent="0.3">
      <c r="A1737" t="s">
        <v>2603</v>
      </c>
      <c r="B1737" t="s">
        <v>3417</v>
      </c>
      <c r="C1737" t="s">
        <v>353</v>
      </c>
      <c r="F1737" t="s">
        <v>3361</v>
      </c>
      <c r="G1737" t="s">
        <v>2746</v>
      </c>
      <c r="H1737" t="s">
        <v>2246</v>
      </c>
      <c r="I1737" t="s">
        <v>3418</v>
      </c>
      <c r="J1737" t="s">
        <v>3369</v>
      </c>
      <c r="K1737" t="s">
        <v>1661</v>
      </c>
      <c r="L1737" t="s">
        <v>3386</v>
      </c>
      <c r="M1737" t="s">
        <v>3364</v>
      </c>
      <c r="N1737" t="s">
        <v>3365</v>
      </c>
      <c r="O1737" t="s">
        <v>3366</v>
      </c>
      <c r="P1737" t="s">
        <v>3382</v>
      </c>
    </row>
    <row r="1738" spans="1:16" x14ac:dyDescent="0.3">
      <c r="A1738" t="s">
        <v>2604</v>
      </c>
      <c r="B1738" t="s">
        <v>3417</v>
      </c>
      <c r="C1738" t="s">
        <v>353</v>
      </c>
      <c r="F1738" t="s">
        <v>3361</v>
      </c>
      <c r="G1738" t="s">
        <v>2746</v>
      </c>
      <c r="H1738" t="s">
        <v>2246</v>
      </c>
      <c r="I1738" t="s">
        <v>3418</v>
      </c>
      <c r="J1738" t="s">
        <v>3369</v>
      </c>
      <c r="K1738" t="s">
        <v>1661</v>
      </c>
      <c r="L1738" t="s">
        <v>3386</v>
      </c>
      <c r="M1738" t="s">
        <v>3364</v>
      </c>
      <c r="N1738" t="s">
        <v>3365</v>
      </c>
      <c r="O1738" t="s">
        <v>3366</v>
      </c>
      <c r="P1738" t="s">
        <v>3382</v>
      </c>
    </row>
    <row r="1739" spans="1:16" x14ac:dyDescent="0.3">
      <c r="A1739" t="s">
        <v>2605</v>
      </c>
      <c r="B1739" t="s">
        <v>3417</v>
      </c>
      <c r="C1739" t="s">
        <v>353</v>
      </c>
      <c r="F1739" t="s">
        <v>3361</v>
      </c>
      <c r="G1739" t="s">
        <v>2746</v>
      </c>
      <c r="H1739" t="s">
        <v>2246</v>
      </c>
      <c r="I1739" t="s">
        <v>3418</v>
      </c>
      <c r="J1739" t="s">
        <v>3369</v>
      </c>
      <c r="K1739" t="s">
        <v>1661</v>
      </c>
      <c r="L1739" t="s">
        <v>3386</v>
      </c>
      <c r="M1739" t="s">
        <v>3364</v>
      </c>
      <c r="N1739" t="s">
        <v>3365</v>
      </c>
      <c r="O1739" t="s">
        <v>3366</v>
      </c>
      <c r="P1739" t="s">
        <v>3382</v>
      </c>
    </row>
    <row r="1740" spans="1:16" x14ac:dyDescent="0.3">
      <c r="A1740" t="s">
        <v>2606</v>
      </c>
      <c r="B1740" t="s">
        <v>3417</v>
      </c>
      <c r="C1740" t="s">
        <v>353</v>
      </c>
      <c r="F1740" t="s">
        <v>3361</v>
      </c>
      <c r="G1740" t="s">
        <v>2746</v>
      </c>
      <c r="H1740" t="s">
        <v>2246</v>
      </c>
      <c r="I1740" t="s">
        <v>3418</v>
      </c>
      <c r="J1740" t="s">
        <v>3369</v>
      </c>
      <c r="K1740" t="s">
        <v>1661</v>
      </c>
      <c r="L1740" t="s">
        <v>3386</v>
      </c>
      <c r="M1740" t="s">
        <v>3364</v>
      </c>
      <c r="N1740" t="s">
        <v>3365</v>
      </c>
      <c r="O1740" t="s">
        <v>3366</v>
      </c>
      <c r="P1740" t="s">
        <v>3382</v>
      </c>
    </row>
    <row r="1741" spans="1:16" x14ac:dyDescent="0.3">
      <c r="A1741" t="s">
        <v>2607</v>
      </c>
      <c r="B1741" t="s">
        <v>3417</v>
      </c>
      <c r="C1741" t="s">
        <v>353</v>
      </c>
      <c r="F1741" t="s">
        <v>3361</v>
      </c>
      <c r="G1741" t="s">
        <v>2746</v>
      </c>
      <c r="H1741" t="s">
        <v>2246</v>
      </c>
      <c r="I1741" t="s">
        <v>3418</v>
      </c>
      <c r="J1741" t="s">
        <v>3369</v>
      </c>
      <c r="K1741" t="s">
        <v>1661</v>
      </c>
      <c r="L1741" t="s">
        <v>3386</v>
      </c>
      <c r="M1741" t="s">
        <v>3364</v>
      </c>
      <c r="N1741" t="s">
        <v>3365</v>
      </c>
      <c r="O1741" t="s">
        <v>3366</v>
      </c>
      <c r="P1741" t="s">
        <v>3382</v>
      </c>
    </row>
    <row r="1742" spans="1:16" x14ac:dyDescent="0.3">
      <c r="A1742" t="s">
        <v>2608</v>
      </c>
      <c r="B1742" t="s">
        <v>3417</v>
      </c>
      <c r="C1742" t="s">
        <v>353</v>
      </c>
      <c r="F1742" t="s">
        <v>3361</v>
      </c>
      <c r="G1742" t="s">
        <v>2746</v>
      </c>
      <c r="H1742" t="s">
        <v>2246</v>
      </c>
      <c r="I1742" t="s">
        <v>3418</v>
      </c>
      <c r="J1742" t="s">
        <v>3369</v>
      </c>
      <c r="K1742" t="s">
        <v>1661</v>
      </c>
      <c r="L1742" t="s">
        <v>3386</v>
      </c>
      <c r="M1742" t="s">
        <v>3364</v>
      </c>
      <c r="N1742" t="s">
        <v>3365</v>
      </c>
      <c r="O1742" t="s">
        <v>3366</v>
      </c>
      <c r="P1742" t="s">
        <v>3382</v>
      </c>
    </row>
    <row r="1743" spans="1:16" x14ac:dyDescent="0.3">
      <c r="A1743" t="s">
        <v>2609</v>
      </c>
      <c r="B1743" t="s">
        <v>3417</v>
      </c>
      <c r="C1743" t="s">
        <v>353</v>
      </c>
      <c r="F1743" t="s">
        <v>3361</v>
      </c>
      <c r="G1743" t="s">
        <v>2746</v>
      </c>
      <c r="H1743" t="s">
        <v>2248</v>
      </c>
      <c r="I1743" t="s">
        <v>3418</v>
      </c>
      <c r="J1743" t="s">
        <v>3369</v>
      </c>
      <c r="K1743" t="s">
        <v>1661</v>
      </c>
      <c r="L1743" t="s">
        <v>2043</v>
      </c>
      <c r="M1743" t="s">
        <v>3364</v>
      </c>
      <c r="N1743" t="s">
        <v>3365</v>
      </c>
      <c r="O1743" t="s">
        <v>3366</v>
      </c>
      <c r="P1743" t="s">
        <v>3382</v>
      </c>
    </row>
    <row r="1744" spans="1:16" x14ac:dyDescent="0.3">
      <c r="A1744" t="s">
        <v>2610</v>
      </c>
      <c r="B1744" t="s">
        <v>3417</v>
      </c>
      <c r="C1744" t="s">
        <v>353</v>
      </c>
      <c r="F1744" t="s">
        <v>3361</v>
      </c>
      <c r="G1744" t="s">
        <v>2746</v>
      </c>
      <c r="H1744" t="s">
        <v>2248</v>
      </c>
      <c r="I1744" t="s">
        <v>3418</v>
      </c>
      <c r="J1744" t="s">
        <v>3369</v>
      </c>
      <c r="K1744" t="s">
        <v>1661</v>
      </c>
      <c r="L1744" t="s">
        <v>2043</v>
      </c>
      <c r="M1744" t="s">
        <v>3364</v>
      </c>
      <c r="N1744" t="s">
        <v>3365</v>
      </c>
      <c r="O1744" t="s">
        <v>3366</v>
      </c>
      <c r="P1744" t="s">
        <v>3382</v>
      </c>
    </row>
    <row r="1745" spans="1:16" x14ac:dyDescent="0.3">
      <c r="A1745" t="s">
        <v>2611</v>
      </c>
      <c r="B1745" t="s">
        <v>3417</v>
      </c>
      <c r="C1745" t="s">
        <v>353</v>
      </c>
      <c r="F1745" t="s">
        <v>3361</v>
      </c>
      <c r="G1745" t="s">
        <v>2746</v>
      </c>
      <c r="H1745" t="s">
        <v>2248</v>
      </c>
      <c r="I1745" t="s">
        <v>3418</v>
      </c>
      <c r="J1745" t="s">
        <v>3369</v>
      </c>
      <c r="K1745" t="s">
        <v>1661</v>
      </c>
      <c r="L1745" t="s">
        <v>2043</v>
      </c>
      <c r="M1745" t="s">
        <v>3364</v>
      </c>
      <c r="N1745" t="s">
        <v>3365</v>
      </c>
      <c r="O1745" t="s">
        <v>3366</v>
      </c>
      <c r="P1745" t="s">
        <v>3382</v>
      </c>
    </row>
    <row r="1746" spans="1:16" x14ac:dyDescent="0.3">
      <c r="A1746" t="s">
        <v>2612</v>
      </c>
      <c r="B1746" t="s">
        <v>3417</v>
      </c>
      <c r="C1746" t="s">
        <v>353</v>
      </c>
      <c r="F1746" t="s">
        <v>3361</v>
      </c>
      <c r="G1746" t="s">
        <v>2746</v>
      </c>
      <c r="H1746" t="s">
        <v>2248</v>
      </c>
      <c r="I1746" t="s">
        <v>3418</v>
      </c>
      <c r="J1746" t="s">
        <v>3369</v>
      </c>
      <c r="K1746" t="s">
        <v>1661</v>
      </c>
      <c r="L1746" t="s">
        <v>2043</v>
      </c>
      <c r="M1746" t="s">
        <v>3364</v>
      </c>
      <c r="N1746" t="s">
        <v>3365</v>
      </c>
      <c r="O1746" t="s">
        <v>3366</v>
      </c>
      <c r="P1746" t="s">
        <v>3382</v>
      </c>
    </row>
    <row r="1747" spans="1:16" x14ac:dyDescent="0.3">
      <c r="A1747" t="s">
        <v>2613</v>
      </c>
      <c r="B1747" t="s">
        <v>3417</v>
      </c>
      <c r="C1747" t="s">
        <v>353</v>
      </c>
      <c r="F1747" t="s">
        <v>3361</v>
      </c>
      <c r="G1747" t="s">
        <v>2746</v>
      </c>
      <c r="H1747" t="s">
        <v>2248</v>
      </c>
      <c r="I1747" t="s">
        <v>3418</v>
      </c>
      <c r="J1747" t="s">
        <v>3369</v>
      </c>
      <c r="K1747" t="s">
        <v>1661</v>
      </c>
      <c r="L1747" t="s">
        <v>2043</v>
      </c>
      <c r="M1747" t="s">
        <v>3364</v>
      </c>
      <c r="N1747" t="s">
        <v>3365</v>
      </c>
      <c r="O1747" t="s">
        <v>3366</v>
      </c>
      <c r="P1747" t="s">
        <v>3382</v>
      </c>
    </row>
    <row r="1748" spans="1:16" x14ac:dyDescent="0.3">
      <c r="A1748" t="s">
        <v>2614</v>
      </c>
      <c r="B1748" t="s">
        <v>3417</v>
      </c>
      <c r="C1748" t="s">
        <v>353</v>
      </c>
      <c r="F1748" t="s">
        <v>3361</v>
      </c>
      <c r="G1748" t="s">
        <v>2746</v>
      </c>
      <c r="H1748" t="s">
        <v>2248</v>
      </c>
      <c r="I1748" t="s">
        <v>3418</v>
      </c>
      <c r="J1748" t="s">
        <v>3369</v>
      </c>
      <c r="K1748" t="s">
        <v>1661</v>
      </c>
      <c r="L1748" t="s">
        <v>2043</v>
      </c>
      <c r="M1748" t="s">
        <v>3364</v>
      </c>
      <c r="N1748" t="s">
        <v>3365</v>
      </c>
      <c r="O1748" t="s">
        <v>3366</v>
      </c>
      <c r="P1748" t="s">
        <v>3382</v>
      </c>
    </row>
    <row r="1749" spans="1:16" x14ac:dyDescent="0.3">
      <c r="A1749" t="s">
        <v>2615</v>
      </c>
      <c r="B1749" t="s">
        <v>3417</v>
      </c>
      <c r="C1749" t="s">
        <v>353</v>
      </c>
      <c r="F1749" t="s">
        <v>3361</v>
      </c>
      <c r="G1749" t="s">
        <v>2746</v>
      </c>
      <c r="H1749" t="s">
        <v>2250</v>
      </c>
      <c r="I1749" t="s">
        <v>3418</v>
      </c>
      <c r="J1749" t="s">
        <v>3369</v>
      </c>
      <c r="K1749" t="s">
        <v>1661</v>
      </c>
      <c r="L1749" t="s">
        <v>3386</v>
      </c>
      <c r="M1749" t="s">
        <v>3364</v>
      </c>
      <c r="N1749" t="s">
        <v>3365</v>
      </c>
      <c r="O1749" t="s">
        <v>3366</v>
      </c>
      <c r="P1749" t="s">
        <v>3382</v>
      </c>
    </row>
    <row r="1750" spans="1:16" x14ac:dyDescent="0.3">
      <c r="A1750" t="s">
        <v>2483</v>
      </c>
      <c r="B1750" t="s">
        <v>3417</v>
      </c>
      <c r="C1750" t="s">
        <v>353</v>
      </c>
      <c r="F1750" t="s">
        <v>3361</v>
      </c>
      <c r="G1750" t="s">
        <v>2746</v>
      </c>
      <c r="H1750" t="s">
        <v>2250</v>
      </c>
      <c r="I1750" t="s">
        <v>3418</v>
      </c>
      <c r="J1750" t="s">
        <v>3369</v>
      </c>
      <c r="K1750" t="s">
        <v>1661</v>
      </c>
      <c r="L1750" t="s">
        <v>3386</v>
      </c>
      <c r="M1750" t="s">
        <v>3364</v>
      </c>
      <c r="N1750" t="s">
        <v>3365</v>
      </c>
      <c r="O1750" t="s">
        <v>3366</v>
      </c>
      <c r="P1750" t="s">
        <v>3382</v>
      </c>
    </row>
    <row r="1751" spans="1:16" x14ac:dyDescent="0.3">
      <c r="A1751" t="s">
        <v>2479</v>
      </c>
      <c r="B1751" t="s">
        <v>3417</v>
      </c>
      <c r="C1751" t="s">
        <v>353</v>
      </c>
      <c r="F1751" t="s">
        <v>3361</v>
      </c>
      <c r="G1751" t="s">
        <v>2746</v>
      </c>
      <c r="H1751" t="s">
        <v>2250</v>
      </c>
      <c r="I1751" t="s">
        <v>3418</v>
      </c>
      <c r="J1751" t="s">
        <v>3369</v>
      </c>
      <c r="K1751" t="s">
        <v>1661</v>
      </c>
      <c r="L1751" t="s">
        <v>3386</v>
      </c>
      <c r="M1751" t="s">
        <v>3364</v>
      </c>
      <c r="N1751" t="s">
        <v>3365</v>
      </c>
      <c r="O1751" t="s">
        <v>3366</v>
      </c>
      <c r="P1751" t="s">
        <v>3382</v>
      </c>
    </row>
    <row r="1752" spans="1:16" x14ac:dyDescent="0.3">
      <c r="A1752" t="s">
        <v>2435</v>
      </c>
      <c r="B1752" t="s">
        <v>3417</v>
      </c>
      <c r="C1752" t="s">
        <v>353</v>
      </c>
      <c r="F1752" t="s">
        <v>3361</v>
      </c>
      <c r="G1752" t="s">
        <v>2746</v>
      </c>
      <c r="H1752" t="s">
        <v>2250</v>
      </c>
      <c r="I1752" t="s">
        <v>3418</v>
      </c>
      <c r="J1752" t="s">
        <v>3369</v>
      </c>
      <c r="K1752" t="s">
        <v>1661</v>
      </c>
      <c r="L1752" t="s">
        <v>3386</v>
      </c>
      <c r="M1752" t="s">
        <v>3364</v>
      </c>
      <c r="N1752" t="s">
        <v>3365</v>
      </c>
      <c r="O1752" t="s">
        <v>3366</v>
      </c>
      <c r="P1752" t="s">
        <v>3382</v>
      </c>
    </row>
    <row r="1753" spans="1:16" x14ac:dyDescent="0.3">
      <c r="A1753" t="s">
        <v>2589</v>
      </c>
      <c r="B1753" t="s">
        <v>3417</v>
      </c>
      <c r="C1753" t="s">
        <v>353</v>
      </c>
      <c r="F1753" t="s">
        <v>3361</v>
      </c>
      <c r="G1753" t="s">
        <v>2746</v>
      </c>
      <c r="H1753" t="s">
        <v>2250</v>
      </c>
      <c r="I1753" t="s">
        <v>3418</v>
      </c>
      <c r="J1753" t="s">
        <v>3369</v>
      </c>
      <c r="K1753" t="s">
        <v>1661</v>
      </c>
      <c r="L1753" t="s">
        <v>3386</v>
      </c>
      <c r="M1753" t="s">
        <v>3364</v>
      </c>
      <c r="N1753" t="s">
        <v>3365</v>
      </c>
      <c r="O1753" t="s">
        <v>3366</v>
      </c>
      <c r="P1753" t="s">
        <v>3382</v>
      </c>
    </row>
    <row r="1754" spans="1:16" x14ac:dyDescent="0.3">
      <c r="A1754" t="s">
        <v>2616</v>
      </c>
      <c r="B1754" t="s">
        <v>3417</v>
      </c>
      <c r="C1754" t="s">
        <v>353</v>
      </c>
      <c r="F1754" t="s">
        <v>3361</v>
      </c>
      <c r="G1754" t="s">
        <v>2746</v>
      </c>
      <c r="H1754" t="s">
        <v>2250</v>
      </c>
      <c r="I1754" t="s">
        <v>3418</v>
      </c>
      <c r="J1754" t="s">
        <v>3369</v>
      </c>
      <c r="K1754" t="s">
        <v>1661</v>
      </c>
      <c r="L1754" t="s">
        <v>3386</v>
      </c>
      <c r="M1754" t="s">
        <v>3364</v>
      </c>
      <c r="N1754" t="s">
        <v>3365</v>
      </c>
      <c r="O1754" t="s">
        <v>3366</v>
      </c>
      <c r="P1754" t="s">
        <v>3382</v>
      </c>
    </row>
    <row r="1755" spans="1:16" x14ac:dyDescent="0.3">
      <c r="A1755" t="s">
        <v>2395</v>
      </c>
      <c r="B1755" t="s">
        <v>3417</v>
      </c>
      <c r="C1755" t="s">
        <v>353</v>
      </c>
      <c r="F1755" t="s">
        <v>3361</v>
      </c>
      <c r="G1755" t="s">
        <v>2746</v>
      </c>
      <c r="H1755" t="s">
        <v>2250</v>
      </c>
      <c r="I1755" t="s">
        <v>3418</v>
      </c>
      <c r="J1755" t="s">
        <v>3369</v>
      </c>
      <c r="K1755" t="s">
        <v>1661</v>
      </c>
      <c r="L1755" t="s">
        <v>3386</v>
      </c>
      <c r="M1755" t="s">
        <v>3364</v>
      </c>
      <c r="N1755" t="s">
        <v>3365</v>
      </c>
      <c r="O1755" t="s">
        <v>3366</v>
      </c>
      <c r="P1755" t="s">
        <v>3382</v>
      </c>
    </row>
    <row r="1756" spans="1:16" x14ac:dyDescent="0.3">
      <c r="A1756" t="s">
        <v>362</v>
      </c>
      <c r="B1756" t="s">
        <v>3417</v>
      </c>
      <c r="C1756" t="s">
        <v>353</v>
      </c>
      <c r="F1756" t="s">
        <v>3361</v>
      </c>
      <c r="G1756" t="s">
        <v>2746</v>
      </c>
      <c r="H1756" t="s">
        <v>2250</v>
      </c>
      <c r="I1756" t="s">
        <v>3418</v>
      </c>
      <c r="J1756" t="s">
        <v>3369</v>
      </c>
      <c r="K1756" t="s">
        <v>1661</v>
      </c>
      <c r="L1756" t="s">
        <v>3386</v>
      </c>
      <c r="M1756" t="s">
        <v>3364</v>
      </c>
      <c r="N1756" t="s">
        <v>3365</v>
      </c>
      <c r="O1756" t="s">
        <v>3366</v>
      </c>
      <c r="P1756" t="s">
        <v>3382</v>
      </c>
    </row>
    <row r="1757" spans="1:16" x14ac:dyDescent="0.3">
      <c r="A1757" t="s">
        <v>1604</v>
      </c>
      <c r="B1757" t="s">
        <v>3417</v>
      </c>
      <c r="C1757" t="s">
        <v>353</v>
      </c>
      <c r="F1757" t="s">
        <v>3361</v>
      </c>
      <c r="G1757" t="s">
        <v>2746</v>
      </c>
      <c r="H1757" t="s">
        <v>2252</v>
      </c>
      <c r="I1757" t="s">
        <v>3418</v>
      </c>
      <c r="J1757" t="s">
        <v>3369</v>
      </c>
      <c r="K1757" t="s">
        <v>1661</v>
      </c>
      <c r="L1757" t="s">
        <v>3386</v>
      </c>
      <c r="M1757" t="s">
        <v>3364</v>
      </c>
      <c r="N1757" t="s">
        <v>3365</v>
      </c>
      <c r="O1757" t="s">
        <v>3366</v>
      </c>
      <c r="P1757" t="s">
        <v>3382</v>
      </c>
    </row>
    <row r="1758" spans="1:16" x14ac:dyDescent="0.3">
      <c r="A1758" t="s">
        <v>903</v>
      </c>
      <c r="B1758" t="s">
        <v>3417</v>
      </c>
      <c r="C1758" t="s">
        <v>353</v>
      </c>
      <c r="F1758" t="s">
        <v>3361</v>
      </c>
      <c r="G1758" t="s">
        <v>2746</v>
      </c>
      <c r="H1758" t="s">
        <v>2252</v>
      </c>
      <c r="I1758" t="s">
        <v>3418</v>
      </c>
      <c r="J1758" t="s">
        <v>3369</v>
      </c>
      <c r="K1758" t="s">
        <v>1661</v>
      </c>
      <c r="L1758" t="s">
        <v>3386</v>
      </c>
      <c r="M1758" t="s">
        <v>3364</v>
      </c>
      <c r="N1758" t="s">
        <v>3365</v>
      </c>
      <c r="O1758" t="s">
        <v>3366</v>
      </c>
      <c r="P1758" t="s">
        <v>3382</v>
      </c>
    </row>
    <row r="1759" spans="1:16" x14ac:dyDescent="0.3">
      <c r="A1759" t="s">
        <v>1619</v>
      </c>
      <c r="B1759" t="s">
        <v>3417</v>
      </c>
      <c r="C1759" t="s">
        <v>353</v>
      </c>
      <c r="F1759" t="s">
        <v>3361</v>
      </c>
      <c r="G1759" t="s">
        <v>2746</v>
      </c>
      <c r="H1759" t="s">
        <v>2252</v>
      </c>
      <c r="I1759" t="s">
        <v>3418</v>
      </c>
      <c r="J1759" t="s">
        <v>3369</v>
      </c>
      <c r="K1759" t="s">
        <v>1661</v>
      </c>
      <c r="L1759" t="s">
        <v>3386</v>
      </c>
      <c r="M1759" t="s">
        <v>3364</v>
      </c>
      <c r="N1759" t="s">
        <v>3365</v>
      </c>
      <c r="O1759" t="s">
        <v>3366</v>
      </c>
      <c r="P1759" t="s">
        <v>3382</v>
      </c>
    </row>
    <row r="1760" spans="1:16" x14ac:dyDescent="0.3">
      <c r="A1760" t="s">
        <v>1053</v>
      </c>
      <c r="B1760" t="s">
        <v>3417</v>
      </c>
      <c r="C1760" t="s">
        <v>353</v>
      </c>
      <c r="F1760" t="s">
        <v>3361</v>
      </c>
      <c r="G1760" t="s">
        <v>2746</v>
      </c>
      <c r="H1760" t="s">
        <v>2252</v>
      </c>
      <c r="I1760" t="s">
        <v>3418</v>
      </c>
      <c r="J1760" t="s">
        <v>3369</v>
      </c>
      <c r="K1760" t="s">
        <v>1661</v>
      </c>
      <c r="L1760" t="s">
        <v>3386</v>
      </c>
      <c r="M1760" t="s">
        <v>3364</v>
      </c>
      <c r="N1760" t="s">
        <v>3365</v>
      </c>
      <c r="O1760" t="s">
        <v>3366</v>
      </c>
      <c r="P1760" t="s">
        <v>3382</v>
      </c>
    </row>
    <row r="1761" spans="1:16" x14ac:dyDescent="0.3">
      <c r="A1761" t="s">
        <v>2617</v>
      </c>
      <c r="B1761" t="s">
        <v>3417</v>
      </c>
      <c r="C1761" t="s">
        <v>353</v>
      </c>
      <c r="F1761" t="s">
        <v>3361</v>
      </c>
      <c r="G1761" t="s">
        <v>2746</v>
      </c>
      <c r="H1761" t="s">
        <v>2252</v>
      </c>
      <c r="I1761" t="s">
        <v>3418</v>
      </c>
      <c r="J1761" t="s">
        <v>3369</v>
      </c>
      <c r="K1761" t="s">
        <v>1661</v>
      </c>
      <c r="L1761" t="s">
        <v>3386</v>
      </c>
      <c r="M1761" t="s">
        <v>3364</v>
      </c>
      <c r="N1761" t="s">
        <v>3365</v>
      </c>
      <c r="O1761" t="s">
        <v>3366</v>
      </c>
      <c r="P1761" t="s">
        <v>3382</v>
      </c>
    </row>
    <row r="1762" spans="1:16" x14ac:dyDescent="0.3">
      <c r="A1762" t="s">
        <v>2618</v>
      </c>
      <c r="B1762" t="s">
        <v>3417</v>
      </c>
      <c r="C1762" t="s">
        <v>353</v>
      </c>
      <c r="F1762" t="s">
        <v>3361</v>
      </c>
      <c r="G1762" t="s">
        <v>2746</v>
      </c>
      <c r="H1762" t="s">
        <v>2252</v>
      </c>
      <c r="I1762" t="s">
        <v>3418</v>
      </c>
      <c r="J1762" t="s">
        <v>3369</v>
      </c>
      <c r="K1762" t="s">
        <v>1661</v>
      </c>
      <c r="L1762" t="s">
        <v>3386</v>
      </c>
      <c r="M1762" t="s">
        <v>3364</v>
      </c>
      <c r="N1762" t="s">
        <v>3365</v>
      </c>
      <c r="O1762" t="s">
        <v>3366</v>
      </c>
      <c r="P1762" t="s">
        <v>3382</v>
      </c>
    </row>
    <row r="1763" spans="1:16" x14ac:dyDescent="0.3">
      <c r="A1763" t="s">
        <v>2619</v>
      </c>
      <c r="B1763" t="s">
        <v>3417</v>
      </c>
      <c r="C1763" t="s">
        <v>353</v>
      </c>
      <c r="F1763" t="s">
        <v>3361</v>
      </c>
      <c r="G1763" t="s">
        <v>2746</v>
      </c>
      <c r="H1763" t="s">
        <v>2252</v>
      </c>
      <c r="I1763" t="s">
        <v>3418</v>
      </c>
      <c r="J1763" t="s">
        <v>3369</v>
      </c>
      <c r="K1763" t="s">
        <v>1661</v>
      </c>
      <c r="L1763" t="s">
        <v>3386</v>
      </c>
      <c r="M1763" t="s">
        <v>3364</v>
      </c>
      <c r="N1763" t="s">
        <v>3365</v>
      </c>
      <c r="O1763" t="s">
        <v>3366</v>
      </c>
      <c r="P1763" t="s">
        <v>3382</v>
      </c>
    </row>
    <row r="1764" spans="1:16" x14ac:dyDescent="0.3">
      <c r="A1764" t="s">
        <v>2489</v>
      </c>
      <c r="B1764" t="s">
        <v>3417</v>
      </c>
      <c r="C1764" t="s">
        <v>353</v>
      </c>
      <c r="F1764" t="s">
        <v>3361</v>
      </c>
      <c r="G1764" t="s">
        <v>2746</v>
      </c>
      <c r="H1764" t="s">
        <v>2252</v>
      </c>
      <c r="I1764" t="s">
        <v>3418</v>
      </c>
      <c r="J1764" t="s">
        <v>3369</v>
      </c>
      <c r="K1764" t="s">
        <v>1661</v>
      </c>
      <c r="L1764" t="s">
        <v>3386</v>
      </c>
      <c r="M1764" t="s">
        <v>3364</v>
      </c>
      <c r="N1764" t="s">
        <v>3365</v>
      </c>
      <c r="O1764" t="s">
        <v>3366</v>
      </c>
      <c r="P1764" t="s">
        <v>3382</v>
      </c>
    </row>
    <row r="1765" spans="1:16" x14ac:dyDescent="0.3">
      <c r="A1765" t="s">
        <v>2620</v>
      </c>
      <c r="B1765" t="s">
        <v>3417</v>
      </c>
      <c r="C1765" t="s">
        <v>353</v>
      </c>
      <c r="F1765" t="s">
        <v>3361</v>
      </c>
      <c r="G1765" t="s">
        <v>2746</v>
      </c>
      <c r="H1765" t="s">
        <v>2252</v>
      </c>
      <c r="I1765" t="s">
        <v>3418</v>
      </c>
      <c r="J1765" t="s">
        <v>3369</v>
      </c>
      <c r="K1765" t="s">
        <v>1661</v>
      </c>
      <c r="L1765" t="s">
        <v>3386</v>
      </c>
      <c r="M1765" t="s">
        <v>3364</v>
      </c>
      <c r="N1765" t="s">
        <v>3365</v>
      </c>
      <c r="O1765" t="s">
        <v>3366</v>
      </c>
      <c r="P1765" t="s">
        <v>3382</v>
      </c>
    </row>
    <row r="1766" spans="1:16" x14ac:dyDescent="0.3">
      <c r="A1766" t="s">
        <v>2621</v>
      </c>
      <c r="B1766" t="s">
        <v>3417</v>
      </c>
      <c r="C1766" t="s">
        <v>353</v>
      </c>
      <c r="F1766" t="s">
        <v>3361</v>
      </c>
      <c r="G1766" t="s">
        <v>2746</v>
      </c>
      <c r="H1766" t="s">
        <v>2252</v>
      </c>
      <c r="I1766" t="s">
        <v>3418</v>
      </c>
      <c r="J1766" t="s">
        <v>3369</v>
      </c>
      <c r="K1766" t="s">
        <v>1661</v>
      </c>
      <c r="L1766" t="s">
        <v>3386</v>
      </c>
      <c r="M1766" t="s">
        <v>3364</v>
      </c>
      <c r="N1766" t="s">
        <v>3365</v>
      </c>
      <c r="O1766" t="s">
        <v>3366</v>
      </c>
      <c r="P1766" t="s">
        <v>3382</v>
      </c>
    </row>
    <row r="1767" spans="1:16" x14ac:dyDescent="0.3">
      <c r="A1767" t="s">
        <v>2622</v>
      </c>
      <c r="B1767" t="s">
        <v>3417</v>
      </c>
      <c r="C1767" t="s">
        <v>353</v>
      </c>
      <c r="F1767" t="s">
        <v>3361</v>
      </c>
      <c r="G1767" t="s">
        <v>2746</v>
      </c>
      <c r="H1767" t="s">
        <v>2252</v>
      </c>
      <c r="I1767" t="s">
        <v>3418</v>
      </c>
      <c r="J1767" t="s">
        <v>3369</v>
      </c>
      <c r="K1767" t="s">
        <v>1661</v>
      </c>
      <c r="L1767" t="s">
        <v>3386</v>
      </c>
      <c r="M1767" t="s">
        <v>3364</v>
      </c>
      <c r="N1767" t="s">
        <v>3365</v>
      </c>
      <c r="O1767" t="s">
        <v>3366</v>
      </c>
      <c r="P1767" t="s">
        <v>3382</v>
      </c>
    </row>
    <row r="1768" spans="1:16" x14ac:dyDescent="0.3">
      <c r="A1768" t="s">
        <v>2623</v>
      </c>
      <c r="B1768" t="s">
        <v>3417</v>
      </c>
      <c r="C1768" t="s">
        <v>353</v>
      </c>
      <c r="F1768" t="s">
        <v>3361</v>
      </c>
      <c r="G1768" t="s">
        <v>2746</v>
      </c>
      <c r="H1768" t="s">
        <v>2252</v>
      </c>
      <c r="I1768" t="s">
        <v>3418</v>
      </c>
      <c r="J1768" t="s">
        <v>3369</v>
      </c>
      <c r="K1768" t="s">
        <v>1661</v>
      </c>
      <c r="L1768" t="s">
        <v>3386</v>
      </c>
      <c r="M1768" t="s">
        <v>3364</v>
      </c>
      <c r="N1768" t="s">
        <v>3365</v>
      </c>
      <c r="O1768" t="s">
        <v>3366</v>
      </c>
      <c r="P1768" t="s">
        <v>3382</v>
      </c>
    </row>
    <row r="1769" spans="1:16" x14ac:dyDescent="0.3">
      <c r="A1769" t="s">
        <v>2624</v>
      </c>
      <c r="B1769" t="s">
        <v>3417</v>
      </c>
      <c r="C1769" t="s">
        <v>353</v>
      </c>
      <c r="F1769" t="s">
        <v>3361</v>
      </c>
      <c r="G1769" t="s">
        <v>2746</v>
      </c>
      <c r="H1769" t="s">
        <v>2252</v>
      </c>
      <c r="I1769" t="s">
        <v>3418</v>
      </c>
      <c r="J1769" t="s">
        <v>3369</v>
      </c>
      <c r="K1769" t="s">
        <v>1661</v>
      </c>
      <c r="L1769" t="s">
        <v>3386</v>
      </c>
      <c r="M1769" t="s">
        <v>3364</v>
      </c>
      <c r="N1769" t="s">
        <v>3365</v>
      </c>
      <c r="O1769" t="s">
        <v>3366</v>
      </c>
      <c r="P1769" t="s">
        <v>3382</v>
      </c>
    </row>
    <row r="1770" spans="1:16" x14ac:dyDescent="0.3">
      <c r="A1770" t="s">
        <v>2492</v>
      </c>
      <c r="B1770" t="s">
        <v>3417</v>
      </c>
      <c r="C1770" t="s">
        <v>353</v>
      </c>
      <c r="F1770" t="s">
        <v>3361</v>
      </c>
      <c r="G1770" t="s">
        <v>2746</v>
      </c>
      <c r="H1770" t="s">
        <v>2252</v>
      </c>
      <c r="I1770" t="s">
        <v>3418</v>
      </c>
      <c r="J1770" t="s">
        <v>3369</v>
      </c>
      <c r="K1770" t="s">
        <v>1661</v>
      </c>
      <c r="L1770" t="s">
        <v>3386</v>
      </c>
      <c r="M1770" t="s">
        <v>3364</v>
      </c>
      <c r="N1770" t="s">
        <v>3365</v>
      </c>
      <c r="O1770" t="s">
        <v>3366</v>
      </c>
      <c r="P1770" t="s">
        <v>3382</v>
      </c>
    </row>
    <row r="1771" spans="1:16" x14ac:dyDescent="0.3">
      <c r="A1771" t="s">
        <v>726</v>
      </c>
      <c r="B1771" t="s">
        <v>3417</v>
      </c>
      <c r="C1771" t="s">
        <v>2625</v>
      </c>
      <c r="F1771" t="s">
        <v>3361</v>
      </c>
      <c r="G1771" t="s">
        <v>2746</v>
      </c>
      <c r="H1771" t="s">
        <v>2242</v>
      </c>
      <c r="I1771" t="s">
        <v>3418</v>
      </c>
      <c r="J1771" t="s">
        <v>3369</v>
      </c>
      <c r="K1771" t="s">
        <v>1661</v>
      </c>
      <c r="L1771" t="s">
        <v>3386</v>
      </c>
      <c r="M1771" t="s">
        <v>3364</v>
      </c>
      <c r="N1771" t="s">
        <v>3365</v>
      </c>
      <c r="O1771" t="s">
        <v>3366</v>
      </c>
      <c r="P1771" t="s">
        <v>3382</v>
      </c>
    </row>
    <row r="1772" spans="1:16" x14ac:dyDescent="0.3">
      <c r="A1772" t="s">
        <v>2630</v>
      </c>
      <c r="B1772" t="s">
        <v>3417</v>
      </c>
      <c r="C1772" t="s">
        <v>2625</v>
      </c>
      <c r="F1772" t="s">
        <v>3361</v>
      </c>
      <c r="G1772" t="s">
        <v>2746</v>
      </c>
      <c r="H1772" t="s">
        <v>2242</v>
      </c>
      <c r="I1772" t="s">
        <v>3418</v>
      </c>
      <c r="J1772" t="s">
        <v>3369</v>
      </c>
      <c r="K1772" t="s">
        <v>1661</v>
      </c>
      <c r="L1772" t="s">
        <v>3386</v>
      </c>
      <c r="M1772" t="s">
        <v>3364</v>
      </c>
      <c r="N1772" t="s">
        <v>3365</v>
      </c>
      <c r="O1772" t="s">
        <v>3366</v>
      </c>
      <c r="P1772" t="s">
        <v>3382</v>
      </c>
    </row>
    <row r="1773" spans="1:16" x14ac:dyDescent="0.3">
      <c r="A1773" t="s">
        <v>2625</v>
      </c>
      <c r="B1773" t="s">
        <v>3417</v>
      </c>
      <c r="C1773" t="s">
        <v>2625</v>
      </c>
      <c r="F1773" t="s">
        <v>3361</v>
      </c>
      <c r="G1773" t="s">
        <v>2746</v>
      </c>
      <c r="H1773" t="s">
        <v>2242</v>
      </c>
      <c r="I1773" t="s">
        <v>3418</v>
      </c>
      <c r="J1773" t="s">
        <v>3369</v>
      </c>
      <c r="K1773" t="s">
        <v>1661</v>
      </c>
      <c r="L1773" t="s">
        <v>3386</v>
      </c>
      <c r="M1773" t="s">
        <v>3364</v>
      </c>
      <c r="N1773" t="s">
        <v>3365</v>
      </c>
      <c r="O1773" t="s">
        <v>3366</v>
      </c>
      <c r="P1773" t="s">
        <v>3382</v>
      </c>
    </row>
    <row r="1774" spans="1:16" x14ac:dyDescent="0.3">
      <c r="A1774" t="s">
        <v>1577</v>
      </c>
      <c r="B1774" t="s">
        <v>3417</v>
      </c>
      <c r="C1774" t="s">
        <v>2625</v>
      </c>
      <c r="F1774" t="s">
        <v>3361</v>
      </c>
      <c r="G1774" t="s">
        <v>2746</v>
      </c>
      <c r="H1774" t="s">
        <v>2244</v>
      </c>
      <c r="I1774" t="s">
        <v>3418</v>
      </c>
      <c r="J1774" t="s">
        <v>3369</v>
      </c>
      <c r="K1774" t="s">
        <v>1661</v>
      </c>
      <c r="L1774" t="s">
        <v>3386</v>
      </c>
      <c r="M1774" t="s">
        <v>3364</v>
      </c>
      <c r="N1774" t="s">
        <v>3365</v>
      </c>
      <c r="O1774" t="s">
        <v>3366</v>
      </c>
      <c r="P1774" t="s">
        <v>3382</v>
      </c>
    </row>
    <row r="1775" spans="1:16" x14ac:dyDescent="0.3">
      <c r="A1775" t="s">
        <v>727</v>
      </c>
      <c r="B1775" t="s">
        <v>3417</v>
      </c>
      <c r="C1775" t="s">
        <v>2625</v>
      </c>
      <c r="F1775" t="s">
        <v>3361</v>
      </c>
      <c r="G1775" t="s">
        <v>2746</v>
      </c>
      <c r="H1775" t="s">
        <v>2244</v>
      </c>
      <c r="I1775" t="s">
        <v>3418</v>
      </c>
      <c r="J1775" t="s">
        <v>3369</v>
      </c>
      <c r="K1775" t="s">
        <v>1661</v>
      </c>
      <c r="L1775" t="s">
        <v>3386</v>
      </c>
      <c r="M1775" t="s">
        <v>3364</v>
      </c>
      <c r="N1775" t="s">
        <v>3365</v>
      </c>
      <c r="O1775" t="s">
        <v>3366</v>
      </c>
      <c r="P1775" t="s">
        <v>3382</v>
      </c>
    </row>
    <row r="1776" spans="1:16" x14ac:dyDescent="0.3">
      <c r="A1776" t="s">
        <v>729</v>
      </c>
      <c r="B1776" t="s">
        <v>3417</v>
      </c>
      <c r="C1776" t="s">
        <v>2625</v>
      </c>
      <c r="F1776" t="s">
        <v>3361</v>
      </c>
      <c r="G1776" t="s">
        <v>2746</v>
      </c>
      <c r="H1776" t="s">
        <v>2244</v>
      </c>
      <c r="I1776" t="s">
        <v>3418</v>
      </c>
      <c r="J1776" t="s">
        <v>3369</v>
      </c>
      <c r="K1776" t="s">
        <v>1661</v>
      </c>
      <c r="L1776" t="s">
        <v>3386</v>
      </c>
      <c r="M1776" t="s">
        <v>3364</v>
      </c>
      <c r="N1776" t="s">
        <v>3365</v>
      </c>
      <c r="O1776" t="s">
        <v>3366</v>
      </c>
      <c r="P1776" t="s">
        <v>3382</v>
      </c>
    </row>
    <row r="1777" spans="1:16" x14ac:dyDescent="0.3">
      <c r="A1777" t="s">
        <v>2631</v>
      </c>
      <c r="B1777" t="s">
        <v>3417</v>
      </c>
      <c r="C1777" t="s">
        <v>2625</v>
      </c>
      <c r="F1777" t="s">
        <v>3361</v>
      </c>
      <c r="G1777" t="s">
        <v>2746</v>
      </c>
      <c r="H1777" t="s">
        <v>2244</v>
      </c>
      <c r="I1777" t="s">
        <v>3418</v>
      </c>
      <c r="J1777" t="s">
        <v>3369</v>
      </c>
      <c r="K1777" t="s">
        <v>1661</v>
      </c>
      <c r="L1777" t="s">
        <v>3386</v>
      </c>
      <c r="M1777" t="s">
        <v>3364</v>
      </c>
      <c r="N1777" t="s">
        <v>3365</v>
      </c>
      <c r="O1777" t="s">
        <v>3366</v>
      </c>
      <c r="P1777" t="s">
        <v>3382</v>
      </c>
    </row>
    <row r="1778" spans="1:16" x14ac:dyDescent="0.3">
      <c r="A1778" t="s">
        <v>2632</v>
      </c>
      <c r="B1778" t="s">
        <v>3417</v>
      </c>
      <c r="C1778" t="s">
        <v>2625</v>
      </c>
      <c r="F1778" t="s">
        <v>3361</v>
      </c>
      <c r="G1778" t="s">
        <v>2746</v>
      </c>
      <c r="H1778" t="s">
        <v>2244</v>
      </c>
      <c r="I1778" t="s">
        <v>3418</v>
      </c>
      <c r="J1778" t="s">
        <v>3369</v>
      </c>
      <c r="K1778" t="s">
        <v>1661</v>
      </c>
      <c r="L1778" t="s">
        <v>3386</v>
      </c>
      <c r="M1778" t="s">
        <v>3364</v>
      </c>
      <c r="N1778" t="s">
        <v>3365</v>
      </c>
      <c r="O1778" t="s">
        <v>3366</v>
      </c>
      <c r="P1778" t="s">
        <v>3382</v>
      </c>
    </row>
    <row r="1779" spans="1:16" x14ac:dyDescent="0.3">
      <c r="A1779" t="s">
        <v>2633</v>
      </c>
      <c r="B1779" t="s">
        <v>3417</v>
      </c>
      <c r="C1779" t="s">
        <v>2625</v>
      </c>
      <c r="F1779" t="s">
        <v>3361</v>
      </c>
      <c r="G1779" t="s">
        <v>2746</v>
      </c>
      <c r="H1779" t="s">
        <v>2244</v>
      </c>
      <c r="I1779" t="s">
        <v>3418</v>
      </c>
      <c r="J1779" t="s">
        <v>3369</v>
      </c>
      <c r="K1779" t="s">
        <v>1661</v>
      </c>
      <c r="L1779" t="s">
        <v>3386</v>
      </c>
      <c r="M1779" t="s">
        <v>3364</v>
      </c>
      <c r="N1779" t="s">
        <v>3365</v>
      </c>
      <c r="O1779" t="s">
        <v>3366</v>
      </c>
      <c r="P1779" t="s">
        <v>3382</v>
      </c>
    </row>
    <row r="1780" spans="1:16" x14ac:dyDescent="0.3">
      <c r="A1780" t="s">
        <v>2634</v>
      </c>
      <c r="B1780" t="s">
        <v>3417</v>
      </c>
      <c r="C1780" t="s">
        <v>2625</v>
      </c>
      <c r="F1780" t="s">
        <v>3361</v>
      </c>
      <c r="G1780" t="s">
        <v>2746</v>
      </c>
      <c r="H1780" t="s">
        <v>2244</v>
      </c>
      <c r="I1780" t="s">
        <v>3418</v>
      </c>
      <c r="J1780" t="s">
        <v>3369</v>
      </c>
      <c r="K1780" t="s">
        <v>1661</v>
      </c>
      <c r="L1780" t="s">
        <v>3386</v>
      </c>
      <c r="M1780" t="s">
        <v>3364</v>
      </c>
      <c r="N1780" t="s">
        <v>3365</v>
      </c>
      <c r="O1780" t="s">
        <v>3366</v>
      </c>
      <c r="P1780" t="s">
        <v>3382</v>
      </c>
    </row>
    <row r="1781" spans="1:16" x14ac:dyDescent="0.3">
      <c r="A1781" t="s">
        <v>2635</v>
      </c>
      <c r="B1781" t="s">
        <v>3417</v>
      </c>
      <c r="C1781" t="s">
        <v>2625</v>
      </c>
      <c r="F1781" t="s">
        <v>3361</v>
      </c>
      <c r="G1781" t="s">
        <v>2746</v>
      </c>
      <c r="H1781" t="s">
        <v>2244</v>
      </c>
      <c r="I1781" t="s">
        <v>3418</v>
      </c>
      <c r="J1781" t="s">
        <v>3369</v>
      </c>
      <c r="K1781" t="s">
        <v>1661</v>
      </c>
      <c r="L1781" t="s">
        <v>3386</v>
      </c>
      <c r="M1781" t="s">
        <v>3364</v>
      </c>
      <c r="N1781" t="s">
        <v>3365</v>
      </c>
      <c r="O1781" t="s">
        <v>3366</v>
      </c>
      <c r="P1781" t="s">
        <v>3382</v>
      </c>
    </row>
    <row r="1782" spans="1:16" x14ac:dyDescent="0.3">
      <c r="A1782" t="s">
        <v>2636</v>
      </c>
      <c r="B1782" t="s">
        <v>3417</v>
      </c>
      <c r="C1782" t="s">
        <v>2625</v>
      </c>
      <c r="F1782" t="s">
        <v>3361</v>
      </c>
      <c r="G1782" t="s">
        <v>2746</v>
      </c>
      <c r="H1782" t="s">
        <v>2244</v>
      </c>
      <c r="I1782" t="s">
        <v>3418</v>
      </c>
      <c r="J1782" t="s">
        <v>3369</v>
      </c>
      <c r="K1782" t="s">
        <v>1661</v>
      </c>
      <c r="L1782" t="s">
        <v>3386</v>
      </c>
      <c r="M1782" t="s">
        <v>3364</v>
      </c>
      <c r="N1782" t="s">
        <v>3365</v>
      </c>
      <c r="O1782" t="s">
        <v>3366</v>
      </c>
      <c r="P1782" t="s">
        <v>3382</v>
      </c>
    </row>
    <row r="1783" spans="1:16" x14ac:dyDescent="0.3">
      <c r="A1783" t="s">
        <v>2370</v>
      </c>
      <c r="B1783" t="s">
        <v>3417</v>
      </c>
      <c r="C1783" t="s">
        <v>2625</v>
      </c>
      <c r="F1783" t="s">
        <v>3361</v>
      </c>
      <c r="G1783" t="s">
        <v>2746</v>
      </c>
      <c r="H1783" t="s">
        <v>2244</v>
      </c>
      <c r="I1783" t="s">
        <v>3418</v>
      </c>
      <c r="J1783" t="s">
        <v>3369</v>
      </c>
      <c r="K1783" t="s">
        <v>1661</v>
      </c>
      <c r="L1783" t="s">
        <v>3386</v>
      </c>
      <c r="M1783" t="s">
        <v>3364</v>
      </c>
      <c r="N1783" t="s">
        <v>3365</v>
      </c>
      <c r="O1783" t="s">
        <v>3366</v>
      </c>
      <c r="P1783" t="s">
        <v>3382</v>
      </c>
    </row>
    <row r="1784" spans="1:16" x14ac:dyDescent="0.3">
      <c r="A1784" t="s">
        <v>2637</v>
      </c>
      <c r="B1784" t="s">
        <v>3417</v>
      </c>
      <c r="C1784" t="s">
        <v>2625</v>
      </c>
      <c r="F1784" t="s">
        <v>3361</v>
      </c>
      <c r="G1784" t="s">
        <v>2746</v>
      </c>
      <c r="H1784" t="s">
        <v>2244</v>
      </c>
      <c r="I1784" t="s">
        <v>3418</v>
      </c>
      <c r="J1784" t="s">
        <v>3369</v>
      </c>
      <c r="K1784" t="s">
        <v>1661</v>
      </c>
      <c r="L1784" t="s">
        <v>3386</v>
      </c>
      <c r="M1784" t="s">
        <v>3364</v>
      </c>
      <c r="N1784" t="s">
        <v>3365</v>
      </c>
      <c r="O1784" t="s">
        <v>3366</v>
      </c>
      <c r="P1784" t="s">
        <v>3382</v>
      </c>
    </row>
    <row r="1785" spans="1:16" x14ac:dyDescent="0.3">
      <c r="A1785" t="s">
        <v>2638</v>
      </c>
      <c r="B1785" t="s">
        <v>3417</v>
      </c>
      <c r="C1785" t="s">
        <v>2625</v>
      </c>
      <c r="F1785" t="s">
        <v>3361</v>
      </c>
      <c r="G1785" t="s">
        <v>2746</v>
      </c>
      <c r="H1785" t="s">
        <v>2244</v>
      </c>
      <c r="I1785" t="s">
        <v>3418</v>
      </c>
      <c r="J1785" t="s">
        <v>3369</v>
      </c>
      <c r="K1785" t="s">
        <v>1661</v>
      </c>
      <c r="L1785" t="s">
        <v>3386</v>
      </c>
      <c r="M1785" t="s">
        <v>3364</v>
      </c>
      <c r="N1785" t="s">
        <v>3365</v>
      </c>
      <c r="O1785" t="s">
        <v>3366</v>
      </c>
      <c r="P1785" t="s">
        <v>3382</v>
      </c>
    </row>
    <row r="1786" spans="1:16" x14ac:dyDescent="0.3">
      <c r="A1786" t="s">
        <v>2639</v>
      </c>
      <c r="B1786" t="s">
        <v>3417</v>
      </c>
      <c r="C1786" t="s">
        <v>2625</v>
      </c>
      <c r="F1786" t="s">
        <v>3361</v>
      </c>
      <c r="G1786" t="s">
        <v>2746</v>
      </c>
      <c r="H1786" t="s">
        <v>2244</v>
      </c>
      <c r="I1786" t="s">
        <v>3418</v>
      </c>
      <c r="J1786" t="s">
        <v>3369</v>
      </c>
      <c r="K1786" t="s">
        <v>1661</v>
      </c>
      <c r="L1786" t="s">
        <v>3386</v>
      </c>
      <c r="M1786" t="s">
        <v>3364</v>
      </c>
      <c r="N1786" t="s">
        <v>3365</v>
      </c>
      <c r="O1786" t="s">
        <v>3366</v>
      </c>
      <c r="P1786" t="s">
        <v>3382</v>
      </c>
    </row>
    <row r="1787" spans="1:16" x14ac:dyDescent="0.3">
      <c r="A1787" t="s">
        <v>2640</v>
      </c>
      <c r="B1787" t="s">
        <v>3417</v>
      </c>
      <c r="C1787" t="s">
        <v>2625</v>
      </c>
      <c r="F1787" t="s">
        <v>3361</v>
      </c>
      <c r="G1787" t="s">
        <v>2746</v>
      </c>
      <c r="H1787" t="s">
        <v>2246</v>
      </c>
      <c r="I1787" t="s">
        <v>3418</v>
      </c>
      <c r="J1787" t="s">
        <v>3369</v>
      </c>
      <c r="K1787" t="s">
        <v>1661</v>
      </c>
      <c r="L1787" t="s">
        <v>3386</v>
      </c>
      <c r="M1787" t="s">
        <v>3364</v>
      </c>
      <c r="N1787" t="s">
        <v>3365</v>
      </c>
      <c r="O1787" t="s">
        <v>3366</v>
      </c>
      <c r="P1787" t="s">
        <v>3382</v>
      </c>
    </row>
    <row r="1788" spans="1:16" x14ac:dyDescent="0.3">
      <c r="A1788" t="s">
        <v>2641</v>
      </c>
      <c r="B1788" t="s">
        <v>3417</v>
      </c>
      <c r="C1788" t="s">
        <v>2625</v>
      </c>
      <c r="F1788" t="s">
        <v>3361</v>
      </c>
      <c r="G1788" t="s">
        <v>2746</v>
      </c>
      <c r="H1788" t="s">
        <v>2246</v>
      </c>
      <c r="I1788" t="s">
        <v>3418</v>
      </c>
      <c r="J1788" t="s">
        <v>3369</v>
      </c>
      <c r="K1788" t="s">
        <v>1661</v>
      </c>
      <c r="L1788" t="s">
        <v>3386</v>
      </c>
      <c r="M1788" t="s">
        <v>3364</v>
      </c>
      <c r="N1788" t="s">
        <v>3365</v>
      </c>
      <c r="O1788" t="s">
        <v>3366</v>
      </c>
      <c r="P1788" t="s">
        <v>3382</v>
      </c>
    </row>
    <row r="1789" spans="1:16" x14ac:dyDescent="0.3">
      <c r="A1789" t="s">
        <v>2642</v>
      </c>
      <c r="B1789" t="s">
        <v>3417</v>
      </c>
      <c r="C1789" t="s">
        <v>2625</v>
      </c>
      <c r="F1789" t="s">
        <v>3361</v>
      </c>
      <c r="G1789" t="s">
        <v>2746</v>
      </c>
      <c r="H1789" t="s">
        <v>2246</v>
      </c>
      <c r="I1789" t="s">
        <v>3418</v>
      </c>
      <c r="J1789" t="s">
        <v>3369</v>
      </c>
      <c r="K1789" t="s">
        <v>1661</v>
      </c>
      <c r="L1789" t="s">
        <v>3386</v>
      </c>
      <c r="M1789" t="s">
        <v>3364</v>
      </c>
      <c r="N1789" t="s">
        <v>3365</v>
      </c>
      <c r="O1789" t="s">
        <v>3366</v>
      </c>
      <c r="P1789" t="s">
        <v>3382</v>
      </c>
    </row>
    <row r="1790" spans="1:16" x14ac:dyDescent="0.3">
      <c r="A1790" t="s">
        <v>2643</v>
      </c>
      <c r="B1790" t="s">
        <v>3417</v>
      </c>
      <c r="C1790" t="s">
        <v>2625</v>
      </c>
      <c r="F1790" t="s">
        <v>3361</v>
      </c>
      <c r="G1790" t="s">
        <v>2746</v>
      </c>
      <c r="H1790" t="s">
        <v>2246</v>
      </c>
      <c r="I1790" t="s">
        <v>3418</v>
      </c>
      <c r="J1790" t="s">
        <v>3369</v>
      </c>
      <c r="K1790" t="s">
        <v>1661</v>
      </c>
      <c r="L1790" t="s">
        <v>3386</v>
      </c>
      <c r="M1790" t="s">
        <v>3364</v>
      </c>
      <c r="N1790" t="s">
        <v>3365</v>
      </c>
      <c r="O1790" t="s">
        <v>3366</v>
      </c>
      <c r="P1790" t="s">
        <v>3382</v>
      </c>
    </row>
    <row r="1791" spans="1:16" x14ac:dyDescent="0.3">
      <c r="A1791" t="s">
        <v>2644</v>
      </c>
      <c r="B1791" t="s">
        <v>3417</v>
      </c>
      <c r="C1791" t="s">
        <v>2625</v>
      </c>
      <c r="F1791" t="s">
        <v>3361</v>
      </c>
      <c r="G1791" t="s">
        <v>2746</v>
      </c>
      <c r="H1791" t="s">
        <v>2246</v>
      </c>
      <c r="I1791" t="s">
        <v>3418</v>
      </c>
      <c r="J1791" t="s">
        <v>3369</v>
      </c>
      <c r="K1791" t="s">
        <v>1661</v>
      </c>
      <c r="L1791" t="s">
        <v>3386</v>
      </c>
      <c r="M1791" t="s">
        <v>3364</v>
      </c>
      <c r="N1791" t="s">
        <v>3365</v>
      </c>
      <c r="O1791" t="s">
        <v>3366</v>
      </c>
      <c r="P1791" t="s">
        <v>3382</v>
      </c>
    </row>
    <row r="1792" spans="1:16" x14ac:dyDescent="0.3">
      <c r="A1792" t="s">
        <v>2645</v>
      </c>
      <c r="B1792" t="s">
        <v>3417</v>
      </c>
      <c r="C1792" t="s">
        <v>2625</v>
      </c>
      <c r="F1792" t="s">
        <v>3361</v>
      </c>
      <c r="G1792" t="s">
        <v>2746</v>
      </c>
      <c r="H1792" t="s">
        <v>2246</v>
      </c>
      <c r="I1792" t="s">
        <v>3418</v>
      </c>
      <c r="J1792" t="s">
        <v>3369</v>
      </c>
      <c r="K1792" t="s">
        <v>1661</v>
      </c>
      <c r="L1792" t="s">
        <v>3386</v>
      </c>
      <c r="M1792" t="s">
        <v>3364</v>
      </c>
      <c r="N1792" t="s">
        <v>3365</v>
      </c>
      <c r="O1792" t="s">
        <v>3366</v>
      </c>
      <c r="P1792" t="s">
        <v>3382</v>
      </c>
    </row>
    <row r="1793" spans="1:16" x14ac:dyDescent="0.3">
      <c r="A1793" t="s">
        <v>2646</v>
      </c>
      <c r="B1793" t="s">
        <v>3417</v>
      </c>
      <c r="C1793" t="s">
        <v>2625</v>
      </c>
      <c r="F1793" t="s">
        <v>3361</v>
      </c>
      <c r="G1793" t="s">
        <v>2746</v>
      </c>
      <c r="H1793" t="s">
        <v>2246</v>
      </c>
      <c r="I1793" t="s">
        <v>3418</v>
      </c>
      <c r="J1793" t="s">
        <v>3369</v>
      </c>
      <c r="K1793" t="s">
        <v>1661</v>
      </c>
      <c r="L1793" t="s">
        <v>3386</v>
      </c>
      <c r="M1793" t="s">
        <v>3364</v>
      </c>
      <c r="N1793" t="s">
        <v>3365</v>
      </c>
      <c r="O1793" t="s">
        <v>3366</v>
      </c>
      <c r="P1793" t="s">
        <v>3382</v>
      </c>
    </row>
    <row r="1794" spans="1:16" x14ac:dyDescent="0.3">
      <c r="A1794" t="s">
        <v>2647</v>
      </c>
      <c r="B1794" t="s">
        <v>3417</v>
      </c>
      <c r="C1794" t="s">
        <v>2625</v>
      </c>
      <c r="F1794" t="s">
        <v>3361</v>
      </c>
      <c r="G1794" t="s">
        <v>2746</v>
      </c>
      <c r="H1794" t="s">
        <v>2246</v>
      </c>
      <c r="I1794" t="s">
        <v>3418</v>
      </c>
      <c r="J1794" t="s">
        <v>3369</v>
      </c>
      <c r="K1794" t="s">
        <v>1661</v>
      </c>
      <c r="L1794" t="s">
        <v>3386</v>
      </c>
      <c r="M1794" t="s">
        <v>3364</v>
      </c>
      <c r="N1794" t="s">
        <v>3365</v>
      </c>
      <c r="O1794" t="s">
        <v>3366</v>
      </c>
      <c r="P1794" t="s">
        <v>3382</v>
      </c>
    </row>
    <row r="1795" spans="1:16" x14ac:dyDescent="0.3">
      <c r="A1795" t="s">
        <v>2648</v>
      </c>
      <c r="B1795" t="s">
        <v>3417</v>
      </c>
      <c r="C1795" t="s">
        <v>2625</v>
      </c>
      <c r="F1795" t="s">
        <v>3361</v>
      </c>
      <c r="G1795" t="s">
        <v>2746</v>
      </c>
      <c r="H1795" t="s">
        <v>2246</v>
      </c>
      <c r="I1795" t="s">
        <v>3418</v>
      </c>
      <c r="J1795" t="s">
        <v>3369</v>
      </c>
      <c r="K1795" t="s">
        <v>1661</v>
      </c>
      <c r="L1795" t="s">
        <v>3386</v>
      </c>
      <c r="M1795" t="s">
        <v>3364</v>
      </c>
      <c r="N1795" t="s">
        <v>3365</v>
      </c>
      <c r="O1795" t="s">
        <v>3366</v>
      </c>
      <c r="P1795" t="s">
        <v>3382</v>
      </c>
    </row>
    <row r="1796" spans="1:16" x14ac:dyDescent="0.3">
      <c r="A1796" t="s">
        <v>2649</v>
      </c>
      <c r="B1796" t="s">
        <v>3417</v>
      </c>
      <c r="C1796" t="s">
        <v>2625</v>
      </c>
      <c r="F1796" t="s">
        <v>3361</v>
      </c>
      <c r="G1796" t="s">
        <v>2746</v>
      </c>
      <c r="H1796" t="s">
        <v>2246</v>
      </c>
      <c r="I1796" t="s">
        <v>3418</v>
      </c>
      <c r="J1796" t="s">
        <v>3369</v>
      </c>
      <c r="K1796" t="s">
        <v>1661</v>
      </c>
      <c r="L1796" t="s">
        <v>3386</v>
      </c>
      <c r="M1796" t="s">
        <v>3364</v>
      </c>
      <c r="N1796" t="s">
        <v>3365</v>
      </c>
      <c r="O1796" t="s">
        <v>3366</v>
      </c>
      <c r="P1796" t="s">
        <v>3382</v>
      </c>
    </row>
    <row r="1797" spans="1:16" x14ac:dyDescent="0.3">
      <c r="A1797" t="s">
        <v>2650</v>
      </c>
      <c r="B1797" t="s">
        <v>3417</v>
      </c>
      <c r="C1797" t="s">
        <v>2625</v>
      </c>
      <c r="F1797" t="s">
        <v>3361</v>
      </c>
      <c r="G1797" t="s">
        <v>2746</v>
      </c>
      <c r="H1797" t="s">
        <v>2246</v>
      </c>
      <c r="I1797" t="s">
        <v>3418</v>
      </c>
      <c r="J1797" t="s">
        <v>3369</v>
      </c>
      <c r="K1797" t="s">
        <v>1661</v>
      </c>
      <c r="L1797" t="s">
        <v>3386</v>
      </c>
      <c r="M1797" t="s">
        <v>3364</v>
      </c>
      <c r="N1797" t="s">
        <v>3365</v>
      </c>
      <c r="O1797" t="s">
        <v>3366</v>
      </c>
      <c r="P1797" t="s">
        <v>3382</v>
      </c>
    </row>
    <row r="1798" spans="1:16" x14ac:dyDescent="0.3">
      <c r="A1798" t="s">
        <v>2651</v>
      </c>
      <c r="B1798" t="s">
        <v>3417</v>
      </c>
      <c r="C1798" t="s">
        <v>2625</v>
      </c>
      <c r="F1798" t="s">
        <v>3361</v>
      </c>
      <c r="G1798" t="s">
        <v>2746</v>
      </c>
      <c r="H1798" t="s">
        <v>2246</v>
      </c>
      <c r="I1798" t="s">
        <v>3418</v>
      </c>
      <c r="J1798" t="s">
        <v>3369</v>
      </c>
      <c r="K1798" t="s">
        <v>1661</v>
      </c>
      <c r="L1798" t="s">
        <v>3386</v>
      </c>
      <c r="M1798" t="s">
        <v>3364</v>
      </c>
      <c r="N1798" t="s">
        <v>3365</v>
      </c>
      <c r="O1798" t="s">
        <v>3366</v>
      </c>
      <c r="P1798" t="s">
        <v>3382</v>
      </c>
    </row>
    <row r="1799" spans="1:16" x14ac:dyDescent="0.3">
      <c r="A1799" t="s">
        <v>2652</v>
      </c>
      <c r="B1799" t="s">
        <v>3417</v>
      </c>
      <c r="C1799" t="s">
        <v>2625</v>
      </c>
      <c r="F1799" t="s">
        <v>3361</v>
      </c>
      <c r="G1799" t="s">
        <v>2746</v>
      </c>
      <c r="H1799" t="s">
        <v>2248</v>
      </c>
      <c r="I1799" t="s">
        <v>3418</v>
      </c>
      <c r="J1799" t="s">
        <v>3369</v>
      </c>
      <c r="K1799" t="s">
        <v>1661</v>
      </c>
      <c r="L1799" t="s">
        <v>2043</v>
      </c>
      <c r="M1799" t="s">
        <v>3364</v>
      </c>
      <c r="N1799" t="s">
        <v>3365</v>
      </c>
      <c r="O1799" t="s">
        <v>3366</v>
      </c>
      <c r="P1799" t="s">
        <v>3382</v>
      </c>
    </row>
    <row r="1800" spans="1:16" x14ac:dyDescent="0.3">
      <c r="A1800" t="s">
        <v>2653</v>
      </c>
      <c r="B1800" t="s">
        <v>3417</v>
      </c>
      <c r="C1800" t="s">
        <v>2625</v>
      </c>
      <c r="F1800" t="s">
        <v>3361</v>
      </c>
      <c r="G1800" t="s">
        <v>2746</v>
      </c>
      <c r="H1800" t="s">
        <v>2248</v>
      </c>
      <c r="I1800" t="s">
        <v>3418</v>
      </c>
      <c r="J1800" t="s">
        <v>3369</v>
      </c>
      <c r="K1800" t="s">
        <v>1661</v>
      </c>
      <c r="L1800" t="s">
        <v>2043</v>
      </c>
      <c r="M1800" t="s">
        <v>3364</v>
      </c>
      <c r="N1800" t="s">
        <v>3365</v>
      </c>
      <c r="O1800" t="s">
        <v>3366</v>
      </c>
      <c r="P1800" t="s">
        <v>3382</v>
      </c>
    </row>
    <row r="1801" spans="1:16" x14ac:dyDescent="0.3">
      <c r="A1801" t="s">
        <v>2654</v>
      </c>
      <c r="B1801" t="s">
        <v>3417</v>
      </c>
      <c r="C1801" t="s">
        <v>2625</v>
      </c>
      <c r="F1801" t="s">
        <v>3361</v>
      </c>
      <c r="G1801" t="s">
        <v>2746</v>
      </c>
      <c r="H1801" t="s">
        <v>2248</v>
      </c>
      <c r="I1801" t="s">
        <v>3418</v>
      </c>
      <c r="J1801" t="s">
        <v>3369</v>
      </c>
      <c r="K1801" t="s">
        <v>1661</v>
      </c>
      <c r="L1801" t="s">
        <v>2043</v>
      </c>
      <c r="M1801" t="s">
        <v>3364</v>
      </c>
      <c r="N1801" t="s">
        <v>3365</v>
      </c>
      <c r="O1801" t="s">
        <v>3366</v>
      </c>
      <c r="P1801" t="s">
        <v>3382</v>
      </c>
    </row>
    <row r="1802" spans="1:16" x14ac:dyDescent="0.3">
      <c r="A1802" t="s">
        <v>2655</v>
      </c>
      <c r="B1802" t="s">
        <v>3417</v>
      </c>
      <c r="C1802" t="s">
        <v>2625</v>
      </c>
      <c r="F1802" t="s">
        <v>3361</v>
      </c>
      <c r="G1802" t="s">
        <v>2746</v>
      </c>
      <c r="H1802" t="s">
        <v>2248</v>
      </c>
      <c r="I1802" t="s">
        <v>3418</v>
      </c>
      <c r="J1802" t="s">
        <v>3369</v>
      </c>
      <c r="K1802" t="s">
        <v>1661</v>
      </c>
      <c r="L1802" t="s">
        <v>2043</v>
      </c>
      <c r="M1802" t="s">
        <v>3364</v>
      </c>
      <c r="N1802" t="s">
        <v>3365</v>
      </c>
      <c r="O1802" t="s">
        <v>3366</v>
      </c>
      <c r="P1802" t="s">
        <v>3382</v>
      </c>
    </row>
    <row r="1803" spans="1:16" x14ac:dyDescent="0.3">
      <c r="A1803" t="s">
        <v>2656</v>
      </c>
      <c r="B1803" t="s">
        <v>3417</v>
      </c>
      <c r="C1803" t="s">
        <v>2625</v>
      </c>
      <c r="F1803" t="s">
        <v>3361</v>
      </c>
      <c r="G1803" t="s">
        <v>2746</v>
      </c>
      <c r="H1803" t="s">
        <v>2248</v>
      </c>
      <c r="I1803" t="s">
        <v>3418</v>
      </c>
      <c r="J1803" t="s">
        <v>3369</v>
      </c>
      <c r="K1803" t="s">
        <v>1661</v>
      </c>
      <c r="L1803" t="s">
        <v>2043</v>
      </c>
      <c r="M1803" t="s">
        <v>3364</v>
      </c>
      <c r="N1803" t="s">
        <v>3365</v>
      </c>
      <c r="O1803" t="s">
        <v>3366</v>
      </c>
      <c r="P1803" t="s">
        <v>3382</v>
      </c>
    </row>
    <row r="1804" spans="1:16" x14ac:dyDescent="0.3">
      <c r="A1804" t="s">
        <v>2657</v>
      </c>
      <c r="B1804" t="s">
        <v>3417</v>
      </c>
      <c r="C1804" t="s">
        <v>2625</v>
      </c>
      <c r="F1804" t="s">
        <v>3361</v>
      </c>
      <c r="G1804" t="s">
        <v>2746</v>
      </c>
      <c r="H1804" t="s">
        <v>2248</v>
      </c>
      <c r="I1804" t="s">
        <v>3418</v>
      </c>
      <c r="J1804" t="s">
        <v>3369</v>
      </c>
      <c r="K1804" t="s">
        <v>1661</v>
      </c>
      <c r="L1804" t="s">
        <v>2043</v>
      </c>
      <c r="M1804" t="s">
        <v>3364</v>
      </c>
      <c r="N1804" t="s">
        <v>3365</v>
      </c>
      <c r="O1804" t="s">
        <v>3366</v>
      </c>
      <c r="P1804" t="s">
        <v>3382</v>
      </c>
    </row>
    <row r="1805" spans="1:16" x14ac:dyDescent="0.3">
      <c r="A1805" t="s">
        <v>727</v>
      </c>
      <c r="B1805" t="s">
        <v>3417</v>
      </c>
      <c r="C1805" t="s">
        <v>2625</v>
      </c>
      <c r="F1805" t="s">
        <v>3361</v>
      </c>
      <c r="G1805" t="s">
        <v>2746</v>
      </c>
      <c r="H1805" t="s">
        <v>2250</v>
      </c>
      <c r="I1805" t="s">
        <v>3418</v>
      </c>
      <c r="J1805" t="s">
        <v>3369</v>
      </c>
      <c r="K1805" t="s">
        <v>1661</v>
      </c>
      <c r="L1805" t="s">
        <v>3386</v>
      </c>
      <c r="M1805" t="s">
        <v>3364</v>
      </c>
      <c r="N1805" t="s">
        <v>3365</v>
      </c>
      <c r="O1805" t="s">
        <v>3366</v>
      </c>
      <c r="P1805" t="s">
        <v>3382</v>
      </c>
    </row>
    <row r="1806" spans="1:16" x14ac:dyDescent="0.3">
      <c r="A1806" t="s">
        <v>2658</v>
      </c>
      <c r="B1806" t="s">
        <v>3417</v>
      </c>
      <c r="C1806" t="s">
        <v>2625</v>
      </c>
      <c r="F1806" t="s">
        <v>3361</v>
      </c>
      <c r="G1806" t="s">
        <v>2746</v>
      </c>
      <c r="H1806" t="s">
        <v>2250</v>
      </c>
      <c r="I1806" t="s">
        <v>3418</v>
      </c>
      <c r="J1806" t="s">
        <v>3369</v>
      </c>
      <c r="K1806" t="s">
        <v>1661</v>
      </c>
      <c r="L1806" t="s">
        <v>3386</v>
      </c>
      <c r="M1806" t="s">
        <v>3364</v>
      </c>
      <c r="N1806" t="s">
        <v>3365</v>
      </c>
      <c r="O1806" t="s">
        <v>3366</v>
      </c>
      <c r="P1806" t="s">
        <v>3389</v>
      </c>
    </row>
    <row r="1807" spans="1:16" x14ac:dyDescent="0.3">
      <c r="A1807" t="s">
        <v>2637</v>
      </c>
      <c r="B1807" t="s">
        <v>3417</v>
      </c>
      <c r="C1807" t="s">
        <v>2625</v>
      </c>
      <c r="F1807" t="s">
        <v>3361</v>
      </c>
      <c r="G1807" t="s">
        <v>2746</v>
      </c>
      <c r="H1807" t="s">
        <v>2250</v>
      </c>
      <c r="I1807" t="s">
        <v>3418</v>
      </c>
      <c r="J1807" t="s">
        <v>3369</v>
      </c>
      <c r="K1807" t="s">
        <v>1661</v>
      </c>
      <c r="L1807" t="s">
        <v>3386</v>
      </c>
      <c r="M1807" t="s">
        <v>3364</v>
      </c>
      <c r="N1807" t="s">
        <v>3365</v>
      </c>
      <c r="O1807" t="s">
        <v>3366</v>
      </c>
      <c r="P1807" t="s">
        <v>3382</v>
      </c>
    </row>
    <row r="1808" spans="1:16" x14ac:dyDescent="0.3">
      <c r="A1808" t="s">
        <v>1577</v>
      </c>
      <c r="B1808" t="s">
        <v>3417</v>
      </c>
      <c r="C1808" t="s">
        <v>2625</v>
      </c>
      <c r="F1808" t="s">
        <v>3361</v>
      </c>
      <c r="G1808" t="s">
        <v>2746</v>
      </c>
      <c r="H1808" t="s">
        <v>2250</v>
      </c>
      <c r="I1808" t="s">
        <v>3418</v>
      </c>
      <c r="J1808" t="s">
        <v>3369</v>
      </c>
      <c r="K1808" t="s">
        <v>1661</v>
      </c>
      <c r="L1808" t="s">
        <v>3386</v>
      </c>
      <c r="M1808" t="s">
        <v>3364</v>
      </c>
      <c r="N1808" t="s">
        <v>3365</v>
      </c>
      <c r="O1808" t="s">
        <v>3366</v>
      </c>
      <c r="P1808" t="s">
        <v>3382</v>
      </c>
    </row>
    <row r="1809" spans="1:16" x14ac:dyDescent="0.3">
      <c r="A1809" t="s">
        <v>2631</v>
      </c>
      <c r="B1809" t="s">
        <v>3417</v>
      </c>
      <c r="C1809" t="s">
        <v>2625</v>
      </c>
      <c r="F1809" t="s">
        <v>3361</v>
      </c>
      <c r="G1809" t="s">
        <v>2746</v>
      </c>
      <c r="H1809" t="s">
        <v>2250</v>
      </c>
      <c r="I1809" t="s">
        <v>3418</v>
      </c>
      <c r="J1809" t="s">
        <v>3369</v>
      </c>
      <c r="K1809" t="s">
        <v>1661</v>
      </c>
      <c r="L1809" t="s">
        <v>3386</v>
      </c>
      <c r="M1809" t="s">
        <v>3364</v>
      </c>
      <c r="N1809" t="s">
        <v>3365</v>
      </c>
      <c r="O1809" t="s">
        <v>3366</v>
      </c>
      <c r="P1809" t="s">
        <v>3382</v>
      </c>
    </row>
    <row r="1810" spans="1:16" x14ac:dyDescent="0.3">
      <c r="A1810" t="s">
        <v>2634</v>
      </c>
      <c r="B1810" t="s">
        <v>3417</v>
      </c>
      <c r="C1810" t="s">
        <v>2625</v>
      </c>
      <c r="F1810" t="s">
        <v>3361</v>
      </c>
      <c r="G1810" t="s">
        <v>2746</v>
      </c>
      <c r="H1810" t="s">
        <v>2250</v>
      </c>
      <c r="I1810" t="s">
        <v>3418</v>
      </c>
      <c r="J1810" t="s">
        <v>3369</v>
      </c>
      <c r="K1810" t="s">
        <v>1661</v>
      </c>
      <c r="L1810" t="s">
        <v>3386</v>
      </c>
      <c r="M1810" t="s">
        <v>3364</v>
      </c>
      <c r="N1810" t="s">
        <v>3365</v>
      </c>
      <c r="O1810" t="s">
        <v>3366</v>
      </c>
      <c r="P1810" t="s">
        <v>3382</v>
      </c>
    </row>
    <row r="1811" spans="1:16" x14ac:dyDescent="0.3">
      <c r="A1811" t="s">
        <v>1542</v>
      </c>
      <c r="B1811" t="s">
        <v>3417</v>
      </c>
      <c r="C1811" t="s">
        <v>2625</v>
      </c>
      <c r="F1811" t="s">
        <v>3361</v>
      </c>
      <c r="G1811" t="s">
        <v>2746</v>
      </c>
      <c r="H1811" t="s">
        <v>2250</v>
      </c>
      <c r="I1811" t="s">
        <v>3418</v>
      </c>
      <c r="J1811" t="s">
        <v>3369</v>
      </c>
      <c r="K1811" t="s">
        <v>1661</v>
      </c>
      <c r="L1811" t="s">
        <v>3386</v>
      </c>
      <c r="M1811" t="s">
        <v>3364</v>
      </c>
      <c r="N1811" t="s">
        <v>3365</v>
      </c>
      <c r="O1811" t="s">
        <v>3366</v>
      </c>
      <c r="P1811" t="s">
        <v>3382</v>
      </c>
    </row>
    <row r="1812" spans="1:16" x14ac:dyDescent="0.3">
      <c r="A1812" t="s">
        <v>2659</v>
      </c>
      <c r="B1812" t="s">
        <v>3417</v>
      </c>
      <c r="C1812" t="s">
        <v>2625</v>
      </c>
      <c r="F1812" t="s">
        <v>3361</v>
      </c>
      <c r="G1812" t="s">
        <v>2746</v>
      </c>
      <c r="H1812" t="s">
        <v>2250</v>
      </c>
      <c r="I1812" t="s">
        <v>3418</v>
      </c>
      <c r="J1812" t="s">
        <v>3369</v>
      </c>
      <c r="K1812" t="s">
        <v>1661</v>
      </c>
      <c r="L1812" t="s">
        <v>3386</v>
      </c>
      <c r="M1812" t="s">
        <v>3364</v>
      </c>
      <c r="N1812" t="s">
        <v>3365</v>
      </c>
      <c r="O1812" t="s">
        <v>3366</v>
      </c>
      <c r="P1812" t="s">
        <v>3382</v>
      </c>
    </row>
    <row r="1813" spans="1:16" x14ac:dyDescent="0.3">
      <c r="A1813" t="s">
        <v>2660</v>
      </c>
      <c r="B1813" t="s">
        <v>3417</v>
      </c>
      <c r="C1813" t="s">
        <v>2625</v>
      </c>
      <c r="F1813" t="s">
        <v>3361</v>
      </c>
      <c r="G1813" t="s">
        <v>2746</v>
      </c>
      <c r="H1813" t="s">
        <v>2252</v>
      </c>
      <c r="I1813" t="s">
        <v>3418</v>
      </c>
      <c r="J1813" t="s">
        <v>3369</v>
      </c>
      <c r="K1813" t="s">
        <v>1661</v>
      </c>
      <c r="L1813" t="s">
        <v>3386</v>
      </c>
      <c r="M1813" t="s">
        <v>3364</v>
      </c>
      <c r="N1813" t="s">
        <v>3365</v>
      </c>
      <c r="O1813" t="s">
        <v>3366</v>
      </c>
      <c r="P1813" t="s">
        <v>3382</v>
      </c>
    </row>
    <row r="1814" spans="1:16" x14ac:dyDescent="0.3">
      <c r="A1814" t="s">
        <v>1611</v>
      </c>
      <c r="B1814" t="s">
        <v>3417</v>
      </c>
      <c r="C1814" t="s">
        <v>2625</v>
      </c>
      <c r="F1814" t="s">
        <v>3361</v>
      </c>
      <c r="G1814" t="s">
        <v>2746</v>
      </c>
      <c r="H1814" t="s">
        <v>2252</v>
      </c>
      <c r="I1814" t="s">
        <v>3418</v>
      </c>
      <c r="J1814" t="s">
        <v>3369</v>
      </c>
      <c r="K1814" t="s">
        <v>1661</v>
      </c>
      <c r="L1814" t="s">
        <v>3386</v>
      </c>
      <c r="M1814" t="s">
        <v>3364</v>
      </c>
      <c r="N1814" t="s">
        <v>3365</v>
      </c>
      <c r="O1814" t="s">
        <v>3366</v>
      </c>
      <c r="P1814" t="s">
        <v>3382</v>
      </c>
    </row>
    <row r="1815" spans="1:16" x14ac:dyDescent="0.3">
      <c r="A1815" t="s">
        <v>2661</v>
      </c>
      <c r="B1815" t="s">
        <v>3417</v>
      </c>
      <c r="C1815" t="s">
        <v>2625</v>
      </c>
      <c r="F1815" t="s">
        <v>3361</v>
      </c>
      <c r="G1815" t="s">
        <v>2746</v>
      </c>
      <c r="H1815" t="s">
        <v>2252</v>
      </c>
      <c r="I1815" t="s">
        <v>3418</v>
      </c>
      <c r="J1815" t="s">
        <v>3369</v>
      </c>
      <c r="K1815" t="s">
        <v>1661</v>
      </c>
      <c r="L1815" t="s">
        <v>3386</v>
      </c>
      <c r="M1815" t="s">
        <v>3364</v>
      </c>
      <c r="N1815" t="s">
        <v>3365</v>
      </c>
      <c r="O1815" t="s">
        <v>3366</v>
      </c>
      <c r="P1815" t="s">
        <v>3382</v>
      </c>
    </row>
    <row r="1816" spans="1:16" x14ac:dyDescent="0.3">
      <c r="A1816" t="s">
        <v>1054</v>
      </c>
      <c r="B1816" t="s">
        <v>3417</v>
      </c>
      <c r="C1816" t="s">
        <v>2625</v>
      </c>
      <c r="F1816" t="s">
        <v>3361</v>
      </c>
      <c r="G1816" t="s">
        <v>2746</v>
      </c>
      <c r="H1816" t="s">
        <v>2252</v>
      </c>
      <c r="I1816" t="s">
        <v>3418</v>
      </c>
      <c r="J1816" t="s">
        <v>3369</v>
      </c>
      <c r="K1816" t="s">
        <v>1661</v>
      </c>
      <c r="L1816" t="s">
        <v>3386</v>
      </c>
      <c r="M1816" t="s">
        <v>3364</v>
      </c>
      <c r="N1816" t="s">
        <v>3365</v>
      </c>
      <c r="O1816" t="s">
        <v>3366</v>
      </c>
      <c r="P1816" t="s">
        <v>3382</v>
      </c>
    </row>
    <row r="1817" spans="1:16" x14ac:dyDescent="0.3">
      <c r="A1817" t="s">
        <v>2662</v>
      </c>
      <c r="B1817" t="s">
        <v>3417</v>
      </c>
      <c r="C1817" t="s">
        <v>2625</v>
      </c>
      <c r="F1817" t="s">
        <v>3361</v>
      </c>
      <c r="G1817" t="s">
        <v>2746</v>
      </c>
      <c r="H1817" t="s">
        <v>2252</v>
      </c>
      <c r="I1817" t="s">
        <v>3418</v>
      </c>
      <c r="J1817" t="s">
        <v>3369</v>
      </c>
      <c r="K1817" t="s">
        <v>1661</v>
      </c>
      <c r="L1817" t="s">
        <v>3386</v>
      </c>
      <c r="M1817" t="s">
        <v>3364</v>
      </c>
      <c r="N1817" t="s">
        <v>3365</v>
      </c>
      <c r="O1817" t="s">
        <v>3366</v>
      </c>
      <c r="P1817" t="s">
        <v>3382</v>
      </c>
    </row>
    <row r="1818" spans="1:16" x14ac:dyDescent="0.3">
      <c r="A1818" t="s">
        <v>2663</v>
      </c>
      <c r="B1818" t="s">
        <v>3417</v>
      </c>
      <c r="C1818" t="s">
        <v>2625</v>
      </c>
      <c r="F1818" t="s">
        <v>3361</v>
      </c>
      <c r="G1818" t="s">
        <v>2746</v>
      </c>
      <c r="H1818" t="s">
        <v>2252</v>
      </c>
      <c r="I1818" t="s">
        <v>3418</v>
      </c>
      <c r="J1818" t="s">
        <v>3369</v>
      </c>
      <c r="K1818" t="s">
        <v>1661</v>
      </c>
      <c r="L1818" t="s">
        <v>3386</v>
      </c>
      <c r="M1818" t="s">
        <v>3364</v>
      </c>
      <c r="N1818" t="s">
        <v>3365</v>
      </c>
      <c r="O1818" t="s">
        <v>3366</v>
      </c>
      <c r="P1818" t="s">
        <v>3382</v>
      </c>
    </row>
    <row r="1819" spans="1:16" x14ac:dyDescent="0.3">
      <c r="A1819" t="s">
        <v>2664</v>
      </c>
      <c r="B1819" t="s">
        <v>3417</v>
      </c>
      <c r="C1819" t="s">
        <v>2625</v>
      </c>
      <c r="F1819" t="s">
        <v>3361</v>
      </c>
      <c r="G1819" t="s">
        <v>2746</v>
      </c>
      <c r="H1819" t="s">
        <v>2252</v>
      </c>
      <c r="I1819" t="s">
        <v>3418</v>
      </c>
      <c r="J1819" t="s">
        <v>3369</v>
      </c>
      <c r="K1819" t="s">
        <v>1661</v>
      </c>
      <c r="L1819" t="s">
        <v>3386</v>
      </c>
      <c r="M1819" t="s">
        <v>3364</v>
      </c>
      <c r="N1819" t="s">
        <v>3365</v>
      </c>
      <c r="O1819" t="s">
        <v>3366</v>
      </c>
      <c r="P1819" t="s">
        <v>3382</v>
      </c>
    </row>
    <row r="1820" spans="1:16" x14ac:dyDescent="0.3">
      <c r="A1820" t="s">
        <v>2665</v>
      </c>
      <c r="B1820" t="s">
        <v>3417</v>
      </c>
      <c r="C1820" t="s">
        <v>2625</v>
      </c>
      <c r="F1820" t="s">
        <v>3361</v>
      </c>
      <c r="G1820" t="s">
        <v>2746</v>
      </c>
      <c r="H1820" t="s">
        <v>2252</v>
      </c>
      <c r="I1820" t="s">
        <v>3418</v>
      </c>
      <c r="J1820" t="s">
        <v>3369</v>
      </c>
      <c r="K1820" t="s">
        <v>1661</v>
      </c>
      <c r="L1820" t="s">
        <v>3386</v>
      </c>
      <c r="M1820" t="s">
        <v>3364</v>
      </c>
      <c r="N1820" t="s">
        <v>3365</v>
      </c>
      <c r="O1820" t="s">
        <v>3366</v>
      </c>
      <c r="P1820" t="s">
        <v>3382</v>
      </c>
    </row>
    <row r="1821" spans="1:16" x14ac:dyDescent="0.3">
      <c r="A1821" t="s">
        <v>2666</v>
      </c>
      <c r="B1821" t="s">
        <v>3417</v>
      </c>
      <c r="C1821" t="s">
        <v>2625</v>
      </c>
      <c r="F1821" t="s">
        <v>3361</v>
      </c>
      <c r="G1821" t="s">
        <v>2746</v>
      </c>
      <c r="H1821" t="s">
        <v>2252</v>
      </c>
      <c r="I1821" t="s">
        <v>3418</v>
      </c>
      <c r="J1821" t="s">
        <v>3369</v>
      </c>
      <c r="K1821" t="s">
        <v>1661</v>
      </c>
      <c r="L1821" t="s">
        <v>3386</v>
      </c>
      <c r="M1821" t="s">
        <v>3364</v>
      </c>
      <c r="N1821" t="s">
        <v>3365</v>
      </c>
      <c r="O1821" t="s">
        <v>3366</v>
      </c>
      <c r="P1821" t="s">
        <v>3382</v>
      </c>
    </row>
    <row r="1822" spans="1:16" x14ac:dyDescent="0.3">
      <c r="A1822" t="s">
        <v>2667</v>
      </c>
      <c r="B1822" t="s">
        <v>3417</v>
      </c>
      <c r="C1822" t="s">
        <v>2625</v>
      </c>
      <c r="F1822" t="s">
        <v>3361</v>
      </c>
      <c r="G1822" t="s">
        <v>2746</v>
      </c>
      <c r="H1822" t="s">
        <v>2252</v>
      </c>
      <c r="I1822" t="s">
        <v>3418</v>
      </c>
      <c r="J1822" t="s">
        <v>3369</v>
      </c>
      <c r="K1822" t="s">
        <v>1661</v>
      </c>
      <c r="L1822" t="s">
        <v>3386</v>
      </c>
      <c r="M1822" t="s">
        <v>3364</v>
      </c>
      <c r="N1822" t="s">
        <v>3365</v>
      </c>
      <c r="O1822" t="s">
        <v>3366</v>
      </c>
      <c r="P1822" t="s">
        <v>3382</v>
      </c>
    </row>
    <row r="1823" spans="1:16" x14ac:dyDescent="0.3">
      <c r="A1823" t="s">
        <v>2668</v>
      </c>
      <c r="B1823" t="s">
        <v>3417</v>
      </c>
      <c r="C1823" t="s">
        <v>2625</v>
      </c>
      <c r="F1823" t="s">
        <v>3361</v>
      </c>
      <c r="G1823" t="s">
        <v>2746</v>
      </c>
      <c r="H1823" t="s">
        <v>2252</v>
      </c>
      <c r="I1823" t="s">
        <v>3418</v>
      </c>
      <c r="J1823" t="s">
        <v>3369</v>
      </c>
      <c r="K1823" t="s">
        <v>1661</v>
      </c>
      <c r="L1823" t="s">
        <v>3386</v>
      </c>
      <c r="M1823" t="s">
        <v>3364</v>
      </c>
      <c r="N1823" t="s">
        <v>3365</v>
      </c>
      <c r="O1823" t="s">
        <v>3366</v>
      </c>
      <c r="P1823" t="s">
        <v>3382</v>
      </c>
    </row>
    <row r="1824" spans="1:16" x14ac:dyDescent="0.3">
      <c r="A1824" t="s">
        <v>1612</v>
      </c>
      <c r="B1824" t="s">
        <v>3417</v>
      </c>
      <c r="C1824" t="s">
        <v>2625</v>
      </c>
      <c r="F1824" t="s">
        <v>3361</v>
      </c>
      <c r="G1824" t="s">
        <v>2746</v>
      </c>
      <c r="H1824" t="s">
        <v>2252</v>
      </c>
      <c r="I1824" t="s">
        <v>3418</v>
      </c>
      <c r="J1824" t="s">
        <v>3369</v>
      </c>
      <c r="K1824" t="s">
        <v>1661</v>
      </c>
      <c r="L1824" t="s">
        <v>3386</v>
      </c>
      <c r="M1824" t="s">
        <v>3364</v>
      </c>
      <c r="N1824" t="s">
        <v>3365</v>
      </c>
      <c r="O1824" t="s">
        <v>3366</v>
      </c>
      <c r="P1824" t="s">
        <v>3382</v>
      </c>
    </row>
    <row r="1825" spans="1:16" x14ac:dyDescent="0.3">
      <c r="A1825" t="s">
        <v>2669</v>
      </c>
      <c r="B1825" t="s">
        <v>3417</v>
      </c>
      <c r="C1825" t="s">
        <v>2625</v>
      </c>
      <c r="F1825" t="s">
        <v>3361</v>
      </c>
      <c r="G1825" t="s">
        <v>2746</v>
      </c>
      <c r="H1825" t="s">
        <v>2252</v>
      </c>
      <c r="I1825" t="s">
        <v>3418</v>
      </c>
      <c r="J1825" t="s">
        <v>3369</v>
      </c>
      <c r="K1825" t="s">
        <v>1661</v>
      </c>
      <c r="L1825" t="s">
        <v>3386</v>
      </c>
      <c r="M1825" t="s">
        <v>3364</v>
      </c>
      <c r="N1825" t="s">
        <v>3365</v>
      </c>
      <c r="O1825" t="s">
        <v>3366</v>
      </c>
      <c r="P1825" t="s">
        <v>3382</v>
      </c>
    </row>
    <row r="1826" spans="1:16" x14ac:dyDescent="0.3">
      <c r="A1826" t="s">
        <v>2670</v>
      </c>
      <c r="B1826" t="s">
        <v>3417</v>
      </c>
      <c r="C1826" t="s">
        <v>2625</v>
      </c>
      <c r="F1826" t="s">
        <v>3361</v>
      </c>
      <c r="G1826" t="s">
        <v>2746</v>
      </c>
      <c r="H1826" t="s">
        <v>2252</v>
      </c>
      <c r="I1826" t="s">
        <v>3418</v>
      </c>
      <c r="J1826" t="s">
        <v>3369</v>
      </c>
      <c r="K1826" t="s">
        <v>1661</v>
      </c>
      <c r="L1826" t="s">
        <v>3386</v>
      </c>
      <c r="M1826" t="s">
        <v>3364</v>
      </c>
      <c r="N1826" t="s">
        <v>3365</v>
      </c>
      <c r="O1826" t="s">
        <v>3366</v>
      </c>
      <c r="P1826" t="s">
        <v>3382</v>
      </c>
    </row>
    <row r="1827" spans="1:16" x14ac:dyDescent="0.3">
      <c r="A1827" t="s">
        <v>2671</v>
      </c>
      <c r="B1827" t="s">
        <v>3417</v>
      </c>
      <c r="C1827" t="s">
        <v>2625</v>
      </c>
      <c r="F1827" t="s">
        <v>3361</v>
      </c>
      <c r="G1827" t="s">
        <v>2746</v>
      </c>
      <c r="H1827" t="s">
        <v>2252</v>
      </c>
      <c r="I1827" t="s">
        <v>3418</v>
      </c>
      <c r="J1827" t="s">
        <v>3369</v>
      </c>
      <c r="K1827" t="s">
        <v>1661</v>
      </c>
      <c r="L1827" t="s">
        <v>3386</v>
      </c>
      <c r="M1827" t="s">
        <v>3364</v>
      </c>
      <c r="N1827" t="s">
        <v>3365</v>
      </c>
      <c r="O1827" t="s">
        <v>3366</v>
      </c>
      <c r="P1827" t="s">
        <v>3382</v>
      </c>
    </row>
    <row r="1828" spans="1:16" x14ac:dyDescent="0.3">
      <c r="A1828" t="s">
        <v>2672</v>
      </c>
      <c r="B1828" t="s">
        <v>3417</v>
      </c>
      <c r="C1828" t="s">
        <v>2625</v>
      </c>
      <c r="F1828" t="s">
        <v>3361</v>
      </c>
      <c r="G1828" t="s">
        <v>2746</v>
      </c>
      <c r="H1828" t="s">
        <v>2252</v>
      </c>
      <c r="I1828" t="s">
        <v>3418</v>
      </c>
      <c r="J1828" t="s">
        <v>3369</v>
      </c>
      <c r="K1828" t="s">
        <v>1661</v>
      </c>
      <c r="L1828" t="s">
        <v>3386</v>
      </c>
      <c r="M1828" t="s">
        <v>3364</v>
      </c>
      <c r="N1828" t="s">
        <v>3365</v>
      </c>
      <c r="O1828" t="s">
        <v>3366</v>
      </c>
      <c r="P1828" t="s">
        <v>3382</v>
      </c>
    </row>
    <row r="1829" spans="1:16" x14ac:dyDescent="0.3">
      <c r="A1829" t="s">
        <v>628</v>
      </c>
      <c r="B1829" t="s">
        <v>3417</v>
      </c>
      <c r="C1829" t="s">
        <v>628</v>
      </c>
      <c r="F1829" t="s">
        <v>3361</v>
      </c>
      <c r="G1829" t="s">
        <v>2746</v>
      </c>
      <c r="H1829" t="s">
        <v>2242</v>
      </c>
      <c r="I1829" t="s">
        <v>3418</v>
      </c>
      <c r="J1829" t="s">
        <v>3369</v>
      </c>
      <c r="K1829" t="s">
        <v>1661</v>
      </c>
      <c r="L1829" t="s">
        <v>3386</v>
      </c>
      <c r="M1829" t="s">
        <v>3364</v>
      </c>
      <c r="N1829" t="s">
        <v>3365</v>
      </c>
      <c r="O1829" t="s">
        <v>3366</v>
      </c>
      <c r="P1829" t="s">
        <v>3382</v>
      </c>
    </row>
    <row r="1830" spans="1:16" x14ac:dyDescent="0.3">
      <c r="A1830" t="b">
        <v>1</v>
      </c>
      <c r="B1830" t="s">
        <v>3417</v>
      </c>
      <c r="C1830" t="s">
        <v>628</v>
      </c>
      <c r="F1830" t="s">
        <v>3361</v>
      </c>
      <c r="G1830" t="s">
        <v>2746</v>
      </c>
      <c r="H1830" t="s">
        <v>2242</v>
      </c>
      <c r="I1830" t="s">
        <v>3418</v>
      </c>
      <c r="J1830" t="s">
        <v>3369</v>
      </c>
      <c r="K1830" t="s">
        <v>1661</v>
      </c>
      <c r="L1830" t="s">
        <v>3386</v>
      </c>
      <c r="M1830" t="s">
        <v>3364</v>
      </c>
      <c r="N1830" t="s">
        <v>3365</v>
      </c>
      <c r="O1830" t="s">
        <v>3366</v>
      </c>
      <c r="P1830" t="s">
        <v>3382</v>
      </c>
    </row>
    <row r="1831" spans="1:16" x14ac:dyDescent="0.3">
      <c r="A1831" t="s">
        <v>2506</v>
      </c>
      <c r="B1831" t="s">
        <v>3417</v>
      </c>
      <c r="C1831" t="s">
        <v>628</v>
      </c>
      <c r="F1831" t="s">
        <v>3361</v>
      </c>
      <c r="G1831" t="s">
        <v>2746</v>
      </c>
      <c r="H1831" t="s">
        <v>2242</v>
      </c>
      <c r="I1831" t="s">
        <v>3418</v>
      </c>
      <c r="J1831" t="s">
        <v>3369</v>
      </c>
      <c r="K1831" t="s">
        <v>1661</v>
      </c>
      <c r="L1831" t="s">
        <v>3386</v>
      </c>
      <c r="M1831" t="s">
        <v>3364</v>
      </c>
      <c r="N1831" t="s">
        <v>3365</v>
      </c>
      <c r="O1831" t="s">
        <v>3366</v>
      </c>
      <c r="P1831" t="s">
        <v>3382</v>
      </c>
    </row>
    <row r="1832" spans="1:16" x14ac:dyDescent="0.3">
      <c r="A1832" t="s">
        <v>2504</v>
      </c>
      <c r="B1832" t="s">
        <v>3417</v>
      </c>
      <c r="C1832" t="s">
        <v>628</v>
      </c>
      <c r="F1832" t="s">
        <v>3361</v>
      </c>
      <c r="G1832" t="s">
        <v>2746</v>
      </c>
      <c r="H1832" t="s">
        <v>2244</v>
      </c>
      <c r="I1832" t="s">
        <v>3418</v>
      </c>
      <c r="J1832" t="s">
        <v>3369</v>
      </c>
      <c r="K1832" t="s">
        <v>1661</v>
      </c>
      <c r="L1832" t="s">
        <v>3386</v>
      </c>
      <c r="M1832" t="s">
        <v>3364</v>
      </c>
      <c r="N1832" t="s">
        <v>3365</v>
      </c>
      <c r="O1832" t="s">
        <v>3366</v>
      </c>
      <c r="P1832" t="s">
        <v>3382</v>
      </c>
    </row>
    <row r="1833" spans="1:16" x14ac:dyDescent="0.3">
      <c r="A1833" t="s">
        <v>2677</v>
      </c>
      <c r="B1833" t="s">
        <v>3417</v>
      </c>
      <c r="C1833" t="s">
        <v>628</v>
      </c>
      <c r="F1833" t="s">
        <v>3361</v>
      </c>
      <c r="G1833" t="s">
        <v>2746</v>
      </c>
      <c r="H1833" t="s">
        <v>2244</v>
      </c>
      <c r="I1833" t="s">
        <v>3418</v>
      </c>
      <c r="J1833" t="s">
        <v>3369</v>
      </c>
      <c r="K1833" t="s">
        <v>1661</v>
      </c>
      <c r="L1833" t="s">
        <v>3386</v>
      </c>
      <c r="M1833" t="s">
        <v>3364</v>
      </c>
      <c r="N1833" t="s">
        <v>3365</v>
      </c>
      <c r="O1833" t="s">
        <v>3366</v>
      </c>
      <c r="P1833" t="s">
        <v>3382</v>
      </c>
    </row>
    <row r="1834" spans="1:16" x14ac:dyDescent="0.3">
      <c r="A1834" t="s">
        <v>2678</v>
      </c>
      <c r="B1834" t="s">
        <v>3417</v>
      </c>
      <c r="C1834" t="s">
        <v>628</v>
      </c>
      <c r="F1834" t="s">
        <v>3361</v>
      </c>
      <c r="G1834" t="s">
        <v>2746</v>
      </c>
      <c r="H1834" t="s">
        <v>2244</v>
      </c>
      <c r="I1834" t="s">
        <v>3418</v>
      </c>
      <c r="J1834" t="s">
        <v>3369</v>
      </c>
      <c r="K1834" t="s">
        <v>1661</v>
      </c>
      <c r="L1834" t="s">
        <v>3386</v>
      </c>
      <c r="M1834" t="s">
        <v>3364</v>
      </c>
      <c r="N1834" t="s">
        <v>3365</v>
      </c>
      <c r="O1834" t="s">
        <v>3366</v>
      </c>
      <c r="P1834" t="s">
        <v>3382</v>
      </c>
    </row>
    <row r="1835" spans="1:16" x14ac:dyDescent="0.3">
      <c r="A1835" t="s">
        <v>2679</v>
      </c>
      <c r="B1835" t="s">
        <v>3417</v>
      </c>
      <c r="C1835" t="s">
        <v>628</v>
      </c>
      <c r="F1835" t="s">
        <v>3361</v>
      </c>
      <c r="G1835" t="s">
        <v>2746</v>
      </c>
      <c r="H1835" t="s">
        <v>2244</v>
      </c>
      <c r="I1835" t="s">
        <v>3418</v>
      </c>
      <c r="J1835" t="s">
        <v>3369</v>
      </c>
      <c r="K1835" t="s">
        <v>1661</v>
      </c>
      <c r="L1835" t="s">
        <v>3386</v>
      </c>
      <c r="M1835" t="s">
        <v>3364</v>
      </c>
      <c r="N1835" t="s">
        <v>3365</v>
      </c>
      <c r="O1835" t="s">
        <v>3366</v>
      </c>
      <c r="P1835" t="s">
        <v>3382</v>
      </c>
    </row>
    <row r="1836" spans="1:16" x14ac:dyDescent="0.3">
      <c r="A1836" t="s">
        <v>2680</v>
      </c>
      <c r="B1836" t="s">
        <v>3417</v>
      </c>
      <c r="C1836" t="s">
        <v>628</v>
      </c>
      <c r="F1836" t="s">
        <v>3361</v>
      </c>
      <c r="G1836" t="s">
        <v>2746</v>
      </c>
      <c r="H1836" t="s">
        <v>2244</v>
      </c>
      <c r="I1836" t="s">
        <v>3418</v>
      </c>
      <c r="J1836" t="s">
        <v>3369</v>
      </c>
      <c r="K1836" t="s">
        <v>1661</v>
      </c>
      <c r="L1836" t="s">
        <v>3386</v>
      </c>
      <c r="M1836" t="s">
        <v>3364</v>
      </c>
      <c r="N1836" t="s">
        <v>3365</v>
      </c>
      <c r="O1836" t="s">
        <v>3366</v>
      </c>
      <c r="P1836" t="s">
        <v>3382</v>
      </c>
    </row>
    <row r="1837" spans="1:16" x14ac:dyDescent="0.3">
      <c r="A1837" t="s">
        <v>716</v>
      </c>
      <c r="B1837" t="s">
        <v>3417</v>
      </c>
      <c r="C1837" t="s">
        <v>628</v>
      </c>
      <c r="F1837" t="s">
        <v>3361</v>
      </c>
      <c r="G1837" t="s">
        <v>2746</v>
      </c>
      <c r="H1837" t="s">
        <v>2244</v>
      </c>
      <c r="I1837" t="s">
        <v>3418</v>
      </c>
      <c r="J1837" t="s">
        <v>3369</v>
      </c>
      <c r="K1837" t="s">
        <v>1661</v>
      </c>
      <c r="L1837" t="s">
        <v>3386</v>
      </c>
      <c r="M1837" t="s">
        <v>3364</v>
      </c>
      <c r="N1837" t="s">
        <v>3365</v>
      </c>
      <c r="O1837" t="s">
        <v>3366</v>
      </c>
      <c r="P1837" t="s">
        <v>3382</v>
      </c>
    </row>
    <row r="1838" spans="1:16" x14ac:dyDescent="0.3">
      <c r="A1838" t="s">
        <v>2681</v>
      </c>
      <c r="B1838" t="s">
        <v>3417</v>
      </c>
      <c r="C1838" t="s">
        <v>628</v>
      </c>
      <c r="F1838" t="s">
        <v>3361</v>
      </c>
      <c r="G1838" t="s">
        <v>2746</v>
      </c>
      <c r="H1838" t="s">
        <v>2244</v>
      </c>
      <c r="I1838" t="s">
        <v>3418</v>
      </c>
      <c r="J1838" t="s">
        <v>3369</v>
      </c>
      <c r="K1838" t="s">
        <v>1661</v>
      </c>
      <c r="L1838" t="s">
        <v>3386</v>
      </c>
      <c r="M1838" t="s">
        <v>3364</v>
      </c>
      <c r="N1838" t="s">
        <v>3365</v>
      </c>
      <c r="O1838" t="s">
        <v>3366</v>
      </c>
      <c r="P1838" t="s">
        <v>3382</v>
      </c>
    </row>
    <row r="1839" spans="1:16" x14ac:dyDescent="0.3">
      <c r="A1839" t="s">
        <v>2682</v>
      </c>
      <c r="B1839" t="s">
        <v>3417</v>
      </c>
      <c r="C1839" t="s">
        <v>628</v>
      </c>
      <c r="F1839" t="s">
        <v>3361</v>
      </c>
      <c r="G1839" t="s">
        <v>2746</v>
      </c>
      <c r="H1839" t="s">
        <v>2244</v>
      </c>
      <c r="I1839" t="s">
        <v>3418</v>
      </c>
      <c r="J1839" t="s">
        <v>3369</v>
      </c>
      <c r="K1839" t="s">
        <v>1661</v>
      </c>
      <c r="L1839" t="s">
        <v>3386</v>
      </c>
      <c r="M1839" t="s">
        <v>3364</v>
      </c>
      <c r="N1839" t="s">
        <v>3365</v>
      </c>
      <c r="O1839" t="s">
        <v>3366</v>
      </c>
      <c r="P1839" t="s">
        <v>3382</v>
      </c>
    </row>
    <row r="1840" spans="1:16" x14ac:dyDescent="0.3">
      <c r="A1840" t="s">
        <v>2683</v>
      </c>
      <c r="B1840" t="s">
        <v>3417</v>
      </c>
      <c r="C1840" t="s">
        <v>628</v>
      </c>
      <c r="F1840" t="s">
        <v>3361</v>
      </c>
      <c r="G1840" t="s">
        <v>2746</v>
      </c>
      <c r="H1840" t="s">
        <v>2244</v>
      </c>
      <c r="I1840" t="s">
        <v>3418</v>
      </c>
      <c r="J1840" t="s">
        <v>3369</v>
      </c>
      <c r="K1840" t="s">
        <v>1661</v>
      </c>
      <c r="L1840" t="s">
        <v>3386</v>
      </c>
      <c r="M1840" t="s">
        <v>3364</v>
      </c>
      <c r="N1840" t="s">
        <v>3365</v>
      </c>
      <c r="O1840" t="s">
        <v>3366</v>
      </c>
      <c r="P1840" t="s">
        <v>3382</v>
      </c>
    </row>
    <row r="1841" spans="1:16" x14ac:dyDescent="0.3">
      <c r="A1841" t="s">
        <v>2684</v>
      </c>
      <c r="B1841" t="s">
        <v>3417</v>
      </c>
      <c r="C1841" t="s">
        <v>628</v>
      </c>
      <c r="F1841" t="s">
        <v>3361</v>
      </c>
      <c r="G1841" t="s">
        <v>2746</v>
      </c>
      <c r="H1841" t="s">
        <v>2244</v>
      </c>
      <c r="I1841" t="s">
        <v>3418</v>
      </c>
      <c r="J1841" t="s">
        <v>3369</v>
      </c>
      <c r="K1841" t="s">
        <v>1661</v>
      </c>
      <c r="L1841" t="s">
        <v>3386</v>
      </c>
      <c r="M1841" t="s">
        <v>3364</v>
      </c>
      <c r="N1841" t="s">
        <v>3365</v>
      </c>
      <c r="O1841" t="s">
        <v>3366</v>
      </c>
      <c r="P1841" t="s">
        <v>3382</v>
      </c>
    </row>
    <row r="1842" spans="1:16" x14ac:dyDescent="0.3">
      <c r="A1842" t="s">
        <v>2685</v>
      </c>
      <c r="B1842" t="s">
        <v>3417</v>
      </c>
      <c r="C1842" t="s">
        <v>628</v>
      </c>
      <c r="F1842" t="s">
        <v>3361</v>
      </c>
      <c r="G1842" t="s">
        <v>2746</v>
      </c>
      <c r="H1842" t="s">
        <v>2246</v>
      </c>
      <c r="I1842" t="s">
        <v>3418</v>
      </c>
      <c r="J1842" t="s">
        <v>3369</v>
      </c>
      <c r="K1842" t="s">
        <v>1661</v>
      </c>
      <c r="L1842" t="s">
        <v>3386</v>
      </c>
      <c r="M1842" t="s">
        <v>3364</v>
      </c>
      <c r="N1842" t="s">
        <v>3365</v>
      </c>
      <c r="O1842" t="s">
        <v>3366</v>
      </c>
      <c r="P1842" t="s">
        <v>3382</v>
      </c>
    </row>
    <row r="1843" spans="1:16" x14ac:dyDescent="0.3">
      <c r="A1843" t="s">
        <v>2510</v>
      </c>
      <c r="B1843" t="s">
        <v>3417</v>
      </c>
      <c r="C1843" t="s">
        <v>628</v>
      </c>
      <c r="F1843" t="s">
        <v>3361</v>
      </c>
      <c r="G1843" t="s">
        <v>2746</v>
      </c>
      <c r="H1843" t="s">
        <v>2246</v>
      </c>
      <c r="I1843" t="s">
        <v>3418</v>
      </c>
      <c r="J1843" t="s">
        <v>3369</v>
      </c>
      <c r="K1843" t="s">
        <v>1661</v>
      </c>
      <c r="L1843" t="s">
        <v>3386</v>
      </c>
      <c r="M1843" t="s">
        <v>3364</v>
      </c>
      <c r="N1843" t="s">
        <v>3365</v>
      </c>
      <c r="O1843" t="s">
        <v>3366</v>
      </c>
      <c r="P1843" t="s">
        <v>3382</v>
      </c>
    </row>
    <row r="1844" spans="1:16" x14ac:dyDescent="0.3">
      <c r="A1844" t="s">
        <v>2686</v>
      </c>
      <c r="B1844" t="s">
        <v>3417</v>
      </c>
      <c r="C1844" t="s">
        <v>628</v>
      </c>
      <c r="F1844" t="s">
        <v>3361</v>
      </c>
      <c r="G1844" t="s">
        <v>2746</v>
      </c>
      <c r="H1844" t="s">
        <v>2246</v>
      </c>
      <c r="I1844" t="s">
        <v>3418</v>
      </c>
      <c r="J1844" t="s">
        <v>3369</v>
      </c>
      <c r="K1844" t="s">
        <v>1661</v>
      </c>
      <c r="L1844" t="s">
        <v>3386</v>
      </c>
      <c r="M1844" t="s">
        <v>3364</v>
      </c>
      <c r="N1844" t="s">
        <v>3365</v>
      </c>
      <c r="O1844" t="s">
        <v>3366</v>
      </c>
      <c r="P1844" t="s">
        <v>3382</v>
      </c>
    </row>
    <row r="1845" spans="1:16" x14ac:dyDescent="0.3">
      <c r="A1845" t="s">
        <v>2687</v>
      </c>
      <c r="B1845" t="s">
        <v>3417</v>
      </c>
      <c r="C1845" t="s">
        <v>628</v>
      </c>
      <c r="F1845" t="s">
        <v>3361</v>
      </c>
      <c r="G1845" t="s">
        <v>2746</v>
      </c>
      <c r="H1845" t="s">
        <v>2246</v>
      </c>
      <c r="I1845" t="s">
        <v>3418</v>
      </c>
      <c r="J1845" t="s">
        <v>3369</v>
      </c>
      <c r="K1845" t="s">
        <v>1661</v>
      </c>
      <c r="L1845" t="s">
        <v>3386</v>
      </c>
      <c r="M1845" t="s">
        <v>3364</v>
      </c>
      <c r="N1845" t="s">
        <v>3365</v>
      </c>
      <c r="O1845" t="s">
        <v>3366</v>
      </c>
      <c r="P1845" t="s">
        <v>3382</v>
      </c>
    </row>
    <row r="1846" spans="1:16" x14ac:dyDescent="0.3">
      <c r="A1846" t="s">
        <v>2688</v>
      </c>
      <c r="B1846" t="s">
        <v>3417</v>
      </c>
      <c r="C1846" t="s">
        <v>628</v>
      </c>
      <c r="F1846" t="s">
        <v>3361</v>
      </c>
      <c r="G1846" t="s">
        <v>2746</v>
      </c>
      <c r="H1846" t="s">
        <v>2246</v>
      </c>
      <c r="I1846" t="s">
        <v>3418</v>
      </c>
      <c r="J1846" t="s">
        <v>3369</v>
      </c>
      <c r="K1846" t="s">
        <v>1661</v>
      </c>
      <c r="L1846" t="s">
        <v>3386</v>
      </c>
      <c r="M1846" t="s">
        <v>3364</v>
      </c>
      <c r="N1846" t="s">
        <v>3365</v>
      </c>
      <c r="O1846" t="s">
        <v>3366</v>
      </c>
      <c r="P1846" t="s">
        <v>3382</v>
      </c>
    </row>
    <row r="1847" spans="1:16" x14ac:dyDescent="0.3">
      <c r="A1847" t="s">
        <v>1206</v>
      </c>
      <c r="B1847" t="s">
        <v>3417</v>
      </c>
      <c r="C1847" t="s">
        <v>628</v>
      </c>
      <c r="F1847" t="s">
        <v>3361</v>
      </c>
      <c r="G1847" t="s">
        <v>2746</v>
      </c>
      <c r="H1847" t="s">
        <v>2246</v>
      </c>
      <c r="I1847" t="s">
        <v>3418</v>
      </c>
      <c r="J1847" t="s">
        <v>3369</v>
      </c>
      <c r="K1847" t="s">
        <v>1661</v>
      </c>
      <c r="L1847" t="s">
        <v>3386</v>
      </c>
      <c r="M1847" t="s">
        <v>3364</v>
      </c>
      <c r="N1847" t="s">
        <v>3365</v>
      </c>
      <c r="O1847" t="s">
        <v>3366</v>
      </c>
      <c r="P1847" t="s">
        <v>3382</v>
      </c>
    </row>
    <row r="1848" spans="1:16" x14ac:dyDescent="0.3">
      <c r="A1848" t="s">
        <v>2689</v>
      </c>
      <c r="B1848" t="s">
        <v>3417</v>
      </c>
      <c r="C1848" t="s">
        <v>628</v>
      </c>
      <c r="F1848" t="s">
        <v>3361</v>
      </c>
      <c r="G1848" t="s">
        <v>2746</v>
      </c>
      <c r="H1848" t="s">
        <v>2246</v>
      </c>
      <c r="I1848" t="s">
        <v>3418</v>
      </c>
      <c r="J1848" t="s">
        <v>3369</v>
      </c>
      <c r="K1848" t="s">
        <v>1661</v>
      </c>
      <c r="L1848" t="s">
        <v>3386</v>
      </c>
      <c r="M1848" t="s">
        <v>3364</v>
      </c>
      <c r="N1848" t="s">
        <v>3365</v>
      </c>
      <c r="O1848" t="s">
        <v>3366</v>
      </c>
      <c r="P1848" t="s">
        <v>3382</v>
      </c>
    </row>
    <row r="1849" spans="1:16" x14ac:dyDescent="0.3">
      <c r="A1849" t="s">
        <v>2690</v>
      </c>
      <c r="B1849" t="s">
        <v>3417</v>
      </c>
      <c r="C1849" t="s">
        <v>628</v>
      </c>
      <c r="F1849" t="s">
        <v>3361</v>
      </c>
      <c r="G1849" t="s">
        <v>2746</v>
      </c>
      <c r="H1849" t="s">
        <v>2246</v>
      </c>
      <c r="I1849" t="s">
        <v>3418</v>
      </c>
      <c r="J1849" t="s">
        <v>3369</v>
      </c>
      <c r="K1849" t="s">
        <v>1661</v>
      </c>
      <c r="L1849" t="s">
        <v>3386</v>
      </c>
      <c r="M1849" t="s">
        <v>3364</v>
      </c>
      <c r="N1849" t="s">
        <v>3365</v>
      </c>
      <c r="O1849" t="s">
        <v>3366</v>
      </c>
      <c r="P1849" t="s">
        <v>3382</v>
      </c>
    </row>
    <row r="1850" spans="1:16" x14ac:dyDescent="0.3">
      <c r="A1850" t="s">
        <v>2691</v>
      </c>
      <c r="B1850" t="s">
        <v>3417</v>
      </c>
      <c r="C1850" t="s">
        <v>628</v>
      </c>
      <c r="F1850" t="s">
        <v>3361</v>
      </c>
      <c r="G1850" t="s">
        <v>2746</v>
      </c>
      <c r="H1850" t="s">
        <v>2246</v>
      </c>
      <c r="I1850" t="s">
        <v>3418</v>
      </c>
      <c r="J1850" t="s">
        <v>3369</v>
      </c>
      <c r="K1850" t="s">
        <v>1661</v>
      </c>
      <c r="L1850" t="s">
        <v>3386</v>
      </c>
      <c r="M1850" t="s">
        <v>3364</v>
      </c>
      <c r="N1850" t="s">
        <v>3365</v>
      </c>
      <c r="O1850" t="s">
        <v>3366</v>
      </c>
      <c r="P1850" t="s">
        <v>3382</v>
      </c>
    </row>
    <row r="1851" spans="1:16" x14ac:dyDescent="0.3">
      <c r="A1851" t="s">
        <v>2692</v>
      </c>
      <c r="B1851" t="s">
        <v>3417</v>
      </c>
      <c r="C1851" t="s">
        <v>628</v>
      </c>
      <c r="F1851" t="s">
        <v>3361</v>
      </c>
      <c r="G1851" t="s">
        <v>2746</v>
      </c>
      <c r="H1851" t="s">
        <v>2246</v>
      </c>
      <c r="I1851" t="s">
        <v>3418</v>
      </c>
      <c r="J1851" t="s">
        <v>3369</v>
      </c>
      <c r="K1851" t="s">
        <v>1661</v>
      </c>
      <c r="L1851" t="s">
        <v>3386</v>
      </c>
      <c r="M1851" t="s">
        <v>3364</v>
      </c>
      <c r="N1851" t="s">
        <v>3365</v>
      </c>
      <c r="O1851" t="s">
        <v>3366</v>
      </c>
      <c r="P1851" t="s">
        <v>3382</v>
      </c>
    </row>
    <row r="1852" spans="1:16" x14ac:dyDescent="0.3">
      <c r="A1852" t="s">
        <v>2693</v>
      </c>
      <c r="B1852" t="s">
        <v>3417</v>
      </c>
      <c r="C1852" t="s">
        <v>628</v>
      </c>
      <c r="F1852" t="s">
        <v>3361</v>
      </c>
      <c r="G1852" t="s">
        <v>2746</v>
      </c>
      <c r="H1852" t="s">
        <v>2246</v>
      </c>
      <c r="I1852" t="s">
        <v>3418</v>
      </c>
      <c r="J1852" t="s">
        <v>3369</v>
      </c>
      <c r="K1852" t="s">
        <v>1661</v>
      </c>
      <c r="L1852" t="s">
        <v>3386</v>
      </c>
      <c r="M1852" t="s">
        <v>3364</v>
      </c>
      <c r="N1852" t="s">
        <v>3365</v>
      </c>
      <c r="O1852" t="s">
        <v>3366</v>
      </c>
      <c r="P1852" t="s">
        <v>3382</v>
      </c>
    </row>
    <row r="1853" spans="1:16" x14ac:dyDescent="0.3">
      <c r="A1853" t="s">
        <v>644</v>
      </c>
      <c r="B1853" t="s">
        <v>3417</v>
      </c>
      <c r="C1853" t="s">
        <v>628</v>
      </c>
      <c r="F1853" t="s">
        <v>3361</v>
      </c>
      <c r="G1853" t="s">
        <v>2746</v>
      </c>
      <c r="H1853" t="s">
        <v>2694</v>
      </c>
      <c r="I1853" t="s">
        <v>3418</v>
      </c>
      <c r="J1853" t="s">
        <v>3369</v>
      </c>
      <c r="K1853" t="s">
        <v>1661</v>
      </c>
      <c r="L1853" t="s">
        <v>3386</v>
      </c>
      <c r="M1853" t="s">
        <v>3364</v>
      </c>
      <c r="N1853" t="s">
        <v>3365</v>
      </c>
      <c r="O1853" t="s">
        <v>3366</v>
      </c>
      <c r="P1853" t="s">
        <v>3382</v>
      </c>
    </row>
    <row r="1854" spans="1:16" x14ac:dyDescent="0.3">
      <c r="A1854" t="s">
        <v>2080</v>
      </c>
      <c r="B1854" t="s">
        <v>3417</v>
      </c>
      <c r="C1854" t="s">
        <v>628</v>
      </c>
      <c r="F1854" t="s">
        <v>3361</v>
      </c>
      <c r="G1854" t="s">
        <v>2746</v>
      </c>
      <c r="H1854" t="s">
        <v>2694</v>
      </c>
      <c r="I1854" t="s">
        <v>3418</v>
      </c>
      <c r="J1854" t="s">
        <v>3369</v>
      </c>
      <c r="K1854" t="s">
        <v>1661</v>
      </c>
      <c r="L1854" t="s">
        <v>3386</v>
      </c>
      <c r="M1854" t="s">
        <v>3364</v>
      </c>
      <c r="N1854" t="s">
        <v>3365</v>
      </c>
      <c r="O1854" t="s">
        <v>3366</v>
      </c>
      <c r="P1854" t="s">
        <v>3382</v>
      </c>
    </row>
    <row r="1855" spans="1:16" x14ac:dyDescent="0.3">
      <c r="A1855" t="s">
        <v>2695</v>
      </c>
      <c r="B1855" t="s">
        <v>3417</v>
      </c>
      <c r="C1855" t="s">
        <v>628</v>
      </c>
      <c r="F1855" t="s">
        <v>3361</v>
      </c>
      <c r="G1855" t="s">
        <v>2746</v>
      </c>
      <c r="H1855" t="s">
        <v>2694</v>
      </c>
      <c r="I1855" t="s">
        <v>3418</v>
      </c>
      <c r="J1855" t="s">
        <v>3369</v>
      </c>
      <c r="K1855" t="s">
        <v>1661</v>
      </c>
      <c r="L1855" t="s">
        <v>3386</v>
      </c>
      <c r="M1855" t="s">
        <v>3364</v>
      </c>
      <c r="N1855" t="s">
        <v>3365</v>
      </c>
      <c r="O1855" t="s">
        <v>3366</v>
      </c>
      <c r="P1855" t="s">
        <v>3382</v>
      </c>
    </row>
    <row r="1856" spans="1:16" x14ac:dyDescent="0.3">
      <c r="A1856" t="s">
        <v>651</v>
      </c>
      <c r="B1856" t="s">
        <v>3417</v>
      </c>
      <c r="C1856" t="s">
        <v>628</v>
      </c>
      <c r="F1856" t="s">
        <v>3361</v>
      </c>
      <c r="G1856" t="s">
        <v>2746</v>
      </c>
      <c r="H1856" t="s">
        <v>2694</v>
      </c>
      <c r="I1856" t="s">
        <v>3418</v>
      </c>
      <c r="J1856" t="s">
        <v>3369</v>
      </c>
      <c r="K1856" t="s">
        <v>1661</v>
      </c>
      <c r="L1856" t="s">
        <v>3386</v>
      </c>
      <c r="M1856" t="s">
        <v>3364</v>
      </c>
      <c r="N1856" t="s">
        <v>3365</v>
      </c>
      <c r="O1856" t="s">
        <v>3366</v>
      </c>
      <c r="P1856" t="s">
        <v>3382</v>
      </c>
    </row>
    <row r="1857" spans="1:16" x14ac:dyDescent="0.3">
      <c r="A1857" t="s">
        <v>2696</v>
      </c>
      <c r="B1857" t="s">
        <v>3417</v>
      </c>
      <c r="C1857" t="s">
        <v>628</v>
      </c>
      <c r="F1857" t="s">
        <v>3361</v>
      </c>
      <c r="G1857" t="s">
        <v>2746</v>
      </c>
      <c r="H1857" t="s">
        <v>2694</v>
      </c>
      <c r="I1857" t="s">
        <v>3418</v>
      </c>
      <c r="J1857" t="s">
        <v>3369</v>
      </c>
      <c r="K1857" t="s">
        <v>1661</v>
      </c>
      <c r="L1857" t="s">
        <v>3386</v>
      </c>
      <c r="M1857" t="s">
        <v>3364</v>
      </c>
      <c r="N1857" t="s">
        <v>3365</v>
      </c>
      <c r="O1857" t="s">
        <v>3366</v>
      </c>
      <c r="P1857" t="s">
        <v>3382</v>
      </c>
    </row>
    <row r="1858" spans="1:16" x14ac:dyDescent="0.3">
      <c r="A1858" t="s">
        <v>2697</v>
      </c>
      <c r="B1858" t="s">
        <v>3417</v>
      </c>
      <c r="C1858" t="s">
        <v>628</v>
      </c>
      <c r="F1858" t="s">
        <v>3361</v>
      </c>
      <c r="G1858" t="s">
        <v>2746</v>
      </c>
      <c r="H1858" t="s">
        <v>2694</v>
      </c>
      <c r="I1858" t="s">
        <v>3418</v>
      </c>
      <c r="J1858" t="s">
        <v>3369</v>
      </c>
      <c r="K1858" t="s">
        <v>1661</v>
      </c>
      <c r="L1858" t="s">
        <v>3386</v>
      </c>
      <c r="M1858" t="s">
        <v>3364</v>
      </c>
      <c r="N1858" t="s">
        <v>3365</v>
      </c>
      <c r="O1858" t="s">
        <v>3366</v>
      </c>
      <c r="P1858" t="s">
        <v>3382</v>
      </c>
    </row>
    <row r="1859" spans="1:16" x14ac:dyDescent="0.3">
      <c r="A1859" t="s">
        <v>1258</v>
      </c>
      <c r="B1859" t="s">
        <v>3417</v>
      </c>
      <c r="C1859" t="s">
        <v>628</v>
      </c>
      <c r="F1859" t="s">
        <v>3361</v>
      </c>
      <c r="G1859" t="s">
        <v>2746</v>
      </c>
      <c r="H1859" t="s">
        <v>2694</v>
      </c>
      <c r="I1859" t="s">
        <v>3418</v>
      </c>
      <c r="J1859" t="s">
        <v>3369</v>
      </c>
      <c r="K1859" t="s">
        <v>1661</v>
      </c>
      <c r="L1859" t="s">
        <v>3386</v>
      </c>
      <c r="M1859" t="s">
        <v>3364</v>
      </c>
      <c r="N1859" t="s">
        <v>3365</v>
      </c>
      <c r="O1859" t="s">
        <v>3366</v>
      </c>
      <c r="P1859" t="s">
        <v>3382</v>
      </c>
    </row>
    <row r="1860" spans="1:16" x14ac:dyDescent="0.3">
      <c r="A1860" t="s">
        <v>672</v>
      </c>
      <c r="B1860" t="s">
        <v>3417</v>
      </c>
      <c r="C1860" t="s">
        <v>628</v>
      </c>
      <c r="F1860" t="s">
        <v>3361</v>
      </c>
      <c r="G1860" t="s">
        <v>2746</v>
      </c>
      <c r="H1860" t="s">
        <v>2694</v>
      </c>
      <c r="I1860" t="s">
        <v>3418</v>
      </c>
      <c r="J1860" t="s">
        <v>3369</v>
      </c>
      <c r="K1860" t="s">
        <v>1661</v>
      </c>
      <c r="L1860" t="s">
        <v>3386</v>
      </c>
      <c r="M1860" t="s">
        <v>3364</v>
      </c>
      <c r="N1860" t="s">
        <v>3365</v>
      </c>
      <c r="O1860" t="s">
        <v>3366</v>
      </c>
      <c r="P1860" t="s">
        <v>3382</v>
      </c>
    </row>
    <row r="1861" spans="1:16" x14ac:dyDescent="0.3">
      <c r="A1861" t="s">
        <v>659</v>
      </c>
      <c r="B1861" t="s">
        <v>3417</v>
      </c>
      <c r="C1861" t="s">
        <v>628</v>
      </c>
      <c r="F1861" t="s">
        <v>3361</v>
      </c>
      <c r="G1861" t="s">
        <v>2746</v>
      </c>
      <c r="H1861" t="s">
        <v>2694</v>
      </c>
      <c r="I1861" t="s">
        <v>3418</v>
      </c>
      <c r="J1861" t="s">
        <v>3369</v>
      </c>
      <c r="K1861" t="s">
        <v>1661</v>
      </c>
      <c r="L1861" t="s">
        <v>3386</v>
      </c>
      <c r="M1861" t="s">
        <v>3364</v>
      </c>
      <c r="N1861" t="s">
        <v>3365</v>
      </c>
      <c r="O1861" t="s">
        <v>3366</v>
      </c>
      <c r="P1861" t="s">
        <v>3382</v>
      </c>
    </row>
    <row r="1862" spans="1:16" x14ac:dyDescent="0.3">
      <c r="A1862" t="s">
        <v>2698</v>
      </c>
      <c r="B1862" t="s">
        <v>3417</v>
      </c>
      <c r="C1862" t="s">
        <v>628</v>
      </c>
      <c r="F1862" t="s">
        <v>3361</v>
      </c>
      <c r="G1862" t="s">
        <v>2746</v>
      </c>
      <c r="H1862" t="s">
        <v>2694</v>
      </c>
      <c r="I1862" t="s">
        <v>3418</v>
      </c>
      <c r="J1862" t="s">
        <v>3369</v>
      </c>
      <c r="K1862" t="s">
        <v>1661</v>
      </c>
      <c r="L1862" t="s">
        <v>3386</v>
      </c>
      <c r="M1862" t="s">
        <v>3364</v>
      </c>
      <c r="N1862" t="s">
        <v>3365</v>
      </c>
      <c r="O1862" t="s">
        <v>3366</v>
      </c>
      <c r="P1862" t="s">
        <v>3382</v>
      </c>
    </row>
    <row r="1863" spans="1:16" x14ac:dyDescent="0.3">
      <c r="A1863" t="s">
        <v>622</v>
      </c>
      <c r="B1863" t="s">
        <v>3417</v>
      </c>
      <c r="C1863" t="s">
        <v>628</v>
      </c>
      <c r="F1863" t="s">
        <v>3361</v>
      </c>
      <c r="G1863" t="s">
        <v>2746</v>
      </c>
      <c r="H1863" t="s">
        <v>2694</v>
      </c>
      <c r="I1863" t="s">
        <v>3418</v>
      </c>
      <c r="J1863" t="s">
        <v>3369</v>
      </c>
      <c r="K1863" t="s">
        <v>1661</v>
      </c>
      <c r="L1863" t="s">
        <v>3386</v>
      </c>
      <c r="M1863" t="s">
        <v>3364</v>
      </c>
      <c r="N1863" t="s">
        <v>3365</v>
      </c>
      <c r="O1863" t="s">
        <v>3366</v>
      </c>
      <c r="P1863" t="s">
        <v>3382</v>
      </c>
    </row>
    <row r="1864" spans="1:16" x14ac:dyDescent="0.3">
      <c r="A1864" t="s">
        <v>2699</v>
      </c>
      <c r="B1864" t="s">
        <v>3417</v>
      </c>
      <c r="C1864" t="s">
        <v>628</v>
      </c>
      <c r="F1864" t="s">
        <v>3361</v>
      </c>
      <c r="G1864" t="s">
        <v>2746</v>
      </c>
      <c r="H1864" t="s">
        <v>2694</v>
      </c>
      <c r="I1864" t="s">
        <v>3418</v>
      </c>
      <c r="J1864" t="s">
        <v>3369</v>
      </c>
      <c r="K1864" t="s">
        <v>1661</v>
      </c>
      <c r="L1864" t="s">
        <v>3386</v>
      </c>
      <c r="M1864" t="s">
        <v>3364</v>
      </c>
      <c r="N1864" t="s">
        <v>3365</v>
      </c>
      <c r="O1864" t="s">
        <v>3366</v>
      </c>
      <c r="P1864" t="s">
        <v>3382</v>
      </c>
    </row>
    <row r="1865" spans="1:16" x14ac:dyDescent="0.3">
      <c r="A1865" t="s">
        <v>2700</v>
      </c>
      <c r="B1865" t="s">
        <v>3417</v>
      </c>
      <c r="C1865" t="s">
        <v>628</v>
      </c>
      <c r="F1865" t="s">
        <v>3361</v>
      </c>
      <c r="G1865" t="s">
        <v>2746</v>
      </c>
      <c r="H1865" t="s">
        <v>2252</v>
      </c>
      <c r="I1865" t="s">
        <v>3418</v>
      </c>
      <c r="J1865" t="s">
        <v>3369</v>
      </c>
      <c r="K1865" t="s">
        <v>1661</v>
      </c>
      <c r="L1865" t="s">
        <v>3386</v>
      </c>
      <c r="M1865" t="s">
        <v>3364</v>
      </c>
      <c r="N1865" t="s">
        <v>3365</v>
      </c>
      <c r="O1865" t="s">
        <v>3366</v>
      </c>
      <c r="P1865" t="s">
        <v>3382</v>
      </c>
    </row>
    <row r="1866" spans="1:16" x14ac:dyDescent="0.3">
      <c r="A1866" t="s">
        <v>2701</v>
      </c>
      <c r="B1866" t="s">
        <v>3417</v>
      </c>
      <c r="C1866" t="s">
        <v>628</v>
      </c>
      <c r="F1866" t="s">
        <v>3361</v>
      </c>
      <c r="G1866" t="s">
        <v>2746</v>
      </c>
      <c r="H1866" t="s">
        <v>2252</v>
      </c>
      <c r="I1866" t="s">
        <v>3418</v>
      </c>
      <c r="J1866" t="s">
        <v>3369</v>
      </c>
      <c r="K1866" t="s">
        <v>1661</v>
      </c>
      <c r="L1866" t="s">
        <v>3386</v>
      </c>
      <c r="M1866" t="s">
        <v>3364</v>
      </c>
      <c r="N1866" t="s">
        <v>3365</v>
      </c>
      <c r="O1866" t="s">
        <v>3366</v>
      </c>
      <c r="P1866" t="s">
        <v>3382</v>
      </c>
    </row>
    <row r="1867" spans="1:16" x14ac:dyDescent="0.3">
      <c r="A1867" t="s">
        <v>1078</v>
      </c>
      <c r="B1867" t="s">
        <v>3417</v>
      </c>
      <c r="C1867" t="s">
        <v>628</v>
      </c>
      <c r="F1867" t="s">
        <v>3361</v>
      </c>
      <c r="G1867" t="s">
        <v>2746</v>
      </c>
      <c r="H1867" t="s">
        <v>2252</v>
      </c>
      <c r="I1867" t="s">
        <v>3418</v>
      </c>
      <c r="J1867" t="s">
        <v>3369</v>
      </c>
      <c r="K1867" t="s">
        <v>1661</v>
      </c>
      <c r="L1867" t="s">
        <v>3386</v>
      </c>
      <c r="M1867" t="s">
        <v>3364</v>
      </c>
      <c r="N1867" t="s">
        <v>3365</v>
      </c>
      <c r="O1867" t="s">
        <v>3366</v>
      </c>
      <c r="P1867" t="s">
        <v>3382</v>
      </c>
    </row>
    <row r="1868" spans="1:16" x14ac:dyDescent="0.3">
      <c r="A1868" t="s">
        <v>2702</v>
      </c>
      <c r="B1868" t="s">
        <v>3417</v>
      </c>
      <c r="C1868" t="s">
        <v>628</v>
      </c>
      <c r="F1868" t="s">
        <v>3361</v>
      </c>
      <c r="G1868" t="s">
        <v>2746</v>
      </c>
      <c r="H1868" t="s">
        <v>2252</v>
      </c>
      <c r="I1868" t="s">
        <v>3418</v>
      </c>
      <c r="J1868" t="s">
        <v>3369</v>
      </c>
      <c r="K1868" t="s">
        <v>1661</v>
      </c>
      <c r="L1868" t="s">
        <v>3386</v>
      </c>
      <c r="M1868" t="s">
        <v>3364</v>
      </c>
      <c r="N1868" t="s">
        <v>3365</v>
      </c>
      <c r="O1868" t="s">
        <v>3366</v>
      </c>
      <c r="P1868" t="s">
        <v>3382</v>
      </c>
    </row>
    <row r="1869" spans="1:16" x14ac:dyDescent="0.3">
      <c r="A1869" t="s">
        <v>2703</v>
      </c>
      <c r="B1869" t="s">
        <v>3417</v>
      </c>
      <c r="C1869" t="s">
        <v>628</v>
      </c>
      <c r="F1869" t="s">
        <v>3361</v>
      </c>
      <c r="G1869" t="s">
        <v>2746</v>
      </c>
      <c r="H1869" t="s">
        <v>2252</v>
      </c>
      <c r="I1869" t="s">
        <v>3418</v>
      </c>
      <c r="J1869" t="s">
        <v>3369</v>
      </c>
      <c r="K1869" t="s">
        <v>1661</v>
      </c>
      <c r="L1869" t="s">
        <v>3386</v>
      </c>
      <c r="M1869" t="s">
        <v>3364</v>
      </c>
      <c r="N1869" t="s">
        <v>3365</v>
      </c>
      <c r="O1869" t="s">
        <v>3366</v>
      </c>
      <c r="P1869" t="s">
        <v>3382</v>
      </c>
    </row>
    <row r="1870" spans="1:16" x14ac:dyDescent="0.3">
      <c r="A1870" t="s">
        <v>2704</v>
      </c>
      <c r="B1870" t="s">
        <v>3417</v>
      </c>
      <c r="C1870" t="s">
        <v>628</v>
      </c>
      <c r="F1870" t="s">
        <v>3361</v>
      </c>
      <c r="G1870" t="s">
        <v>2746</v>
      </c>
      <c r="H1870" t="s">
        <v>2252</v>
      </c>
      <c r="I1870" t="s">
        <v>3418</v>
      </c>
      <c r="J1870" t="s">
        <v>3369</v>
      </c>
      <c r="K1870" t="s">
        <v>1661</v>
      </c>
      <c r="L1870" t="s">
        <v>3386</v>
      </c>
      <c r="M1870" t="s">
        <v>3364</v>
      </c>
      <c r="N1870" t="s">
        <v>3365</v>
      </c>
      <c r="O1870" t="s">
        <v>3366</v>
      </c>
      <c r="P1870" t="s">
        <v>3382</v>
      </c>
    </row>
    <row r="1871" spans="1:16" x14ac:dyDescent="0.3">
      <c r="A1871" t="s">
        <v>2705</v>
      </c>
      <c r="B1871" t="s">
        <v>3417</v>
      </c>
      <c r="C1871" t="s">
        <v>628</v>
      </c>
      <c r="F1871" t="s">
        <v>3361</v>
      </c>
      <c r="G1871" t="s">
        <v>2746</v>
      </c>
      <c r="H1871" t="s">
        <v>2252</v>
      </c>
      <c r="I1871" t="s">
        <v>3418</v>
      </c>
      <c r="J1871" t="s">
        <v>3369</v>
      </c>
      <c r="K1871" t="s">
        <v>1661</v>
      </c>
      <c r="L1871" t="s">
        <v>3386</v>
      </c>
      <c r="M1871" t="s">
        <v>3364</v>
      </c>
      <c r="N1871" t="s">
        <v>3365</v>
      </c>
      <c r="O1871" t="s">
        <v>3366</v>
      </c>
      <c r="P1871" t="s">
        <v>3382</v>
      </c>
    </row>
    <row r="1872" spans="1:16" x14ac:dyDescent="0.3">
      <c r="A1872" t="s">
        <v>2706</v>
      </c>
      <c r="B1872" t="s">
        <v>3417</v>
      </c>
      <c r="C1872" t="s">
        <v>628</v>
      </c>
      <c r="F1872" t="s">
        <v>3361</v>
      </c>
      <c r="G1872" t="s">
        <v>2746</v>
      </c>
      <c r="H1872" t="s">
        <v>2252</v>
      </c>
      <c r="I1872" t="s">
        <v>3418</v>
      </c>
      <c r="J1872" t="s">
        <v>3369</v>
      </c>
      <c r="K1872" t="s">
        <v>1661</v>
      </c>
      <c r="L1872" t="s">
        <v>3386</v>
      </c>
      <c r="M1872" t="s">
        <v>3364</v>
      </c>
      <c r="N1872" t="s">
        <v>3365</v>
      </c>
      <c r="O1872" t="s">
        <v>3366</v>
      </c>
      <c r="P1872" t="s">
        <v>3382</v>
      </c>
    </row>
    <row r="1873" spans="1:16" x14ac:dyDescent="0.3">
      <c r="A1873" t="s">
        <v>2707</v>
      </c>
      <c r="B1873" t="s">
        <v>3417</v>
      </c>
      <c r="C1873" t="s">
        <v>628</v>
      </c>
      <c r="F1873" t="s">
        <v>3361</v>
      </c>
      <c r="G1873" t="s">
        <v>2746</v>
      </c>
      <c r="H1873" t="s">
        <v>2252</v>
      </c>
      <c r="I1873" t="s">
        <v>3418</v>
      </c>
      <c r="J1873" t="s">
        <v>3369</v>
      </c>
      <c r="K1873" t="s">
        <v>1661</v>
      </c>
      <c r="L1873" t="s">
        <v>3386</v>
      </c>
      <c r="M1873" t="s">
        <v>3364</v>
      </c>
      <c r="N1873" t="s">
        <v>3365</v>
      </c>
      <c r="O1873" t="s">
        <v>3366</v>
      </c>
      <c r="P1873" t="s">
        <v>3382</v>
      </c>
    </row>
    <row r="1874" spans="1:16" x14ac:dyDescent="0.3">
      <c r="A1874" t="s">
        <v>2539</v>
      </c>
      <c r="B1874" t="s">
        <v>3417</v>
      </c>
      <c r="C1874" t="s">
        <v>628</v>
      </c>
      <c r="F1874" t="s">
        <v>3361</v>
      </c>
      <c r="G1874" t="s">
        <v>2746</v>
      </c>
      <c r="H1874" t="s">
        <v>2252</v>
      </c>
      <c r="I1874" t="s">
        <v>3418</v>
      </c>
      <c r="J1874" t="s">
        <v>3369</v>
      </c>
      <c r="K1874" t="s">
        <v>1661</v>
      </c>
      <c r="L1874" t="s">
        <v>3386</v>
      </c>
      <c r="M1874" t="s">
        <v>3364</v>
      </c>
      <c r="N1874" t="s">
        <v>3365</v>
      </c>
      <c r="O1874" t="s">
        <v>3366</v>
      </c>
      <c r="P1874" t="s">
        <v>3382</v>
      </c>
    </row>
    <row r="1875" spans="1:16" x14ac:dyDescent="0.3">
      <c r="A1875" t="s">
        <v>2708</v>
      </c>
      <c r="B1875" t="s">
        <v>3417</v>
      </c>
      <c r="C1875" t="s">
        <v>628</v>
      </c>
      <c r="F1875" t="s">
        <v>3361</v>
      </c>
      <c r="G1875" t="s">
        <v>2746</v>
      </c>
      <c r="H1875" t="s">
        <v>2252</v>
      </c>
      <c r="I1875" t="s">
        <v>3418</v>
      </c>
      <c r="J1875" t="s">
        <v>3369</v>
      </c>
      <c r="K1875" t="s">
        <v>1661</v>
      </c>
      <c r="L1875" t="s">
        <v>3386</v>
      </c>
      <c r="M1875" t="s">
        <v>3364</v>
      </c>
      <c r="N1875" t="s">
        <v>3365</v>
      </c>
      <c r="O1875" t="s">
        <v>3366</v>
      </c>
      <c r="P1875" t="s">
        <v>3382</v>
      </c>
    </row>
    <row r="1876" spans="1:16" x14ac:dyDescent="0.3">
      <c r="A1876" t="s">
        <v>2709</v>
      </c>
      <c r="B1876" t="s">
        <v>3417</v>
      </c>
      <c r="C1876" t="s">
        <v>628</v>
      </c>
      <c r="F1876" t="s">
        <v>3361</v>
      </c>
      <c r="G1876" t="s">
        <v>2746</v>
      </c>
      <c r="H1876" t="s">
        <v>2252</v>
      </c>
      <c r="I1876" t="s">
        <v>3418</v>
      </c>
      <c r="J1876" t="s">
        <v>3369</v>
      </c>
      <c r="K1876" t="s">
        <v>1661</v>
      </c>
      <c r="L1876" t="s">
        <v>3386</v>
      </c>
      <c r="M1876" t="s">
        <v>3364</v>
      </c>
      <c r="N1876" t="s">
        <v>3365</v>
      </c>
      <c r="O1876" t="s">
        <v>3366</v>
      </c>
      <c r="P1876" t="s">
        <v>3382</v>
      </c>
    </row>
    <row r="1877" spans="1:16" x14ac:dyDescent="0.3">
      <c r="A1877" t="s">
        <v>2710</v>
      </c>
      <c r="B1877" t="s">
        <v>3417</v>
      </c>
      <c r="C1877" t="s">
        <v>628</v>
      </c>
      <c r="F1877" t="s">
        <v>3361</v>
      </c>
      <c r="G1877" t="s">
        <v>2746</v>
      </c>
      <c r="H1877" t="s">
        <v>2252</v>
      </c>
      <c r="I1877" t="s">
        <v>3418</v>
      </c>
      <c r="J1877" t="s">
        <v>3369</v>
      </c>
      <c r="K1877" t="s">
        <v>1661</v>
      </c>
      <c r="L1877" t="s">
        <v>3386</v>
      </c>
      <c r="M1877" t="s">
        <v>3364</v>
      </c>
      <c r="N1877" t="s">
        <v>3365</v>
      </c>
      <c r="O1877" t="s">
        <v>3366</v>
      </c>
      <c r="P1877" t="s">
        <v>3382</v>
      </c>
    </row>
    <row r="1878" spans="1:16" x14ac:dyDescent="0.3">
      <c r="A1878" t="s">
        <v>972</v>
      </c>
      <c r="B1878" t="s">
        <v>3417</v>
      </c>
      <c r="C1878" t="s">
        <v>628</v>
      </c>
      <c r="F1878" t="s">
        <v>3361</v>
      </c>
      <c r="G1878" t="s">
        <v>2746</v>
      </c>
      <c r="H1878" t="s">
        <v>2252</v>
      </c>
      <c r="I1878" t="s">
        <v>3418</v>
      </c>
      <c r="J1878" t="s">
        <v>3369</v>
      </c>
      <c r="K1878" t="s">
        <v>1661</v>
      </c>
      <c r="L1878" t="s">
        <v>3386</v>
      </c>
      <c r="M1878" t="s">
        <v>3364</v>
      </c>
      <c r="N1878" t="s">
        <v>3365</v>
      </c>
      <c r="O1878" t="s">
        <v>3366</v>
      </c>
      <c r="P1878" t="s">
        <v>3389</v>
      </c>
    </row>
    <row r="1879" spans="1:16" x14ac:dyDescent="0.3">
      <c r="A1879" t="s">
        <v>2715</v>
      </c>
      <c r="B1879" t="s">
        <v>3417</v>
      </c>
      <c r="C1879" t="s">
        <v>100</v>
      </c>
      <c r="F1879" t="s">
        <v>3361</v>
      </c>
      <c r="G1879" t="s">
        <v>2746</v>
      </c>
      <c r="I1879" t="s">
        <v>3418</v>
      </c>
      <c r="J1879" t="s">
        <v>3369</v>
      </c>
      <c r="K1879" t="s">
        <v>1661</v>
      </c>
      <c r="L1879" t="s">
        <v>3386</v>
      </c>
      <c r="M1879" t="s">
        <v>3364</v>
      </c>
      <c r="N1879" t="s">
        <v>3365</v>
      </c>
      <c r="O1879" t="s">
        <v>3366</v>
      </c>
      <c r="P1879" t="s">
        <v>3382</v>
      </c>
    </row>
    <row r="1880" spans="1:16" x14ac:dyDescent="0.3">
      <c r="A1880" t="s">
        <v>2718</v>
      </c>
      <c r="B1880" t="s">
        <v>3417</v>
      </c>
      <c r="C1880" t="s">
        <v>45</v>
      </c>
      <c r="F1880" t="s">
        <v>3361</v>
      </c>
      <c r="G1880" t="s">
        <v>2746</v>
      </c>
      <c r="I1880" t="s">
        <v>3418</v>
      </c>
      <c r="J1880" t="s">
        <v>3369</v>
      </c>
      <c r="K1880" t="s">
        <v>1661</v>
      </c>
      <c r="L1880" t="s">
        <v>3386</v>
      </c>
      <c r="M1880" t="s">
        <v>3364</v>
      </c>
      <c r="N1880" t="s">
        <v>3365</v>
      </c>
      <c r="O1880" t="s">
        <v>3366</v>
      </c>
      <c r="P1880" t="s">
        <v>3382</v>
      </c>
    </row>
    <row r="1881" spans="1:16" x14ac:dyDescent="0.3">
      <c r="A1881" t="s">
        <v>2720</v>
      </c>
      <c r="B1881" t="s">
        <v>3417</v>
      </c>
      <c r="C1881" t="s">
        <v>51</v>
      </c>
      <c r="F1881" t="s">
        <v>3361</v>
      </c>
      <c r="G1881" t="s">
        <v>2746</v>
      </c>
      <c r="I1881" t="s">
        <v>3418</v>
      </c>
      <c r="J1881" t="s">
        <v>3369</v>
      </c>
      <c r="K1881" t="s">
        <v>1661</v>
      </c>
      <c r="L1881" t="s">
        <v>3386</v>
      </c>
      <c r="M1881" t="s">
        <v>3364</v>
      </c>
      <c r="N1881" t="s">
        <v>3365</v>
      </c>
      <c r="O1881" t="s">
        <v>3366</v>
      </c>
      <c r="P1881" t="s">
        <v>3382</v>
      </c>
    </row>
    <row r="1882" spans="1:16" x14ac:dyDescent="0.3">
      <c r="A1882" t="s">
        <v>2723</v>
      </c>
      <c r="B1882" t="s">
        <v>3417</v>
      </c>
      <c r="C1882" t="s">
        <v>57</v>
      </c>
      <c r="F1882" t="s">
        <v>3361</v>
      </c>
      <c r="G1882" t="s">
        <v>2746</v>
      </c>
      <c r="I1882" t="s">
        <v>3418</v>
      </c>
      <c r="J1882" t="s">
        <v>3369</v>
      </c>
      <c r="K1882" t="s">
        <v>1661</v>
      </c>
      <c r="L1882" t="s">
        <v>3386</v>
      </c>
      <c r="M1882" t="s">
        <v>3364</v>
      </c>
      <c r="N1882" t="s">
        <v>3365</v>
      </c>
      <c r="O1882" t="s">
        <v>3366</v>
      </c>
      <c r="P1882" t="s">
        <v>3382</v>
      </c>
    </row>
    <row r="1883" spans="1:16" x14ac:dyDescent="0.3">
      <c r="A1883" t="s">
        <v>2725</v>
      </c>
      <c r="B1883" t="s">
        <v>3417</v>
      </c>
      <c r="C1883" t="s">
        <v>63</v>
      </c>
      <c r="F1883" t="s">
        <v>3361</v>
      </c>
      <c r="G1883" t="s">
        <v>2746</v>
      </c>
      <c r="I1883" t="s">
        <v>3418</v>
      </c>
      <c r="J1883" t="s">
        <v>3369</v>
      </c>
      <c r="K1883" t="s">
        <v>1661</v>
      </c>
      <c r="L1883" t="s">
        <v>3386</v>
      </c>
      <c r="M1883" t="s">
        <v>3364</v>
      </c>
      <c r="N1883" t="s">
        <v>3365</v>
      </c>
      <c r="O1883" t="s">
        <v>3366</v>
      </c>
      <c r="P1883" t="s">
        <v>3382</v>
      </c>
    </row>
    <row r="1884" spans="1:16" x14ac:dyDescent="0.3">
      <c r="A1884" t="s">
        <v>2728</v>
      </c>
      <c r="B1884" t="s">
        <v>3417</v>
      </c>
      <c r="C1884" t="s">
        <v>69</v>
      </c>
      <c r="F1884" t="s">
        <v>3361</v>
      </c>
      <c r="G1884" t="s">
        <v>2746</v>
      </c>
      <c r="I1884" t="s">
        <v>3418</v>
      </c>
      <c r="J1884" t="s">
        <v>3369</v>
      </c>
      <c r="K1884" t="s">
        <v>1661</v>
      </c>
      <c r="L1884" t="s">
        <v>3386</v>
      </c>
      <c r="M1884" t="s">
        <v>3364</v>
      </c>
      <c r="N1884" t="s">
        <v>3365</v>
      </c>
      <c r="O1884" t="s">
        <v>3366</v>
      </c>
      <c r="P1884" t="s">
        <v>3382</v>
      </c>
    </row>
    <row r="1885" spans="1:16" x14ac:dyDescent="0.3">
      <c r="A1885" t="s">
        <v>2730</v>
      </c>
      <c r="B1885" t="s">
        <v>3417</v>
      </c>
      <c r="C1885" t="s">
        <v>75</v>
      </c>
      <c r="F1885" t="s">
        <v>3361</v>
      </c>
      <c r="G1885" t="s">
        <v>2746</v>
      </c>
      <c r="I1885" t="s">
        <v>3418</v>
      </c>
      <c r="J1885" t="s">
        <v>3369</v>
      </c>
      <c r="K1885" t="s">
        <v>1661</v>
      </c>
      <c r="L1885" t="s">
        <v>3386</v>
      </c>
      <c r="M1885" t="s">
        <v>3364</v>
      </c>
      <c r="N1885" t="s">
        <v>3365</v>
      </c>
      <c r="O1885" t="s">
        <v>3366</v>
      </c>
      <c r="P1885" t="s">
        <v>3382</v>
      </c>
    </row>
    <row r="1886" spans="1:16" x14ac:dyDescent="0.3">
      <c r="A1886" t="s">
        <v>2733</v>
      </c>
      <c r="B1886" t="s">
        <v>3417</v>
      </c>
      <c r="C1886" t="s">
        <v>81</v>
      </c>
      <c r="F1886" t="s">
        <v>3361</v>
      </c>
      <c r="G1886" t="s">
        <v>2746</v>
      </c>
      <c r="I1886" t="s">
        <v>3418</v>
      </c>
      <c r="J1886" t="s">
        <v>3369</v>
      </c>
      <c r="K1886" t="s">
        <v>1661</v>
      </c>
      <c r="L1886" t="s">
        <v>3386</v>
      </c>
      <c r="M1886" t="s">
        <v>3364</v>
      </c>
      <c r="N1886" t="s">
        <v>3365</v>
      </c>
      <c r="O1886" t="s">
        <v>3366</v>
      </c>
      <c r="P1886" t="s">
        <v>3382</v>
      </c>
    </row>
    <row r="1887" spans="1:16" x14ac:dyDescent="0.3">
      <c r="A1887" t="s">
        <v>2735</v>
      </c>
      <c r="B1887" t="s">
        <v>3417</v>
      </c>
      <c r="C1887" t="s">
        <v>87</v>
      </c>
      <c r="F1887" t="s">
        <v>3361</v>
      </c>
      <c r="G1887" t="s">
        <v>2746</v>
      </c>
      <c r="I1887" t="s">
        <v>3418</v>
      </c>
      <c r="J1887" t="s">
        <v>3369</v>
      </c>
      <c r="K1887" t="s">
        <v>1661</v>
      </c>
      <c r="L1887" t="s">
        <v>3386</v>
      </c>
      <c r="M1887" t="s">
        <v>3364</v>
      </c>
      <c r="N1887" t="s">
        <v>3365</v>
      </c>
      <c r="O1887" t="s">
        <v>3366</v>
      </c>
      <c r="P1887" t="s">
        <v>3382</v>
      </c>
    </row>
    <row r="1888" spans="1:16" x14ac:dyDescent="0.3">
      <c r="A1888" t="s">
        <v>2738</v>
      </c>
      <c r="B1888" t="s">
        <v>3417</v>
      </c>
      <c r="C1888" t="s">
        <v>2626</v>
      </c>
      <c r="F1888" t="s">
        <v>3361</v>
      </c>
      <c r="G1888" t="s">
        <v>2746</v>
      </c>
      <c r="I1888" t="s">
        <v>3418</v>
      </c>
      <c r="J1888" t="s">
        <v>3369</v>
      </c>
      <c r="K1888" t="s">
        <v>1661</v>
      </c>
      <c r="L1888" t="s">
        <v>3386</v>
      </c>
      <c r="M1888" t="s">
        <v>3364</v>
      </c>
      <c r="N1888" t="s">
        <v>3365</v>
      </c>
      <c r="O1888" t="s">
        <v>3366</v>
      </c>
      <c r="P1888" t="s">
        <v>3382</v>
      </c>
    </row>
    <row r="1889" spans="1:16" x14ac:dyDescent="0.3">
      <c r="A1889" t="s">
        <v>1169</v>
      </c>
      <c r="B1889" t="s">
        <v>1170</v>
      </c>
      <c r="E1889">
        <v>1</v>
      </c>
      <c r="F1889" t="s">
        <v>3361</v>
      </c>
      <c r="G1889" t="s">
        <v>2746</v>
      </c>
      <c r="H1889" t="s">
        <v>1171</v>
      </c>
      <c r="I1889" t="s">
        <v>1630</v>
      </c>
      <c r="J1889" t="s">
        <v>3369</v>
      </c>
      <c r="K1889" t="s">
        <v>3374</v>
      </c>
      <c r="L1889" t="s">
        <v>3375</v>
      </c>
      <c r="M1889" t="s">
        <v>3364</v>
      </c>
      <c r="N1889" t="s">
        <v>3365</v>
      </c>
      <c r="O1889" t="s">
        <v>3376</v>
      </c>
      <c r="P1889" t="s">
        <v>3372</v>
      </c>
    </row>
    <row r="1890" spans="1:16" x14ac:dyDescent="0.3">
      <c r="A1890" t="s">
        <v>1179</v>
      </c>
      <c r="B1890" t="s">
        <v>1170</v>
      </c>
      <c r="E1890">
        <v>1</v>
      </c>
      <c r="F1890" t="s">
        <v>3361</v>
      </c>
      <c r="G1890" t="s">
        <v>2746</v>
      </c>
      <c r="H1890" t="s">
        <v>1171</v>
      </c>
      <c r="I1890" t="s">
        <v>1630</v>
      </c>
      <c r="J1890" t="s">
        <v>3369</v>
      </c>
      <c r="K1890" t="s">
        <v>3374</v>
      </c>
      <c r="L1890" t="s">
        <v>3375</v>
      </c>
      <c r="M1890" t="s">
        <v>3364</v>
      </c>
      <c r="N1890" t="s">
        <v>3365</v>
      </c>
      <c r="O1890" t="s">
        <v>3376</v>
      </c>
      <c r="P1890" t="s">
        <v>3372</v>
      </c>
    </row>
    <row r="1891" spans="1:16" x14ac:dyDescent="0.3">
      <c r="A1891" t="s">
        <v>1180</v>
      </c>
      <c r="B1891" t="s">
        <v>1170</v>
      </c>
      <c r="E1891">
        <v>1</v>
      </c>
      <c r="F1891" t="s">
        <v>3361</v>
      </c>
      <c r="G1891" t="s">
        <v>2746</v>
      </c>
      <c r="H1891" t="s">
        <v>1171</v>
      </c>
      <c r="I1891" t="s">
        <v>1630</v>
      </c>
      <c r="J1891" t="s">
        <v>3369</v>
      </c>
      <c r="K1891" t="s">
        <v>3374</v>
      </c>
      <c r="L1891" t="s">
        <v>3375</v>
      </c>
      <c r="M1891" t="s">
        <v>3364</v>
      </c>
      <c r="N1891" t="s">
        <v>3365</v>
      </c>
      <c r="O1891" t="s">
        <v>3376</v>
      </c>
      <c r="P1891" t="s">
        <v>3372</v>
      </c>
    </row>
    <row r="1892" spans="1:16" x14ac:dyDescent="0.3">
      <c r="A1892" t="s">
        <v>1181</v>
      </c>
      <c r="B1892" t="s">
        <v>1170</v>
      </c>
      <c r="E1892">
        <v>1</v>
      </c>
      <c r="F1892" t="s">
        <v>3361</v>
      </c>
      <c r="G1892" t="s">
        <v>2746</v>
      </c>
      <c r="H1892" t="s">
        <v>1171</v>
      </c>
      <c r="I1892" t="s">
        <v>1630</v>
      </c>
      <c r="J1892" t="s">
        <v>3369</v>
      </c>
      <c r="K1892" t="s">
        <v>3374</v>
      </c>
      <c r="L1892" t="s">
        <v>3375</v>
      </c>
      <c r="M1892" t="s">
        <v>3364</v>
      </c>
      <c r="N1892" t="s">
        <v>3365</v>
      </c>
      <c r="O1892" t="s">
        <v>3376</v>
      </c>
      <c r="P1892" t="s">
        <v>3372</v>
      </c>
    </row>
    <row r="1893" spans="1:16" x14ac:dyDescent="0.3">
      <c r="A1893" t="s">
        <v>1182</v>
      </c>
      <c r="B1893" t="s">
        <v>1170</v>
      </c>
      <c r="E1893">
        <v>1</v>
      </c>
      <c r="F1893" t="s">
        <v>3361</v>
      </c>
      <c r="G1893" t="s">
        <v>2746</v>
      </c>
      <c r="H1893" t="s">
        <v>1171</v>
      </c>
      <c r="I1893" t="s">
        <v>1630</v>
      </c>
      <c r="J1893" t="s">
        <v>3369</v>
      </c>
      <c r="K1893" t="s">
        <v>3374</v>
      </c>
      <c r="L1893" t="s">
        <v>3375</v>
      </c>
      <c r="M1893" t="s">
        <v>3364</v>
      </c>
      <c r="N1893" t="s">
        <v>3365</v>
      </c>
      <c r="O1893" t="s">
        <v>3376</v>
      </c>
      <c r="P1893" t="s">
        <v>3372</v>
      </c>
    </row>
    <row r="1894" spans="1:16" x14ac:dyDescent="0.3">
      <c r="A1894" t="s">
        <v>1183</v>
      </c>
      <c r="B1894" t="s">
        <v>1170</v>
      </c>
      <c r="E1894">
        <v>1</v>
      </c>
      <c r="F1894" t="s">
        <v>3361</v>
      </c>
      <c r="G1894" t="s">
        <v>2746</v>
      </c>
      <c r="H1894" t="s">
        <v>1171</v>
      </c>
      <c r="I1894" t="s">
        <v>1630</v>
      </c>
      <c r="J1894" t="s">
        <v>3369</v>
      </c>
      <c r="K1894" t="s">
        <v>3374</v>
      </c>
      <c r="L1894" t="s">
        <v>3375</v>
      </c>
      <c r="M1894" t="s">
        <v>3364</v>
      </c>
      <c r="N1894" t="s">
        <v>3365</v>
      </c>
      <c r="O1894" t="s">
        <v>3376</v>
      </c>
      <c r="P1894" t="s">
        <v>3372</v>
      </c>
    </row>
    <row r="1895" spans="1:16" x14ac:dyDescent="0.3">
      <c r="A1895" t="s">
        <v>1184</v>
      </c>
      <c r="B1895" t="s">
        <v>1170</v>
      </c>
      <c r="E1895">
        <v>1</v>
      </c>
      <c r="F1895" t="s">
        <v>3361</v>
      </c>
      <c r="G1895" t="s">
        <v>2746</v>
      </c>
      <c r="H1895" t="s">
        <v>1171</v>
      </c>
      <c r="I1895" t="s">
        <v>1630</v>
      </c>
      <c r="J1895" t="s">
        <v>3369</v>
      </c>
      <c r="K1895" t="s">
        <v>3374</v>
      </c>
      <c r="L1895" t="s">
        <v>3375</v>
      </c>
      <c r="M1895" t="s">
        <v>3364</v>
      </c>
      <c r="N1895" t="s">
        <v>3365</v>
      </c>
      <c r="O1895" t="s">
        <v>3376</v>
      </c>
      <c r="P1895" t="s">
        <v>3372</v>
      </c>
    </row>
    <row r="1896" spans="1:16" x14ac:dyDescent="0.3">
      <c r="A1896" t="s">
        <v>1185</v>
      </c>
      <c r="B1896" t="s">
        <v>1170</v>
      </c>
      <c r="E1896">
        <v>1</v>
      </c>
      <c r="F1896" t="s">
        <v>3361</v>
      </c>
      <c r="G1896" t="s">
        <v>2746</v>
      </c>
      <c r="H1896" t="s">
        <v>1171</v>
      </c>
      <c r="I1896" t="s">
        <v>1630</v>
      </c>
      <c r="J1896" t="s">
        <v>3369</v>
      </c>
      <c r="K1896" t="s">
        <v>3374</v>
      </c>
      <c r="L1896" t="s">
        <v>3375</v>
      </c>
      <c r="M1896" t="s">
        <v>3364</v>
      </c>
      <c r="N1896" t="s">
        <v>3365</v>
      </c>
      <c r="O1896" t="s">
        <v>3376</v>
      </c>
      <c r="P1896" t="s">
        <v>3372</v>
      </c>
    </row>
    <row r="1897" spans="1:16" x14ac:dyDescent="0.3">
      <c r="A1897" t="s">
        <v>1186</v>
      </c>
      <c r="B1897" t="s">
        <v>1170</v>
      </c>
      <c r="E1897">
        <v>3</v>
      </c>
      <c r="F1897" t="s">
        <v>3361</v>
      </c>
      <c r="G1897" t="s">
        <v>2746</v>
      </c>
      <c r="H1897" t="s">
        <v>1187</v>
      </c>
      <c r="I1897" t="s">
        <v>1630</v>
      </c>
      <c r="J1897" t="s">
        <v>3369</v>
      </c>
      <c r="K1897" t="s">
        <v>3374</v>
      </c>
      <c r="L1897" t="s">
        <v>3375</v>
      </c>
      <c r="M1897" t="s">
        <v>3364</v>
      </c>
      <c r="N1897" t="s">
        <v>3365</v>
      </c>
      <c r="O1897" t="s">
        <v>3376</v>
      </c>
      <c r="P1897" t="s">
        <v>3372</v>
      </c>
    </row>
    <row r="1898" spans="1:16" x14ac:dyDescent="0.3">
      <c r="A1898" t="s">
        <v>807</v>
      </c>
      <c r="B1898" t="s">
        <v>1170</v>
      </c>
      <c r="E1898">
        <v>3</v>
      </c>
      <c r="F1898" t="s">
        <v>3361</v>
      </c>
      <c r="G1898" t="s">
        <v>2746</v>
      </c>
      <c r="H1898" t="s">
        <v>1187</v>
      </c>
      <c r="I1898" t="s">
        <v>1630</v>
      </c>
      <c r="J1898" t="s">
        <v>3369</v>
      </c>
      <c r="K1898" t="s">
        <v>3374</v>
      </c>
      <c r="L1898" t="s">
        <v>3375</v>
      </c>
      <c r="M1898" t="s">
        <v>3364</v>
      </c>
      <c r="N1898" t="s">
        <v>3365</v>
      </c>
      <c r="O1898" t="s">
        <v>3376</v>
      </c>
      <c r="P1898" t="s">
        <v>3372</v>
      </c>
    </row>
    <row r="1899" spans="1:16" x14ac:dyDescent="0.3">
      <c r="A1899" t="s">
        <v>1193</v>
      </c>
      <c r="B1899" t="s">
        <v>1170</v>
      </c>
      <c r="E1899">
        <v>3</v>
      </c>
      <c r="F1899" t="s">
        <v>3361</v>
      </c>
      <c r="G1899" t="s">
        <v>2746</v>
      </c>
      <c r="H1899" t="s">
        <v>1187</v>
      </c>
      <c r="I1899" t="s">
        <v>1630</v>
      </c>
      <c r="J1899" t="s">
        <v>3369</v>
      </c>
      <c r="K1899" t="s">
        <v>3374</v>
      </c>
      <c r="L1899" t="s">
        <v>3375</v>
      </c>
      <c r="M1899" t="s">
        <v>3364</v>
      </c>
      <c r="N1899" t="s">
        <v>3365</v>
      </c>
      <c r="O1899" t="s">
        <v>3376</v>
      </c>
      <c r="P1899" t="s">
        <v>3372</v>
      </c>
    </row>
    <row r="1900" spans="1:16" x14ac:dyDescent="0.3">
      <c r="A1900" t="s">
        <v>1194</v>
      </c>
      <c r="B1900" t="s">
        <v>1170</v>
      </c>
      <c r="E1900">
        <v>3</v>
      </c>
      <c r="F1900" t="s">
        <v>3361</v>
      </c>
      <c r="G1900" t="s">
        <v>2746</v>
      </c>
      <c r="H1900" t="s">
        <v>1187</v>
      </c>
      <c r="I1900" t="s">
        <v>1630</v>
      </c>
      <c r="J1900" t="s">
        <v>3369</v>
      </c>
      <c r="K1900" t="s">
        <v>3374</v>
      </c>
      <c r="L1900" t="s">
        <v>3375</v>
      </c>
      <c r="M1900" t="s">
        <v>3364</v>
      </c>
      <c r="N1900" t="s">
        <v>3365</v>
      </c>
      <c r="O1900" t="s">
        <v>3376</v>
      </c>
      <c r="P1900" t="s">
        <v>3372</v>
      </c>
    </row>
    <row r="1901" spans="1:16" x14ac:dyDescent="0.3">
      <c r="A1901" t="s">
        <v>806</v>
      </c>
      <c r="B1901" t="s">
        <v>1170</v>
      </c>
      <c r="E1901">
        <v>3</v>
      </c>
      <c r="F1901" t="s">
        <v>3361</v>
      </c>
      <c r="G1901" t="s">
        <v>2746</v>
      </c>
      <c r="H1901" t="s">
        <v>1187</v>
      </c>
      <c r="I1901" t="s">
        <v>1630</v>
      </c>
      <c r="J1901" t="s">
        <v>3369</v>
      </c>
      <c r="K1901" t="s">
        <v>3374</v>
      </c>
      <c r="L1901" t="s">
        <v>3375</v>
      </c>
      <c r="M1901" t="s">
        <v>3364</v>
      </c>
      <c r="N1901" t="s">
        <v>3365</v>
      </c>
      <c r="O1901" t="s">
        <v>3376</v>
      </c>
      <c r="P1901" t="s">
        <v>3372</v>
      </c>
    </row>
    <row r="1902" spans="1:16" x14ac:dyDescent="0.3">
      <c r="A1902" t="s">
        <v>1195</v>
      </c>
      <c r="B1902" t="s">
        <v>1170</v>
      </c>
      <c r="E1902">
        <v>3</v>
      </c>
      <c r="F1902" t="s">
        <v>3361</v>
      </c>
      <c r="G1902" t="s">
        <v>2746</v>
      </c>
      <c r="H1902" t="s">
        <v>1187</v>
      </c>
      <c r="I1902" t="s">
        <v>1630</v>
      </c>
      <c r="J1902" t="s">
        <v>3369</v>
      </c>
      <c r="K1902" t="s">
        <v>3374</v>
      </c>
      <c r="L1902" t="s">
        <v>3375</v>
      </c>
      <c r="M1902" t="s">
        <v>3364</v>
      </c>
      <c r="N1902" t="s">
        <v>3365</v>
      </c>
      <c r="O1902" t="s">
        <v>3376</v>
      </c>
      <c r="P1902" t="s">
        <v>3372</v>
      </c>
    </row>
    <row r="1903" spans="1:16" x14ac:dyDescent="0.3">
      <c r="A1903" t="s">
        <v>801</v>
      </c>
      <c r="B1903" t="s">
        <v>1170</v>
      </c>
      <c r="E1903">
        <v>3</v>
      </c>
      <c r="F1903" t="s">
        <v>3361</v>
      </c>
      <c r="G1903" t="s">
        <v>2746</v>
      </c>
      <c r="H1903" t="s">
        <v>1187</v>
      </c>
      <c r="I1903" t="s">
        <v>1630</v>
      </c>
      <c r="J1903" t="s">
        <v>3369</v>
      </c>
      <c r="K1903" t="s">
        <v>3374</v>
      </c>
      <c r="L1903" t="s">
        <v>3375</v>
      </c>
      <c r="M1903" t="s">
        <v>3364</v>
      </c>
      <c r="N1903" t="s">
        <v>3365</v>
      </c>
      <c r="O1903" t="s">
        <v>3376</v>
      </c>
      <c r="P1903" t="s">
        <v>3372</v>
      </c>
    </row>
    <row r="1904" spans="1:16" x14ac:dyDescent="0.3">
      <c r="A1904" t="s">
        <v>1196</v>
      </c>
      <c r="B1904" t="s">
        <v>1170</v>
      </c>
      <c r="E1904">
        <v>3</v>
      </c>
      <c r="F1904" t="s">
        <v>3361</v>
      </c>
      <c r="G1904" t="s">
        <v>2746</v>
      </c>
      <c r="H1904" t="s">
        <v>1187</v>
      </c>
      <c r="I1904" t="s">
        <v>1630</v>
      </c>
      <c r="J1904" t="s">
        <v>3369</v>
      </c>
      <c r="K1904" t="s">
        <v>3374</v>
      </c>
      <c r="L1904" t="s">
        <v>3375</v>
      </c>
      <c r="M1904" t="s">
        <v>3364</v>
      </c>
      <c r="N1904" t="s">
        <v>3365</v>
      </c>
      <c r="O1904" t="s">
        <v>3376</v>
      </c>
      <c r="P1904" t="s">
        <v>3372</v>
      </c>
    </row>
    <row r="1905" spans="1:16" x14ac:dyDescent="0.3">
      <c r="A1905" t="s">
        <v>1197</v>
      </c>
      <c r="B1905" t="s">
        <v>1170</v>
      </c>
      <c r="E1905">
        <v>3</v>
      </c>
      <c r="F1905" t="s">
        <v>3361</v>
      </c>
      <c r="G1905" t="s">
        <v>2746</v>
      </c>
      <c r="H1905" t="s">
        <v>1187</v>
      </c>
      <c r="I1905" t="s">
        <v>1630</v>
      </c>
      <c r="J1905" t="s">
        <v>3369</v>
      </c>
      <c r="K1905" t="s">
        <v>3374</v>
      </c>
      <c r="L1905" t="s">
        <v>3375</v>
      </c>
      <c r="M1905" t="s">
        <v>3364</v>
      </c>
      <c r="N1905" t="s">
        <v>3365</v>
      </c>
      <c r="O1905" t="s">
        <v>3376</v>
      </c>
      <c r="P1905" t="s">
        <v>3372</v>
      </c>
    </row>
    <row r="1906" spans="1:16" x14ac:dyDescent="0.3">
      <c r="A1906" t="s">
        <v>1198</v>
      </c>
      <c r="B1906" t="s">
        <v>1170</v>
      </c>
      <c r="E1906">
        <v>3</v>
      </c>
      <c r="F1906" t="s">
        <v>3361</v>
      </c>
      <c r="G1906" t="s">
        <v>2746</v>
      </c>
      <c r="H1906" t="s">
        <v>1187</v>
      </c>
      <c r="I1906" t="s">
        <v>1630</v>
      </c>
      <c r="J1906" t="s">
        <v>3369</v>
      </c>
      <c r="K1906" t="s">
        <v>3374</v>
      </c>
      <c r="L1906" t="s">
        <v>3375</v>
      </c>
      <c r="M1906" t="s">
        <v>3364</v>
      </c>
      <c r="N1906" t="s">
        <v>3365</v>
      </c>
      <c r="O1906" t="s">
        <v>3376</v>
      </c>
      <c r="P1906" t="s">
        <v>3372</v>
      </c>
    </row>
    <row r="1907" spans="1:16" x14ac:dyDescent="0.3">
      <c r="A1907" t="s">
        <v>1199</v>
      </c>
      <c r="B1907" t="s">
        <v>1170</v>
      </c>
      <c r="E1907">
        <v>5</v>
      </c>
      <c r="F1907" t="s">
        <v>3361</v>
      </c>
      <c r="G1907" t="s">
        <v>2746</v>
      </c>
      <c r="H1907" t="s">
        <v>1200</v>
      </c>
      <c r="I1907" t="s">
        <v>1630</v>
      </c>
      <c r="J1907" t="s">
        <v>3369</v>
      </c>
      <c r="K1907" t="s">
        <v>3374</v>
      </c>
      <c r="L1907" t="s">
        <v>3375</v>
      </c>
      <c r="M1907" t="s">
        <v>3364</v>
      </c>
      <c r="N1907" t="s">
        <v>3365</v>
      </c>
      <c r="O1907" t="s">
        <v>3377</v>
      </c>
      <c r="P1907" t="s">
        <v>3372</v>
      </c>
    </row>
    <row r="1908" spans="1:16" x14ac:dyDescent="0.3">
      <c r="A1908" t="s">
        <v>1205</v>
      </c>
      <c r="B1908" t="s">
        <v>1170</v>
      </c>
      <c r="E1908">
        <v>5</v>
      </c>
      <c r="F1908" t="s">
        <v>3361</v>
      </c>
      <c r="G1908" t="s">
        <v>2746</v>
      </c>
      <c r="H1908" t="s">
        <v>1200</v>
      </c>
      <c r="I1908" t="s">
        <v>1630</v>
      </c>
      <c r="J1908" t="s">
        <v>3369</v>
      </c>
      <c r="K1908" t="s">
        <v>3374</v>
      </c>
      <c r="L1908" t="s">
        <v>3375</v>
      </c>
      <c r="M1908" t="s">
        <v>3364</v>
      </c>
      <c r="N1908" t="s">
        <v>3365</v>
      </c>
      <c r="O1908" t="s">
        <v>3377</v>
      </c>
      <c r="P1908" t="s">
        <v>3372</v>
      </c>
    </row>
    <row r="1909" spans="1:16" x14ac:dyDescent="0.3">
      <c r="A1909" t="s">
        <v>1206</v>
      </c>
      <c r="B1909" t="s">
        <v>1170</v>
      </c>
      <c r="E1909">
        <v>5</v>
      </c>
      <c r="F1909" t="s">
        <v>3361</v>
      </c>
      <c r="G1909" t="s">
        <v>2746</v>
      </c>
      <c r="H1909" t="s">
        <v>1200</v>
      </c>
      <c r="I1909" t="s">
        <v>1630</v>
      </c>
      <c r="J1909" t="s">
        <v>3369</v>
      </c>
      <c r="K1909" t="s">
        <v>3374</v>
      </c>
      <c r="L1909" t="s">
        <v>3375</v>
      </c>
      <c r="M1909" t="s">
        <v>3364</v>
      </c>
      <c r="N1909" t="s">
        <v>3365</v>
      </c>
      <c r="O1909" t="s">
        <v>3377</v>
      </c>
      <c r="P1909" t="s">
        <v>3372</v>
      </c>
    </row>
    <row r="1910" spans="1:16" x14ac:dyDescent="0.3">
      <c r="A1910" t="s">
        <v>797</v>
      </c>
      <c r="B1910" t="s">
        <v>1170</v>
      </c>
      <c r="E1910">
        <v>5</v>
      </c>
      <c r="F1910" t="s">
        <v>3361</v>
      </c>
      <c r="G1910" t="s">
        <v>2746</v>
      </c>
      <c r="H1910" t="s">
        <v>1200</v>
      </c>
      <c r="I1910" t="s">
        <v>1630</v>
      </c>
      <c r="J1910" t="s">
        <v>3369</v>
      </c>
      <c r="K1910" t="s">
        <v>3374</v>
      </c>
      <c r="L1910" t="s">
        <v>3375</v>
      </c>
      <c r="M1910" t="s">
        <v>3364</v>
      </c>
      <c r="N1910" t="s">
        <v>3365</v>
      </c>
      <c r="O1910" t="s">
        <v>3377</v>
      </c>
      <c r="P1910" t="s">
        <v>3372</v>
      </c>
    </row>
    <row r="1911" spans="1:16" x14ac:dyDescent="0.3">
      <c r="A1911" t="s">
        <v>1207</v>
      </c>
      <c r="B1911" t="s">
        <v>1170</v>
      </c>
      <c r="E1911">
        <v>5</v>
      </c>
      <c r="F1911" t="s">
        <v>3361</v>
      </c>
      <c r="G1911" t="s">
        <v>2746</v>
      </c>
      <c r="H1911" t="s">
        <v>1200</v>
      </c>
      <c r="I1911" t="s">
        <v>1630</v>
      </c>
      <c r="J1911" t="s">
        <v>3369</v>
      </c>
      <c r="K1911" t="s">
        <v>3374</v>
      </c>
      <c r="L1911" t="s">
        <v>3375</v>
      </c>
      <c r="M1911" t="s">
        <v>3364</v>
      </c>
      <c r="N1911" t="s">
        <v>3365</v>
      </c>
      <c r="O1911" t="s">
        <v>3377</v>
      </c>
      <c r="P1911" t="s">
        <v>3372</v>
      </c>
    </row>
    <row r="1912" spans="1:16" x14ac:dyDescent="0.3">
      <c r="A1912" t="s">
        <v>1208</v>
      </c>
      <c r="B1912" t="s">
        <v>1170</v>
      </c>
      <c r="E1912">
        <v>5</v>
      </c>
      <c r="F1912" t="s">
        <v>3361</v>
      </c>
      <c r="G1912" t="s">
        <v>2746</v>
      </c>
      <c r="H1912" t="s">
        <v>1200</v>
      </c>
      <c r="I1912" t="s">
        <v>1630</v>
      </c>
      <c r="J1912" t="s">
        <v>3369</v>
      </c>
      <c r="K1912" t="s">
        <v>3374</v>
      </c>
      <c r="L1912" t="s">
        <v>3375</v>
      </c>
      <c r="M1912" t="s">
        <v>3364</v>
      </c>
      <c r="N1912" t="s">
        <v>3365</v>
      </c>
      <c r="O1912" t="s">
        <v>3377</v>
      </c>
      <c r="P1912" t="s">
        <v>3372</v>
      </c>
    </row>
    <row r="1913" spans="1:16" x14ac:dyDescent="0.3">
      <c r="A1913" t="s">
        <v>1209</v>
      </c>
      <c r="B1913" t="s">
        <v>1170</v>
      </c>
      <c r="E1913">
        <v>5</v>
      </c>
      <c r="F1913" t="s">
        <v>3361</v>
      </c>
      <c r="G1913" t="s">
        <v>2746</v>
      </c>
      <c r="H1913" t="s">
        <v>1200</v>
      </c>
      <c r="I1913" t="s">
        <v>1630</v>
      </c>
      <c r="J1913" t="s">
        <v>3369</v>
      </c>
      <c r="K1913" t="s">
        <v>3374</v>
      </c>
      <c r="L1913" t="s">
        <v>3375</v>
      </c>
      <c r="M1913" t="s">
        <v>3364</v>
      </c>
      <c r="N1913" t="s">
        <v>3365</v>
      </c>
      <c r="O1913" t="s">
        <v>3377</v>
      </c>
      <c r="P1913" t="s">
        <v>3372</v>
      </c>
    </row>
    <row r="1914" spans="1:16" x14ac:dyDescent="0.3">
      <c r="A1914" t="s">
        <v>1210</v>
      </c>
      <c r="B1914" t="s">
        <v>1170</v>
      </c>
      <c r="E1914">
        <v>5</v>
      </c>
      <c r="F1914" t="s">
        <v>3361</v>
      </c>
      <c r="G1914" t="s">
        <v>2746</v>
      </c>
      <c r="H1914" t="s">
        <v>1200</v>
      </c>
      <c r="I1914" t="s">
        <v>1630</v>
      </c>
      <c r="J1914" t="s">
        <v>3369</v>
      </c>
      <c r="K1914" t="s">
        <v>3374</v>
      </c>
      <c r="L1914" t="s">
        <v>3375</v>
      </c>
      <c r="M1914" t="s">
        <v>3364</v>
      </c>
      <c r="N1914" t="s">
        <v>3365</v>
      </c>
      <c r="O1914" t="s">
        <v>3377</v>
      </c>
      <c r="P1914" t="s">
        <v>3372</v>
      </c>
    </row>
    <row r="1915" spans="1:16" x14ac:dyDescent="0.3">
      <c r="A1915" t="s">
        <v>1211</v>
      </c>
      <c r="B1915" t="s">
        <v>1170</v>
      </c>
      <c r="E1915">
        <v>5</v>
      </c>
      <c r="F1915" t="s">
        <v>3361</v>
      </c>
      <c r="G1915" t="s">
        <v>2746</v>
      </c>
      <c r="H1915" t="s">
        <v>1212</v>
      </c>
      <c r="I1915" t="s">
        <v>1630</v>
      </c>
      <c r="J1915" t="s">
        <v>3369</v>
      </c>
      <c r="K1915" t="s">
        <v>3374</v>
      </c>
      <c r="L1915" t="s">
        <v>3375</v>
      </c>
      <c r="M1915" t="s">
        <v>3364</v>
      </c>
      <c r="N1915" t="s">
        <v>3365</v>
      </c>
      <c r="O1915" t="s">
        <v>3376</v>
      </c>
      <c r="P1915" t="s">
        <v>3372</v>
      </c>
    </row>
    <row r="1916" spans="1:16" x14ac:dyDescent="0.3">
      <c r="A1916" t="s">
        <v>1219</v>
      </c>
      <c r="B1916" t="s">
        <v>1170</v>
      </c>
      <c r="E1916">
        <v>5</v>
      </c>
      <c r="F1916" t="s">
        <v>3361</v>
      </c>
      <c r="G1916" t="s">
        <v>2746</v>
      </c>
      <c r="H1916" t="s">
        <v>1212</v>
      </c>
      <c r="I1916" t="s">
        <v>1630</v>
      </c>
      <c r="J1916" t="s">
        <v>3369</v>
      </c>
      <c r="K1916" t="s">
        <v>3374</v>
      </c>
      <c r="L1916" t="s">
        <v>3375</v>
      </c>
      <c r="M1916" t="s">
        <v>3364</v>
      </c>
      <c r="N1916" t="s">
        <v>3365</v>
      </c>
      <c r="O1916" t="s">
        <v>3376</v>
      </c>
      <c r="P1916" t="s">
        <v>3372</v>
      </c>
    </row>
    <row r="1917" spans="1:16" x14ac:dyDescent="0.3">
      <c r="A1917" t="s">
        <v>1220</v>
      </c>
      <c r="B1917" t="s">
        <v>1170</v>
      </c>
      <c r="E1917">
        <v>5</v>
      </c>
      <c r="F1917" t="s">
        <v>3361</v>
      </c>
      <c r="G1917" t="s">
        <v>2746</v>
      </c>
      <c r="H1917" t="s">
        <v>1212</v>
      </c>
      <c r="I1917" t="s">
        <v>1630</v>
      </c>
      <c r="J1917" t="s">
        <v>3369</v>
      </c>
      <c r="K1917" t="s">
        <v>3374</v>
      </c>
      <c r="L1917" t="s">
        <v>3375</v>
      </c>
      <c r="M1917" t="s">
        <v>3364</v>
      </c>
      <c r="N1917" t="s">
        <v>3365</v>
      </c>
      <c r="O1917" t="s">
        <v>3376</v>
      </c>
      <c r="P1917" t="s">
        <v>3372</v>
      </c>
    </row>
    <row r="1918" spans="1:16" x14ac:dyDescent="0.3">
      <c r="A1918" t="s">
        <v>1221</v>
      </c>
      <c r="B1918" t="s">
        <v>1170</v>
      </c>
      <c r="E1918">
        <v>5</v>
      </c>
      <c r="F1918" t="s">
        <v>3361</v>
      </c>
      <c r="G1918" t="s">
        <v>2746</v>
      </c>
      <c r="H1918" t="s">
        <v>1212</v>
      </c>
      <c r="I1918" t="s">
        <v>1630</v>
      </c>
      <c r="J1918" t="s">
        <v>3369</v>
      </c>
      <c r="K1918" t="s">
        <v>3374</v>
      </c>
      <c r="L1918" t="s">
        <v>3375</v>
      </c>
      <c r="M1918" t="s">
        <v>3364</v>
      </c>
      <c r="N1918" t="s">
        <v>3365</v>
      </c>
      <c r="O1918" t="s">
        <v>3376</v>
      </c>
      <c r="P1918" t="s">
        <v>3372</v>
      </c>
    </row>
    <row r="1919" spans="1:16" x14ac:dyDescent="0.3">
      <c r="A1919" t="s">
        <v>1222</v>
      </c>
      <c r="B1919" t="s">
        <v>1170</v>
      </c>
      <c r="E1919">
        <v>5</v>
      </c>
      <c r="F1919" t="s">
        <v>3361</v>
      </c>
      <c r="G1919" t="s">
        <v>2746</v>
      </c>
      <c r="H1919" t="s">
        <v>1212</v>
      </c>
      <c r="I1919" t="s">
        <v>1630</v>
      </c>
      <c r="J1919" t="s">
        <v>3369</v>
      </c>
      <c r="K1919" t="s">
        <v>3374</v>
      </c>
      <c r="L1919" t="s">
        <v>3375</v>
      </c>
      <c r="M1919" t="s">
        <v>3364</v>
      </c>
      <c r="N1919" t="s">
        <v>3365</v>
      </c>
      <c r="O1919" t="s">
        <v>3376</v>
      </c>
      <c r="P1919" t="s">
        <v>3372</v>
      </c>
    </row>
    <row r="1920" spans="1:16" x14ac:dyDescent="0.3">
      <c r="A1920" t="s">
        <v>1223</v>
      </c>
      <c r="B1920" t="s">
        <v>1170</v>
      </c>
      <c r="E1920">
        <v>5</v>
      </c>
      <c r="F1920" t="s">
        <v>3361</v>
      </c>
      <c r="G1920" t="s">
        <v>2746</v>
      </c>
      <c r="H1920" t="s">
        <v>1212</v>
      </c>
      <c r="I1920" t="s">
        <v>1630</v>
      </c>
      <c r="J1920" t="s">
        <v>3369</v>
      </c>
      <c r="K1920" t="s">
        <v>3374</v>
      </c>
      <c r="L1920" t="s">
        <v>3375</v>
      </c>
      <c r="M1920" t="s">
        <v>3364</v>
      </c>
      <c r="N1920" t="s">
        <v>3365</v>
      </c>
      <c r="O1920" t="s">
        <v>3376</v>
      </c>
      <c r="P1920" t="s">
        <v>3372</v>
      </c>
    </row>
    <row r="1921" spans="1:16" x14ac:dyDescent="0.3">
      <c r="A1921" t="s">
        <v>1224</v>
      </c>
      <c r="B1921" t="s">
        <v>1170</v>
      </c>
      <c r="E1921">
        <v>5</v>
      </c>
      <c r="F1921" t="s">
        <v>3361</v>
      </c>
      <c r="G1921" t="s">
        <v>2746</v>
      </c>
      <c r="H1921" t="s">
        <v>1212</v>
      </c>
      <c r="I1921" t="s">
        <v>1630</v>
      </c>
      <c r="J1921" t="s">
        <v>3369</v>
      </c>
      <c r="K1921" t="s">
        <v>3374</v>
      </c>
      <c r="L1921" t="s">
        <v>3375</v>
      </c>
      <c r="M1921" t="s">
        <v>3364</v>
      </c>
      <c r="N1921" t="s">
        <v>3365</v>
      </c>
      <c r="O1921" t="s">
        <v>3376</v>
      </c>
      <c r="P1921" t="s">
        <v>3372</v>
      </c>
    </row>
    <row r="1922" spans="1:16" x14ac:dyDescent="0.3">
      <c r="A1922" t="s">
        <v>1225</v>
      </c>
      <c r="B1922" t="s">
        <v>1170</v>
      </c>
      <c r="E1922">
        <v>5</v>
      </c>
      <c r="F1922" t="s">
        <v>3361</v>
      </c>
      <c r="G1922" t="s">
        <v>2746</v>
      </c>
      <c r="H1922" t="s">
        <v>1212</v>
      </c>
      <c r="I1922" t="s">
        <v>1630</v>
      </c>
      <c r="J1922" t="s">
        <v>3369</v>
      </c>
      <c r="K1922" t="s">
        <v>3374</v>
      </c>
      <c r="L1922" t="s">
        <v>3375</v>
      </c>
      <c r="M1922" t="s">
        <v>3364</v>
      </c>
      <c r="N1922" t="s">
        <v>3365</v>
      </c>
      <c r="O1922" t="s">
        <v>3376</v>
      </c>
      <c r="P1922" t="s">
        <v>3372</v>
      </c>
    </row>
    <row r="1923" spans="1:16" x14ac:dyDescent="0.3">
      <c r="A1923" t="s">
        <v>1226</v>
      </c>
      <c r="B1923" t="s">
        <v>1170</v>
      </c>
      <c r="E1923">
        <v>5</v>
      </c>
      <c r="F1923" t="s">
        <v>3361</v>
      </c>
      <c r="G1923" t="s">
        <v>2746</v>
      </c>
      <c r="H1923" t="s">
        <v>1212</v>
      </c>
      <c r="I1923" t="s">
        <v>1630</v>
      </c>
      <c r="J1923" t="s">
        <v>3369</v>
      </c>
      <c r="K1923" t="s">
        <v>3374</v>
      </c>
      <c r="L1923" t="s">
        <v>3375</v>
      </c>
      <c r="M1923" t="s">
        <v>3364</v>
      </c>
      <c r="N1923" t="s">
        <v>3365</v>
      </c>
      <c r="O1923" t="s">
        <v>3376</v>
      </c>
      <c r="P1923" t="s">
        <v>3372</v>
      </c>
    </row>
    <row r="1924" spans="1:16" x14ac:dyDescent="0.3">
      <c r="A1924" t="s">
        <v>1227</v>
      </c>
      <c r="B1924" t="s">
        <v>1170</v>
      </c>
      <c r="E1924">
        <v>5</v>
      </c>
      <c r="F1924" t="s">
        <v>3361</v>
      </c>
      <c r="G1924" t="s">
        <v>2746</v>
      </c>
      <c r="H1924" t="s">
        <v>1212</v>
      </c>
      <c r="I1924" t="s">
        <v>1630</v>
      </c>
      <c r="J1924" t="s">
        <v>3369</v>
      </c>
      <c r="K1924" t="s">
        <v>3374</v>
      </c>
      <c r="L1924" t="s">
        <v>3375</v>
      </c>
      <c r="M1924" t="s">
        <v>3364</v>
      </c>
      <c r="N1924" t="s">
        <v>3365</v>
      </c>
      <c r="O1924" t="s">
        <v>3376</v>
      </c>
      <c r="P1924" t="s">
        <v>3372</v>
      </c>
    </row>
    <row r="1925" spans="1:16" x14ac:dyDescent="0.3">
      <c r="A1925" t="s">
        <v>1221</v>
      </c>
      <c r="B1925" t="s">
        <v>1228</v>
      </c>
      <c r="E1925">
        <v>5</v>
      </c>
      <c r="F1925" t="s">
        <v>3361</v>
      </c>
      <c r="G1925" t="s">
        <v>2746</v>
      </c>
      <c r="H1925" t="s">
        <v>1221</v>
      </c>
      <c r="I1925" t="s">
        <v>1630</v>
      </c>
      <c r="J1925" t="s">
        <v>3369</v>
      </c>
      <c r="K1925" t="s">
        <v>605</v>
      </c>
      <c r="L1925" t="s">
        <v>3375</v>
      </c>
      <c r="M1925" t="s">
        <v>3364</v>
      </c>
      <c r="N1925" t="s">
        <v>3365</v>
      </c>
      <c r="O1925" t="s">
        <v>3366</v>
      </c>
      <c r="P1925" t="s">
        <v>3382</v>
      </c>
    </row>
    <row r="1926" spans="1:16" x14ac:dyDescent="0.3">
      <c r="A1926" t="s">
        <v>1233</v>
      </c>
      <c r="B1926" t="s">
        <v>1228</v>
      </c>
      <c r="E1926">
        <v>5</v>
      </c>
      <c r="F1926" t="s">
        <v>3361</v>
      </c>
      <c r="G1926" t="s">
        <v>2746</v>
      </c>
      <c r="H1926" t="s">
        <v>1221</v>
      </c>
      <c r="I1926" t="s">
        <v>1630</v>
      </c>
      <c r="J1926" t="s">
        <v>3369</v>
      </c>
      <c r="K1926" t="s">
        <v>605</v>
      </c>
      <c r="L1926" t="s">
        <v>3375</v>
      </c>
      <c r="M1926" t="s">
        <v>3364</v>
      </c>
      <c r="N1926" t="s">
        <v>3365</v>
      </c>
      <c r="O1926" t="s">
        <v>3366</v>
      </c>
      <c r="P1926" t="s">
        <v>3382</v>
      </c>
    </row>
    <row r="1927" spans="1:16" x14ac:dyDescent="0.3">
      <c r="A1927" t="s">
        <v>650</v>
      </c>
      <c r="B1927" t="s">
        <v>1228</v>
      </c>
      <c r="E1927">
        <v>5</v>
      </c>
      <c r="F1927" t="s">
        <v>3361</v>
      </c>
      <c r="G1927" t="s">
        <v>2746</v>
      </c>
      <c r="H1927" t="s">
        <v>1221</v>
      </c>
      <c r="I1927" t="s">
        <v>1630</v>
      </c>
      <c r="J1927" t="s">
        <v>3369</v>
      </c>
      <c r="K1927" t="s">
        <v>605</v>
      </c>
      <c r="L1927" t="s">
        <v>3375</v>
      </c>
      <c r="M1927" t="s">
        <v>3364</v>
      </c>
      <c r="N1927" t="s">
        <v>3365</v>
      </c>
      <c r="O1927" t="s">
        <v>3366</v>
      </c>
      <c r="P1927" t="s">
        <v>3382</v>
      </c>
    </row>
    <row r="1928" spans="1:16" x14ac:dyDescent="0.3">
      <c r="A1928" t="s">
        <v>1234</v>
      </c>
      <c r="B1928" t="s">
        <v>1228</v>
      </c>
      <c r="E1928">
        <v>5</v>
      </c>
      <c r="F1928" t="s">
        <v>3361</v>
      </c>
      <c r="G1928" t="s">
        <v>2746</v>
      </c>
      <c r="H1928" t="s">
        <v>1221</v>
      </c>
      <c r="I1928" t="s">
        <v>1630</v>
      </c>
      <c r="J1928" t="s">
        <v>3369</v>
      </c>
      <c r="K1928" t="s">
        <v>605</v>
      </c>
      <c r="L1928" t="s">
        <v>3375</v>
      </c>
      <c r="M1928" t="s">
        <v>3364</v>
      </c>
      <c r="N1928" t="s">
        <v>3365</v>
      </c>
      <c r="O1928" t="s">
        <v>3366</v>
      </c>
      <c r="P1928" t="s">
        <v>3382</v>
      </c>
    </row>
    <row r="1929" spans="1:16" x14ac:dyDescent="0.3">
      <c r="A1929" t="s">
        <v>1235</v>
      </c>
      <c r="B1929" t="s">
        <v>1228</v>
      </c>
      <c r="E1929">
        <v>5</v>
      </c>
      <c r="F1929" t="s">
        <v>3361</v>
      </c>
      <c r="G1929" t="s">
        <v>2746</v>
      </c>
      <c r="H1929" t="s">
        <v>1221</v>
      </c>
      <c r="I1929" t="s">
        <v>1630</v>
      </c>
      <c r="J1929" t="s">
        <v>3369</v>
      </c>
      <c r="K1929" t="s">
        <v>605</v>
      </c>
      <c r="L1929" t="s">
        <v>3375</v>
      </c>
      <c r="M1929" t="s">
        <v>3364</v>
      </c>
      <c r="N1929" t="s">
        <v>3365</v>
      </c>
      <c r="O1929" t="s">
        <v>3366</v>
      </c>
      <c r="P1929" t="s">
        <v>3382</v>
      </c>
    </row>
    <row r="1930" spans="1:16" x14ac:dyDescent="0.3">
      <c r="A1930" t="s">
        <v>1236</v>
      </c>
      <c r="B1930" t="s">
        <v>1228</v>
      </c>
      <c r="E1930">
        <v>5</v>
      </c>
      <c r="F1930" t="s">
        <v>3361</v>
      </c>
      <c r="G1930" t="s">
        <v>2746</v>
      </c>
      <c r="H1930" t="s">
        <v>1221</v>
      </c>
      <c r="I1930" t="s">
        <v>1630</v>
      </c>
      <c r="J1930" t="s">
        <v>3369</v>
      </c>
      <c r="K1930" t="s">
        <v>605</v>
      </c>
      <c r="L1930" t="s">
        <v>3375</v>
      </c>
      <c r="M1930" t="s">
        <v>3364</v>
      </c>
      <c r="N1930" t="s">
        <v>3365</v>
      </c>
      <c r="O1930" t="s">
        <v>3366</v>
      </c>
      <c r="P1930" t="s">
        <v>3382</v>
      </c>
    </row>
    <row r="1931" spans="1:16" x14ac:dyDescent="0.3">
      <c r="A1931" t="s">
        <v>1237</v>
      </c>
      <c r="B1931" t="s">
        <v>1228</v>
      </c>
      <c r="E1931">
        <v>3</v>
      </c>
      <c r="F1931" t="s">
        <v>3361</v>
      </c>
      <c r="G1931" t="s">
        <v>2746</v>
      </c>
      <c r="H1931" t="s">
        <v>1237</v>
      </c>
      <c r="I1931" t="s">
        <v>1630</v>
      </c>
      <c r="J1931" t="s">
        <v>3369</v>
      </c>
      <c r="K1931" t="s">
        <v>605</v>
      </c>
      <c r="L1931" t="s">
        <v>3375</v>
      </c>
      <c r="M1931" t="s">
        <v>3364</v>
      </c>
      <c r="N1931" t="s">
        <v>3365</v>
      </c>
      <c r="O1931" t="s">
        <v>3366</v>
      </c>
      <c r="P1931" t="s">
        <v>3382</v>
      </c>
    </row>
    <row r="1932" spans="1:16" x14ac:dyDescent="0.3">
      <c r="A1932" t="s">
        <v>1242</v>
      </c>
      <c r="B1932" t="s">
        <v>1228</v>
      </c>
      <c r="E1932">
        <v>3</v>
      </c>
      <c r="F1932" t="s">
        <v>3361</v>
      </c>
      <c r="G1932" t="s">
        <v>2746</v>
      </c>
      <c r="H1932" t="s">
        <v>1237</v>
      </c>
      <c r="I1932" t="s">
        <v>1630</v>
      </c>
      <c r="J1932" t="s">
        <v>3369</v>
      </c>
      <c r="K1932" t="s">
        <v>605</v>
      </c>
      <c r="L1932" t="s">
        <v>3375</v>
      </c>
      <c r="M1932" t="s">
        <v>3364</v>
      </c>
      <c r="N1932" t="s">
        <v>3365</v>
      </c>
      <c r="O1932" t="s">
        <v>3366</v>
      </c>
      <c r="P1932" t="s">
        <v>3382</v>
      </c>
    </row>
    <row r="1933" spans="1:16" x14ac:dyDescent="0.3">
      <c r="A1933" t="s">
        <v>1243</v>
      </c>
      <c r="B1933" t="s">
        <v>1228</v>
      </c>
      <c r="E1933">
        <v>3</v>
      </c>
      <c r="F1933" t="s">
        <v>3361</v>
      </c>
      <c r="G1933" t="s">
        <v>2746</v>
      </c>
      <c r="H1933" t="s">
        <v>1237</v>
      </c>
      <c r="I1933" t="s">
        <v>1630</v>
      </c>
      <c r="J1933" t="s">
        <v>3369</v>
      </c>
      <c r="K1933" t="s">
        <v>605</v>
      </c>
      <c r="L1933" t="s">
        <v>3375</v>
      </c>
      <c r="M1933" t="s">
        <v>3364</v>
      </c>
      <c r="N1933" t="s">
        <v>3365</v>
      </c>
      <c r="O1933" t="s">
        <v>3366</v>
      </c>
      <c r="P1933" t="s">
        <v>3382</v>
      </c>
    </row>
    <row r="1934" spans="1:16" x14ac:dyDescent="0.3">
      <c r="A1934" t="s">
        <v>1244</v>
      </c>
      <c r="B1934" t="s">
        <v>1228</v>
      </c>
      <c r="E1934">
        <v>3</v>
      </c>
      <c r="F1934" t="s">
        <v>3361</v>
      </c>
      <c r="G1934" t="s">
        <v>2746</v>
      </c>
      <c r="H1934" t="s">
        <v>1237</v>
      </c>
      <c r="I1934" t="s">
        <v>1630</v>
      </c>
      <c r="J1934" t="s">
        <v>3369</v>
      </c>
      <c r="K1934" t="s">
        <v>605</v>
      </c>
      <c r="L1934" t="s">
        <v>3375</v>
      </c>
      <c r="M1934" t="s">
        <v>3364</v>
      </c>
      <c r="N1934" t="s">
        <v>3365</v>
      </c>
      <c r="O1934" t="s">
        <v>3366</v>
      </c>
      <c r="P1934" t="s">
        <v>3382</v>
      </c>
    </row>
    <row r="1935" spans="1:16" x14ac:dyDescent="0.3">
      <c r="A1935" t="s">
        <v>1245</v>
      </c>
      <c r="B1935" t="s">
        <v>1228</v>
      </c>
      <c r="E1935">
        <v>3</v>
      </c>
      <c r="F1935" t="s">
        <v>3361</v>
      </c>
      <c r="G1935" t="s">
        <v>2746</v>
      </c>
      <c r="H1935" t="s">
        <v>1237</v>
      </c>
      <c r="I1935" t="s">
        <v>1630</v>
      </c>
      <c r="J1935" t="s">
        <v>3369</v>
      </c>
      <c r="K1935" t="s">
        <v>605</v>
      </c>
      <c r="L1935" t="s">
        <v>3375</v>
      </c>
      <c r="M1935" t="s">
        <v>3364</v>
      </c>
      <c r="N1935" t="s">
        <v>3365</v>
      </c>
      <c r="O1935" t="s">
        <v>3366</v>
      </c>
      <c r="P1935" t="s">
        <v>3382</v>
      </c>
    </row>
    <row r="1936" spans="1:16" x14ac:dyDescent="0.3">
      <c r="A1936" t="s">
        <v>1246</v>
      </c>
      <c r="B1936" t="s">
        <v>1228</v>
      </c>
      <c r="E1936">
        <v>3</v>
      </c>
      <c r="F1936" t="s">
        <v>3361</v>
      </c>
      <c r="G1936" t="s">
        <v>2746</v>
      </c>
      <c r="H1936" t="s">
        <v>1237</v>
      </c>
      <c r="I1936" t="s">
        <v>1630</v>
      </c>
      <c r="J1936" t="s">
        <v>3369</v>
      </c>
      <c r="K1936" t="s">
        <v>605</v>
      </c>
      <c r="L1936" t="s">
        <v>3375</v>
      </c>
      <c r="M1936" t="s">
        <v>3364</v>
      </c>
      <c r="N1936" t="s">
        <v>3365</v>
      </c>
      <c r="O1936" t="s">
        <v>3366</v>
      </c>
      <c r="P1936" t="s">
        <v>3382</v>
      </c>
    </row>
    <row r="1937" spans="1:16" x14ac:dyDescent="0.3">
      <c r="A1937" t="s">
        <v>1247</v>
      </c>
      <c r="B1937" t="s">
        <v>1228</v>
      </c>
      <c r="E1937">
        <v>3</v>
      </c>
      <c r="F1937" t="s">
        <v>3361</v>
      </c>
      <c r="G1937" t="s">
        <v>2746</v>
      </c>
      <c r="H1937" t="s">
        <v>1237</v>
      </c>
      <c r="I1937" t="s">
        <v>1630</v>
      </c>
      <c r="J1937" t="s">
        <v>3369</v>
      </c>
      <c r="K1937" t="s">
        <v>605</v>
      </c>
      <c r="L1937" t="s">
        <v>3375</v>
      </c>
      <c r="M1937" t="s">
        <v>3364</v>
      </c>
      <c r="N1937" t="s">
        <v>3365</v>
      </c>
      <c r="O1937" t="s">
        <v>3366</v>
      </c>
      <c r="P1937" t="s">
        <v>3382</v>
      </c>
    </row>
    <row r="1938" spans="1:16" x14ac:dyDescent="0.3">
      <c r="A1938" t="s">
        <v>1248</v>
      </c>
      <c r="B1938" t="s">
        <v>1228</v>
      </c>
      <c r="E1938">
        <v>3</v>
      </c>
      <c r="F1938" t="s">
        <v>3361</v>
      </c>
      <c r="G1938" t="s">
        <v>2746</v>
      </c>
      <c r="H1938" t="s">
        <v>1237</v>
      </c>
      <c r="I1938" t="s">
        <v>1630</v>
      </c>
      <c r="J1938" t="s">
        <v>3369</v>
      </c>
      <c r="K1938" t="s">
        <v>605</v>
      </c>
      <c r="L1938" t="s">
        <v>3375</v>
      </c>
      <c r="M1938" t="s">
        <v>3364</v>
      </c>
      <c r="N1938" t="s">
        <v>3365</v>
      </c>
      <c r="O1938" t="s">
        <v>3366</v>
      </c>
      <c r="P1938" t="s">
        <v>3382</v>
      </c>
    </row>
    <row r="1939" spans="1:16" x14ac:dyDescent="0.3">
      <c r="A1939" t="s">
        <v>1249</v>
      </c>
      <c r="B1939" t="s">
        <v>1228</v>
      </c>
      <c r="E1939">
        <v>2</v>
      </c>
      <c r="F1939" t="s">
        <v>3361</v>
      </c>
      <c r="G1939" t="s">
        <v>2746</v>
      </c>
      <c r="H1939" t="s">
        <v>1250</v>
      </c>
      <c r="I1939" t="s">
        <v>1630</v>
      </c>
      <c r="J1939" t="s">
        <v>3369</v>
      </c>
      <c r="K1939" t="s">
        <v>605</v>
      </c>
      <c r="L1939" t="s">
        <v>3375</v>
      </c>
      <c r="M1939" t="s">
        <v>3364</v>
      </c>
      <c r="N1939" t="s">
        <v>3365</v>
      </c>
      <c r="O1939" t="s">
        <v>3366</v>
      </c>
      <c r="P1939" t="s">
        <v>3382</v>
      </c>
    </row>
    <row r="1940" spans="1:16" x14ac:dyDescent="0.3">
      <c r="A1940" t="s">
        <v>1255</v>
      </c>
      <c r="B1940" t="s">
        <v>1228</v>
      </c>
      <c r="E1940">
        <v>2</v>
      </c>
      <c r="F1940" t="s">
        <v>3361</v>
      </c>
      <c r="G1940" t="s">
        <v>2746</v>
      </c>
      <c r="H1940" t="s">
        <v>1250</v>
      </c>
      <c r="I1940" t="s">
        <v>1630</v>
      </c>
      <c r="J1940" t="s">
        <v>3369</v>
      </c>
      <c r="K1940" t="s">
        <v>605</v>
      </c>
      <c r="L1940" t="s">
        <v>3375</v>
      </c>
      <c r="M1940" t="s">
        <v>3364</v>
      </c>
      <c r="N1940" t="s">
        <v>3365</v>
      </c>
      <c r="O1940" t="s">
        <v>3366</v>
      </c>
      <c r="P1940" t="s">
        <v>3382</v>
      </c>
    </row>
    <row r="1941" spans="1:16" x14ac:dyDescent="0.3">
      <c r="A1941" t="s">
        <v>1256</v>
      </c>
      <c r="B1941" t="s">
        <v>1228</v>
      </c>
      <c r="E1941">
        <v>2</v>
      </c>
      <c r="F1941" t="s">
        <v>3361</v>
      </c>
      <c r="G1941" t="s">
        <v>2746</v>
      </c>
      <c r="H1941" t="s">
        <v>1250</v>
      </c>
      <c r="I1941" t="s">
        <v>1630</v>
      </c>
      <c r="J1941" t="s">
        <v>3369</v>
      </c>
      <c r="K1941" t="s">
        <v>605</v>
      </c>
      <c r="L1941" t="s">
        <v>3375</v>
      </c>
      <c r="M1941" t="s">
        <v>3364</v>
      </c>
      <c r="N1941" t="s">
        <v>3365</v>
      </c>
      <c r="O1941" t="s">
        <v>3366</v>
      </c>
      <c r="P1941" t="s">
        <v>3382</v>
      </c>
    </row>
    <row r="1942" spans="1:16" x14ac:dyDescent="0.3">
      <c r="A1942" t="s">
        <v>1257</v>
      </c>
      <c r="B1942" t="s">
        <v>1228</v>
      </c>
      <c r="E1942">
        <v>2</v>
      </c>
      <c r="F1942" t="s">
        <v>3361</v>
      </c>
      <c r="G1942" t="s">
        <v>2746</v>
      </c>
      <c r="H1942" t="s">
        <v>1250</v>
      </c>
      <c r="I1942" t="s">
        <v>1630</v>
      </c>
      <c r="J1942" t="s">
        <v>3369</v>
      </c>
      <c r="K1942" t="s">
        <v>605</v>
      </c>
      <c r="L1942" t="s">
        <v>3375</v>
      </c>
      <c r="M1942" t="s">
        <v>3364</v>
      </c>
      <c r="N1942" t="s">
        <v>3365</v>
      </c>
      <c r="O1942" t="s">
        <v>3366</v>
      </c>
      <c r="P1942" t="s">
        <v>3382</v>
      </c>
    </row>
    <row r="1943" spans="1:16" x14ac:dyDescent="0.3">
      <c r="A1943" t="s">
        <v>1258</v>
      </c>
      <c r="B1943" t="s">
        <v>1228</v>
      </c>
      <c r="E1943">
        <v>2</v>
      </c>
      <c r="F1943" t="s">
        <v>3361</v>
      </c>
      <c r="G1943" t="s">
        <v>2746</v>
      </c>
      <c r="H1943" t="s">
        <v>1250</v>
      </c>
      <c r="I1943" t="s">
        <v>1630</v>
      </c>
      <c r="J1943" t="s">
        <v>3369</v>
      </c>
      <c r="K1943" t="s">
        <v>605</v>
      </c>
      <c r="L1943" t="s">
        <v>3375</v>
      </c>
      <c r="M1943" t="s">
        <v>3364</v>
      </c>
      <c r="N1943" t="s">
        <v>3365</v>
      </c>
      <c r="O1943" t="s">
        <v>3366</v>
      </c>
      <c r="P1943" t="s">
        <v>3382</v>
      </c>
    </row>
    <row r="1944" spans="1:16" x14ac:dyDescent="0.3">
      <c r="A1944" t="s">
        <v>1259</v>
      </c>
      <c r="B1944" t="s">
        <v>1228</v>
      </c>
      <c r="E1944">
        <v>2</v>
      </c>
      <c r="F1944" t="s">
        <v>3361</v>
      </c>
      <c r="G1944" t="s">
        <v>2746</v>
      </c>
      <c r="H1944" t="s">
        <v>1250</v>
      </c>
      <c r="I1944" t="s">
        <v>1630</v>
      </c>
      <c r="J1944" t="s">
        <v>3369</v>
      </c>
      <c r="K1944" t="s">
        <v>605</v>
      </c>
      <c r="L1944" t="s">
        <v>3375</v>
      </c>
      <c r="M1944" t="s">
        <v>3364</v>
      </c>
      <c r="N1944" t="s">
        <v>3365</v>
      </c>
      <c r="O1944" t="s">
        <v>3366</v>
      </c>
      <c r="P1944" t="s">
        <v>3382</v>
      </c>
    </row>
    <row r="1945" spans="1:16" x14ac:dyDescent="0.3">
      <c r="A1945" t="s">
        <v>1260</v>
      </c>
      <c r="B1945" t="s">
        <v>1228</v>
      </c>
      <c r="E1945">
        <v>2</v>
      </c>
      <c r="F1945" t="s">
        <v>3361</v>
      </c>
      <c r="G1945" t="s">
        <v>2746</v>
      </c>
      <c r="H1945" t="s">
        <v>1250</v>
      </c>
      <c r="I1945" t="s">
        <v>1630</v>
      </c>
      <c r="J1945" t="s">
        <v>3369</v>
      </c>
      <c r="K1945" t="s">
        <v>605</v>
      </c>
      <c r="L1945" t="s">
        <v>3375</v>
      </c>
      <c r="M1945" t="s">
        <v>3364</v>
      </c>
      <c r="N1945" t="s">
        <v>3365</v>
      </c>
      <c r="O1945" t="s">
        <v>3366</v>
      </c>
      <c r="P1945" t="s">
        <v>3382</v>
      </c>
    </row>
    <row r="1946" spans="1:16" x14ac:dyDescent="0.3">
      <c r="A1946" t="s">
        <v>1261</v>
      </c>
      <c r="B1946" t="s">
        <v>1228</v>
      </c>
      <c r="E1946">
        <v>2</v>
      </c>
      <c r="F1946" t="s">
        <v>3361</v>
      </c>
      <c r="G1946" t="s">
        <v>2746</v>
      </c>
      <c r="H1946" t="s">
        <v>1250</v>
      </c>
      <c r="I1946" t="s">
        <v>1630</v>
      </c>
      <c r="J1946" t="s">
        <v>3369</v>
      </c>
      <c r="K1946" t="s">
        <v>605</v>
      </c>
      <c r="L1946" t="s">
        <v>3375</v>
      </c>
      <c r="M1946" t="s">
        <v>3364</v>
      </c>
      <c r="N1946" t="s">
        <v>3365</v>
      </c>
      <c r="O1946" t="s">
        <v>3366</v>
      </c>
      <c r="P1946" t="s">
        <v>3382</v>
      </c>
    </row>
    <row r="1947" spans="1:16" x14ac:dyDescent="0.3">
      <c r="A1947" t="s">
        <v>1262</v>
      </c>
      <c r="B1947" t="s">
        <v>1228</v>
      </c>
      <c r="E1947">
        <v>4</v>
      </c>
      <c r="F1947" t="s">
        <v>3361</v>
      </c>
      <c r="G1947" t="s">
        <v>2746</v>
      </c>
      <c r="H1947" t="s">
        <v>1263</v>
      </c>
      <c r="I1947" t="s">
        <v>1630</v>
      </c>
      <c r="J1947" t="s">
        <v>3369</v>
      </c>
      <c r="K1947" t="s">
        <v>605</v>
      </c>
      <c r="L1947" t="s">
        <v>3375</v>
      </c>
      <c r="M1947" t="s">
        <v>3364</v>
      </c>
      <c r="N1947" t="s">
        <v>3365</v>
      </c>
      <c r="O1947" t="s">
        <v>3366</v>
      </c>
      <c r="P1947" t="s">
        <v>3382</v>
      </c>
    </row>
    <row r="1948" spans="1:16" x14ac:dyDescent="0.3">
      <c r="A1948" t="s">
        <v>1268</v>
      </c>
      <c r="B1948" t="s">
        <v>1228</v>
      </c>
      <c r="E1948">
        <v>4</v>
      </c>
      <c r="F1948" t="s">
        <v>3361</v>
      </c>
      <c r="G1948" t="s">
        <v>2746</v>
      </c>
      <c r="H1948" t="s">
        <v>1263</v>
      </c>
      <c r="I1948" t="s">
        <v>1630</v>
      </c>
      <c r="J1948" t="s">
        <v>3369</v>
      </c>
      <c r="K1948" t="s">
        <v>605</v>
      </c>
      <c r="L1948" t="s">
        <v>3375</v>
      </c>
      <c r="M1948" t="s">
        <v>3364</v>
      </c>
      <c r="N1948" t="s">
        <v>3365</v>
      </c>
      <c r="O1948" t="s">
        <v>3366</v>
      </c>
      <c r="P1948" t="s">
        <v>3382</v>
      </c>
    </row>
    <row r="1949" spans="1:16" x14ac:dyDescent="0.3">
      <c r="A1949" t="s">
        <v>864</v>
      </c>
      <c r="B1949" t="s">
        <v>1228</v>
      </c>
      <c r="E1949">
        <v>4</v>
      </c>
      <c r="F1949" t="s">
        <v>3361</v>
      </c>
      <c r="G1949" t="s">
        <v>2746</v>
      </c>
      <c r="H1949" t="s">
        <v>1263</v>
      </c>
      <c r="I1949" t="s">
        <v>1630</v>
      </c>
      <c r="J1949" t="s">
        <v>3369</v>
      </c>
      <c r="K1949" t="s">
        <v>605</v>
      </c>
      <c r="L1949" t="s">
        <v>3375</v>
      </c>
      <c r="M1949" t="s">
        <v>3364</v>
      </c>
      <c r="N1949" t="s">
        <v>3365</v>
      </c>
      <c r="O1949" t="s">
        <v>3366</v>
      </c>
      <c r="P1949" t="s">
        <v>3382</v>
      </c>
    </row>
    <row r="1950" spans="1:16" x14ac:dyDescent="0.3">
      <c r="A1950" t="s">
        <v>1269</v>
      </c>
      <c r="B1950" t="s">
        <v>1228</v>
      </c>
      <c r="E1950">
        <v>4</v>
      </c>
      <c r="F1950" t="s">
        <v>3361</v>
      </c>
      <c r="G1950" t="s">
        <v>2746</v>
      </c>
      <c r="H1950" t="s">
        <v>1263</v>
      </c>
      <c r="I1950" t="s">
        <v>1630</v>
      </c>
      <c r="J1950" t="s">
        <v>3369</v>
      </c>
      <c r="K1950" t="s">
        <v>605</v>
      </c>
      <c r="L1950" t="s">
        <v>3375</v>
      </c>
      <c r="M1950" t="s">
        <v>3364</v>
      </c>
      <c r="N1950" t="s">
        <v>3365</v>
      </c>
      <c r="O1950" t="s">
        <v>3366</v>
      </c>
      <c r="P1950" t="s">
        <v>3382</v>
      </c>
    </row>
    <row r="1951" spans="1:16" x14ac:dyDescent="0.3">
      <c r="A1951" t="s">
        <v>1270</v>
      </c>
      <c r="B1951" t="s">
        <v>1228</v>
      </c>
      <c r="E1951">
        <v>4</v>
      </c>
      <c r="F1951" t="s">
        <v>3361</v>
      </c>
      <c r="G1951" t="s">
        <v>2746</v>
      </c>
      <c r="H1951" t="s">
        <v>1263</v>
      </c>
      <c r="I1951" t="s">
        <v>1630</v>
      </c>
      <c r="J1951" t="s">
        <v>3369</v>
      </c>
      <c r="K1951" t="s">
        <v>605</v>
      </c>
      <c r="L1951" t="s">
        <v>3375</v>
      </c>
      <c r="M1951" t="s">
        <v>3364</v>
      </c>
      <c r="N1951" t="s">
        <v>3365</v>
      </c>
      <c r="O1951" t="s">
        <v>3366</v>
      </c>
      <c r="P1951" t="s">
        <v>3382</v>
      </c>
    </row>
    <row r="1952" spans="1:16" x14ac:dyDescent="0.3">
      <c r="A1952" t="s">
        <v>1271</v>
      </c>
      <c r="B1952" t="s">
        <v>1228</v>
      </c>
      <c r="E1952">
        <v>4</v>
      </c>
      <c r="F1952" t="s">
        <v>3361</v>
      </c>
      <c r="G1952" t="s">
        <v>2746</v>
      </c>
      <c r="H1952" t="s">
        <v>1263</v>
      </c>
      <c r="I1952" t="s">
        <v>1630</v>
      </c>
      <c r="J1952" t="s">
        <v>3369</v>
      </c>
      <c r="K1952" t="s">
        <v>605</v>
      </c>
      <c r="L1952" t="s">
        <v>3375</v>
      </c>
      <c r="M1952" t="s">
        <v>3364</v>
      </c>
      <c r="N1952" t="s">
        <v>3365</v>
      </c>
      <c r="O1952" t="s">
        <v>3366</v>
      </c>
      <c r="P1952" t="s">
        <v>3382</v>
      </c>
    </row>
    <row r="1953" spans="1:16" x14ac:dyDescent="0.3">
      <c r="A1953" t="s">
        <v>1272</v>
      </c>
      <c r="B1953" t="s">
        <v>1228</v>
      </c>
      <c r="E1953">
        <v>4</v>
      </c>
      <c r="F1953" t="s">
        <v>3361</v>
      </c>
      <c r="G1953" t="s">
        <v>2746</v>
      </c>
      <c r="H1953" t="s">
        <v>1263</v>
      </c>
      <c r="I1953" t="s">
        <v>1630</v>
      </c>
      <c r="J1953" t="s">
        <v>3369</v>
      </c>
      <c r="K1953" t="s">
        <v>605</v>
      </c>
      <c r="L1953" t="s">
        <v>3375</v>
      </c>
      <c r="M1953" t="s">
        <v>3364</v>
      </c>
      <c r="N1953" t="s">
        <v>3365</v>
      </c>
      <c r="O1953" t="s">
        <v>3366</v>
      </c>
      <c r="P1953" t="s">
        <v>3382</v>
      </c>
    </row>
    <row r="1954" spans="1:16" x14ac:dyDescent="0.3">
      <c r="A1954" t="s">
        <v>1273</v>
      </c>
      <c r="B1954" t="s">
        <v>1228</v>
      </c>
      <c r="E1954">
        <v>4</v>
      </c>
      <c r="F1954" t="s">
        <v>3361</v>
      </c>
      <c r="G1954" t="s">
        <v>2746</v>
      </c>
      <c r="H1954" t="s">
        <v>1263</v>
      </c>
      <c r="I1954" t="s">
        <v>1630</v>
      </c>
      <c r="J1954" t="s">
        <v>3369</v>
      </c>
      <c r="K1954" t="s">
        <v>605</v>
      </c>
      <c r="L1954" t="s">
        <v>3375</v>
      </c>
      <c r="M1954" t="s">
        <v>3364</v>
      </c>
      <c r="N1954" t="s">
        <v>3365</v>
      </c>
      <c r="O1954" t="s">
        <v>3366</v>
      </c>
      <c r="P1954" t="s">
        <v>3382</v>
      </c>
    </row>
    <row r="1955" spans="1:16" x14ac:dyDescent="0.3">
      <c r="A1955" t="s">
        <v>1194</v>
      </c>
      <c r="B1955" t="s">
        <v>1274</v>
      </c>
      <c r="E1955">
        <v>3</v>
      </c>
      <c r="F1955" t="s">
        <v>3361</v>
      </c>
      <c r="G1955" t="s">
        <v>2746</v>
      </c>
      <c r="H1955" t="s">
        <v>1275</v>
      </c>
      <c r="I1955" t="s">
        <v>1630</v>
      </c>
      <c r="J1955" t="s">
        <v>3369</v>
      </c>
      <c r="K1955" t="s">
        <v>605</v>
      </c>
      <c r="L1955" t="s">
        <v>3375</v>
      </c>
      <c r="M1955" t="s">
        <v>3364</v>
      </c>
      <c r="N1955" t="s">
        <v>3365</v>
      </c>
      <c r="O1955" t="s">
        <v>3366</v>
      </c>
      <c r="P1955" t="s">
        <v>3382</v>
      </c>
    </row>
    <row r="1956" spans="1:16" x14ac:dyDescent="0.3">
      <c r="A1956" t="s">
        <v>1280</v>
      </c>
      <c r="B1956" t="s">
        <v>1274</v>
      </c>
      <c r="E1956">
        <v>3</v>
      </c>
      <c r="F1956" t="s">
        <v>3361</v>
      </c>
      <c r="G1956" t="s">
        <v>2746</v>
      </c>
      <c r="H1956" t="s">
        <v>1275</v>
      </c>
      <c r="I1956" t="s">
        <v>1630</v>
      </c>
      <c r="J1956" t="s">
        <v>3369</v>
      </c>
      <c r="K1956" t="s">
        <v>605</v>
      </c>
      <c r="L1956" t="s">
        <v>3375</v>
      </c>
      <c r="M1956" t="s">
        <v>3364</v>
      </c>
      <c r="N1956" t="s">
        <v>3365</v>
      </c>
      <c r="O1956" t="s">
        <v>3366</v>
      </c>
      <c r="P1956" t="s">
        <v>3382</v>
      </c>
    </row>
    <row r="1957" spans="1:16" x14ac:dyDescent="0.3">
      <c r="A1957" t="s">
        <v>1281</v>
      </c>
      <c r="B1957" t="s">
        <v>1274</v>
      </c>
      <c r="E1957">
        <v>3</v>
      </c>
      <c r="F1957" t="s">
        <v>3361</v>
      </c>
      <c r="G1957" t="s">
        <v>2746</v>
      </c>
      <c r="H1957" t="s">
        <v>1275</v>
      </c>
      <c r="I1957" t="s">
        <v>1630</v>
      </c>
      <c r="J1957" t="s">
        <v>3369</v>
      </c>
      <c r="K1957" t="s">
        <v>605</v>
      </c>
      <c r="L1957" t="s">
        <v>3375</v>
      </c>
      <c r="M1957" t="s">
        <v>3364</v>
      </c>
      <c r="N1957" t="s">
        <v>3365</v>
      </c>
      <c r="O1957" t="s">
        <v>3366</v>
      </c>
      <c r="P1957" t="s">
        <v>3382</v>
      </c>
    </row>
    <row r="1958" spans="1:16" x14ac:dyDescent="0.3">
      <c r="A1958" t="s">
        <v>1282</v>
      </c>
      <c r="B1958" t="s">
        <v>1274</v>
      </c>
      <c r="E1958">
        <v>3</v>
      </c>
      <c r="F1958" t="s">
        <v>3361</v>
      </c>
      <c r="G1958" t="s">
        <v>2746</v>
      </c>
      <c r="H1958" t="s">
        <v>1275</v>
      </c>
      <c r="I1958" t="s">
        <v>1630</v>
      </c>
      <c r="J1958" t="s">
        <v>3369</v>
      </c>
      <c r="K1958" t="s">
        <v>605</v>
      </c>
      <c r="L1958" t="s">
        <v>3375</v>
      </c>
      <c r="M1958" t="s">
        <v>3364</v>
      </c>
      <c r="N1958" t="s">
        <v>3365</v>
      </c>
      <c r="O1958" t="s">
        <v>3366</v>
      </c>
      <c r="P1958" t="s">
        <v>3382</v>
      </c>
    </row>
    <row r="1959" spans="1:16" x14ac:dyDescent="0.3">
      <c r="A1959" t="s">
        <v>1283</v>
      </c>
      <c r="B1959" t="s">
        <v>1274</v>
      </c>
      <c r="E1959">
        <v>3</v>
      </c>
      <c r="F1959" t="s">
        <v>3361</v>
      </c>
      <c r="G1959" t="s">
        <v>2746</v>
      </c>
      <c r="H1959" t="s">
        <v>1275</v>
      </c>
      <c r="I1959" t="s">
        <v>1630</v>
      </c>
      <c r="J1959" t="s">
        <v>3369</v>
      </c>
      <c r="K1959" t="s">
        <v>605</v>
      </c>
      <c r="L1959" t="s">
        <v>3375</v>
      </c>
      <c r="M1959" t="s">
        <v>3364</v>
      </c>
      <c r="N1959" t="s">
        <v>3365</v>
      </c>
      <c r="O1959" t="s">
        <v>3366</v>
      </c>
      <c r="P1959" t="s">
        <v>3382</v>
      </c>
    </row>
    <row r="1960" spans="1:16" x14ac:dyDescent="0.3">
      <c r="A1960" t="s">
        <v>1284</v>
      </c>
      <c r="B1960" t="s">
        <v>1274</v>
      </c>
      <c r="E1960">
        <v>3</v>
      </c>
      <c r="F1960" t="s">
        <v>3361</v>
      </c>
      <c r="G1960" t="s">
        <v>2746</v>
      </c>
      <c r="H1960" t="s">
        <v>1275</v>
      </c>
      <c r="I1960" t="s">
        <v>1630</v>
      </c>
      <c r="J1960" t="s">
        <v>3369</v>
      </c>
      <c r="K1960" t="s">
        <v>605</v>
      </c>
      <c r="L1960" t="s">
        <v>3375</v>
      </c>
      <c r="M1960" t="s">
        <v>3364</v>
      </c>
      <c r="N1960" t="s">
        <v>3365</v>
      </c>
      <c r="O1960" t="s">
        <v>3366</v>
      </c>
      <c r="P1960" t="s">
        <v>3382</v>
      </c>
    </row>
    <row r="1961" spans="1:16" x14ac:dyDescent="0.3">
      <c r="A1961" t="s">
        <v>1285</v>
      </c>
      <c r="B1961" t="s">
        <v>1274</v>
      </c>
      <c r="E1961">
        <v>3</v>
      </c>
      <c r="F1961" t="s">
        <v>3361</v>
      </c>
      <c r="G1961" t="s">
        <v>2746</v>
      </c>
      <c r="H1961" t="s">
        <v>1275</v>
      </c>
      <c r="I1961" t="s">
        <v>1630</v>
      </c>
      <c r="J1961" t="s">
        <v>3369</v>
      </c>
      <c r="K1961" t="s">
        <v>605</v>
      </c>
      <c r="L1961" t="s">
        <v>3375</v>
      </c>
      <c r="M1961" t="s">
        <v>3364</v>
      </c>
      <c r="N1961" t="s">
        <v>3365</v>
      </c>
      <c r="O1961" t="s">
        <v>3366</v>
      </c>
      <c r="P1961" t="s">
        <v>3382</v>
      </c>
    </row>
    <row r="1962" spans="1:16" x14ac:dyDescent="0.3">
      <c r="A1962" t="s">
        <v>1286</v>
      </c>
      <c r="B1962" t="s">
        <v>1274</v>
      </c>
      <c r="E1962">
        <v>3</v>
      </c>
      <c r="F1962" t="s">
        <v>3361</v>
      </c>
      <c r="G1962" t="s">
        <v>2746</v>
      </c>
      <c r="H1962" t="s">
        <v>1275</v>
      </c>
      <c r="I1962" t="s">
        <v>1630</v>
      </c>
      <c r="J1962" t="s">
        <v>3369</v>
      </c>
      <c r="K1962" t="s">
        <v>605</v>
      </c>
      <c r="L1962" t="s">
        <v>3375</v>
      </c>
      <c r="M1962" t="s">
        <v>3364</v>
      </c>
      <c r="N1962" t="s">
        <v>3365</v>
      </c>
      <c r="O1962" t="s">
        <v>3366</v>
      </c>
      <c r="P1962" t="s">
        <v>3382</v>
      </c>
    </row>
    <row r="1963" spans="1:16" x14ac:dyDescent="0.3">
      <c r="A1963" t="s">
        <v>1287</v>
      </c>
      <c r="B1963" t="s">
        <v>1274</v>
      </c>
      <c r="E1963">
        <v>3</v>
      </c>
      <c r="F1963" t="s">
        <v>3361</v>
      </c>
      <c r="G1963" t="s">
        <v>2746</v>
      </c>
      <c r="H1963" t="s">
        <v>1275</v>
      </c>
      <c r="I1963" t="s">
        <v>1630</v>
      </c>
      <c r="J1963" t="s">
        <v>3369</v>
      </c>
      <c r="K1963" t="s">
        <v>605</v>
      </c>
      <c r="L1963" t="s">
        <v>3375</v>
      </c>
      <c r="M1963" t="s">
        <v>3364</v>
      </c>
      <c r="N1963" t="s">
        <v>3365</v>
      </c>
      <c r="O1963" t="s">
        <v>3366</v>
      </c>
      <c r="P1963" t="s">
        <v>3382</v>
      </c>
    </row>
    <row r="1964" spans="1:16" x14ac:dyDescent="0.3">
      <c r="A1964" t="s">
        <v>1288</v>
      </c>
      <c r="B1964" t="s">
        <v>1274</v>
      </c>
      <c r="E1964">
        <v>3</v>
      </c>
      <c r="F1964" t="s">
        <v>3361</v>
      </c>
      <c r="G1964" t="s">
        <v>2746</v>
      </c>
      <c r="H1964" t="s">
        <v>1275</v>
      </c>
      <c r="I1964" t="s">
        <v>1630</v>
      </c>
      <c r="J1964" t="s">
        <v>3369</v>
      </c>
      <c r="K1964" t="s">
        <v>605</v>
      </c>
      <c r="L1964" t="s">
        <v>3375</v>
      </c>
      <c r="M1964" t="s">
        <v>3364</v>
      </c>
      <c r="N1964" t="s">
        <v>3365</v>
      </c>
      <c r="O1964" t="s">
        <v>3366</v>
      </c>
      <c r="P1964" t="s">
        <v>3382</v>
      </c>
    </row>
    <row r="1965" spans="1:16" x14ac:dyDescent="0.3">
      <c r="A1965" t="s">
        <v>1289</v>
      </c>
      <c r="B1965" t="s">
        <v>1274</v>
      </c>
      <c r="E1965">
        <v>3</v>
      </c>
      <c r="F1965" t="s">
        <v>3361</v>
      </c>
      <c r="G1965" t="s">
        <v>2746</v>
      </c>
      <c r="H1965" t="s">
        <v>1275</v>
      </c>
      <c r="I1965" t="s">
        <v>1630</v>
      </c>
      <c r="J1965" t="s">
        <v>3369</v>
      </c>
      <c r="K1965" t="s">
        <v>605</v>
      </c>
      <c r="L1965" t="s">
        <v>3375</v>
      </c>
      <c r="M1965" t="s">
        <v>3364</v>
      </c>
      <c r="N1965" t="s">
        <v>3365</v>
      </c>
      <c r="O1965" t="s">
        <v>3366</v>
      </c>
      <c r="P1965" t="s">
        <v>3382</v>
      </c>
    </row>
    <row r="1966" spans="1:16" x14ac:dyDescent="0.3">
      <c r="A1966" t="s">
        <v>1290</v>
      </c>
      <c r="B1966" t="s">
        <v>1274</v>
      </c>
      <c r="E1966">
        <v>3</v>
      </c>
      <c r="F1966" t="s">
        <v>3361</v>
      </c>
      <c r="G1966" t="s">
        <v>2746</v>
      </c>
      <c r="H1966" t="s">
        <v>1275</v>
      </c>
      <c r="I1966" t="s">
        <v>1630</v>
      </c>
      <c r="J1966" t="s">
        <v>3369</v>
      </c>
      <c r="K1966" t="s">
        <v>605</v>
      </c>
      <c r="L1966" t="s">
        <v>3375</v>
      </c>
      <c r="M1966" t="s">
        <v>3364</v>
      </c>
      <c r="N1966" t="s">
        <v>3365</v>
      </c>
      <c r="O1966" t="s">
        <v>3366</v>
      </c>
      <c r="P1966" t="s">
        <v>3382</v>
      </c>
    </row>
    <row r="1967" spans="1:16" x14ac:dyDescent="0.3">
      <c r="A1967" t="s">
        <v>1291</v>
      </c>
      <c r="B1967" t="s">
        <v>1274</v>
      </c>
      <c r="E1967">
        <v>3</v>
      </c>
      <c r="F1967" t="s">
        <v>3361</v>
      </c>
      <c r="G1967" t="s">
        <v>2746</v>
      </c>
      <c r="H1967" t="s">
        <v>1275</v>
      </c>
      <c r="I1967" t="s">
        <v>1630</v>
      </c>
      <c r="J1967" t="s">
        <v>3369</v>
      </c>
      <c r="K1967" t="s">
        <v>605</v>
      </c>
      <c r="L1967" t="s">
        <v>3375</v>
      </c>
      <c r="M1967" t="s">
        <v>3364</v>
      </c>
      <c r="N1967" t="s">
        <v>3365</v>
      </c>
      <c r="O1967" t="s">
        <v>3366</v>
      </c>
      <c r="P1967" t="s">
        <v>3382</v>
      </c>
    </row>
    <row r="1968" spans="1:16" x14ac:dyDescent="0.3">
      <c r="A1968" t="s">
        <v>1292</v>
      </c>
      <c r="B1968" t="s">
        <v>1274</v>
      </c>
      <c r="E1968">
        <v>3</v>
      </c>
      <c r="F1968" t="s">
        <v>3361</v>
      </c>
      <c r="G1968" t="s">
        <v>2746</v>
      </c>
      <c r="H1968" t="s">
        <v>1275</v>
      </c>
      <c r="I1968" t="s">
        <v>1630</v>
      </c>
      <c r="J1968" t="s">
        <v>3369</v>
      </c>
      <c r="K1968" t="s">
        <v>605</v>
      </c>
      <c r="L1968" t="s">
        <v>3375</v>
      </c>
      <c r="M1968" t="s">
        <v>3364</v>
      </c>
      <c r="N1968" t="s">
        <v>3365</v>
      </c>
      <c r="O1968" t="s">
        <v>3366</v>
      </c>
      <c r="P1968" t="s">
        <v>3382</v>
      </c>
    </row>
    <row r="1969" spans="1:16" x14ac:dyDescent="0.3">
      <c r="A1969" t="s">
        <v>1293</v>
      </c>
      <c r="B1969" t="s">
        <v>1274</v>
      </c>
      <c r="E1969">
        <v>3</v>
      </c>
      <c r="F1969" t="s">
        <v>3361</v>
      </c>
      <c r="G1969" t="s">
        <v>2746</v>
      </c>
      <c r="H1969" t="s">
        <v>1275</v>
      </c>
      <c r="I1969" t="s">
        <v>1630</v>
      </c>
      <c r="J1969" t="s">
        <v>3369</v>
      </c>
      <c r="K1969" t="s">
        <v>605</v>
      </c>
      <c r="L1969" t="s">
        <v>3375</v>
      </c>
      <c r="M1969" t="s">
        <v>3364</v>
      </c>
      <c r="N1969" t="s">
        <v>3365</v>
      </c>
      <c r="O1969" t="s">
        <v>3366</v>
      </c>
      <c r="P1969" t="s">
        <v>3382</v>
      </c>
    </row>
    <row r="1970" spans="1:16" x14ac:dyDescent="0.3">
      <c r="A1970" t="s">
        <v>1294</v>
      </c>
      <c r="B1970" t="s">
        <v>1274</v>
      </c>
      <c r="E1970">
        <v>3</v>
      </c>
      <c r="F1970" t="s">
        <v>3361</v>
      </c>
      <c r="G1970" t="s">
        <v>2746</v>
      </c>
      <c r="H1970" t="s">
        <v>1275</v>
      </c>
      <c r="I1970" t="s">
        <v>1630</v>
      </c>
      <c r="J1970" t="s">
        <v>3369</v>
      </c>
      <c r="K1970" t="s">
        <v>605</v>
      </c>
      <c r="L1970" t="s">
        <v>3375</v>
      </c>
      <c r="M1970" t="s">
        <v>3364</v>
      </c>
      <c r="N1970" t="s">
        <v>3365</v>
      </c>
      <c r="O1970" t="s">
        <v>3366</v>
      </c>
      <c r="P1970" t="s">
        <v>3382</v>
      </c>
    </row>
    <row r="1971" spans="1:16" x14ac:dyDescent="0.3">
      <c r="A1971" t="s">
        <v>1211</v>
      </c>
      <c r="B1971" t="s">
        <v>1295</v>
      </c>
      <c r="E1971">
        <v>5</v>
      </c>
      <c r="F1971" t="s">
        <v>3361</v>
      </c>
      <c r="G1971" t="s">
        <v>2746</v>
      </c>
      <c r="H1971" t="s">
        <v>1296</v>
      </c>
      <c r="I1971" t="s">
        <v>1630</v>
      </c>
      <c r="J1971" t="s">
        <v>3369</v>
      </c>
      <c r="K1971" t="s">
        <v>605</v>
      </c>
      <c r="L1971" t="s">
        <v>3375</v>
      </c>
      <c r="M1971" t="s">
        <v>3364</v>
      </c>
      <c r="N1971" t="s">
        <v>3365</v>
      </c>
      <c r="O1971" t="s">
        <v>3366</v>
      </c>
      <c r="P1971" t="s">
        <v>3382</v>
      </c>
    </row>
    <row r="1972" spans="1:16" x14ac:dyDescent="0.3">
      <c r="A1972" t="s">
        <v>1219</v>
      </c>
      <c r="B1972" t="s">
        <v>1295</v>
      </c>
      <c r="E1972">
        <v>5</v>
      </c>
      <c r="F1972" t="s">
        <v>3361</v>
      </c>
      <c r="G1972" t="s">
        <v>2746</v>
      </c>
      <c r="H1972" t="s">
        <v>1296</v>
      </c>
      <c r="I1972" t="s">
        <v>1630</v>
      </c>
      <c r="J1972" t="s">
        <v>3369</v>
      </c>
      <c r="K1972" t="s">
        <v>605</v>
      </c>
      <c r="L1972" t="s">
        <v>3375</v>
      </c>
      <c r="M1972" t="s">
        <v>3364</v>
      </c>
      <c r="N1972" t="s">
        <v>3365</v>
      </c>
      <c r="O1972" t="s">
        <v>3366</v>
      </c>
      <c r="P1972" t="s">
        <v>3382</v>
      </c>
    </row>
    <row r="1973" spans="1:16" x14ac:dyDescent="0.3">
      <c r="A1973" t="s">
        <v>1302</v>
      </c>
      <c r="B1973" t="s">
        <v>1295</v>
      </c>
      <c r="E1973">
        <v>5</v>
      </c>
      <c r="F1973" t="s">
        <v>3361</v>
      </c>
      <c r="G1973" t="s">
        <v>2746</v>
      </c>
      <c r="H1973" t="s">
        <v>1296</v>
      </c>
      <c r="I1973" t="s">
        <v>1630</v>
      </c>
      <c r="J1973" t="s">
        <v>3369</v>
      </c>
      <c r="K1973" t="s">
        <v>605</v>
      </c>
      <c r="L1973" t="s">
        <v>3375</v>
      </c>
      <c r="M1973" t="s">
        <v>3364</v>
      </c>
      <c r="N1973" t="s">
        <v>3365</v>
      </c>
      <c r="O1973" t="s">
        <v>3366</v>
      </c>
      <c r="P1973" t="s">
        <v>3382</v>
      </c>
    </row>
    <row r="1974" spans="1:16" x14ac:dyDescent="0.3">
      <c r="A1974" t="s">
        <v>1303</v>
      </c>
      <c r="B1974" t="s">
        <v>1295</v>
      </c>
      <c r="E1974">
        <v>5</v>
      </c>
      <c r="F1974" t="s">
        <v>3361</v>
      </c>
      <c r="G1974" t="s">
        <v>2746</v>
      </c>
      <c r="H1974" t="s">
        <v>1296</v>
      </c>
      <c r="I1974" t="s">
        <v>1630</v>
      </c>
      <c r="J1974" t="s">
        <v>3369</v>
      </c>
      <c r="K1974" t="s">
        <v>605</v>
      </c>
      <c r="L1974" t="s">
        <v>3375</v>
      </c>
      <c r="M1974" t="s">
        <v>3364</v>
      </c>
      <c r="N1974" t="s">
        <v>3365</v>
      </c>
      <c r="O1974" t="s">
        <v>3366</v>
      </c>
      <c r="P1974" t="s">
        <v>3382</v>
      </c>
    </row>
    <row r="1975" spans="1:16" x14ac:dyDescent="0.3">
      <c r="A1975" t="s">
        <v>1225</v>
      </c>
      <c r="B1975" t="s">
        <v>1295</v>
      </c>
      <c r="E1975">
        <v>5</v>
      </c>
      <c r="F1975" t="s">
        <v>3361</v>
      </c>
      <c r="G1975" t="s">
        <v>2746</v>
      </c>
      <c r="H1975" t="s">
        <v>1296</v>
      </c>
      <c r="I1975" t="s">
        <v>1630</v>
      </c>
      <c r="J1975" t="s">
        <v>3369</v>
      </c>
      <c r="K1975" t="s">
        <v>605</v>
      </c>
      <c r="L1975" t="s">
        <v>3375</v>
      </c>
      <c r="M1975" t="s">
        <v>3364</v>
      </c>
      <c r="N1975" t="s">
        <v>3365</v>
      </c>
      <c r="O1975" t="s">
        <v>3366</v>
      </c>
      <c r="P1975" t="s">
        <v>3382</v>
      </c>
    </row>
    <row r="1976" spans="1:16" x14ac:dyDescent="0.3">
      <c r="A1976" t="s">
        <v>1304</v>
      </c>
      <c r="B1976" t="s">
        <v>1295</v>
      </c>
      <c r="E1976">
        <v>5</v>
      </c>
      <c r="F1976" t="s">
        <v>3361</v>
      </c>
      <c r="G1976" t="s">
        <v>2746</v>
      </c>
      <c r="H1976" t="s">
        <v>1296</v>
      </c>
      <c r="I1976" t="s">
        <v>1630</v>
      </c>
      <c r="J1976" t="s">
        <v>3369</v>
      </c>
      <c r="K1976" t="s">
        <v>605</v>
      </c>
      <c r="L1976" t="s">
        <v>3375</v>
      </c>
      <c r="M1976" t="s">
        <v>3364</v>
      </c>
      <c r="N1976" t="s">
        <v>3365</v>
      </c>
      <c r="O1976" t="s">
        <v>3366</v>
      </c>
      <c r="P1976" t="s">
        <v>3382</v>
      </c>
    </row>
    <row r="1977" spans="1:16" x14ac:dyDescent="0.3">
      <c r="A1977" t="s">
        <v>1305</v>
      </c>
      <c r="B1977" t="s">
        <v>1295</v>
      </c>
      <c r="E1977">
        <v>5</v>
      </c>
      <c r="F1977" t="s">
        <v>3361</v>
      </c>
      <c r="G1977" t="s">
        <v>2746</v>
      </c>
      <c r="H1977" t="s">
        <v>1296</v>
      </c>
      <c r="I1977" t="s">
        <v>1630</v>
      </c>
      <c r="J1977" t="s">
        <v>3369</v>
      </c>
      <c r="K1977" t="s">
        <v>605</v>
      </c>
      <c r="L1977" t="s">
        <v>3375</v>
      </c>
      <c r="M1977" t="s">
        <v>3364</v>
      </c>
      <c r="N1977" t="s">
        <v>3365</v>
      </c>
      <c r="O1977" t="s">
        <v>3366</v>
      </c>
      <c r="P1977" t="s">
        <v>3382</v>
      </c>
    </row>
    <row r="1978" spans="1:16" x14ac:dyDescent="0.3">
      <c r="A1978" t="s">
        <v>1306</v>
      </c>
      <c r="B1978" t="s">
        <v>1307</v>
      </c>
      <c r="E1978">
        <v>3</v>
      </c>
      <c r="F1978" t="s">
        <v>3361</v>
      </c>
      <c r="G1978" t="s">
        <v>2746</v>
      </c>
      <c r="H1978" t="s">
        <v>1308</v>
      </c>
      <c r="I1978" t="s">
        <v>1630</v>
      </c>
      <c r="J1978" t="s">
        <v>3369</v>
      </c>
      <c r="K1978" t="s">
        <v>605</v>
      </c>
      <c r="L1978" t="s">
        <v>3375</v>
      </c>
      <c r="M1978" t="s">
        <v>3364</v>
      </c>
      <c r="N1978" t="s">
        <v>3365</v>
      </c>
      <c r="O1978" t="s">
        <v>3366</v>
      </c>
      <c r="P1978" t="s">
        <v>3382</v>
      </c>
    </row>
    <row r="1979" spans="1:16" x14ac:dyDescent="0.3">
      <c r="A1979" t="s">
        <v>1314</v>
      </c>
      <c r="B1979" t="s">
        <v>1307</v>
      </c>
      <c r="E1979">
        <v>3</v>
      </c>
      <c r="F1979" t="s">
        <v>3361</v>
      </c>
      <c r="G1979" t="s">
        <v>2746</v>
      </c>
      <c r="H1979" t="s">
        <v>1308</v>
      </c>
      <c r="I1979" t="s">
        <v>1630</v>
      </c>
      <c r="J1979" t="s">
        <v>3369</v>
      </c>
      <c r="K1979" t="s">
        <v>605</v>
      </c>
      <c r="L1979" t="s">
        <v>3375</v>
      </c>
      <c r="M1979" t="s">
        <v>3364</v>
      </c>
      <c r="N1979" t="s">
        <v>3365</v>
      </c>
      <c r="O1979" t="s">
        <v>3366</v>
      </c>
      <c r="P1979" t="s">
        <v>3382</v>
      </c>
    </row>
    <row r="1980" spans="1:16" x14ac:dyDescent="0.3">
      <c r="A1980" t="s">
        <v>1315</v>
      </c>
      <c r="B1980" t="s">
        <v>1307</v>
      </c>
      <c r="E1980">
        <v>3</v>
      </c>
      <c r="F1980" t="s">
        <v>3361</v>
      </c>
      <c r="G1980" t="s">
        <v>2746</v>
      </c>
      <c r="H1980" t="s">
        <v>1308</v>
      </c>
      <c r="I1980" t="s">
        <v>1630</v>
      </c>
      <c r="J1980" t="s">
        <v>3369</v>
      </c>
      <c r="K1980" t="s">
        <v>605</v>
      </c>
      <c r="L1980" t="s">
        <v>3375</v>
      </c>
      <c r="M1980" t="s">
        <v>3364</v>
      </c>
      <c r="N1980" t="s">
        <v>3365</v>
      </c>
      <c r="O1980" t="s">
        <v>3366</v>
      </c>
      <c r="P1980" t="s">
        <v>3382</v>
      </c>
    </row>
    <row r="1981" spans="1:16" x14ac:dyDescent="0.3">
      <c r="A1981" t="s">
        <v>1316</v>
      </c>
      <c r="B1981" t="s">
        <v>1307</v>
      </c>
      <c r="E1981">
        <v>3</v>
      </c>
      <c r="F1981" t="s">
        <v>3361</v>
      </c>
      <c r="G1981" t="s">
        <v>2746</v>
      </c>
      <c r="H1981" t="s">
        <v>1308</v>
      </c>
      <c r="I1981" t="s">
        <v>1630</v>
      </c>
      <c r="J1981" t="s">
        <v>3369</v>
      </c>
      <c r="K1981" t="s">
        <v>605</v>
      </c>
      <c r="L1981" t="s">
        <v>3375</v>
      </c>
      <c r="M1981" t="s">
        <v>3364</v>
      </c>
      <c r="N1981" t="s">
        <v>3365</v>
      </c>
      <c r="O1981" t="s">
        <v>3366</v>
      </c>
      <c r="P1981" t="s">
        <v>3382</v>
      </c>
    </row>
    <row r="1982" spans="1:16" x14ac:dyDescent="0.3">
      <c r="A1982" t="s">
        <v>1317</v>
      </c>
      <c r="B1982" t="s">
        <v>1307</v>
      </c>
      <c r="E1982">
        <v>3</v>
      </c>
      <c r="F1982" t="s">
        <v>3361</v>
      </c>
      <c r="G1982" t="s">
        <v>2746</v>
      </c>
      <c r="H1982" t="s">
        <v>1308</v>
      </c>
      <c r="I1982" t="s">
        <v>1630</v>
      </c>
      <c r="J1982" t="s">
        <v>3369</v>
      </c>
      <c r="K1982" t="s">
        <v>605</v>
      </c>
      <c r="L1982" t="s">
        <v>3375</v>
      </c>
      <c r="M1982" t="s">
        <v>3364</v>
      </c>
      <c r="N1982" t="s">
        <v>3365</v>
      </c>
      <c r="O1982" t="s">
        <v>3366</v>
      </c>
      <c r="P1982" t="s">
        <v>3382</v>
      </c>
    </row>
    <row r="1983" spans="1:16" x14ac:dyDescent="0.3">
      <c r="A1983" t="s">
        <v>1318</v>
      </c>
      <c r="B1983" t="s">
        <v>1307</v>
      </c>
      <c r="E1983">
        <v>3</v>
      </c>
      <c r="F1983" t="s">
        <v>3361</v>
      </c>
      <c r="G1983" t="s">
        <v>2746</v>
      </c>
      <c r="H1983" t="s">
        <v>1308</v>
      </c>
      <c r="I1983" t="s">
        <v>1630</v>
      </c>
      <c r="J1983" t="s">
        <v>3369</v>
      </c>
      <c r="K1983" t="s">
        <v>605</v>
      </c>
      <c r="L1983" t="s">
        <v>3375</v>
      </c>
      <c r="M1983" t="s">
        <v>3364</v>
      </c>
      <c r="N1983" t="s">
        <v>3365</v>
      </c>
      <c r="O1983" t="s">
        <v>3366</v>
      </c>
      <c r="P1983" t="s">
        <v>3382</v>
      </c>
    </row>
    <row r="1984" spans="1:16" x14ac:dyDescent="0.3">
      <c r="A1984" t="s">
        <v>1319</v>
      </c>
      <c r="B1984" t="s">
        <v>1307</v>
      </c>
      <c r="E1984">
        <v>3</v>
      </c>
      <c r="F1984" t="s">
        <v>3361</v>
      </c>
      <c r="G1984" t="s">
        <v>2746</v>
      </c>
      <c r="H1984" t="s">
        <v>1308</v>
      </c>
      <c r="I1984" t="s">
        <v>1630</v>
      </c>
      <c r="J1984" t="s">
        <v>3369</v>
      </c>
      <c r="K1984" t="s">
        <v>605</v>
      </c>
      <c r="L1984" t="s">
        <v>3375</v>
      </c>
      <c r="M1984" t="s">
        <v>3364</v>
      </c>
      <c r="N1984" t="s">
        <v>3365</v>
      </c>
      <c r="O1984" t="s">
        <v>3366</v>
      </c>
      <c r="P1984" t="s">
        <v>3382</v>
      </c>
    </row>
    <row r="1985" spans="1:16" x14ac:dyDescent="0.3">
      <c r="A1985" t="s">
        <v>1320</v>
      </c>
      <c r="B1985" t="s">
        <v>1307</v>
      </c>
      <c r="E1985">
        <v>3</v>
      </c>
      <c r="F1985" t="s">
        <v>3361</v>
      </c>
      <c r="G1985" t="s">
        <v>2746</v>
      </c>
      <c r="H1985" t="s">
        <v>1308</v>
      </c>
      <c r="I1985" t="s">
        <v>1630</v>
      </c>
      <c r="J1985" t="s">
        <v>3369</v>
      </c>
      <c r="K1985" t="s">
        <v>605</v>
      </c>
      <c r="L1985" t="s">
        <v>3375</v>
      </c>
      <c r="M1985" t="s">
        <v>3364</v>
      </c>
      <c r="N1985" t="s">
        <v>3365</v>
      </c>
      <c r="O1985" t="s">
        <v>3366</v>
      </c>
      <c r="P1985" t="s">
        <v>3382</v>
      </c>
    </row>
    <row r="1986" spans="1:16" x14ac:dyDescent="0.3">
      <c r="A1986" t="s">
        <v>1321</v>
      </c>
      <c r="B1986" t="s">
        <v>1307</v>
      </c>
      <c r="E1986">
        <v>3</v>
      </c>
      <c r="F1986" t="s">
        <v>3361</v>
      </c>
      <c r="G1986" t="s">
        <v>2746</v>
      </c>
      <c r="H1986" t="s">
        <v>1308</v>
      </c>
      <c r="I1986" t="s">
        <v>1630</v>
      </c>
      <c r="J1986" t="s">
        <v>3369</v>
      </c>
      <c r="K1986" t="s">
        <v>605</v>
      </c>
      <c r="L1986" t="s">
        <v>3375</v>
      </c>
      <c r="M1986" t="s">
        <v>3364</v>
      </c>
      <c r="N1986" t="s">
        <v>3365</v>
      </c>
      <c r="O1986" t="s">
        <v>3366</v>
      </c>
      <c r="P1986" t="s">
        <v>3382</v>
      </c>
    </row>
    <row r="1987" spans="1:16" x14ac:dyDescent="0.3">
      <c r="A1987" t="s">
        <v>1322</v>
      </c>
      <c r="B1987" t="s">
        <v>1307</v>
      </c>
      <c r="E1987">
        <v>3</v>
      </c>
      <c r="F1987" t="s">
        <v>3361</v>
      </c>
      <c r="G1987" t="s">
        <v>2746</v>
      </c>
      <c r="H1987" t="s">
        <v>1308</v>
      </c>
      <c r="I1987" t="s">
        <v>1630</v>
      </c>
      <c r="J1987" t="s">
        <v>3369</v>
      </c>
      <c r="K1987" t="s">
        <v>605</v>
      </c>
      <c r="L1987" t="s">
        <v>3375</v>
      </c>
      <c r="M1987" t="s">
        <v>3364</v>
      </c>
      <c r="N1987" t="s">
        <v>3365</v>
      </c>
      <c r="O1987" t="s">
        <v>3366</v>
      </c>
      <c r="P1987" t="s">
        <v>3382</v>
      </c>
    </row>
    <row r="1988" spans="1:16" x14ac:dyDescent="0.3">
      <c r="A1988" t="s">
        <v>1323</v>
      </c>
      <c r="B1988" t="s">
        <v>1307</v>
      </c>
      <c r="E1988">
        <v>3</v>
      </c>
      <c r="F1988" t="s">
        <v>3361</v>
      </c>
      <c r="G1988" t="s">
        <v>2746</v>
      </c>
      <c r="H1988" t="s">
        <v>1308</v>
      </c>
      <c r="I1988" t="s">
        <v>1630</v>
      </c>
      <c r="J1988" t="s">
        <v>3369</v>
      </c>
      <c r="K1988" t="s">
        <v>605</v>
      </c>
      <c r="L1988" t="s">
        <v>3375</v>
      </c>
      <c r="M1988" t="s">
        <v>3364</v>
      </c>
      <c r="N1988" t="s">
        <v>3365</v>
      </c>
      <c r="O1988" t="s">
        <v>3366</v>
      </c>
      <c r="P1988" t="s">
        <v>3382</v>
      </c>
    </row>
    <row r="1989" spans="1:16" x14ac:dyDescent="0.3">
      <c r="A1989" t="s">
        <v>1324</v>
      </c>
      <c r="B1989" t="s">
        <v>1307</v>
      </c>
      <c r="E1989">
        <v>3</v>
      </c>
      <c r="F1989" t="s">
        <v>3361</v>
      </c>
      <c r="G1989" t="s">
        <v>2746</v>
      </c>
      <c r="H1989" t="s">
        <v>1308</v>
      </c>
      <c r="I1989" t="s">
        <v>1630</v>
      </c>
      <c r="J1989" t="s">
        <v>3369</v>
      </c>
      <c r="K1989" t="s">
        <v>605</v>
      </c>
      <c r="L1989" t="s">
        <v>3375</v>
      </c>
      <c r="M1989" t="s">
        <v>3364</v>
      </c>
      <c r="N1989" t="s">
        <v>3365</v>
      </c>
      <c r="O1989" t="s">
        <v>3366</v>
      </c>
      <c r="P1989" t="s">
        <v>3382</v>
      </c>
    </row>
    <row r="1990" spans="1:16" x14ac:dyDescent="0.3">
      <c r="A1990" t="s">
        <v>1325</v>
      </c>
      <c r="B1990" t="s">
        <v>1307</v>
      </c>
      <c r="E1990">
        <v>3</v>
      </c>
      <c r="F1990" t="s">
        <v>3361</v>
      </c>
      <c r="G1990" t="s">
        <v>2746</v>
      </c>
      <c r="H1990" t="s">
        <v>1308</v>
      </c>
      <c r="I1990" t="s">
        <v>1630</v>
      </c>
      <c r="J1990" t="s">
        <v>3369</v>
      </c>
      <c r="K1990" t="s">
        <v>605</v>
      </c>
      <c r="L1990" t="s">
        <v>3375</v>
      </c>
      <c r="M1990" t="s">
        <v>3364</v>
      </c>
      <c r="N1990" t="s">
        <v>3365</v>
      </c>
      <c r="O1990" t="s">
        <v>3366</v>
      </c>
      <c r="P1990" t="s">
        <v>3382</v>
      </c>
    </row>
    <row r="1991" spans="1:16" x14ac:dyDescent="0.3">
      <c r="A1991" t="s">
        <v>1326</v>
      </c>
      <c r="B1991" t="s">
        <v>1307</v>
      </c>
      <c r="E1991">
        <v>3</v>
      </c>
      <c r="F1991" t="s">
        <v>3361</v>
      </c>
      <c r="G1991" t="s">
        <v>2746</v>
      </c>
      <c r="H1991" t="s">
        <v>1308</v>
      </c>
      <c r="I1991" t="s">
        <v>1630</v>
      </c>
      <c r="J1991" t="s">
        <v>3369</v>
      </c>
      <c r="K1991" t="s">
        <v>605</v>
      </c>
      <c r="L1991" t="s">
        <v>3375</v>
      </c>
      <c r="M1991" t="s">
        <v>3364</v>
      </c>
      <c r="N1991" t="s">
        <v>3365</v>
      </c>
      <c r="O1991" t="s">
        <v>3366</v>
      </c>
      <c r="P1991" t="s">
        <v>3382</v>
      </c>
    </row>
    <row r="1992" spans="1:16" x14ac:dyDescent="0.3">
      <c r="A1992" t="s">
        <v>1327</v>
      </c>
      <c r="B1992" t="s">
        <v>1307</v>
      </c>
      <c r="E1992">
        <v>3</v>
      </c>
      <c r="F1992" t="s">
        <v>3361</v>
      </c>
      <c r="G1992" t="s">
        <v>2746</v>
      </c>
      <c r="H1992" t="s">
        <v>1308</v>
      </c>
      <c r="I1992" t="s">
        <v>1630</v>
      </c>
      <c r="J1992" t="s">
        <v>3369</v>
      </c>
      <c r="K1992" t="s">
        <v>605</v>
      </c>
      <c r="L1992" t="s">
        <v>3375</v>
      </c>
      <c r="M1992" t="s">
        <v>3364</v>
      </c>
      <c r="N1992" t="s">
        <v>3365</v>
      </c>
      <c r="O1992" t="s">
        <v>3366</v>
      </c>
      <c r="P1992" t="s">
        <v>3382</v>
      </c>
    </row>
    <row r="1993" spans="1:16" x14ac:dyDescent="0.3">
      <c r="A1993" t="s">
        <v>808</v>
      </c>
      <c r="B1993" t="s">
        <v>1307</v>
      </c>
      <c r="E1993">
        <v>3</v>
      </c>
      <c r="F1993" t="s">
        <v>3361</v>
      </c>
      <c r="G1993" t="s">
        <v>2746</v>
      </c>
      <c r="H1993" t="s">
        <v>1308</v>
      </c>
      <c r="I1993" t="s">
        <v>1630</v>
      </c>
      <c r="J1993" t="s">
        <v>3369</v>
      </c>
      <c r="K1993" t="s">
        <v>605</v>
      </c>
      <c r="L1993" t="s">
        <v>3375</v>
      </c>
      <c r="M1993" t="s">
        <v>3364</v>
      </c>
      <c r="N1993" t="s">
        <v>3365</v>
      </c>
      <c r="O1993" t="s">
        <v>3366</v>
      </c>
      <c r="P1993" t="s">
        <v>3382</v>
      </c>
    </row>
    <row r="1994" spans="1:16" x14ac:dyDescent="0.3">
      <c r="A1994" t="s">
        <v>1328</v>
      </c>
      <c r="B1994" t="s">
        <v>1307</v>
      </c>
      <c r="E1994">
        <v>3</v>
      </c>
      <c r="F1994" t="s">
        <v>3361</v>
      </c>
      <c r="G1994" t="s">
        <v>2746</v>
      </c>
      <c r="H1994" t="s">
        <v>1308</v>
      </c>
      <c r="I1994" t="s">
        <v>1630</v>
      </c>
      <c r="J1994" t="s">
        <v>3369</v>
      </c>
      <c r="K1994" t="s">
        <v>605</v>
      </c>
      <c r="L1994" t="s">
        <v>3375</v>
      </c>
      <c r="M1994" t="s">
        <v>3364</v>
      </c>
      <c r="N1994" t="s">
        <v>3365</v>
      </c>
      <c r="O1994" t="s">
        <v>3366</v>
      </c>
      <c r="P1994" t="s">
        <v>3382</v>
      </c>
    </row>
    <row r="1995" spans="1:16" x14ac:dyDescent="0.3">
      <c r="A1995" t="s">
        <v>1329</v>
      </c>
      <c r="B1995" t="s">
        <v>1307</v>
      </c>
      <c r="E1995">
        <v>3</v>
      </c>
      <c r="F1995" t="s">
        <v>3361</v>
      </c>
      <c r="G1995" t="s">
        <v>2746</v>
      </c>
      <c r="H1995" t="s">
        <v>1308</v>
      </c>
      <c r="I1995" t="s">
        <v>1630</v>
      </c>
      <c r="J1995" t="s">
        <v>3369</v>
      </c>
      <c r="K1995" t="s">
        <v>605</v>
      </c>
      <c r="L1995" t="s">
        <v>3375</v>
      </c>
      <c r="M1995" t="s">
        <v>3364</v>
      </c>
      <c r="N1995" t="s">
        <v>3365</v>
      </c>
      <c r="O1995" t="s">
        <v>3366</v>
      </c>
      <c r="P1995" t="s">
        <v>3382</v>
      </c>
    </row>
    <row r="1996" spans="1:16" x14ac:dyDescent="0.3">
      <c r="A1996" t="s">
        <v>682</v>
      </c>
      <c r="B1996" t="s">
        <v>1330</v>
      </c>
      <c r="E1996">
        <v>3</v>
      </c>
      <c r="F1996" t="s">
        <v>3361</v>
      </c>
      <c r="G1996" t="s">
        <v>2746</v>
      </c>
      <c r="H1996" t="s">
        <v>1331</v>
      </c>
      <c r="I1996" t="s">
        <v>1630</v>
      </c>
      <c r="J1996" t="s">
        <v>3369</v>
      </c>
      <c r="K1996" t="s">
        <v>605</v>
      </c>
      <c r="L1996" t="s">
        <v>3375</v>
      </c>
      <c r="M1996" t="s">
        <v>3364</v>
      </c>
      <c r="N1996" t="s">
        <v>3365</v>
      </c>
      <c r="O1996" t="s">
        <v>3366</v>
      </c>
      <c r="P1996" t="s">
        <v>3382</v>
      </c>
    </row>
    <row r="1997" spans="1:16" x14ac:dyDescent="0.3">
      <c r="A1997" t="s">
        <v>1336</v>
      </c>
      <c r="B1997" t="s">
        <v>1330</v>
      </c>
      <c r="E1997">
        <v>3</v>
      </c>
      <c r="F1997" t="s">
        <v>3361</v>
      </c>
      <c r="G1997" t="s">
        <v>2746</v>
      </c>
      <c r="H1997" t="s">
        <v>1331</v>
      </c>
      <c r="I1997" t="s">
        <v>1630</v>
      </c>
      <c r="J1997" t="s">
        <v>3369</v>
      </c>
      <c r="K1997" t="s">
        <v>605</v>
      </c>
      <c r="L1997" t="s">
        <v>3375</v>
      </c>
      <c r="M1997" t="s">
        <v>3364</v>
      </c>
      <c r="N1997" t="s">
        <v>3365</v>
      </c>
      <c r="O1997" t="s">
        <v>3366</v>
      </c>
      <c r="P1997" t="s">
        <v>3382</v>
      </c>
    </row>
    <row r="1998" spans="1:16" x14ac:dyDescent="0.3">
      <c r="A1998" t="s">
        <v>678</v>
      </c>
      <c r="B1998" t="s">
        <v>1330</v>
      </c>
      <c r="E1998">
        <v>3</v>
      </c>
      <c r="F1998" t="s">
        <v>3361</v>
      </c>
      <c r="G1998" t="s">
        <v>2746</v>
      </c>
      <c r="H1998" t="s">
        <v>1331</v>
      </c>
      <c r="I1998" t="s">
        <v>1630</v>
      </c>
      <c r="J1998" t="s">
        <v>3369</v>
      </c>
      <c r="K1998" t="s">
        <v>605</v>
      </c>
      <c r="L1998" t="s">
        <v>3375</v>
      </c>
      <c r="M1998" t="s">
        <v>3364</v>
      </c>
      <c r="N1998" t="s">
        <v>3365</v>
      </c>
      <c r="O1998" t="s">
        <v>3366</v>
      </c>
      <c r="P1998" t="s">
        <v>3382</v>
      </c>
    </row>
    <row r="1999" spans="1:16" x14ac:dyDescent="0.3">
      <c r="A1999" t="s">
        <v>1337</v>
      </c>
      <c r="B1999" t="s">
        <v>1330</v>
      </c>
      <c r="E1999">
        <v>3</v>
      </c>
      <c r="F1999" t="s">
        <v>3361</v>
      </c>
      <c r="G1999" t="s">
        <v>2746</v>
      </c>
      <c r="H1999" t="s">
        <v>1331</v>
      </c>
      <c r="I1999" t="s">
        <v>1630</v>
      </c>
      <c r="J1999" t="s">
        <v>3369</v>
      </c>
      <c r="K1999" t="s">
        <v>605</v>
      </c>
      <c r="L1999" t="s">
        <v>3375</v>
      </c>
      <c r="M1999" t="s">
        <v>3364</v>
      </c>
      <c r="N1999" t="s">
        <v>3365</v>
      </c>
      <c r="O1999" t="s">
        <v>3366</v>
      </c>
      <c r="P1999" t="s">
        <v>3382</v>
      </c>
    </row>
    <row r="2000" spans="1:16" x14ac:dyDescent="0.3">
      <c r="A2000" t="s">
        <v>650</v>
      </c>
      <c r="B2000" t="s">
        <v>1330</v>
      </c>
      <c r="E2000">
        <v>3</v>
      </c>
      <c r="F2000" t="s">
        <v>3361</v>
      </c>
      <c r="G2000" t="s">
        <v>2746</v>
      </c>
      <c r="H2000" t="s">
        <v>1331</v>
      </c>
      <c r="I2000" t="s">
        <v>1630</v>
      </c>
      <c r="J2000" t="s">
        <v>3369</v>
      </c>
      <c r="K2000" t="s">
        <v>605</v>
      </c>
      <c r="L2000" t="s">
        <v>3375</v>
      </c>
      <c r="M2000" t="s">
        <v>3364</v>
      </c>
      <c r="N2000" t="s">
        <v>3365</v>
      </c>
      <c r="O2000" t="s">
        <v>3366</v>
      </c>
      <c r="P2000" t="s">
        <v>3382</v>
      </c>
    </row>
    <row r="2001" spans="1:16" x14ac:dyDescent="0.3">
      <c r="A2001" t="s">
        <v>1136</v>
      </c>
      <c r="B2001" t="s">
        <v>1330</v>
      </c>
      <c r="E2001">
        <v>3</v>
      </c>
      <c r="F2001" t="s">
        <v>3361</v>
      </c>
      <c r="G2001" t="s">
        <v>2746</v>
      </c>
      <c r="H2001" t="s">
        <v>1331</v>
      </c>
      <c r="I2001" t="s">
        <v>1630</v>
      </c>
      <c r="J2001" t="s">
        <v>3369</v>
      </c>
      <c r="K2001" t="s">
        <v>605</v>
      </c>
      <c r="L2001" t="s">
        <v>3375</v>
      </c>
      <c r="M2001" t="s">
        <v>3364</v>
      </c>
      <c r="N2001" t="s">
        <v>3365</v>
      </c>
      <c r="O2001" t="s">
        <v>3366</v>
      </c>
      <c r="P2001" t="s">
        <v>3382</v>
      </c>
    </row>
    <row r="2002" spans="1:16" x14ac:dyDescent="0.3">
      <c r="A2002" t="s">
        <v>1338</v>
      </c>
      <c r="B2002" t="s">
        <v>1330</v>
      </c>
      <c r="E2002">
        <v>3</v>
      </c>
      <c r="F2002" t="s">
        <v>3361</v>
      </c>
      <c r="G2002" t="s">
        <v>2746</v>
      </c>
      <c r="H2002" t="s">
        <v>1331</v>
      </c>
      <c r="I2002" t="s">
        <v>1630</v>
      </c>
      <c r="J2002" t="s">
        <v>3369</v>
      </c>
      <c r="K2002" t="s">
        <v>605</v>
      </c>
      <c r="L2002" t="s">
        <v>3375</v>
      </c>
      <c r="M2002" t="s">
        <v>3364</v>
      </c>
      <c r="N2002" t="s">
        <v>3365</v>
      </c>
      <c r="O2002" t="s">
        <v>3366</v>
      </c>
      <c r="P2002" t="s">
        <v>3382</v>
      </c>
    </row>
    <row r="2003" spans="1:16" x14ac:dyDescent="0.3">
      <c r="A2003" t="s">
        <v>1339</v>
      </c>
      <c r="B2003" t="s">
        <v>1330</v>
      </c>
      <c r="E2003">
        <v>3</v>
      </c>
      <c r="F2003" t="s">
        <v>3361</v>
      </c>
      <c r="G2003" t="s">
        <v>2746</v>
      </c>
      <c r="H2003" t="s">
        <v>1331</v>
      </c>
      <c r="I2003" t="s">
        <v>1630</v>
      </c>
      <c r="J2003" t="s">
        <v>3369</v>
      </c>
      <c r="K2003" t="s">
        <v>605</v>
      </c>
      <c r="L2003" t="s">
        <v>3375</v>
      </c>
      <c r="M2003" t="s">
        <v>3364</v>
      </c>
      <c r="N2003" t="s">
        <v>3365</v>
      </c>
      <c r="O2003" t="s">
        <v>3366</v>
      </c>
      <c r="P2003" t="s">
        <v>3382</v>
      </c>
    </row>
    <row r="2004" spans="1:16" x14ac:dyDescent="0.3">
      <c r="A2004" t="s">
        <v>1340</v>
      </c>
      <c r="B2004" t="s">
        <v>1330</v>
      </c>
      <c r="E2004">
        <v>3</v>
      </c>
      <c r="F2004" t="s">
        <v>3361</v>
      </c>
      <c r="G2004" t="s">
        <v>2746</v>
      </c>
      <c r="H2004" t="s">
        <v>1331</v>
      </c>
      <c r="I2004" t="s">
        <v>1630</v>
      </c>
      <c r="J2004" t="s">
        <v>3369</v>
      </c>
      <c r="K2004" t="s">
        <v>605</v>
      </c>
      <c r="L2004" t="s">
        <v>3375</v>
      </c>
      <c r="M2004" t="s">
        <v>3364</v>
      </c>
      <c r="N2004" t="s">
        <v>3365</v>
      </c>
      <c r="O2004" t="s">
        <v>3366</v>
      </c>
      <c r="P2004" t="s">
        <v>3382</v>
      </c>
    </row>
    <row r="2005" spans="1:16" x14ac:dyDescent="0.3">
      <c r="A2005" t="s">
        <v>1341</v>
      </c>
      <c r="B2005" t="s">
        <v>1330</v>
      </c>
      <c r="E2005">
        <v>3</v>
      </c>
      <c r="F2005" t="s">
        <v>3361</v>
      </c>
      <c r="G2005" t="s">
        <v>2746</v>
      </c>
      <c r="H2005" t="s">
        <v>1331</v>
      </c>
      <c r="I2005" t="s">
        <v>1630</v>
      </c>
      <c r="J2005" t="s">
        <v>3369</v>
      </c>
      <c r="K2005" t="s">
        <v>605</v>
      </c>
      <c r="L2005" t="s">
        <v>3375</v>
      </c>
      <c r="M2005" t="s">
        <v>3364</v>
      </c>
      <c r="N2005" t="s">
        <v>3365</v>
      </c>
      <c r="O2005" t="s">
        <v>3366</v>
      </c>
      <c r="P2005" t="s">
        <v>3382</v>
      </c>
    </row>
    <row r="2006" spans="1:16" x14ac:dyDescent="0.3">
      <c r="A2006" t="s">
        <v>1342</v>
      </c>
      <c r="B2006" t="s">
        <v>1330</v>
      </c>
      <c r="E2006">
        <v>3</v>
      </c>
      <c r="F2006" t="s">
        <v>3361</v>
      </c>
      <c r="G2006" t="s">
        <v>2746</v>
      </c>
      <c r="H2006" t="s">
        <v>1331</v>
      </c>
      <c r="I2006" t="s">
        <v>1630</v>
      </c>
      <c r="J2006" t="s">
        <v>3369</v>
      </c>
      <c r="K2006" t="s">
        <v>605</v>
      </c>
      <c r="L2006" t="s">
        <v>3375</v>
      </c>
      <c r="M2006" t="s">
        <v>3364</v>
      </c>
      <c r="N2006" t="s">
        <v>3365</v>
      </c>
      <c r="O2006" t="s">
        <v>3366</v>
      </c>
      <c r="P2006" t="s">
        <v>3382</v>
      </c>
    </row>
    <row r="2007" spans="1:16" x14ac:dyDescent="0.3">
      <c r="A2007" t="s">
        <v>1343</v>
      </c>
      <c r="B2007" t="s">
        <v>1330</v>
      </c>
      <c r="E2007">
        <v>3</v>
      </c>
      <c r="F2007" t="s">
        <v>3361</v>
      </c>
      <c r="G2007" t="s">
        <v>2746</v>
      </c>
      <c r="H2007" t="s">
        <v>1331</v>
      </c>
      <c r="I2007" t="s">
        <v>1630</v>
      </c>
      <c r="J2007" t="s">
        <v>3369</v>
      </c>
      <c r="K2007" t="s">
        <v>605</v>
      </c>
      <c r="L2007" t="s">
        <v>3375</v>
      </c>
      <c r="M2007" t="s">
        <v>3364</v>
      </c>
      <c r="N2007" t="s">
        <v>3365</v>
      </c>
      <c r="O2007" t="s">
        <v>3366</v>
      </c>
      <c r="P2007" t="s">
        <v>3382</v>
      </c>
    </row>
    <row r="2008" spans="1:16" x14ac:dyDescent="0.3">
      <c r="A2008" t="s">
        <v>1344</v>
      </c>
      <c r="B2008" t="s">
        <v>1330</v>
      </c>
      <c r="E2008">
        <v>3</v>
      </c>
      <c r="F2008" t="s">
        <v>3361</v>
      </c>
      <c r="G2008" t="s">
        <v>2746</v>
      </c>
      <c r="H2008" t="s">
        <v>1331</v>
      </c>
      <c r="I2008" t="s">
        <v>1630</v>
      </c>
      <c r="J2008" t="s">
        <v>3369</v>
      </c>
      <c r="K2008" t="s">
        <v>605</v>
      </c>
      <c r="L2008" t="s">
        <v>3375</v>
      </c>
      <c r="M2008" t="s">
        <v>3364</v>
      </c>
      <c r="N2008" t="s">
        <v>3365</v>
      </c>
      <c r="O2008" t="s">
        <v>3366</v>
      </c>
      <c r="P2008" t="s">
        <v>3382</v>
      </c>
    </row>
    <row r="2009" spans="1:16" x14ac:dyDescent="0.3">
      <c r="A2009" t="s">
        <v>1345</v>
      </c>
      <c r="B2009" t="s">
        <v>1330</v>
      </c>
      <c r="E2009">
        <v>3</v>
      </c>
      <c r="F2009" t="s">
        <v>3361</v>
      </c>
      <c r="G2009" t="s">
        <v>2746</v>
      </c>
      <c r="H2009" t="s">
        <v>1331</v>
      </c>
      <c r="I2009" t="s">
        <v>1630</v>
      </c>
      <c r="J2009" t="s">
        <v>3369</v>
      </c>
      <c r="K2009" t="s">
        <v>605</v>
      </c>
      <c r="L2009" t="s">
        <v>3375</v>
      </c>
      <c r="M2009" t="s">
        <v>3364</v>
      </c>
      <c r="N2009" t="s">
        <v>3365</v>
      </c>
      <c r="O2009" t="s">
        <v>3366</v>
      </c>
      <c r="P2009" t="s">
        <v>3382</v>
      </c>
    </row>
    <row r="2010" spans="1:16" x14ac:dyDescent="0.3">
      <c r="A2010" t="s">
        <v>1346</v>
      </c>
      <c r="B2010" t="s">
        <v>1330</v>
      </c>
      <c r="E2010">
        <v>3</v>
      </c>
      <c r="F2010" t="s">
        <v>3361</v>
      </c>
      <c r="G2010" t="s">
        <v>2746</v>
      </c>
      <c r="H2010" t="s">
        <v>1331</v>
      </c>
      <c r="I2010" t="s">
        <v>1630</v>
      </c>
      <c r="J2010" t="s">
        <v>3369</v>
      </c>
      <c r="K2010" t="s">
        <v>605</v>
      </c>
      <c r="L2010" t="s">
        <v>3375</v>
      </c>
      <c r="M2010" t="s">
        <v>3364</v>
      </c>
      <c r="N2010" t="s">
        <v>3365</v>
      </c>
      <c r="O2010" t="s">
        <v>3366</v>
      </c>
      <c r="P2010" t="s">
        <v>3382</v>
      </c>
    </row>
    <row r="2011" spans="1:16" x14ac:dyDescent="0.3">
      <c r="A2011" t="s">
        <v>1347</v>
      </c>
      <c r="B2011" t="s">
        <v>1330</v>
      </c>
      <c r="E2011">
        <v>3</v>
      </c>
      <c r="F2011" t="s">
        <v>3361</v>
      </c>
      <c r="G2011" t="s">
        <v>2746</v>
      </c>
      <c r="H2011" t="s">
        <v>1331</v>
      </c>
      <c r="I2011" t="s">
        <v>1630</v>
      </c>
      <c r="J2011" t="s">
        <v>3369</v>
      </c>
      <c r="K2011" t="s">
        <v>605</v>
      </c>
      <c r="L2011" t="s">
        <v>3375</v>
      </c>
      <c r="M2011" t="s">
        <v>3364</v>
      </c>
      <c r="N2011" t="s">
        <v>3365</v>
      </c>
      <c r="O2011" t="s">
        <v>3366</v>
      </c>
      <c r="P2011" t="s">
        <v>3382</v>
      </c>
    </row>
    <row r="2012" spans="1:16" x14ac:dyDescent="0.3">
      <c r="A2012" t="s">
        <v>660</v>
      </c>
      <c r="B2012" t="s">
        <v>1330</v>
      </c>
      <c r="E2012">
        <v>3</v>
      </c>
      <c r="F2012" t="s">
        <v>3361</v>
      </c>
      <c r="G2012" t="s">
        <v>2746</v>
      </c>
      <c r="H2012" t="s">
        <v>1331</v>
      </c>
      <c r="I2012" t="s">
        <v>1630</v>
      </c>
      <c r="J2012" t="s">
        <v>3369</v>
      </c>
      <c r="K2012" t="s">
        <v>605</v>
      </c>
      <c r="L2012" t="s">
        <v>3375</v>
      </c>
      <c r="M2012" t="s">
        <v>3364</v>
      </c>
      <c r="N2012" t="s">
        <v>3365</v>
      </c>
      <c r="O2012" t="s">
        <v>3366</v>
      </c>
      <c r="P2012" t="s">
        <v>3382</v>
      </c>
    </row>
    <row r="2013" spans="1:16" x14ac:dyDescent="0.3">
      <c r="A2013" t="s">
        <v>1348</v>
      </c>
      <c r="B2013" t="s">
        <v>1330</v>
      </c>
      <c r="E2013">
        <v>3</v>
      </c>
      <c r="F2013" t="s">
        <v>3361</v>
      </c>
      <c r="G2013" t="s">
        <v>2746</v>
      </c>
      <c r="H2013" t="s">
        <v>1331</v>
      </c>
      <c r="I2013" t="s">
        <v>1630</v>
      </c>
      <c r="J2013" t="s">
        <v>3369</v>
      </c>
      <c r="K2013" t="s">
        <v>605</v>
      </c>
      <c r="L2013" t="s">
        <v>3375</v>
      </c>
      <c r="M2013" t="s">
        <v>3364</v>
      </c>
      <c r="N2013" t="s">
        <v>3365</v>
      </c>
      <c r="O2013" t="s">
        <v>3366</v>
      </c>
      <c r="P2013" t="s">
        <v>3382</v>
      </c>
    </row>
    <row r="2014" spans="1:16" x14ac:dyDescent="0.3">
      <c r="A2014" t="s">
        <v>1349</v>
      </c>
      <c r="B2014" t="s">
        <v>1330</v>
      </c>
      <c r="E2014">
        <v>3</v>
      </c>
      <c r="F2014" t="s">
        <v>3361</v>
      </c>
      <c r="G2014" t="s">
        <v>2746</v>
      </c>
      <c r="H2014" t="s">
        <v>1331</v>
      </c>
      <c r="I2014" t="s">
        <v>1630</v>
      </c>
      <c r="J2014" t="s">
        <v>3369</v>
      </c>
      <c r="K2014" t="s">
        <v>605</v>
      </c>
      <c r="L2014" t="s">
        <v>3375</v>
      </c>
      <c r="M2014" t="s">
        <v>3364</v>
      </c>
      <c r="N2014" t="s">
        <v>3365</v>
      </c>
      <c r="O2014" t="s">
        <v>3366</v>
      </c>
      <c r="P2014" t="s">
        <v>3382</v>
      </c>
    </row>
    <row r="2015" spans="1:16" x14ac:dyDescent="0.3">
      <c r="A2015" t="s">
        <v>1350</v>
      </c>
      <c r="B2015" t="s">
        <v>1330</v>
      </c>
      <c r="E2015">
        <v>3</v>
      </c>
      <c r="F2015" t="s">
        <v>3361</v>
      </c>
      <c r="G2015" t="s">
        <v>2746</v>
      </c>
      <c r="H2015" t="s">
        <v>1331</v>
      </c>
      <c r="I2015" t="s">
        <v>1630</v>
      </c>
      <c r="J2015" t="s">
        <v>3369</v>
      </c>
      <c r="K2015" t="s">
        <v>605</v>
      </c>
      <c r="L2015" t="s">
        <v>3375</v>
      </c>
      <c r="M2015" t="s">
        <v>3364</v>
      </c>
      <c r="N2015" t="s">
        <v>3365</v>
      </c>
      <c r="O2015" t="s">
        <v>3366</v>
      </c>
      <c r="P2015" t="s">
        <v>3382</v>
      </c>
    </row>
    <row r="2016" spans="1:16" x14ac:dyDescent="0.3">
      <c r="A2016" t="s">
        <v>1351</v>
      </c>
      <c r="B2016" t="s">
        <v>1330</v>
      </c>
      <c r="E2016">
        <v>5</v>
      </c>
      <c r="F2016" t="s">
        <v>3361</v>
      </c>
      <c r="G2016" t="s">
        <v>2746</v>
      </c>
      <c r="H2016" t="s">
        <v>1352</v>
      </c>
      <c r="I2016" t="s">
        <v>1630</v>
      </c>
      <c r="J2016" t="s">
        <v>3369</v>
      </c>
      <c r="K2016" t="s">
        <v>605</v>
      </c>
      <c r="L2016" t="s">
        <v>3375</v>
      </c>
      <c r="M2016" t="s">
        <v>3364</v>
      </c>
      <c r="N2016" t="s">
        <v>3365</v>
      </c>
      <c r="O2016" t="s">
        <v>3366</v>
      </c>
      <c r="P2016" t="s">
        <v>3382</v>
      </c>
    </row>
    <row r="2017" spans="1:16" x14ac:dyDescent="0.3">
      <c r="A2017" t="s">
        <v>1357</v>
      </c>
      <c r="B2017" t="s">
        <v>1330</v>
      </c>
      <c r="E2017">
        <v>5</v>
      </c>
      <c r="F2017" t="s">
        <v>3361</v>
      </c>
      <c r="G2017" t="s">
        <v>2746</v>
      </c>
      <c r="H2017" t="s">
        <v>1352</v>
      </c>
      <c r="I2017" t="s">
        <v>1630</v>
      </c>
      <c r="J2017" t="s">
        <v>3369</v>
      </c>
      <c r="K2017" t="s">
        <v>605</v>
      </c>
      <c r="L2017" t="s">
        <v>3375</v>
      </c>
      <c r="M2017" t="s">
        <v>3364</v>
      </c>
      <c r="N2017" t="s">
        <v>3365</v>
      </c>
      <c r="O2017" t="s">
        <v>3366</v>
      </c>
      <c r="P2017" t="s">
        <v>3382</v>
      </c>
    </row>
    <row r="2018" spans="1:16" x14ac:dyDescent="0.3">
      <c r="A2018" t="s">
        <v>1358</v>
      </c>
      <c r="B2018" t="s">
        <v>1330</v>
      </c>
      <c r="E2018">
        <v>5</v>
      </c>
      <c r="F2018" t="s">
        <v>3361</v>
      </c>
      <c r="G2018" t="s">
        <v>2746</v>
      </c>
      <c r="H2018" t="s">
        <v>1352</v>
      </c>
      <c r="I2018" t="s">
        <v>1630</v>
      </c>
      <c r="J2018" t="s">
        <v>3369</v>
      </c>
      <c r="K2018" t="s">
        <v>605</v>
      </c>
      <c r="L2018" t="s">
        <v>3375</v>
      </c>
      <c r="M2018" t="s">
        <v>3364</v>
      </c>
      <c r="N2018" t="s">
        <v>3365</v>
      </c>
      <c r="O2018" t="s">
        <v>3366</v>
      </c>
      <c r="P2018" t="s">
        <v>3382</v>
      </c>
    </row>
    <row r="2019" spans="1:16" x14ac:dyDescent="0.3">
      <c r="A2019" t="s">
        <v>1359</v>
      </c>
      <c r="B2019" t="s">
        <v>1330</v>
      </c>
      <c r="E2019">
        <v>5</v>
      </c>
      <c r="F2019" t="s">
        <v>3361</v>
      </c>
      <c r="G2019" t="s">
        <v>2746</v>
      </c>
      <c r="H2019" t="s">
        <v>1352</v>
      </c>
      <c r="I2019" t="s">
        <v>1630</v>
      </c>
      <c r="J2019" t="s">
        <v>3369</v>
      </c>
      <c r="K2019" t="s">
        <v>605</v>
      </c>
      <c r="L2019" t="s">
        <v>3375</v>
      </c>
      <c r="M2019" t="s">
        <v>3364</v>
      </c>
      <c r="N2019" t="s">
        <v>3365</v>
      </c>
      <c r="O2019" t="s">
        <v>3366</v>
      </c>
      <c r="P2019" t="s">
        <v>3382</v>
      </c>
    </row>
    <row r="2020" spans="1:16" x14ac:dyDescent="0.3">
      <c r="A2020" t="s">
        <v>1360</v>
      </c>
      <c r="B2020" t="s">
        <v>1330</v>
      </c>
      <c r="E2020">
        <v>5</v>
      </c>
      <c r="F2020" t="s">
        <v>3361</v>
      </c>
      <c r="G2020" t="s">
        <v>2746</v>
      </c>
      <c r="H2020" t="s">
        <v>1352</v>
      </c>
      <c r="I2020" t="s">
        <v>1630</v>
      </c>
      <c r="J2020" t="s">
        <v>3369</v>
      </c>
      <c r="K2020" t="s">
        <v>605</v>
      </c>
      <c r="L2020" t="s">
        <v>3375</v>
      </c>
      <c r="M2020" t="s">
        <v>3364</v>
      </c>
      <c r="N2020" t="s">
        <v>3365</v>
      </c>
      <c r="O2020" t="s">
        <v>3366</v>
      </c>
      <c r="P2020" t="s">
        <v>3382</v>
      </c>
    </row>
    <row r="2021" spans="1:16" x14ac:dyDescent="0.3">
      <c r="A2021" t="s">
        <v>1361</v>
      </c>
      <c r="B2021" t="s">
        <v>1330</v>
      </c>
      <c r="E2021">
        <v>5</v>
      </c>
      <c r="F2021" t="s">
        <v>3361</v>
      </c>
      <c r="G2021" t="s">
        <v>2746</v>
      </c>
      <c r="H2021" t="s">
        <v>1352</v>
      </c>
      <c r="I2021" t="s">
        <v>1630</v>
      </c>
      <c r="J2021" t="s">
        <v>3369</v>
      </c>
      <c r="K2021" t="s">
        <v>605</v>
      </c>
      <c r="L2021" t="s">
        <v>3375</v>
      </c>
      <c r="M2021" t="s">
        <v>3364</v>
      </c>
      <c r="N2021" t="s">
        <v>3365</v>
      </c>
      <c r="O2021" t="s">
        <v>3366</v>
      </c>
      <c r="P2021" t="s">
        <v>3382</v>
      </c>
    </row>
    <row r="2022" spans="1:16" x14ac:dyDescent="0.3">
      <c r="A2022" t="s">
        <v>1362</v>
      </c>
      <c r="B2022" t="s">
        <v>1330</v>
      </c>
      <c r="E2022">
        <v>4</v>
      </c>
      <c r="F2022" t="s">
        <v>3361</v>
      </c>
      <c r="G2022" t="s">
        <v>2746</v>
      </c>
      <c r="H2022" t="s">
        <v>1363</v>
      </c>
      <c r="I2022" t="s">
        <v>1630</v>
      </c>
      <c r="J2022" t="s">
        <v>3369</v>
      </c>
      <c r="K2022" t="s">
        <v>605</v>
      </c>
      <c r="L2022" t="s">
        <v>3375</v>
      </c>
      <c r="M2022" t="s">
        <v>3364</v>
      </c>
      <c r="N2022" t="s">
        <v>3365</v>
      </c>
      <c r="O2022" t="s">
        <v>3366</v>
      </c>
      <c r="P2022" t="s">
        <v>3382</v>
      </c>
    </row>
    <row r="2023" spans="1:16" x14ac:dyDescent="0.3">
      <c r="A2023" t="s">
        <v>1367</v>
      </c>
      <c r="B2023" t="s">
        <v>1330</v>
      </c>
      <c r="E2023">
        <v>4</v>
      </c>
      <c r="F2023" t="s">
        <v>3361</v>
      </c>
      <c r="G2023" t="s">
        <v>2746</v>
      </c>
      <c r="H2023" t="s">
        <v>1363</v>
      </c>
      <c r="I2023" t="s">
        <v>1630</v>
      </c>
      <c r="J2023" t="s">
        <v>3369</v>
      </c>
      <c r="K2023" t="s">
        <v>605</v>
      </c>
      <c r="L2023" t="s">
        <v>3375</v>
      </c>
      <c r="M2023" t="s">
        <v>3364</v>
      </c>
      <c r="N2023" t="s">
        <v>3365</v>
      </c>
      <c r="O2023" t="s">
        <v>3366</v>
      </c>
      <c r="P2023" t="s">
        <v>3382</v>
      </c>
    </row>
    <row r="2024" spans="1:16" x14ac:dyDescent="0.3">
      <c r="A2024" t="s">
        <v>1368</v>
      </c>
      <c r="B2024" t="s">
        <v>1330</v>
      </c>
      <c r="E2024">
        <v>4</v>
      </c>
      <c r="F2024" t="s">
        <v>3361</v>
      </c>
      <c r="G2024" t="s">
        <v>2746</v>
      </c>
      <c r="H2024" t="s">
        <v>1363</v>
      </c>
      <c r="I2024" t="s">
        <v>1630</v>
      </c>
      <c r="J2024" t="s">
        <v>3369</v>
      </c>
      <c r="K2024" t="s">
        <v>605</v>
      </c>
      <c r="L2024" t="s">
        <v>3375</v>
      </c>
      <c r="M2024" t="s">
        <v>3364</v>
      </c>
      <c r="N2024" t="s">
        <v>3365</v>
      </c>
      <c r="O2024" t="s">
        <v>3366</v>
      </c>
      <c r="P2024" t="s">
        <v>3382</v>
      </c>
    </row>
    <row r="2025" spans="1:16" x14ac:dyDescent="0.3">
      <c r="A2025" t="s">
        <v>1369</v>
      </c>
      <c r="B2025" t="s">
        <v>1330</v>
      </c>
      <c r="E2025">
        <v>4</v>
      </c>
      <c r="F2025" t="s">
        <v>3361</v>
      </c>
      <c r="G2025" t="s">
        <v>2746</v>
      </c>
      <c r="H2025" t="s">
        <v>1363</v>
      </c>
      <c r="I2025" t="s">
        <v>1630</v>
      </c>
      <c r="J2025" t="s">
        <v>3369</v>
      </c>
      <c r="K2025" t="s">
        <v>605</v>
      </c>
      <c r="L2025" t="s">
        <v>3375</v>
      </c>
      <c r="M2025" t="s">
        <v>3364</v>
      </c>
      <c r="N2025" t="s">
        <v>3365</v>
      </c>
      <c r="O2025" t="s">
        <v>3366</v>
      </c>
      <c r="P2025" t="s">
        <v>3382</v>
      </c>
    </row>
    <row r="2026" spans="1:16" x14ac:dyDescent="0.3">
      <c r="A2026" t="s">
        <v>1370</v>
      </c>
      <c r="B2026" t="s">
        <v>1330</v>
      </c>
      <c r="E2026">
        <v>4</v>
      </c>
      <c r="F2026" t="s">
        <v>3361</v>
      </c>
      <c r="G2026" t="s">
        <v>2746</v>
      </c>
      <c r="H2026" t="s">
        <v>1363</v>
      </c>
      <c r="I2026" t="s">
        <v>1630</v>
      </c>
      <c r="J2026" t="s">
        <v>3369</v>
      </c>
      <c r="K2026" t="s">
        <v>605</v>
      </c>
      <c r="L2026" t="s">
        <v>3375</v>
      </c>
      <c r="M2026" t="s">
        <v>3364</v>
      </c>
      <c r="N2026" t="s">
        <v>3365</v>
      </c>
      <c r="O2026" t="s">
        <v>3366</v>
      </c>
      <c r="P2026" t="s">
        <v>3382</v>
      </c>
    </row>
    <row r="2027" spans="1:16" x14ac:dyDescent="0.3">
      <c r="A2027" t="s">
        <v>798</v>
      </c>
      <c r="B2027" t="s">
        <v>1371</v>
      </c>
      <c r="E2027">
        <v>4</v>
      </c>
      <c r="F2027" t="s">
        <v>3361</v>
      </c>
      <c r="G2027" t="s">
        <v>2746</v>
      </c>
      <c r="H2027" t="s">
        <v>1372</v>
      </c>
      <c r="I2027" t="s">
        <v>1630</v>
      </c>
      <c r="J2027" t="s">
        <v>3369</v>
      </c>
      <c r="K2027" t="s">
        <v>605</v>
      </c>
      <c r="L2027" t="s">
        <v>3375</v>
      </c>
      <c r="M2027" t="s">
        <v>3364</v>
      </c>
      <c r="N2027" t="s">
        <v>3365</v>
      </c>
      <c r="O2027" t="s">
        <v>3366</v>
      </c>
      <c r="P2027" t="s">
        <v>3382</v>
      </c>
    </row>
    <row r="2028" spans="1:16" x14ac:dyDescent="0.3">
      <c r="A2028" t="s">
        <v>1378</v>
      </c>
      <c r="B2028" t="s">
        <v>1371</v>
      </c>
      <c r="E2028">
        <v>4</v>
      </c>
      <c r="F2028" t="s">
        <v>3361</v>
      </c>
      <c r="G2028" t="s">
        <v>2746</v>
      </c>
      <c r="H2028" t="s">
        <v>1372</v>
      </c>
      <c r="I2028" t="s">
        <v>1630</v>
      </c>
      <c r="J2028" t="s">
        <v>3369</v>
      </c>
      <c r="K2028" t="s">
        <v>605</v>
      </c>
      <c r="L2028" t="s">
        <v>3375</v>
      </c>
      <c r="M2028" t="s">
        <v>3364</v>
      </c>
      <c r="N2028" t="s">
        <v>3365</v>
      </c>
      <c r="O2028" t="s">
        <v>3366</v>
      </c>
      <c r="P2028" t="s">
        <v>3382</v>
      </c>
    </row>
    <row r="2029" spans="1:16" x14ac:dyDescent="0.3">
      <c r="A2029" t="s">
        <v>1379</v>
      </c>
      <c r="B2029" t="s">
        <v>1371</v>
      </c>
      <c r="E2029">
        <v>4</v>
      </c>
      <c r="F2029" t="s">
        <v>3361</v>
      </c>
      <c r="G2029" t="s">
        <v>2746</v>
      </c>
      <c r="H2029" t="s">
        <v>1372</v>
      </c>
      <c r="I2029" t="s">
        <v>1630</v>
      </c>
      <c r="J2029" t="s">
        <v>3369</v>
      </c>
      <c r="K2029" t="s">
        <v>605</v>
      </c>
      <c r="L2029" t="s">
        <v>3375</v>
      </c>
      <c r="M2029" t="s">
        <v>3364</v>
      </c>
      <c r="N2029" t="s">
        <v>3365</v>
      </c>
      <c r="O2029" t="s">
        <v>3366</v>
      </c>
      <c r="P2029" t="s">
        <v>3382</v>
      </c>
    </row>
    <row r="2030" spans="1:16" x14ac:dyDescent="0.3">
      <c r="A2030" t="s">
        <v>1380</v>
      </c>
      <c r="B2030" t="s">
        <v>1371</v>
      </c>
      <c r="E2030">
        <v>4</v>
      </c>
      <c r="F2030" t="s">
        <v>3361</v>
      </c>
      <c r="G2030" t="s">
        <v>2746</v>
      </c>
      <c r="H2030" t="s">
        <v>1372</v>
      </c>
      <c r="I2030" t="s">
        <v>1630</v>
      </c>
      <c r="J2030" t="s">
        <v>3369</v>
      </c>
      <c r="K2030" t="s">
        <v>605</v>
      </c>
      <c r="L2030" t="s">
        <v>3375</v>
      </c>
      <c r="M2030" t="s">
        <v>3364</v>
      </c>
      <c r="N2030" t="s">
        <v>3365</v>
      </c>
      <c r="O2030" t="s">
        <v>3366</v>
      </c>
      <c r="P2030" t="s">
        <v>3382</v>
      </c>
    </row>
    <row r="2031" spans="1:16" x14ac:dyDescent="0.3">
      <c r="A2031" t="s">
        <v>1381</v>
      </c>
      <c r="B2031" t="s">
        <v>1371</v>
      </c>
      <c r="E2031">
        <v>4</v>
      </c>
      <c r="F2031" t="s">
        <v>3361</v>
      </c>
      <c r="G2031" t="s">
        <v>2746</v>
      </c>
      <c r="H2031" t="s">
        <v>1382</v>
      </c>
      <c r="I2031" t="s">
        <v>1630</v>
      </c>
      <c r="J2031" t="s">
        <v>3369</v>
      </c>
      <c r="K2031" t="s">
        <v>605</v>
      </c>
      <c r="L2031" t="s">
        <v>3375</v>
      </c>
      <c r="M2031" t="s">
        <v>3364</v>
      </c>
      <c r="N2031" t="s">
        <v>3365</v>
      </c>
      <c r="O2031" t="s">
        <v>3366</v>
      </c>
      <c r="P2031" t="s">
        <v>3382</v>
      </c>
    </row>
    <row r="2032" spans="1:16" x14ac:dyDescent="0.3">
      <c r="A2032" t="s">
        <v>1387</v>
      </c>
      <c r="B2032" t="s">
        <v>1371</v>
      </c>
      <c r="E2032">
        <v>4</v>
      </c>
      <c r="F2032" t="s">
        <v>3361</v>
      </c>
      <c r="G2032" t="s">
        <v>2746</v>
      </c>
      <c r="H2032" t="s">
        <v>1382</v>
      </c>
      <c r="I2032" t="s">
        <v>1630</v>
      </c>
      <c r="J2032" t="s">
        <v>3369</v>
      </c>
      <c r="K2032" t="s">
        <v>605</v>
      </c>
      <c r="L2032" t="s">
        <v>3375</v>
      </c>
      <c r="M2032" t="s">
        <v>3364</v>
      </c>
      <c r="N2032" t="s">
        <v>3365</v>
      </c>
      <c r="O2032" t="s">
        <v>3366</v>
      </c>
      <c r="P2032" t="s">
        <v>3382</v>
      </c>
    </row>
    <row r="2033" spans="1:16" x14ac:dyDescent="0.3">
      <c r="A2033" t="s">
        <v>1388</v>
      </c>
      <c r="B2033" t="s">
        <v>1371</v>
      </c>
      <c r="E2033">
        <v>4</v>
      </c>
      <c r="F2033" t="s">
        <v>3361</v>
      </c>
      <c r="G2033" t="s">
        <v>2746</v>
      </c>
      <c r="H2033" t="s">
        <v>1382</v>
      </c>
      <c r="I2033" t="s">
        <v>1630</v>
      </c>
      <c r="J2033" t="s">
        <v>3369</v>
      </c>
      <c r="K2033" t="s">
        <v>605</v>
      </c>
      <c r="L2033" t="s">
        <v>3375</v>
      </c>
      <c r="M2033" t="s">
        <v>3364</v>
      </c>
      <c r="N2033" t="s">
        <v>3365</v>
      </c>
      <c r="O2033" t="s">
        <v>3366</v>
      </c>
      <c r="P2033" t="s">
        <v>3382</v>
      </c>
    </row>
    <row r="2034" spans="1:16" x14ac:dyDescent="0.3">
      <c r="A2034" t="s">
        <v>1389</v>
      </c>
      <c r="B2034" t="s">
        <v>1371</v>
      </c>
      <c r="E2034">
        <v>4</v>
      </c>
      <c r="F2034" t="s">
        <v>3361</v>
      </c>
      <c r="G2034" t="s">
        <v>2746</v>
      </c>
      <c r="H2034" t="s">
        <v>1382</v>
      </c>
      <c r="I2034" t="s">
        <v>1630</v>
      </c>
      <c r="J2034" t="s">
        <v>3369</v>
      </c>
      <c r="K2034" t="s">
        <v>605</v>
      </c>
      <c r="L2034" t="s">
        <v>3375</v>
      </c>
      <c r="M2034" t="s">
        <v>3364</v>
      </c>
      <c r="N2034" t="s">
        <v>3365</v>
      </c>
      <c r="O2034" t="s">
        <v>3366</v>
      </c>
      <c r="P2034" t="s">
        <v>3382</v>
      </c>
    </row>
    <row r="2035" spans="1:16" x14ac:dyDescent="0.3">
      <c r="A2035" t="s">
        <v>1390</v>
      </c>
      <c r="B2035" t="s">
        <v>1371</v>
      </c>
      <c r="E2035">
        <v>4</v>
      </c>
      <c r="F2035" t="s">
        <v>3361</v>
      </c>
      <c r="G2035" t="s">
        <v>2746</v>
      </c>
      <c r="H2035" t="s">
        <v>1382</v>
      </c>
      <c r="I2035" t="s">
        <v>1630</v>
      </c>
      <c r="J2035" t="s">
        <v>3369</v>
      </c>
      <c r="K2035" t="s">
        <v>605</v>
      </c>
      <c r="L2035" t="s">
        <v>3375</v>
      </c>
      <c r="M2035" t="s">
        <v>3364</v>
      </c>
      <c r="N2035" t="s">
        <v>3365</v>
      </c>
      <c r="O2035" t="s">
        <v>3366</v>
      </c>
      <c r="P2035" t="s">
        <v>3382</v>
      </c>
    </row>
    <row r="2036" spans="1:16" x14ac:dyDescent="0.3">
      <c r="A2036" t="s">
        <v>1391</v>
      </c>
      <c r="B2036" t="s">
        <v>1371</v>
      </c>
      <c r="E2036">
        <v>4</v>
      </c>
      <c r="F2036" t="s">
        <v>3361</v>
      </c>
      <c r="G2036" t="s">
        <v>2746</v>
      </c>
      <c r="H2036" t="s">
        <v>1382</v>
      </c>
      <c r="I2036" t="s">
        <v>1630</v>
      </c>
      <c r="J2036" t="s">
        <v>3369</v>
      </c>
      <c r="K2036" t="s">
        <v>605</v>
      </c>
      <c r="L2036" t="s">
        <v>3375</v>
      </c>
      <c r="M2036" t="s">
        <v>3364</v>
      </c>
      <c r="N2036" t="s">
        <v>3365</v>
      </c>
      <c r="O2036" t="s">
        <v>3366</v>
      </c>
      <c r="P2036" t="s">
        <v>3382</v>
      </c>
    </row>
    <row r="2037" spans="1:16" x14ac:dyDescent="0.3">
      <c r="A2037" t="s">
        <v>1194</v>
      </c>
      <c r="B2037" t="s">
        <v>1371</v>
      </c>
      <c r="E2037">
        <v>3</v>
      </c>
      <c r="F2037" t="s">
        <v>3361</v>
      </c>
      <c r="G2037" t="s">
        <v>2746</v>
      </c>
      <c r="H2037" t="s">
        <v>1392</v>
      </c>
      <c r="I2037" t="s">
        <v>1630</v>
      </c>
      <c r="J2037" t="s">
        <v>3369</v>
      </c>
      <c r="K2037" t="s">
        <v>605</v>
      </c>
      <c r="L2037" t="s">
        <v>3375</v>
      </c>
      <c r="M2037" t="s">
        <v>3364</v>
      </c>
      <c r="N2037" t="s">
        <v>3365</v>
      </c>
      <c r="O2037" t="s">
        <v>3366</v>
      </c>
      <c r="P2037" t="s">
        <v>3382</v>
      </c>
    </row>
    <row r="2038" spans="1:16" x14ac:dyDescent="0.3">
      <c r="A2038" t="s">
        <v>1396</v>
      </c>
      <c r="B2038" t="s">
        <v>1371</v>
      </c>
      <c r="E2038">
        <v>3</v>
      </c>
      <c r="F2038" t="s">
        <v>3361</v>
      </c>
      <c r="G2038" t="s">
        <v>2746</v>
      </c>
      <c r="H2038" t="s">
        <v>1392</v>
      </c>
      <c r="I2038" t="s">
        <v>1630</v>
      </c>
      <c r="J2038" t="s">
        <v>3369</v>
      </c>
      <c r="K2038" t="s">
        <v>605</v>
      </c>
      <c r="L2038" t="s">
        <v>3375</v>
      </c>
      <c r="M2038" t="s">
        <v>3364</v>
      </c>
      <c r="N2038" t="s">
        <v>3365</v>
      </c>
      <c r="O2038" t="s">
        <v>3366</v>
      </c>
      <c r="P2038" t="s">
        <v>3382</v>
      </c>
    </row>
    <row r="2039" spans="1:16" x14ac:dyDescent="0.3">
      <c r="A2039" t="s">
        <v>1281</v>
      </c>
      <c r="B2039" t="s">
        <v>1371</v>
      </c>
      <c r="E2039">
        <v>3</v>
      </c>
      <c r="F2039" t="s">
        <v>3361</v>
      </c>
      <c r="G2039" t="s">
        <v>2746</v>
      </c>
      <c r="H2039" t="s">
        <v>1392</v>
      </c>
      <c r="I2039" t="s">
        <v>1630</v>
      </c>
      <c r="J2039" t="s">
        <v>3369</v>
      </c>
      <c r="K2039" t="s">
        <v>605</v>
      </c>
      <c r="L2039" t="s">
        <v>3375</v>
      </c>
      <c r="M2039" t="s">
        <v>3364</v>
      </c>
      <c r="N2039" t="s">
        <v>3365</v>
      </c>
      <c r="O2039" t="s">
        <v>3366</v>
      </c>
      <c r="P2039" t="s">
        <v>3382</v>
      </c>
    </row>
    <row r="2040" spans="1:16" x14ac:dyDescent="0.3">
      <c r="A2040" t="s">
        <v>1397</v>
      </c>
      <c r="B2040" t="s">
        <v>1371</v>
      </c>
      <c r="E2040">
        <v>3</v>
      </c>
      <c r="F2040" t="s">
        <v>3361</v>
      </c>
      <c r="G2040" t="s">
        <v>2746</v>
      </c>
      <c r="H2040" t="s">
        <v>1392</v>
      </c>
      <c r="I2040" t="s">
        <v>1630</v>
      </c>
      <c r="J2040" t="s">
        <v>3369</v>
      </c>
      <c r="K2040" t="s">
        <v>605</v>
      </c>
      <c r="L2040" t="s">
        <v>3375</v>
      </c>
      <c r="M2040" t="s">
        <v>3364</v>
      </c>
      <c r="N2040" t="s">
        <v>3365</v>
      </c>
      <c r="O2040" t="s">
        <v>3366</v>
      </c>
      <c r="P2040" t="s">
        <v>3382</v>
      </c>
    </row>
    <row r="2041" spans="1:16" x14ac:dyDescent="0.3">
      <c r="A2041" t="s">
        <v>1398</v>
      </c>
      <c r="B2041" t="s">
        <v>1371</v>
      </c>
      <c r="E2041">
        <v>3</v>
      </c>
      <c r="F2041" t="s">
        <v>3361</v>
      </c>
      <c r="G2041" t="s">
        <v>2746</v>
      </c>
      <c r="H2041" t="s">
        <v>1392</v>
      </c>
      <c r="I2041" t="s">
        <v>1630</v>
      </c>
      <c r="J2041" t="s">
        <v>3369</v>
      </c>
      <c r="K2041" t="s">
        <v>605</v>
      </c>
      <c r="L2041" t="s">
        <v>3375</v>
      </c>
      <c r="M2041" t="s">
        <v>3364</v>
      </c>
      <c r="N2041" t="s">
        <v>3365</v>
      </c>
      <c r="O2041" t="s">
        <v>3366</v>
      </c>
      <c r="P2041" t="s">
        <v>3382</v>
      </c>
    </row>
    <row r="2042" spans="1:16" x14ac:dyDescent="0.3">
      <c r="A2042" t="s">
        <v>1198</v>
      </c>
      <c r="B2042" t="s">
        <v>1371</v>
      </c>
      <c r="E2042">
        <v>2</v>
      </c>
      <c r="F2042" t="s">
        <v>3361</v>
      </c>
      <c r="G2042" t="s">
        <v>2746</v>
      </c>
      <c r="H2042" t="s">
        <v>1399</v>
      </c>
      <c r="I2042" t="s">
        <v>1630</v>
      </c>
      <c r="J2042" t="s">
        <v>3369</v>
      </c>
      <c r="K2042" t="s">
        <v>605</v>
      </c>
      <c r="L2042" t="s">
        <v>3375</v>
      </c>
      <c r="M2042" t="s">
        <v>3364</v>
      </c>
      <c r="N2042" t="s">
        <v>3365</v>
      </c>
      <c r="O2042" t="s">
        <v>3366</v>
      </c>
      <c r="P2042" t="s">
        <v>3382</v>
      </c>
    </row>
    <row r="2043" spans="1:16" x14ac:dyDescent="0.3">
      <c r="A2043" t="s">
        <v>1404</v>
      </c>
      <c r="B2043" t="s">
        <v>1371</v>
      </c>
      <c r="E2043">
        <v>2</v>
      </c>
      <c r="F2043" t="s">
        <v>3361</v>
      </c>
      <c r="G2043" t="s">
        <v>2746</v>
      </c>
      <c r="H2043" t="s">
        <v>1399</v>
      </c>
      <c r="I2043" t="s">
        <v>1630</v>
      </c>
      <c r="J2043" t="s">
        <v>3369</v>
      </c>
      <c r="K2043" t="s">
        <v>605</v>
      </c>
      <c r="L2043" t="s">
        <v>3375</v>
      </c>
      <c r="M2043" t="s">
        <v>3364</v>
      </c>
      <c r="N2043" t="s">
        <v>3365</v>
      </c>
      <c r="O2043" t="s">
        <v>3366</v>
      </c>
      <c r="P2043" t="s">
        <v>3382</v>
      </c>
    </row>
    <row r="2044" spans="1:16" x14ac:dyDescent="0.3">
      <c r="A2044" t="s">
        <v>1405</v>
      </c>
      <c r="B2044" t="s">
        <v>1371</v>
      </c>
      <c r="E2044">
        <v>2</v>
      </c>
      <c r="F2044" t="s">
        <v>3361</v>
      </c>
      <c r="G2044" t="s">
        <v>2746</v>
      </c>
      <c r="H2044" t="s">
        <v>1399</v>
      </c>
      <c r="I2044" t="s">
        <v>1630</v>
      </c>
      <c r="J2044" t="s">
        <v>3369</v>
      </c>
      <c r="K2044" t="s">
        <v>605</v>
      </c>
      <c r="L2044" t="s">
        <v>3375</v>
      </c>
      <c r="M2044" t="s">
        <v>3364</v>
      </c>
      <c r="N2044" t="s">
        <v>3365</v>
      </c>
      <c r="O2044" t="s">
        <v>3366</v>
      </c>
      <c r="P2044" t="s">
        <v>3382</v>
      </c>
    </row>
    <row r="2045" spans="1:16" x14ac:dyDescent="0.3">
      <c r="A2045" t="s">
        <v>1406</v>
      </c>
      <c r="B2045" t="s">
        <v>1371</v>
      </c>
      <c r="E2045">
        <v>2</v>
      </c>
      <c r="F2045" t="s">
        <v>3361</v>
      </c>
      <c r="G2045" t="s">
        <v>2746</v>
      </c>
      <c r="H2045" t="s">
        <v>1399</v>
      </c>
      <c r="I2045" t="s">
        <v>1630</v>
      </c>
      <c r="J2045" t="s">
        <v>3369</v>
      </c>
      <c r="K2045" t="s">
        <v>605</v>
      </c>
      <c r="L2045" t="s">
        <v>3375</v>
      </c>
      <c r="M2045" t="s">
        <v>3364</v>
      </c>
      <c r="N2045" t="s">
        <v>3365</v>
      </c>
      <c r="O2045" t="s">
        <v>3366</v>
      </c>
      <c r="P2045" t="s">
        <v>3382</v>
      </c>
    </row>
    <row r="2046" spans="1:16" x14ac:dyDescent="0.3">
      <c r="A2046" t="s">
        <v>1407</v>
      </c>
      <c r="B2046" t="s">
        <v>1371</v>
      </c>
      <c r="E2046">
        <v>2</v>
      </c>
      <c r="F2046" t="s">
        <v>3361</v>
      </c>
      <c r="G2046" t="s">
        <v>2746</v>
      </c>
      <c r="H2046" t="s">
        <v>1399</v>
      </c>
      <c r="I2046" t="s">
        <v>1630</v>
      </c>
      <c r="J2046" t="s">
        <v>3369</v>
      </c>
      <c r="K2046" t="s">
        <v>605</v>
      </c>
      <c r="L2046" t="s">
        <v>3375</v>
      </c>
      <c r="M2046" t="s">
        <v>3364</v>
      </c>
      <c r="N2046" t="s">
        <v>3365</v>
      </c>
      <c r="O2046" t="s">
        <v>3366</v>
      </c>
      <c r="P2046" t="s">
        <v>3382</v>
      </c>
    </row>
    <row r="2047" spans="1:16" x14ac:dyDescent="0.3">
      <c r="A2047" t="s">
        <v>1408</v>
      </c>
      <c r="B2047" t="s">
        <v>1371</v>
      </c>
      <c r="E2047">
        <v>1</v>
      </c>
      <c r="F2047" t="s">
        <v>3361</v>
      </c>
      <c r="G2047" t="s">
        <v>2746</v>
      </c>
      <c r="H2047" t="s">
        <v>1249</v>
      </c>
      <c r="I2047" t="s">
        <v>1630</v>
      </c>
      <c r="J2047" t="s">
        <v>3369</v>
      </c>
      <c r="K2047" t="s">
        <v>605</v>
      </c>
      <c r="L2047" t="s">
        <v>3375</v>
      </c>
      <c r="M2047" t="s">
        <v>3364</v>
      </c>
      <c r="N2047" t="s">
        <v>3365</v>
      </c>
      <c r="O2047" t="s">
        <v>3366</v>
      </c>
      <c r="P2047" t="s">
        <v>3382</v>
      </c>
    </row>
    <row r="2048" spans="1:16" x14ac:dyDescent="0.3">
      <c r="A2048" t="s">
        <v>1413</v>
      </c>
      <c r="B2048" t="s">
        <v>1371</v>
      </c>
      <c r="E2048">
        <v>1</v>
      </c>
      <c r="F2048" t="s">
        <v>3361</v>
      </c>
      <c r="G2048" t="s">
        <v>2746</v>
      </c>
      <c r="H2048" t="s">
        <v>1249</v>
      </c>
      <c r="I2048" t="s">
        <v>1630</v>
      </c>
      <c r="J2048" t="s">
        <v>3369</v>
      </c>
      <c r="K2048" t="s">
        <v>605</v>
      </c>
      <c r="L2048" t="s">
        <v>3375</v>
      </c>
      <c r="M2048" t="s">
        <v>3364</v>
      </c>
      <c r="N2048" t="s">
        <v>3365</v>
      </c>
      <c r="O2048" t="s">
        <v>3366</v>
      </c>
      <c r="P2048" t="s">
        <v>3382</v>
      </c>
    </row>
    <row r="2049" spans="1:16" x14ac:dyDescent="0.3">
      <c r="A2049" t="s">
        <v>1414</v>
      </c>
      <c r="B2049" t="s">
        <v>1371</v>
      </c>
      <c r="E2049">
        <v>1</v>
      </c>
      <c r="F2049" t="s">
        <v>3361</v>
      </c>
      <c r="G2049" t="s">
        <v>2746</v>
      </c>
      <c r="H2049" t="s">
        <v>1249</v>
      </c>
      <c r="I2049" t="s">
        <v>1630</v>
      </c>
      <c r="J2049" t="s">
        <v>3369</v>
      </c>
      <c r="K2049" t="s">
        <v>605</v>
      </c>
      <c r="L2049" t="s">
        <v>3375</v>
      </c>
      <c r="M2049" t="s">
        <v>3364</v>
      </c>
      <c r="N2049" t="s">
        <v>3365</v>
      </c>
      <c r="O2049" t="s">
        <v>3366</v>
      </c>
      <c r="P2049" t="s">
        <v>3382</v>
      </c>
    </row>
    <row r="2050" spans="1:16" x14ac:dyDescent="0.3">
      <c r="A2050" t="s">
        <v>1415</v>
      </c>
      <c r="B2050" t="s">
        <v>1371</v>
      </c>
      <c r="E2050">
        <v>1</v>
      </c>
      <c r="F2050" t="s">
        <v>3361</v>
      </c>
      <c r="G2050" t="s">
        <v>2746</v>
      </c>
      <c r="H2050" t="s">
        <v>1249</v>
      </c>
      <c r="I2050" t="s">
        <v>1630</v>
      </c>
      <c r="J2050" t="s">
        <v>3369</v>
      </c>
      <c r="K2050" t="s">
        <v>605</v>
      </c>
      <c r="L2050" t="s">
        <v>3375</v>
      </c>
      <c r="M2050" t="s">
        <v>3364</v>
      </c>
      <c r="N2050" t="s">
        <v>3365</v>
      </c>
      <c r="O2050" t="s">
        <v>3366</v>
      </c>
      <c r="P2050" t="s">
        <v>3382</v>
      </c>
    </row>
    <row r="2051" spans="1:16" x14ac:dyDescent="0.3">
      <c r="A2051" t="s">
        <v>1261</v>
      </c>
      <c r="B2051" t="s">
        <v>1371</v>
      </c>
      <c r="E2051">
        <v>1</v>
      </c>
      <c r="F2051" t="s">
        <v>3361</v>
      </c>
      <c r="G2051" t="s">
        <v>2746</v>
      </c>
      <c r="H2051" t="s">
        <v>1249</v>
      </c>
      <c r="I2051" t="s">
        <v>1630</v>
      </c>
      <c r="J2051" t="s">
        <v>3369</v>
      </c>
      <c r="K2051" t="s">
        <v>605</v>
      </c>
      <c r="L2051" t="s">
        <v>3375</v>
      </c>
      <c r="M2051" t="s">
        <v>3364</v>
      </c>
      <c r="N2051" t="s">
        <v>3365</v>
      </c>
      <c r="O2051" t="s">
        <v>3366</v>
      </c>
      <c r="P2051" t="s">
        <v>3382</v>
      </c>
    </row>
    <row r="2052" spans="1:16" x14ac:dyDescent="0.3">
      <c r="A2052" t="s">
        <v>828</v>
      </c>
      <c r="B2052" t="s">
        <v>1371</v>
      </c>
      <c r="E2052">
        <v>3</v>
      </c>
      <c r="F2052" t="s">
        <v>3361</v>
      </c>
      <c r="G2052" t="s">
        <v>2746</v>
      </c>
      <c r="H2052" t="s">
        <v>1416</v>
      </c>
      <c r="I2052" t="s">
        <v>1630</v>
      </c>
      <c r="J2052" t="s">
        <v>3369</v>
      </c>
      <c r="K2052" t="s">
        <v>605</v>
      </c>
      <c r="L2052" t="s">
        <v>3375</v>
      </c>
      <c r="M2052" t="s">
        <v>3364</v>
      </c>
      <c r="N2052" t="s">
        <v>3365</v>
      </c>
      <c r="O2052" t="s">
        <v>3366</v>
      </c>
      <c r="P2052" t="s">
        <v>3382</v>
      </c>
    </row>
    <row r="2053" spans="1:16" x14ac:dyDescent="0.3">
      <c r="A2053" t="s">
        <v>800</v>
      </c>
      <c r="B2053" t="s">
        <v>1371</v>
      </c>
      <c r="E2053">
        <v>3</v>
      </c>
      <c r="F2053" t="s">
        <v>3361</v>
      </c>
      <c r="G2053" t="s">
        <v>2746</v>
      </c>
      <c r="H2053" t="s">
        <v>1416</v>
      </c>
      <c r="I2053" t="s">
        <v>1630</v>
      </c>
      <c r="J2053" t="s">
        <v>3369</v>
      </c>
      <c r="K2053" t="s">
        <v>605</v>
      </c>
      <c r="L2053" t="s">
        <v>3375</v>
      </c>
      <c r="M2053" t="s">
        <v>3364</v>
      </c>
      <c r="N2053" t="s">
        <v>3365</v>
      </c>
      <c r="O2053" t="s">
        <v>3366</v>
      </c>
      <c r="P2053" t="s">
        <v>3382</v>
      </c>
    </row>
    <row r="2054" spans="1:16" x14ac:dyDescent="0.3">
      <c r="A2054" t="s">
        <v>1421</v>
      </c>
      <c r="B2054" t="s">
        <v>1371</v>
      </c>
      <c r="E2054">
        <v>3</v>
      </c>
      <c r="F2054" t="s">
        <v>3361</v>
      </c>
      <c r="G2054" t="s">
        <v>2746</v>
      </c>
      <c r="H2054" t="s">
        <v>1416</v>
      </c>
      <c r="I2054" t="s">
        <v>1630</v>
      </c>
      <c r="J2054" t="s">
        <v>3369</v>
      </c>
      <c r="K2054" t="s">
        <v>605</v>
      </c>
      <c r="L2054" t="s">
        <v>3375</v>
      </c>
      <c r="M2054" t="s">
        <v>3364</v>
      </c>
      <c r="N2054" t="s">
        <v>3365</v>
      </c>
      <c r="O2054" t="s">
        <v>3366</v>
      </c>
      <c r="P2054" t="s">
        <v>3382</v>
      </c>
    </row>
    <row r="2055" spans="1:16" x14ac:dyDescent="0.3">
      <c r="A2055" t="s">
        <v>1422</v>
      </c>
      <c r="B2055" t="s">
        <v>1371</v>
      </c>
      <c r="E2055">
        <v>3</v>
      </c>
      <c r="F2055" t="s">
        <v>3361</v>
      </c>
      <c r="G2055" t="s">
        <v>2746</v>
      </c>
      <c r="H2055" t="s">
        <v>1416</v>
      </c>
      <c r="I2055" t="s">
        <v>1630</v>
      </c>
      <c r="J2055" t="s">
        <v>3369</v>
      </c>
      <c r="K2055" t="s">
        <v>605</v>
      </c>
      <c r="L2055" t="s">
        <v>3375</v>
      </c>
      <c r="M2055" t="s">
        <v>3364</v>
      </c>
      <c r="N2055" t="s">
        <v>3365</v>
      </c>
      <c r="O2055" t="s">
        <v>3366</v>
      </c>
      <c r="P2055" t="s">
        <v>3382</v>
      </c>
    </row>
    <row r="2056" spans="1:16" x14ac:dyDescent="0.3">
      <c r="A2056" t="s">
        <v>1423</v>
      </c>
      <c r="B2056" t="s">
        <v>1371</v>
      </c>
      <c r="E2056">
        <v>3</v>
      </c>
      <c r="F2056" t="s">
        <v>3361</v>
      </c>
      <c r="G2056" t="s">
        <v>2746</v>
      </c>
      <c r="H2056" t="s">
        <v>1416</v>
      </c>
      <c r="I2056" t="s">
        <v>1630</v>
      </c>
      <c r="J2056" t="s">
        <v>3369</v>
      </c>
      <c r="K2056" t="s">
        <v>605</v>
      </c>
      <c r="L2056" t="s">
        <v>3375</v>
      </c>
      <c r="M2056" t="s">
        <v>3364</v>
      </c>
      <c r="N2056" t="s">
        <v>3365</v>
      </c>
      <c r="O2056" t="s">
        <v>3366</v>
      </c>
      <c r="P2056" t="s">
        <v>3382</v>
      </c>
    </row>
    <row r="2057" spans="1:16" x14ac:dyDescent="0.3">
      <c r="A2057" t="s">
        <v>1424</v>
      </c>
      <c r="B2057" t="s">
        <v>1371</v>
      </c>
      <c r="E2057">
        <v>5</v>
      </c>
      <c r="F2057" t="s">
        <v>3361</v>
      </c>
      <c r="G2057" t="s">
        <v>2746</v>
      </c>
      <c r="H2057" t="s">
        <v>1425</v>
      </c>
      <c r="I2057" t="s">
        <v>1630</v>
      </c>
      <c r="J2057" t="s">
        <v>3369</v>
      </c>
      <c r="K2057" t="s">
        <v>605</v>
      </c>
      <c r="L2057" t="s">
        <v>3375</v>
      </c>
      <c r="M2057" t="s">
        <v>3364</v>
      </c>
      <c r="N2057" t="s">
        <v>3365</v>
      </c>
      <c r="O2057" t="s">
        <v>3366</v>
      </c>
      <c r="P2057" t="s">
        <v>3382</v>
      </c>
    </row>
    <row r="2058" spans="1:16" x14ac:dyDescent="0.3">
      <c r="A2058" t="s">
        <v>1207</v>
      </c>
      <c r="B2058" t="s">
        <v>1371</v>
      </c>
      <c r="E2058">
        <v>5</v>
      </c>
      <c r="F2058" t="s">
        <v>3361</v>
      </c>
      <c r="G2058" t="s">
        <v>2746</v>
      </c>
      <c r="H2058" t="s">
        <v>1425</v>
      </c>
      <c r="I2058" t="s">
        <v>1630</v>
      </c>
      <c r="J2058" t="s">
        <v>3369</v>
      </c>
      <c r="K2058" t="s">
        <v>605</v>
      </c>
      <c r="L2058" t="s">
        <v>3375</v>
      </c>
      <c r="M2058" t="s">
        <v>3364</v>
      </c>
      <c r="N2058" t="s">
        <v>3365</v>
      </c>
      <c r="O2058" t="s">
        <v>3366</v>
      </c>
      <c r="P2058" t="s">
        <v>3382</v>
      </c>
    </row>
    <row r="2059" spans="1:16" x14ac:dyDescent="0.3">
      <c r="A2059" t="s">
        <v>1208</v>
      </c>
      <c r="B2059" t="s">
        <v>1371</v>
      </c>
      <c r="E2059">
        <v>5</v>
      </c>
      <c r="F2059" t="s">
        <v>3361</v>
      </c>
      <c r="G2059" t="s">
        <v>2746</v>
      </c>
      <c r="H2059" t="s">
        <v>1425</v>
      </c>
      <c r="I2059" t="s">
        <v>1630</v>
      </c>
      <c r="J2059" t="s">
        <v>3369</v>
      </c>
      <c r="K2059" t="s">
        <v>605</v>
      </c>
      <c r="L2059" t="s">
        <v>3375</v>
      </c>
      <c r="M2059" t="s">
        <v>3364</v>
      </c>
      <c r="N2059" t="s">
        <v>3365</v>
      </c>
      <c r="O2059" t="s">
        <v>3366</v>
      </c>
      <c r="P2059" t="s">
        <v>3382</v>
      </c>
    </row>
    <row r="2060" spans="1:16" x14ac:dyDescent="0.3">
      <c r="A2060" t="s">
        <v>1430</v>
      </c>
      <c r="B2060" t="s">
        <v>1371</v>
      </c>
      <c r="E2060">
        <v>5</v>
      </c>
      <c r="F2060" t="s">
        <v>3361</v>
      </c>
      <c r="G2060" t="s">
        <v>2746</v>
      </c>
      <c r="H2060" t="s">
        <v>1425</v>
      </c>
      <c r="I2060" t="s">
        <v>1630</v>
      </c>
      <c r="J2060" t="s">
        <v>3369</v>
      </c>
      <c r="K2060" t="s">
        <v>605</v>
      </c>
      <c r="L2060" t="s">
        <v>3375</v>
      </c>
      <c r="M2060" t="s">
        <v>3364</v>
      </c>
      <c r="N2060" t="s">
        <v>3365</v>
      </c>
      <c r="O2060" t="s">
        <v>3366</v>
      </c>
      <c r="P2060" t="s">
        <v>3382</v>
      </c>
    </row>
    <row r="2061" spans="1:16" x14ac:dyDescent="0.3">
      <c r="A2061" t="s">
        <v>1431</v>
      </c>
      <c r="B2061" t="s">
        <v>1371</v>
      </c>
      <c r="E2061">
        <v>5</v>
      </c>
      <c r="F2061" t="s">
        <v>3361</v>
      </c>
      <c r="G2061" t="s">
        <v>2746</v>
      </c>
      <c r="H2061" t="s">
        <v>1425</v>
      </c>
      <c r="I2061" t="s">
        <v>1630</v>
      </c>
      <c r="J2061" t="s">
        <v>3369</v>
      </c>
      <c r="K2061" t="s">
        <v>605</v>
      </c>
      <c r="L2061" t="s">
        <v>3375</v>
      </c>
      <c r="M2061" t="s">
        <v>3364</v>
      </c>
      <c r="N2061" t="s">
        <v>3365</v>
      </c>
      <c r="O2061" t="s">
        <v>3366</v>
      </c>
      <c r="P2061" t="s">
        <v>3382</v>
      </c>
    </row>
    <row r="2062" spans="1:16" x14ac:dyDescent="0.3">
      <c r="A2062" t="s">
        <v>816</v>
      </c>
      <c r="B2062" t="s">
        <v>1432</v>
      </c>
      <c r="E2062">
        <v>4</v>
      </c>
      <c r="F2062" t="s">
        <v>3361</v>
      </c>
      <c r="G2062" t="s">
        <v>2746</v>
      </c>
      <c r="H2062" t="s">
        <v>1433</v>
      </c>
      <c r="I2062" t="s">
        <v>1630</v>
      </c>
      <c r="J2062" t="s">
        <v>3369</v>
      </c>
      <c r="K2062" t="s">
        <v>605</v>
      </c>
      <c r="L2062" t="s">
        <v>3375</v>
      </c>
      <c r="M2062" t="s">
        <v>3364</v>
      </c>
      <c r="N2062" t="s">
        <v>3365</v>
      </c>
      <c r="O2062" t="s">
        <v>3366</v>
      </c>
      <c r="P2062" t="s">
        <v>3382</v>
      </c>
    </row>
    <row r="2063" spans="1:16" x14ac:dyDescent="0.3">
      <c r="A2063" t="s">
        <v>1438</v>
      </c>
      <c r="B2063" t="s">
        <v>1432</v>
      </c>
      <c r="E2063">
        <v>4</v>
      </c>
      <c r="F2063" t="s">
        <v>3361</v>
      </c>
      <c r="G2063" t="s">
        <v>2746</v>
      </c>
      <c r="H2063" t="s">
        <v>1433</v>
      </c>
      <c r="I2063" t="s">
        <v>1630</v>
      </c>
      <c r="J2063" t="s">
        <v>3369</v>
      </c>
      <c r="K2063" t="s">
        <v>605</v>
      </c>
      <c r="L2063" t="s">
        <v>3375</v>
      </c>
      <c r="M2063" t="s">
        <v>3364</v>
      </c>
      <c r="N2063" t="s">
        <v>3365</v>
      </c>
      <c r="O2063" t="s">
        <v>3366</v>
      </c>
      <c r="P2063" t="s">
        <v>3382</v>
      </c>
    </row>
    <row r="2064" spans="1:16" x14ac:dyDescent="0.3">
      <c r="A2064" t="s">
        <v>1439</v>
      </c>
      <c r="B2064" t="s">
        <v>1432</v>
      </c>
      <c r="E2064">
        <v>4</v>
      </c>
      <c r="F2064" t="s">
        <v>3361</v>
      </c>
      <c r="G2064" t="s">
        <v>2746</v>
      </c>
      <c r="H2064" t="s">
        <v>1433</v>
      </c>
      <c r="I2064" t="s">
        <v>1630</v>
      </c>
      <c r="J2064" t="s">
        <v>3369</v>
      </c>
      <c r="K2064" t="s">
        <v>605</v>
      </c>
      <c r="L2064" t="s">
        <v>3375</v>
      </c>
      <c r="M2064" t="s">
        <v>3364</v>
      </c>
      <c r="N2064" t="s">
        <v>3365</v>
      </c>
      <c r="O2064" t="s">
        <v>3366</v>
      </c>
      <c r="P2064" t="s">
        <v>3382</v>
      </c>
    </row>
    <row r="2065" spans="1:16" x14ac:dyDescent="0.3">
      <c r="A2065" t="s">
        <v>1440</v>
      </c>
      <c r="B2065" t="s">
        <v>1432</v>
      </c>
      <c r="E2065">
        <v>4</v>
      </c>
      <c r="F2065" t="s">
        <v>3361</v>
      </c>
      <c r="G2065" t="s">
        <v>2746</v>
      </c>
      <c r="H2065" t="s">
        <v>1433</v>
      </c>
      <c r="I2065" t="s">
        <v>1630</v>
      </c>
      <c r="J2065" t="s">
        <v>3369</v>
      </c>
      <c r="K2065" t="s">
        <v>605</v>
      </c>
      <c r="L2065" t="s">
        <v>3375</v>
      </c>
      <c r="M2065" t="s">
        <v>3364</v>
      </c>
      <c r="N2065" t="s">
        <v>3365</v>
      </c>
      <c r="O2065" t="s">
        <v>3366</v>
      </c>
      <c r="P2065" t="s">
        <v>3382</v>
      </c>
    </row>
    <row r="2066" spans="1:16" x14ac:dyDescent="0.3">
      <c r="A2066" t="s">
        <v>1441</v>
      </c>
      <c r="B2066" t="s">
        <v>1432</v>
      </c>
      <c r="E2066">
        <v>4</v>
      </c>
      <c r="F2066" t="s">
        <v>3361</v>
      </c>
      <c r="G2066" t="s">
        <v>2746</v>
      </c>
      <c r="H2066" t="s">
        <v>1433</v>
      </c>
      <c r="I2066" t="s">
        <v>1630</v>
      </c>
      <c r="J2066" t="s">
        <v>3369</v>
      </c>
      <c r="K2066" t="s">
        <v>605</v>
      </c>
      <c r="L2066" t="s">
        <v>3375</v>
      </c>
      <c r="M2066" t="s">
        <v>3364</v>
      </c>
      <c r="N2066" t="s">
        <v>3365</v>
      </c>
      <c r="O2066" t="s">
        <v>3366</v>
      </c>
      <c r="P2066" t="s">
        <v>3382</v>
      </c>
    </row>
    <row r="2067" spans="1:16" x14ac:dyDescent="0.3">
      <c r="A2067" t="s">
        <v>1442</v>
      </c>
      <c r="B2067" t="s">
        <v>1432</v>
      </c>
      <c r="E2067">
        <v>4</v>
      </c>
      <c r="F2067" t="s">
        <v>3361</v>
      </c>
      <c r="G2067" t="s">
        <v>2746</v>
      </c>
      <c r="H2067" t="s">
        <v>1433</v>
      </c>
      <c r="I2067" t="s">
        <v>1630</v>
      </c>
      <c r="J2067" t="s">
        <v>3369</v>
      </c>
      <c r="K2067" t="s">
        <v>605</v>
      </c>
      <c r="L2067" t="s">
        <v>3375</v>
      </c>
      <c r="M2067" t="s">
        <v>3364</v>
      </c>
      <c r="N2067" t="s">
        <v>3365</v>
      </c>
      <c r="O2067" t="s">
        <v>3366</v>
      </c>
      <c r="P2067" t="s">
        <v>3382</v>
      </c>
    </row>
    <row r="2068" spans="1:16" x14ac:dyDescent="0.3">
      <c r="A2068" t="s">
        <v>1443</v>
      </c>
      <c r="B2068" t="s">
        <v>1432</v>
      </c>
      <c r="E2068">
        <v>4</v>
      </c>
      <c r="F2068" t="s">
        <v>3361</v>
      </c>
      <c r="G2068" t="s">
        <v>2746</v>
      </c>
      <c r="H2068" t="s">
        <v>1433</v>
      </c>
      <c r="I2068" t="s">
        <v>1630</v>
      </c>
      <c r="J2068" t="s">
        <v>3369</v>
      </c>
      <c r="K2068" t="s">
        <v>605</v>
      </c>
      <c r="L2068" t="s">
        <v>3375</v>
      </c>
      <c r="M2068" t="s">
        <v>3364</v>
      </c>
      <c r="N2068" t="s">
        <v>3365</v>
      </c>
      <c r="O2068" t="s">
        <v>3366</v>
      </c>
      <c r="P2068" t="s">
        <v>3382</v>
      </c>
    </row>
    <row r="2069" spans="1:16" x14ac:dyDescent="0.3">
      <c r="A2069" t="s">
        <v>1444</v>
      </c>
      <c r="B2069" t="s">
        <v>1432</v>
      </c>
      <c r="E2069">
        <v>4</v>
      </c>
      <c r="F2069" t="s">
        <v>3361</v>
      </c>
      <c r="G2069" t="s">
        <v>2746</v>
      </c>
      <c r="H2069" t="s">
        <v>1433</v>
      </c>
      <c r="I2069" t="s">
        <v>1630</v>
      </c>
      <c r="J2069" t="s">
        <v>3369</v>
      </c>
      <c r="K2069" t="s">
        <v>605</v>
      </c>
      <c r="L2069" t="s">
        <v>3375</v>
      </c>
      <c r="M2069" t="s">
        <v>3364</v>
      </c>
      <c r="N2069" t="s">
        <v>3365</v>
      </c>
      <c r="O2069" t="s">
        <v>3366</v>
      </c>
      <c r="P2069" t="s">
        <v>3382</v>
      </c>
    </row>
    <row r="2070" spans="1:16" x14ac:dyDescent="0.3">
      <c r="A2070" t="s">
        <v>1445</v>
      </c>
      <c r="B2070" t="s">
        <v>1432</v>
      </c>
      <c r="E2070">
        <v>4</v>
      </c>
      <c r="F2070" t="s">
        <v>3361</v>
      </c>
      <c r="G2070" t="s">
        <v>2746</v>
      </c>
      <c r="H2070" t="s">
        <v>1433</v>
      </c>
      <c r="I2070" t="s">
        <v>1630</v>
      </c>
      <c r="J2070" t="s">
        <v>3369</v>
      </c>
      <c r="K2070" t="s">
        <v>605</v>
      </c>
      <c r="L2070" t="s">
        <v>3375</v>
      </c>
      <c r="M2070" t="s">
        <v>3364</v>
      </c>
      <c r="N2070" t="s">
        <v>3365</v>
      </c>
      <c r="O2070" t="s">
        <v>3366</v>
      </c>
      <c r="P2070" t="s">
        <v>3382</v>
      </c>
    </row>
    <row r="2071" spans="1:16" x14ac:dyDescent="0.3">
      <c r="A2071" t="s">
        <v>1446</v>
      </c>
      <c r="B2071" t="s">
        <v>1432</v>
      </c>
      <c r="E2071">
        <v>4</v>
      </c>
      <c r="F2071" t="s">
        <v>3361</v>
      </c>
      <c r="G2071" t="s">
        <v>2746</v>
      </c>
      <c r="H2071" t="s">
        <v>1433</v>
      </c>
      <c r="I2071" t="s">
        <v>1630</v>
      </c>
      <c r="J2071" t="s">
        <v>3369</v>
      </c>
      <c r="K2071" t="s">
        <v>605</v>
      </c>
      <c r="L2071" t="s">
        <v>3375</v>
      </c>
      <c r="M2071" t="s">
        <v>3364</v>
      </c>
      <c r="N2071" t="s">
        <v>3365</v>
      </c>
      <c r="O2071" t="s">
        <v>3366</v>
      </c>
      <c r="P2071" t="s">
        <v>3382</v>
      </c>
    </row>
    <row r="2072" spans="1:16" x14ac:dyDescent="0.3">
      <c r="A2072" t="s">
        <v>1447</v>
      </c>
      <c r="B2072" t="s">
        <v>1432</v>
      </c>
      <c r="E2072">
        <v>4</v>
      </c>
      <c r="F2072" t="s">
        <v>3361</v>
      </c>
      <c r="G2072" t="s">
        <v>2746</v>
      </c>
      <c r="H2072" t="s">
        <v>1433</v>
      </c>
      <c r="I2072" t="s">
        <v>1630</v>
      </c>
      <c r="J2072" t="s">
        <v>3369</v>
      </c>
      <c r="K2072" t="s">
        <v>605</v>
      </c>
      <c r="L2072" t="s">
        <v>3375</v>
      </c>
      <c r="M2072" t="s">
        <v>3364</v>
      </c>
      <c r="N2072" t="s">
        <v>3365</v>
      </c>
      <c r="O2072" t="s">
        <v>3366</v>
      </c>
      <c r="P2072" t="s">
        <v>3382</v>
      </c>
    </row>
    <row r="2073" spans="1:16" x14ac:dyDescent="0.3">
      <c r="A2073" t="s">
        <v>1448</v>
      </c>
      <c r="B2073" t="s">
        <v>1432</v>
      </c>
      <c r="E2073">
        <v>4</v>
      </c>
      <c r="F2073" t="s">
        <v>3361</v>
      </c>
      <c r="G2073" t="s">
        <v>2746</v>
      </c>
      <c r="H2073" t="s">
        <v>1433</v>
      </c>
      <c r="I2073" t="s">
        <v>1630</v>
      </c>
      <c r="J2073" t="s">
        <v>3369</v>
      </c>
      <c r="K2073" t="s">
        <v>605</v>
      </c>
      <c r="L2073" t="s">
        <v>3375</v>
      </c>
      <c r="M2073" t="s">
        <v>3364</v>
      </c>
      <c r="N2073" t="s">
        <v>3365</v>
      </c>
      <c r="O2073" t="s">
        <v>3366</v>
      </c>
      <c r="P2073" t="s">
        <v>3382</v>
      </c>
    </row>
    <row r="2074" spans="1:16" x14ac:dyDescent="0.3">
      <c r="A2074" t="s">
        <v>1449</v>
      </c>
      <c r="B2074" t="s">
        <v>1432</v>
      </c>
      <c r="E2074">
        <v>4</v>
      </c>
      <c r="F2074" t="s">
        <v>3361</v>
      </c>
      <c r="G2074" t="s">
        <v>2746</v>
      </c>
      <c r="H2074" t="s">
        <v>1433</v>
      </c>
      <c r="I2074" t="s">
        <v>1630</v>
      </c>
      <c r="J2074" t="s">
        <v>3369</v>
      </c>
      <c r="K2074" t="s">
        <v>605</v>
      </c>
      <c r="L2074" t="s">
        <v>3375</v>
      </c>
      <c r="M2074" t="s">
        <v>3364</v>
      </c>
      <c r="N2074" t="s">
        <v>3365</v>
      </c>
      <c r="O2074" t="s">
        <v>3366</v>
      </c>
      <c r="P2074" t="s">
        <v>3382</v>
      </c>
    </row>
    <row r="2075" spans="1:16" x14ac:dyDescent="0.3">
      <c r="A2075" t="s">
        <v>1450</v>
      </c>
      <c r="B2075" t="s">
        <v>1432</v>
      </c>
      <c r="E2075">
        <v>4</v>
      </c>
      <c r="F2075" t="s">
        <v>3361</v>
      </c>
      <c r="G2075" t="s">
        <v>2746</v>
      </c>
      <c r="H2075" t="s">
        <v>1433</v>
      </c>
      <c r="I2075" t="s">
        <v>1630</v>
      </c>
      <c r="J2075" t="s">
        <v>3369</v>
      </c>
      <c r="K2075" t="s">
        <v>605</v>
      </c>
      <c r="L2075" t="s">
        <v>3375</v>
      </c>
      <c r="M2075" t="s">
        <v>3364</v>
      </c>
      <c r="N2075" t="s">
        <v>3365</v>
      </c>
      <c r="O2075" t="s">
        <v>3366</v>
      </c>
      <c r="P2075" t="s">
        <v>3382</v>
      </c>
    </row>
    <row r="2076" spans="1:16" x14ac:dyDescent="0.3">
      <c r="A2076" t="s">
        <v>1451</v>
      </c>
      <c r="B2076" t="s">
        <v>1432</v>
      </c>
      <c r="E2076">
        <v>4</v>
      </c>
      <c r="F2076" t="s">
        <v>3361</v>
      </c>
      <c r="G2076" t="s">
        <v>2746</v>
      </c>
      <c r="H2076" t="s">
        <v>1433</v>
      </c>
      <c r="I2076" t="s">
        <v>1630</v>
      </c>
      <c r="J2076" t="s">
        <v>3369</v>
      </c>
      <c r="K2076" t="s">
        <v>605</v>
      </c>
      <c r="L2076" t="s">
        <v>3375</v>
      </c>
      <c r="M2076" t="s">
        <v>3364</v>
      </c>
      <c r="N2076" t="s">
        <v>3365</v>
      </c>
      <c r="O2076" t="s">
        <v>3366</v>
      </c>
      <c r="P2076" t="s">
        <v>3382</v>
      </c>
    </row>
    <row r="2077" spans="1:16" x14ac:dyDescent="0.3">
      <c r="A2077" t="s">
        <v>1452</v>
      </c>
      <c r="B2077" t="s">
        <v>1432</v>
      </c>
      <c r="E2077">
        <v>4</v>
      </c>
      <c r="F2077" t="s">
        <v>3361</v>
      </c>
      <c r="G2077" t="s">
        <v>2746</v>
      </c>
      <c r="H2077" t="s">
        <v>1433</v>
      </c>
      <c r="I2077" t="s">
        <v>1630</v>
      </c>
      <c r="J2077" t="s">
        <v>3369</v>
      </c>
      <c r="K2077" t="s">
        <v>605</v>
      </c>
      <c r="L2077" t="s">
        <v>3375</v>
      </c>
      <c r="M2077" t="s">
        <v>3364</v>
      </c>
      <c r="N2077" t="s">
        <v>3365</v>
      </c>
      <c r="O2077" t="s">
        <v>3366</v>
      </c>
      <c r="P2077" t="s">
        <v>3382</v>
      </c>
    </row>
    <row r="2078" spans="1:16" x14ac:dyDescent="0.3">
      <c r="A2078" t="s">
        <v>1453</v>
      </c>
      <c r="B2078" t="s">
        <v>1432</v>
      </c>
      <c r="E2078">
        <v>4</v>
      </c>
      <c r="F2078" t="s">
        <v>3361</v>
      </c>
      <c r="G2078" t="s">
        <v>2746</v>
      </c>
      <c r="H2078" t="s">
        <v>1433</v>
      </c>
      <c r="I2078" t="s">
        <v>1630</v>
      </c>
      <c r="J2078" t="s">
        <v>3369</v>
      </c>
      <c r="K2078" t="s">
        <v>605</v>
      </c>
      <c r="L2078" t="s">
        <v>3375</v>
      </c>
      <c r="M2078" t="s">
        <v>3364</v>
      </c>
      <c r="N2078" t="s">
        <v>3365</v>
      </c>
      <c r="O2078" t="s">
        <v>3366</v>
      </c>
      <c r="P2078" t="s">
        <v>3382</v>
      </c>
    </row>
    <row r="2079" spans="1:16" x14ac:dyDescent="0.3">
      <c r="A2079" t="s">
        <v>1454</v>
      </c>
      <c r="B2079" t="s">
        <v>1432</v>
      </c>
      <c r="E2079">
        <v>4</v>
      </c>
      <c r="F2079" t="s">
        <v>3361</v>
      </c>
      <c r="G2079" t="s">
        <v>2746</v>
      </c>
      <c r="H2079" t="s">
        <v>1433</v>
      </c>
      <c r="I2079" t="s">
        <v>1630</v>
      </c>
      <c r="J2079" t="s">
        <v>3369</v>
      </c>
      <c r="K2079" t="s">
        <v>605</v>
      </c>
      <c r="L2079" t="s">
        <v>3375</v>
      </c>
      <c r="M2079" t="s">
        <v>3364</v>
      </c>
      <c r="N2079" t="s">
        <v>3365</v>
      </c>
      <c r="O2079" t="s">
        <v>3366</v>
      </c>
      <c r="P2079" t="s">
        <v>3382</v>
      </c>
    </row>
    <row r="2080" spans="1:16" x14ac:dyDescent="0.3">
      <c r="A2080" t="s">
        <v>1455</v>
      </c>
      <c r="B2080" t="s">
        <v>1432</v>
      </c>
      <c r="E2080">
        <v>4</v>
      </c>
      <c r="F2080" t="s">
        <v>3361</v>
      </c>
      <c r="G2080" t="s">
        <v>2746</v>
      </c>
      <c r="H2080" t="s">
        <v>1433</v>
      </c>
      <c r="I2080" t="s">
        <v>1630</v>
      </c>
      <c r="J2080" t="s">
        <v>3369</v>
      </c>
      <c r="K2080" t="s">
        <v>605</v>
      </c>
      <c r="L2080" t="s">
        <v>3375</v>
      </c>
      <c r="M2080" t="s">
        <v>3364</v>
      </c>
      <c r="N2080" t="s">
        <v>3365</v>
      </c>
      <c r="O2080" t="s">
        <v>3366</v>
      </c>
      <c r="P2080" t="s">
        <v>3382</v>
      </c>
    </row>
    <row r="2081" spans="1:16" x14ac:dyDescent="0.3">
      <c r="A2081" t="s">
        <v>1456</v>
      </c>
      <c r="B2081" t="s">
        <v>1432</v>
      </c>
      <c r="E2081">
        <v>4</v>
      </c>
      <c r="F2081" t="s">
        <v>3361</v>
      </c>
      <c r="G2081" t="s">
        <v>2746</v>
      </c>
      <c r="H2081" t="s">
        <v>1433</v>
      </c>
      <c r="I2081" t="s">
        <v>1630</v>
      </c>
      <c r="J2081" t="s">
        <v>3369</v>
      </c>
      <c r="K2081" t="s">
        <v>605</v>
      </c>
      <c r="L2081" t="s">
        <v>3375</v>
      </c>
      <c r="M2081" t="s">
        <v>3364</v>
      </c>
      <c r="N2081" t="s">
        <v>3365</v>
      </c>
      <c r="O2081" t="s">
        <v>3366</v>
      </c>
      <c r="P2081" t="s">
        <v>3382</v>
      </c>
    </row>
    <row r="2082" spans="1:16" x14ac:dyDescent="0.3">
      <c r="A2082" t="s">
        <v>1457</v>
      </c>
      <c r="B2082" t="s">
        <v>1458</v>
      </c>
      <c r="E2082">
        <v>3</v>
      </c>
      <c r="F2082" t="s">
        <v>3361</v>
      </c>
      <c r="G2082" t="s">
        <v>2746</v>
      </c>
      <c r="H2082" t="s">
        <v>1459</v>
      </c>
      <c r="I2082" t="s">
        <v>1630</v>
      </c>
      <c r="J2082" t="s">
        <v>3369</v>
      </c>
      <c r="K2082" t="s">
        <v>605</v>
      </c>
      <c r="L2082" t="s">
        <v>3375</v>
      </c>
      <c r="M2082" t="s">
        <v>3364</v>
      </c>
      <c r="N2082" t="s">
        <v>3365</v>
      </c>
      <c r="O2082" t="s">
        <v>3366</v>
      </c>
      <c r="P2082" t="s">
        <v>3382</v>
      </c>
    </row>
    <row r="2083" spans="1:16" x14ac:dyDescent="0.3">
      <c r="A2083" t="s">
        <v>1249</v>
      </c>
      <c r="B2083" t="s">
        <v>1458</v>
      </c>
      <c r="E2083">
        <v>3</v>
      </c>
      <c r="F2083" t="s">
        <v>3361</v>
      </c>
      <c r="G2083" t="s">
        <v>2746</v>
      </c>
      <c r="H2083" t="s">
        <v>1459</v>
      </c>
      <c r="I2083" t="s">
        <v>1630</v>
      </c>
      <c r="J2083" t="s">
        <v>3369</v>
      </c>
      <c r="K2083" t="s">
        <v>605</v>
      </c>
      <c r="L2083" t="s">
        <v>3375</v>
      </c>
      <c r="M2083" t="s">
        <v>3364</v>
      </c>
      <c r="N2083" t="s">
        <v>3365</v>
      </c>
      <c r="O2083" t="s">
        <v>3366</v>
      </c>
      <c r="P2083" t="s">
        <v>3382</v>
      </c>
    </row>
    <row r="2084" spans="1:16" x14ac:dyDescent="0.3">
      <c r="A2084" t="s">
        <v>1464</v>
      </c>
      <c r="B2084" t="s">
        <v>1458</v>
      </c>
      <c r="E2084">
        <v>3</v>
      </c>
      <c r="F2084" t="s">
        <v>3361</v>
      </c>
      <c r="G2084" t="s">
        <v>2746</v>
      </c>
      <c r="H2084" t="s">
        <v>1459</v>
      </c>
      <c r="I2084" t="s">
        <v>1630</v>
      </c>
      <c r="J2084" t="s">
        <v>3369</v>
      </c>
      <c r="K2084" t="s">
        <v>605</v>
      </c>
      <c r="L2084" t="s">
        <v>3375</v>
      </c>
      <c r="M2084" t="s">
        <v>3364</v>
      </c>
      <c r="N2084" t="s">
        <v>3365</v>
      </c>
      <c r="O2084" t="s">
        <v>3366</v>
      </c>
      <c r="P2084" t="s">
        <v>3382</v>
      </c>
    </row>
    <row r="2085" spans="1:16" x14ac:dyDescent="0.3">
      <c r="A2085" t="s">
        <v>1465</v>
      </c>
      <c r="B2085" t="s">
        <v>1458</v>
      </c>
      <c r="E2085">
        <v>3</v>
      </c>
      <c r="F2085" t="s">
        <v>3361</v>
      </c>
      <c r="G2085" t="s">
        <v>2746</v>
      </c>
      <c r="H2085" t="s">
        <v>1459</v>
      </c>
      <c r="I2085" t="s">
        <v>1630</v>
      </c>
      <c r="J2085" t="s">
        <v>3369</v>
      </c>
      <c r="K2085" t="s">
        <v>605</v>
      </c>
      <c r="L2085" t="s">
        <v>3375</v>
      </c>
      <c r="M2085" t="s">
        <v>3364</v>
      </c>
      <c r="N2085" t="s">
        <v>3365</v>
      </c>
      <c r="O2085" t="s">
        <v>3366</v>
      </c>
      <c r="P2085" t="s">
        <v>3382</v>
      </c>
    </row>
    <row r="2086" spans="1:16" x14ac:dyDescent="0.3">
      <c r="A2086" t="s">
        <v>1466</v>
      </c>
      <c r="B2086" t="s">
        <v>1458</v>
      </c>
      <c r="E2086">
        <v>3</v>
      </c>
      <c r="F2086" t="s">
        <v>3361</v>
      </c>
      <c r="G2086" t="s">
        <v>2746</v>
      </c>
      <c r="H2086" t="s">
        <v>1459</v>
      </c>
      <c r="I2086" t="s">
        <v>1630</v>
      </c>
      <c r="J2086" t="s">
        <v>3369</v>
      </c>
      <c r="K2086" t="s">
        <v>605</v>
      </c>
      <c r="L2086" t="s">
        <v>3375</v>
      </c>
      <c r="M2086" t="s">
        <v>3364</v>
      </c>
      <c r="N2086" t="s">
        <v>3365</v>
      </c>
      <c r="O2086" t="s">
        <v>3366</v>
      </c>
      <c r="P2086" t="s">
        <v>3382</v>
      </c>
    </row>
    <row r="2087" spans="1:16" x14ac:dyDescent="0.3">
      <c r="A2087" t="s">
        <v>1467</v>
      </c>
      <c r="B2087" t="s">
        <v>1458</v>
      </c>
      <c r="E2087">
        <v>3</v>
      </c>
      <c r="F2087" t="s">
        <v>3361</v>
      </c>
      <c r="G2087" t="s">
        <v>2746</v>
      </c>
      <c r="H2087" t="s">
        <v>1459</v>
      </c>
      <c r="I2087" t="s">
        <v>1630</v>
      </c>
      <c r="J2087" t="s">
        <v>3369</v>
      </c>
      <c r="K2087" t="s">
        <v>605</v>
      </c>
      <c r="L2087" t="s">
        <v>3375</v>
      </c>
      <c r="M2087" t="s">
        <v>3364</v>
      </c>
      <c r="N2087" t="s">
        <v>3365</v>
      </c>
      <c r="O2087" t="s">
        <v>3366</v>
      </c>
      <c r="P2087" t="s">
        <v>3382</v>
      </c>
    </row>
    <row r="2088" spans="1:16" x14ac:dyDescent="0.3">
      <c r="A2088" t="s">
        <v>1468</v>
      </c>
      <c r="B2088" t="s">
        <v>1458</v>
      </c>
      <c r="E2088">
        <v>3</v>
      </c>
      <c r="F2088" t="s">
        <v>3361</v>
      </c>
      <c r="G2088" t="s">
        <v>2746</v>
      </c>
      <c r="H2088" t="s">
        <v>1459</v>
      </c>
      <c r="I2088" t="s">
        <v>1630</v>
      </c>
      <c r="J2088" t="s">
        <v>3369</v>
      </c>
      <c r="K2088" t="s">
        <v>605</v>
      </c>
      <c r="L2088" t="s">
        <v>3375</v>
      </c>
      <c r="M2088" t="s">
        <v>3364</v>
      </c>
      <c r="N2088" t="s">
        <v>3365</v>
      </c>
      <c r="O2088" t="s">
        <v>3366</v>
      </c>
      <c r="P2088" t="s">
        <v>3382</v>
      </c>
    </row>
    <row r="2089" spans="1:16" x14ac:dyDescent="0.3">
      <c r="A2089" t="s">
        <v>1469</v>
      </c>
      <c r="B2089" t="s">
        <v>1458</v>
      </c>
      <c r="E2089">
        <v>3</v>
      </c>
      <c r="F2089" t="s">
        <v>3361</v>
      </c>
      <c r="G2089" t="s">
        <v>2746</v>
      </c>
      <c r="H2089" t="s">
        <v>1459</v>
      </c>
      <c r="I2089" t="s">
        <v>1630</v>
      </c>
      <c r="J2089" t="s">
        <v>3369</v>
      </c>
      <c r="K2089" t="s">
        <v>605</v>
      </c>
      <c r="L2089" t="s">
        <v>3375</v>
      </c>
      <c r="M2089" t="s">
        <v>3364</v>
      </c>
      <c r="N2089" t="s">
        <v>3365</v>
      </c>
      <c r="O2089" t="s">
        <v>3366</v>
      </c>
      <c r="P2089" t="s">
        <v>3382</v>
      </c>
    </row>
    <row r="2090" spans="1:16" x14ac:dyDescent="0.3">
      <c r="A2090" t="s">
        <v>1470</v>
      </c>
      <c r="B2090" t="s">
        <v>1458</v>
      </c>
      <c r="E2090">
        <v>3</v>
      </c>
      <c r="F2090" t="s">
        <v>3361</v>
      </c>
      <c r="G2090" t="s">
        <v>2746</v>
      </c>
      <c r="H2090" t="s">
        <v>1459</v>
      </c>
      <c r="I2090" t="s">
        <v>1630</v>
      </c>
      <c r="J2090" t="s">
        <v>3369</v>
      </c>
      <c r="K2090" t="s">
        <v>605</v>
      </c>
      <c r="L2090" t="s">
        <v>3375</v>
      </c>
      <c r="M2090" t="s">
        <v>3364</v>
      </c>
      <c r="N2090" t="s">
        <v>3365</v>
      </c>
      <c r="O2090" t="s">
        <v>3366</v>
      </c>
      <c r="P2090" t="s">
        <v>3382</v>
      </c>
    </row>
    <row r="2091" spans="1:16" x14ac:dyDescent="0.3">
      <c r="A2091" t="s">
        <v>1471</v>
      </c>
      <c r="B2091" t="s">
        <v>1458</v>
      </c>
      <c r="E2091">
        <v>3</v>
      </c>
      <c r="F2091" t="s">
        <v>3361</v>
      </c>
      <c r="G2091" t="s">
        <v>2746</v>
      </c>
      <c r="H2091" t="s">
        <v>1459</v>
      </c>
      <c r="I2091" t="s">
        <v>1630</v>
      </c>
      <c r="J2091" t="s">
        <v>3369</v>
      </c>
      <c r="K2091" t="s">
        <v>605</v>
      </c>
      <c r="L2091" t="s">
        <v>3375</v>
      </c>
      <c r="M2091" t="s">
        <v>3364</v>
      </c>
      <c r="N2091" t="s">
        <v>3365</v>
      </c>
      <c r="O2091" t="s">
        <v>3366</v>
      </c>
      <c r="P2091" t="s">
        <v>3382</v>
      </c>
    </row>
    <row r="2092" spans="1:16" x14ac:dyDescent="0.3">
      <c r="A2092" t="s">
        <v>1472</v>
      </c>
      <c r="B2092" t="s">
        <v>1458</v>
      </c>
      <c r="E2092">
        <v>3</v>
      </c>
      <c r="F2092" t="s">
        <v>3361</v>
      </c>
      <c r="G2092" t="s">
        <v>2746</v>
      </c>
      <c r="H2092" t="s">
        <v>1459</v>
      </c>
      <c r="I2092" t="s">
        <v>1630</v>
      </c>
      <c r="J2092" t="s">
        <v>3369</v>
      </c>
      <c r="K2092" t="s">
        <v>605</v>
      </c>
      <c r="L2092" t="s">
        <v>3375</v>
      </c>
      <c r="M2092" t="s">
        <v>3364</v>
      </c>
      <c r="N2092" t="s">
        <v>3365</v>
      </c>
      <c r="O2092" t="s">
        <v>3366</v>
      </c>
      <c r="P2092" t="s">
        <v>3382</v>
      </c>
    </row>
    <row r="2093" spans="1:16" x14ac:dyDescent="0.3">
      <c r="A2093" t="s">
        <v>1473</v>
      </c>
      <c r="B2093" t="s">
        <v>1458</v>
      </c>
      <c r="E2093">
        <v>3</v>
      </c>
      <c r="F2093" t="s">
        <v>3361</v>
      </c>
      <c r="G2093" t="s">
        <v>2746</v>
      </c>
      <c r="H2093" t="s">
        <v>1459</v>
      </c>
      <c r="I2093" t="s">
        <v>1630</v>
      </c>
      <c r="J2093" t="s">
        <v>3369</v>
      </c>
      <c r="K2093" t="s">
        <v>605</v>
      </c>
      <c r="L2093" t="s">
        <v>3375</v>
      </c>
      <c r="M2093" t="s">
        <v>3364</v>
      </c>
      <c r="N2093" t="s">
        <v>3365</v>
      </c>
      <c r="O2093" t="s">
        <v>3366</v>
      </c>
      <c r="P2093" t="s">
        <v>3382</v>
      </c>
    </row>
    <row r="2094" spans="1:16" x14ac:dyDescent="0.3">
      <c r="A2094" t="s">
        <v>1474</v>
      </c>
      <c r="B2094" t="s">
        <v>1458</v>
      </c>
      <c r="E2094">
        <v>3</v>
      </c>
      <c r="F2094" t="s">
        <v>3361</v>
      </c>
      <c r="G2094" t="s">
        <v>2746</v>
      </c>
      <c r="H2094" t="s">
        <v>1459</v>
      </c>
      <c r="I2094" t="s">
        <v>1630</v>
      </c>
      <c r="J2094" t="s">
        <v>3369</v>
      </c>
      <c r="K2094" t="s">
        <v>605</v>
      </c>
      <c r="L2094" t="s">
        <v>3375</v>
      </c>
      <c r="M2094" t="s">
        <v>3364</v>
      </c>
      <c r="N2094" t="s">
        <v>3365</v>
      </c>
      <c r="O2094" t="s">
        <v>3366</v>
      </c>
      <c r="P2094" t="s">
        <v>3382</v>
      </c>
    </row>
    <row r="2095" spans="1:16" x14ac:dyDescent="0.3">
      <c r="A2095" t="s">
        <v>1475</v>
      </c>
      <c r="B2095" t="s">
        <v>1458</v>
      </c>
      <c r="E2095">
        <v>3</v>
      </c>
      <c r="F2095" t="s">
        <v>3361</v>
      </c>
      <c r="G2095" t="s">
        <v>2746</v>
      </c>
      <c r="H2095" t="s">
        <v>1459</v>
      </c>
      <c r="I2095" t="s">
        <v>1630</v>
      </c>
      <c r="J2095" t="s">
        <v>3369</v>
      </c>
      <c r="K2095" t="s">
        <v>605</v>
      </c>
      <c r="L2095" t="s">
        <v>3375</v>
      </c>
      <c r="M2095" t="s">
        <v>3364</v>
      </c>
      <c r="N2095" t="s">
        <v>3365</v>
      </c>
      <c r="O2095" t="s">
        <v>3366</v>
      </c>
      <c r="P2095" t="s">
        <v>3382</v>
      </c>
    </row>
    <row r="2096" spans="1:16" x14ac:dyDescent="0.3">
      <c r="A2096" t="s">
        <v>1476</v>
      </c>
      <c r="B2096" t="s">
        <v>1458</v>
      </c>
      <c r="E2096">
        <v>3</v>
      </c>
      <c r="F2096" t="s">
        <v>3361</v>
      </c>
      <c r="G2096" t="s">
        <v>2746</v>
      </c>
      <c r="H2096" t="s">
        <v>1459</v>
      </c>
      <c r="I2096" t="s">
        <v>1630</v>
      </c>
      <c r="J2096" t="s">
        <v>3369</v>
      </c>
      <c r="K2096" t="s">
        <v>605</v>
      </c>
      <c r="L2096" t="s">
        <v>3375</v>
      </c>
      <c r="M2096" t="s">
        <v>3364</v>
      </c>
      <c r="N2096" t="s">
        <v>3365</v>
      </c>
      <c r="O2096" t="s">
        <v>3366</v>
      </c>
      <c r="P2096" t="s">
        <v>3382</v>
      </c>
    </row>
    <row r="2097" spans="1:16" x14ac:dyDescent="0.3">
      <c r="A2097" t="s">
        <v>1477</v>
      </c>
      <c r="B2097" t="s">
        <v>1458</v>
      </c>
      <c r="E2097">
        <v>3</v>
      </c>
      <c r="F2097" t="s">
        <v>3361</v>
      </c>
      <c r="G2097" t="s">
        <v>2746</v>
      </c>
      <c r="H2097" t="s">
        <v>1459</v>
      </c>
      <c r="I2097" t="s">
        <v>1630</v>
      </c>
      <c r="J2097" t="s">
        <v>3369</v>
      </c>
      <c r="K2097" t="s">
        <v>605</v>
      </c>
      <c r="L2097" t="s">
        <v>3375</v>
      </c>
      <c r="M2097" t="s">
        <v>3364</v>
      </c>
      <c r="N2097" t="s">
        <v>3365</v>
      </c>
      <c r="O2097" t="s">
        <v>3366</v>
      </c>
      <c r="P2097" t="s">
        <v>3382</v>
      </c>
    </row>
    <row r="2098" spans="1:16" x14ac:dyDescent="0.3">
      <c r="A2098" t="s">
        <v>1478</v>
      </c>
      <c r="B2098" t="s">
        <v>1458</v>
      </c>
      <c r="E2098">
        <v>3</v>
      </c>
      <c r="F2098" t="s">
        <v>3361</v>
      </c>
      <c r="G2098" t="s">
        <v>2746</v>
      </c>
      <c r="H2098" t="s">
        <v>1459</v>
      </c>
      <c r="I2098" t="s">
        <v>1630</v>
      </c>
      <c r="J2098" t="s">
        <v>3369</v>
      </c>
      <c r="K2098" t="s">
        <v>605</v>
      </c>
      <c r="L2098" t="s">
        <v>3375</v>
      </c>
      <c r="M2098" t="s">
        <v>3364</v>
      </c>
      <c r="N2098" t="s">
        <v>3365</v>
      </c>
      <c r="O2098" t="s">
        <v>3366</v>
      </c>
      <c r="P2098" t="s">
        <v>3382</v>
      </c>
    </row>
    <row r="2099" spans="1:16" x14ac:dyDescent="0.3">
      <c r="A2099" t="s">
        <v>1479</v>
      </c>
      <c r="B2099" t="s">
        <v>1458</v>
      </c>
      <c r="E2099">
        <v>3</v>
      </c>
      <c r="F2099" t="s">
        <v>3361</v>
      </c>
      <c r="G2099" t="s">
        <v>2746</v>
      </c>
      <c r="H2099" t="s">
        <v>1459</v>
      </c>
      <c r="I2099" t="s">
        <v>1630</v>
      </c>
      <c r="J2099" t="s">
        <v>3369</v>
      </c>
      <c r="K2099" t="s">
        <v>605</v>
      </c>
      <c r="L2099" t="s">
        <v>3375</v>
      </c>
      <c r="M2099" t="s">
        <v>3364</v>
      </c>
      <c r="N2099" t="s">
        <v>3365</v>
      </c>
      <c r="O2099" t="s">
        <v>3366</v>
      </c>
      <c r="P2099" t="s">
        <v>3382</v>
      </c>
    </row>
    <row r="2100" spans="1:16" x14ac:dyDescent="0.3">
      <c r="A2100" t="s">
        <v>1480</v>
      </c>
      <c r="B2100" t="s">
        <v>1481</v>
      </c>
      <c r="E2100">
        <v>3</v>
      </c>
      <c r="F2100" t="s">
        <v>3361</v>
      </c>
      <c r="G2100" t="s">
        <v>2746</v>
      </c>
      <c r="H2100" t="s">
        <v>1482</v>
      </c>
      <c r="I2100" t="s">
        <v>1630</v>
      </c>
      <c r="J2100" t="s">
        <v>3369</v>
      </c>
      <c r="K2100" t="s">
        <v>605</v>
      </c>
      <c r="L2100" t="s">
        <v>3375</v>
      </c>
      <c r="M2100" t="s">
        <v>3364</v>
      </c>
      <c r="N2100" t="s">
        <v>3365</v>
      </c>
      <c r="O2100" t="s">
        <v>3366</v>
      </c>
      <c r="P2100" t="s">
        <v>3382</v>
      </c>
    </row>
    <row r="2101" spans="1:16" x14ac:dyDescent="0.3">
      <c r="A2101" t="s">
        <v>1488</v>
      </c>
      <c r="B2101" t="s">
        <v>1481</v>
      </c>
      <c r="E2101">
        <v>3</v>
      </c>
      <c r="F2101" t="s">
        <v>3361</v>
      </c>
      <c r="G2101" t="s">
        <v>2746</v>
      </c>
      <c r="H2101" t="s">
        <v>1482</v>
      </c>
      <c r="I2101" t="s">
        <v>1630</v>
      </c>
      <c r="J2101" t="s">
        <v>3369</v>
      </c>
      <c r="K2101" t="s">
        <v>605</v>
      </c>
      <c r="L2101" t="s">
        <v>3375</v>
      </c>
      <c r="M2101" t="s">
        <v>3364</v>
      </c>
      <c r="N2101" t="s">
        <v>3365</v>
      </c>
      <c r="O2101" t="s">
        <v>3366</v>
      </c>
      <c r="P2101" t="s">
        <v>3382</v>
      </c>
    </row>
    <row r="2102" spans="1:16" x14ac:dyDescent="0.3">
      <c r="A2102" t="s">
        <v>1489</v>
      </c>
      <c r="B2102" t="s">
        <v>1481</v>
      </c>
      <c r="E2102">
        <v>3</v>
      </c>
      <c r="F2102" t="s">
        <v>3361</v>
      </c>
      <c r="G2102" t="s">
        <v>2746</v>
      </c>
      <c r="H2102" t="s">
        <v>1482</v>
      </c>
      <c r="I2102" t="s">
        <v>1630</v>
      </c>
      <c r="J2102" t="s">
        <v>3369</v>
      </c>
      <c r="K2102" t="s">
        <v>605</v>
      </c>
      <c r="L2102" t="s">
        <v>3375</v>
      </c>
      <c r="M2102" t="s">
        <v>3364</v>
      </c>
      <c r="N2102" t="s">
        <v>3365</v>
      </c>
      <c r="O2102" t="s">
        <v>3366</v>
      </c>
      <c r="P2102" t="s">
        <v>3382</v>
      </c>
    </row>
    <row r="2103" spans="1:16" x14ac:dyDescent="0.3">
      <c r="A2103" t="s">
        <v>1490</v>
      </c>
      <c r="B2103" t="s">
        <v>1481</v>
      </c>
      <c r="E2103">
        <v>3</v>
      </c>
      <c r="F2103" t="s">
        <v>3361</v>
      </c>
      <c r="G2103" t="s">
        <v>2746</v>
      </c>
      <c r="H2103" t="s">
        <v>1482</v>
      </c>
      <c r="I2103" t="s">
        <v>1630</v>
      </c>
      <c r="J2103" t="s">
        <v>3369</v>
      </c>
      <c r="K2103" t="s">
        <v>605</v>
      </c>
      <c r="L2103" t="s">
        <v>3375</v>
      </c>
      <c r="M2103" t="s">
        <v>3364</v>
      </c>
      <c r="N2103" t="s">
        <v>3365</v>
      </c>
      <c r="O2103" t="s">
        <v>3366</v>
      </c>
      <c r="P2103" t="s">
        <v>3382</v>
      </c>
    </row>
    <row r="2104" spans="1:16" x14ac:dyDescent="0.3">
      <c r="A2104" t="s">
        <v>1491</v>
      </c>
      <c r="B2104" t="s">
        <v>1481</v>
      </c>
      <c r="E2104">
        <v>3</v>
      </c>
      <c r="F2104" t="s">
        <v>3361</v>
      </c>
      <c r="G2104" t="s">
        <v>2746</v>
      </c>
      <c r="H2104" t="s">
        <v>1482</v>
      </c>
      <c r="I2104" t="s">
        <v>1630</v>
      </c>
      <c r="J2104" t="s">
        <v>3369</v>
      </c>
      <c r="K2104" t="s">
        <v>605</v>
      </c>
      <c r="L2104" t="s">
        <v>3375</v>
      </c>
      <c r="M2104" t="s">
        <v>3364</v>
      </c>
      <c r="N2104" t="s">
        <v>3365</v>
      </c>
      <c r="O2104" t="s">
        <v>3366</v>
      </c>
      <c r="P2104" t="s">
        <v>3382</v>
      </c>
    </row>
    <row r="2105" spans="1:16" x14ac:dyDescent="0.3">
      <c r="A2105" t="s">
        <v>1492</v>
      </c>
      <c r="B2105" t="s">
        <v>1481</v>
      </c>
      <c r="E2105">
        <v>3</v>
      </c>
      <c r="F2105" t="s">
        <v>3361</v>
      </c>
      <c r="G2105" t="s">
        <v>2746</v>
      </c>
      <c r="H2105" t="s">
        <v>1482</v>
      </c>
      <c r="I2105" t="s">
        <v>1630</v>
      </c>
      <c r="J2105" t="s">
        <v>3369</v>
      </c>
      <c r="K2105" t="s">
        <v>605</v>
      </c>
      <c r="L2105" t="s">
        <v>3375</v>
      </c>
      <c r="M2105" t="s">
        <v>3364</v>
      </c>
      <c r="N2105" t="s">
        <v>3365</v>
      </c>
      <c r="O2105" t="s">
        <v>3366</v>
      </c>
      <c r="P2105" t="s">
        <v>3382</v>
      </c>
    </row>
    <row r="2106" spans="1:16" x14ac:dyDescent="0.3">
      <c r="A2106" t="s">
        <v>1493</v>
      </c>
      <c r="B2106" t="s">
        <v>1481</v>
      </c>
      <c r="E2106">
        <v>3</v>
      </c>
      <c r="F2106" t="s">
        <v>3361</v>
      </c>
      <c r="G2106" t="s">
        <v>2746</v>
      </c>
      <c r="H2106" t="s">
        <v>1482</v>
      </c>
      <c r="I2106" t="s">
        <v>1630</v>
      </c>
      <c r="J2106" t="s">
        <v>3369</v>
      </c>
      <c r="K2106" t="s">
        <v>605</v>
      </c>
      <c r="L2106" t="s">
        <v>3375</v>
      </c>
      <c r="M2106" t="s">
        <v>3364</v>
      </c>
      <c r="N2106" t="s">
        <v>3365</v>
      </c>
      <c r="O2106" t="s">
        <v>3366</v>
      </c>
      <c r="P2106" t="s">
        <v>3382</v>
      </c>
    </row>
    <row r="2107" spans="1:16" x14ac:dyDescent="0.3">
      <c r="A2107" t="s">
        <v>1494</v>
      </c>
      <c r="B2107" t="s">
        <v>1481</v>
      </c>
      <c r="E2107">
        <v>3</v>
      </c>
      <c r="F2107" t="s">
        <v>3361</v>
      </c>
      <c r="G2107" t="s">
        <v>2746</v>
      </c>
      <c r="H2107" t="s">
        <v>1482</v>
      </c>
      <c r="I2107" t="s">
        <v>1630</v>
      </c>
      <c r="J2107" t="s">
        <v>3369</v>
      </c>
      <c r="K2107" t="s">
        <v>605</v>
      </c>
      <c r="L2107" t="s">
        <v>3375</v>
      </c>
      <c r="M2107" t="s">
        <v>3364</v>
      </c>
      <c r="N2107" t="s">
        <v>3365</v>
      </c>
      <c r="O2107" t="s">
        <v>3366</v>
      </c>
      <c r="P2107" t="s">
        <v>3382</v>
      </c>
    </row>
    <row r="2108" spans="1:16" x14ac:dyDescent="0.3">
      <c r="A2108" t="s">
        <v>1495</v>
      </c>
      <c r="B2108" t="s">
        <v>1481</v>
      </c>
      <c r="E2108">
        <v>3</v>
      </c>
      <c r="F2108" t="s">
        <v>3361</v>
      </c>
      <c r="G2108" t="s">
        <v>2746</v>
      </c>
      <c r="H2108" t="s">
        <v>1482</v>
      </c>
      <c r="I2108" t="s">
        <v>1630</v>
      </c>
      <c r="J2108" t="s">
        <v>3369</v>
      </c>
      <c r="K2108" t="s">
        <v>605</v>
      </c>
      <c r="L2108" t="s">
        <v>3375</v>
      </c>
      <c r="M2108" t="s">
        <v>3364</v>
      </c>
      <c r="N2108" t="s">
        <v>3365</v>
      </c>
      <c r="O2108" t="s">
        <v>3366</v>
      </c>
      <c r="P2108" t="s">
        <v>3382</v>
      </c>
    </row>
    <row r="2109" spans="1:16" x14ac:dyDescent="0.3">
      <c r="A2109" t="s">
        <v>1496</v>
      </c>
      <c r="B2109" t="s">
        <v>1481</v>
      </c>
      <c r="E2109">
        <v>3</v>
      </c>
      <c r="F2109" t="s">
        <v>3361</v>
      </c>
      <c r="G2109" t="s">
        <v>2746</v>
      </c>
      <c r="H2109" t="s">
        <v>1482</v>
      </c>
      <c r="I2109" t="s">
        <v>1630</v>
      </c>
      <c r="J2109" t="s">
        <v>3369</v>
      </c>
      <c r="K2109" t="s">
        <v>605</v>
      </c>
      <c r="L2109" t="s">
        <v>3375</v>
      </c>
      <c r="M2109" t="s">
        <v>3364</v>
      </c>
      <c r="N2109" t="s">
        <v>3365</v>
      </c>
      <c r="O2109" t="s">
        <v>3366</v>
      </c>
      <c r="P2109" t="s">
        <v>3382</v>
      </c>
    </row>
    <row r="2110" spans="1:16" x14ac:dyDescent="0.3">
      <c r="A2110" t="s">
        <v>1497</v>
      </c>
      <c r="B2110" t="s">
        <v>1481</v>
      </c>
      <c r="E2110">
        <v>3</v>
      </c>
      <c r="F2110" t="s">
        <v>3361</v>
      </c>
      <c r="G2110" t="s">
        <v>2746</v>
      </c>
      <c r="H2110" t="s">
        <v>1482</v>
      </c>
      <c r="I2110" t="s">
        <v>1630</v>
      </c>
      <c r="J2110" t="s">
        <v>3369</v>
      </c>
      <c r="K2110" t="s">
        <v>605</v>
      </c>
      <c r="L2110" t="s">
        <v>3375</v>
      </c>
      <c r="M2110" t="s">
        <v>3364</v>
      </c>
      <c r="N2110" t="s">
        <v>3365</v>
      </c>
      <c r="O2110" t="s">
        <v>3366</v>
      </c>
      <c r="P2110" t="s">
        <v>3382</v>
      </c>
    </row>
    <row r="2111" spans="1:16" x14ac:dyDescent="0.3">
      <c r="A2111" t="s">
        <v>1498</v>
      </c>
      <c r="B2111" t="s">
        <v>1481</v>
      </c>
      <c r="E2111">
        <v>3</v>
      </c>
      <c r="F2111" t="s">
        <v>3361</v>
      </c>
      <c r="G2111" t="s">
        <v>2746</v>
      </c>
      <c r="H2111" t="s">
        <v>1482</v>
      </c>
      <c r="I2111" t="s">
        <v>1630</v>
      </c>
      <c r="J2111" t="s">
        <v>3369</v>
      </c>
      <c r="K2111" t="s">
        <v>605</v>
      </c>
      <c r="L2111" t="s">
        <v>3375</v>
      </c>
      <c r="M2111" t="s">
        <v>3364</v>
      </c>
      <c r="N2111" t="s">
        <v>3365</v>
      </c>
      <c r="O2111" t="s">
        <v>3366</v>
      </c>
      <c r="P2111" t="s">
        <v>3382</v>
      </c>
    </row>
    <row r="2112" spans="1:16" x14ac:dyDescent="0.3">
      <c r="A2112" t="s">
        <v>1499</v>
      </c>
      <c r="B2112" t="s">
        <v>1481</v>
      </c>
      <c r="E2112">
        <v>3</v>
      </c>
      <c r="F2112" t="s">
        <v>3361</v>
      </c>
      <c r="G2112" t="s">
        <v>2746</v>
      </c>
      <c r="H2112" t="s">
        <v>1482</v>
      </c>
      <c r="I2112" t="s">
        <v>1630</v>
      </c>
      <c r="J2112" t="s">
        <v>3369</v>
      </c>
      <c r="K2112" t="s">
        <v>605</v>
      </c>
      <c r="L2112" t="s">
        <v>3375</v>
      </c>
      <c r="M2112" t="s">
        <v>3364</v>
      </c>
      <c r="N2112" t="s">
        <v>3365</v>
      </c>
      <c r="O2112" t="s">
        <v>3366</v>
      </c>
      <c r="P2112" t="s">
        <v>3382</v>
      </c>
    </row>
    <row r="2113" spans="1:16" x14ac:dyDescent="0.3">
      <c r="A2113" t="s">
        <v>1500</v>
      </c>
      <c r="B2113" t="s">
        <v>1481</v>
      </c>
      <c r="E2113">
        <v>3</v>
      </c>
      <c r="F2113" t="s">
        <v>3361</v>
      </c>
      <c r="G2113" t="s">
        <v>2746</v>
      </c>
      <c r="H2113" t="s">
        <v>1482</v>
      </c>
      <c r="I2113" t="s">
        <v>1630</v>
      </c>
      <c r="J2113" t="s">
        <v>3369</v>
      </c>
      <c r="K2113" t="s">
        <v>605</v>
      </c>
      <c r="L2113" t="s">
        <v>3375</v>
      </c>
      <c r="M2113" t="s">
        <v>3364</v>
      </c>
      <c r="N2113" t="s">
        <v>3365</v>
      </c>
      <c r="O2113" t="s">
        <v>3366</v>
      </c>
      <c r="P2113" t="s">
        <v>3382</v>
      </c>
    </row>
    <row r="2114" spans="1:16" x14ac:dyDescent="0.3">
      <c r="A2114" t="s">
        <v>1501</v>
      </c>
      <c r="B2114" t="s">
        <v>1481</v>
      </c>
      <c r="E2114">
        <v>5</v>
      </c>
      <c r="F2114" t="s">
        <v>3361</v>
      </c>
      <c r="G2114" t="s">
        <v>2746</v>
      </c>
      <c r="H2114" t="s">
        <v>1502</v>
      </c>
      <c r="I2114" t="s">
        <v>1630</v>
      </c>
      <c r="J2114" t="s">
        <v>3369</v>
      </c>
      <c r="K2114" t="s">
        <v>605</v>
      </c>
      <c r="L2114" t="s">
        <v>3375</v>
      </c>
      <c r="M2114" t="s">
        <v>3364</v>
      </c>
      <c r="N2114" t="s">
        <v>3365</v>
      </c>
      <c r="O2114" t="s">
        <v>3366</v>
      </c>
      <c r="P2114" t="s">
        <v>3382</v>
      </c>
    </row>
    <row r="2115" spans="1:16" x14ac:dyDescent="0.3">
      <c r="A2115" t="s">
        <v>1507</v>
      </c>
      <c r="B2115" t="s">
        <v>1481</v>
      </c>
      <c r="E2115">
        <v>5</v>
      </c>
      <c r="F2115" t="s">
        <v>3361</v>
      </c>
      <c r="G2115" t="s">
        <v>2746</v>
      </c>
      <c r="H2115" t="s">
        <v>1502</v>
      </c>
      <c r="I2115" t="s">
        <v>1630</v>
      </c>
      <c r="J2115" t="s">
        <v>3369</v>
      </c>
      <c r="K2115" t="s">
        <v>605</v>
      </c>
      <c r="L2115" t="s">
        <v>3375</v>
      </c>
      <c r="M2115" t="s">
        <v>3364</v>
      </c>
      <c r="N2115" t="s">
        <v>3365</v>
      </c>
      <c r="O2115" t="s">
        <v>3366</v>
      </c>
      <c r="P2115" t="s">
        <v>3382</v>
      </c>
    </row>
    <row r="2116" spans="1:16" x14ac:dyDescent="0.3">
      <c r="A2116" t="s">
        <v>1508</v>
      </c>
      <c r="B2116" t="s">
        <v>1481</v>
      </c>
      <c r="E2116">
        <v>5</v>
      </c>
      <c r="F2116" t="s">
        <v>3361</v>
      </c>
      <c r="G2116" t="s">
        <v>2746</v>
      </c>
      <c r="H2116" t="s">
        <v>1502</v>
      </c>
      <c r="I2116" t="s">
        <v>1630</v>
      </c>
      <c r="J2116" t="s">
        <v>3369</v>
      </c>
      <c r="K2116" t="s">
        <v>605</v>
      </c>
      <c r="L2116" t="s">
        <v>3375</v>
      </c>
      <c r="M2116" t="s">
        <v>3364</v>
      </c>
      <c r="N2116" t="s">
        <v>3365</v>
      </c>
      <c r="O2116" t="s">
        <v>3366</v>
      </c>
      <c r="P2116" t="s">
        <v>3382</v>
      </c>
    </row>
    <row r="2117" spans="1:16" x14ac:dyDescent="0.3">
      <c r="A2117" t="s">
        <v>1509</v>
      </c>
      <c r="B2117" t="s">
        <v>1510</v>
      </c>
      <c r="E2117">
        <v>4</v>
      </c>
      <c r="F2117" t="s">
        <v>3361</v>
      </c>
      <c r="G2117" t="s">
        <v>2746</v>
      </c>
      <c r="H2117" t="s">
        <v>1511</v>
      </c>
      <c r="I2117" t="s">
        <v>1630</v>
      </c>
      <c r="J2117" t="s">
        <v>3369</v>
      </c>
      <c r="K2117" t="s">
        <v>605</v>
      </c>
      <c r="L2117" t="s">
        <v>3375</v>
      </c>
      <c r="M2117" t="s">
        <v>3364</v>
      </c>
      <c r="N2117" t="s">
        <v>3365</v>
      </c>
      <c r="O2117" t="s">
        <v>3366</v>
      </c>
      <c r="P2117" t="s">
        <v>3382</v>
      </c>
    </row>
    <row r="2118" spans="1:16" x14ac:dyDescent="0.3">
      <c r="A2118" t="s">
        <v>850</v>
      </c>
      <c r="B2118" t="s">
        <v>1510</v>
      </c>
      <c r="E2118">
        <v>4</v>
      </c>
      <c r="F2118" t="s">
        <v>3361</v>
      </c>
      <c r="G2118" t="s">
        <v>2746</v>
      </c>
      <c r="H2118" t="s">
        <v>1511</v>
      </c>
      <c r="I2118" t="s">
        <v>1630</v>
      </c>
      <c r="J2118" t="s">
        <v>3369</v>
      </c>
      <c r="K2118" t="s">
        <v>605</v>
      </c>
      <c r="L2118" t="s">
        <v>3375</v>
      </c>
      <c r="M2118" t="s">
        <v>3364</v>
      </c>
      <c r="N2118" t="s">
        <v>3365</v>
      </c>
      <c r="O2118" t="s">
        <v>3377</v>
      </c>
      <c r="P2118" t="s">
        <v>3382</v>
      </c>
    </row>
    <row r="2119" spans="1:16" x14ac:dyDescent="0.3">
      <c r="A2119" t="s">
        <v>1517</v>
      </c>
      <c r="B2119" t="s">
        <v>1510</v>
      </c>
      <c r="E2119">
        <v>4</v>
      </c>
      <c r="F2119" t="s">
        <v>3361</v>
      </c>
      <c r="G2119" t="s">
        <v>2746</v>
      </c>
      <c r="H2119" t="s">
        <v>1511</v>
      </c>
      <c r="I2119" t="s">
        <v>1630</v>
      </c>
      <c r="J2119" t="s">
        <v>3369</v>
      </c>
      <c r="K2119" t="s">
        <v>605</v>
      </c>
      <c r="L2119" t="s">
        <v>3375</v>
      </c>
      <c r="M2119" t="s">
        <v>3364</v>
      </c>
      <c r="N2119" t="s">
        <v>3365</v>
      </c>
      <c r="O2119" t="s">
        <v>3366</v>
      </c>
      <c r="P2119" t="s">
        <v>3382</v>
      </c>
    </row>
    <row r="2120" spans="1:16" x14ac:dyDescent="0.3">
      <c r="A2120" t="s">
        <v>794</v>
      </c>
      <c r="B2120" t="s">
        <v>1510</v>
      </c>
      <c r="E2120">
        <v>4</v>
      </c>
      <c r="F2120" t="s">
        <v>3361</v>
      </c>
      <c r="G2120" t="s">
        <v>2746</v>
      </c>
      <c r="H2120" t="s">
        <v>1511</v>
      </c>
      <c r="I2120" t="s">
        <v>1630</v>
      </c>
      <c r="J2120" t="s">
        <v>3369</v>
      </c>
      <c r="K2120" t="s">
        <v>605</v>
      </c>
      <c r="L2120" t="s">
        <v>3375</v>
      </c>
      <c r="M2120" t="s">
        <v>3364</v>
      </c>
      <c r="N2120" t="s">
        <v>3365</v>
      </c>
      <c r="O2120" t="s">
        <v>3366</v>
      </c>
      <c r="P2120" t="s">
        <v>3382</v>
      </c>
    </row>
    <row r="2121" spans="1:16" x14ac:dyDescent="0.3">
      <c r="A2121" t="s">
        <v>1518</v>
      </c>
      <c r="B2121" t="s">
        <v>1510</v>
      </c>
      <c r="E2121">
        <v>4</v>
      </c>
      <c r="F2121" t="s">
        <v>3361</v>
      </c>
      <c r="G2121" t="s">
        <v>2746</v>
      </c>
      <c r="H2121" t="s">
        <v>1511</v>
      </c>
      <c r="I2121" t="s">
        <v>1630</v>
      </c>
      <c r="J2121" t="s">
        <v>3369</v>
      </c>
      <c r="K2121" t="s">
        <v>605</v>
      </c>
      <c r="L2121" t="s">
        <v>3375</v>
      </c>
      <c r="M2121" t="s">
        <v>3364</v>
      </c>
      <c r="N2121" t="s">
        <v>3365</v>
      </c>
      <c r="O2121" t="s">
        <v>3366</v>
      </c>
      <c r="P2121" t="s">
        <v>3382</v>
      </c>
    </row>
    <row r="2122" spans="1:16" x14ac:dyDescent="0.3">
      <c r="A2122" t="s">
        <v>1519</v>
      </c>
      <c r="B2122" t="s">
        <v>1510</v>
      </c>
      <c r="E2122">
        <v>4</v>
      </c>
      <c r="F2122" t="s">
        <v>3361</v>
      </c>
      <c r="G2122" t="s">
        <v>2746</v>
      </c>
      <c r="H2122" t="s">
        <v>1511</v>
      </c>
      <c r="I2122" t="s">
        <v>1630</v>
      </c>
      <c r="J2122" t="s">
        <v>3369</v>
      </c>
      <c r="K2122" t="s">
        <v>605</v>
      </c>
      <c r="L2122" t="s">
        <v>3375</v>
      </c>
      <c r="M2122" t="s">
        <v>3364</v>
      </c>
      <c r="N2122" t="s">
        <v>3365</v>
      </c>
      <c r="O2122" t="s">
        <v>3366</v>
      </c>
      <c r="P2122" t="s">
        <v>3382</v>
      </c>
    </row>
    <row r="2123" spans="1:16" x14ac:dyDescent="0.3">
      <c r="A2123" t="s">
        <v>1520</v>
      </c>
      <c r="B2123" t="s">
        <v>1510</v>
      </c>
      <c r="E2123">
        <v>4</v>
      </c>
      <c r="F2123" t="s">
        <v>3361</v>
      </c>
      <c r="G2123" t="s">
        <v>2746</v>
      </c>
      <c r="H2123" t="s">
        <v>1511</v>
      </c>
      <c r="I2123" t="s">
        <v>1630</v>
      </c>
      <c r="J2123" t="s">
        <v>3369</v>
      </c>
      <c r="K2123" t="s">
        <v>605</v>
      </c>
      <c r="L2123" t="s">
        <v>3375</v>
      </c>
      <c r="M2123" t="s">
        <v>3364</v>
      </c>
      <c r="N2123" t="s">
        <v>3365</v>
      </c>
      <c r="O2123" t="s">
        <v>3366</v>
      </c>
      <c r="P2123" t="s">
        <v>3382</v>
      </c>
    </row>
    <row r="2124" spans="1:16" x14ac:dyDescent="0.3">
      <c r="A2124" t="s">
        <v>1521</v>
      </c>
      <c r="B2124" t="s">
        <v>1510</v>
      </c>
      <c r="E2124">
        <v>4</v>
      </c>
      <c r="F2124" t="s">
        <v>3361</v>
      </c>
      <c r="G2124" t="s">
        <v>2746</v>
      </c>
      <c r="H2124" t="s">
        <v>1511</v>
      </c>
      <c r="I2124" t="s">
        <v>1630</v>
      </c>
      <c r="J2124" t="s">
        <v>3369</v>
      </c>
      <c r="K2124" t="s">
        <v>605</v>
      </c>
      <c r="L2124" t="s">
        <v>3375</v>
      </c>
      <c r="M2124" t="s">
        <v>3364</v>
      </c>
      <c r="N2124" t="s">
        <v>3365</v>
      </c>
      <c r="O2124" t="s">
        <v>3366</v>
      </c>
      <c r="P2124" t="s">
        <v>3382</v>
      </c>
    </row>
    <row r="2125" spans="1:16" x14ac:dyDescent="0.3">
      <c r="A2125" t="s">
        <v>1522</v>
      </c>
      <c r="B2125" t="s">
        <v>1510</v>
      </c>
      <c r="E2125">
        <v>4</v>
      </c>
      <c r="F2125" t="s">
        <v>3361</v>
      </c>
      <c r="G2125" t="s">
        <v>2746</v>
      </c>
      <c r="H2125" t="s">
        <v>1511</v>
      </c>
      <c r="I2125" t="s">
        <v>1630</v>
      </c>
      <c r="J2125" t="s">
        <v>3369</v>
      </c>
      <c r="K2125" t="s">
        <v>605</v>
      </c>
      <c r="L2125" t="s">
        <v>3375</v>
      </c>
      <c r="M2125" t="s">
        <v>3364</v>
      </c>
      <c r="N2125" t="s">
        <v>3365</v>
      </c>
      <c r="O2125" t="s">
        <v>3366</v>
      </c>
      <c r="P2125" t="s">
        <v>3382</v>
      </c>
    </row>
    <row r="2126" spans="1:16" x14ac:dyDescent="0.3">
      <c r="A2126" t="s">
        <v>1523</v>
      </c>
      <c r="B2126" t="s">
        <v>1510</v>
      </c>
      <c r="E2126">
        <v>4</v>
      </c>
      <c r="F2126" t="s">
        <v>3361</v>
      </c>
      <c r="G2126" t="s">
        <v>2746</v>
      </c>
      <c r="H2126" t="s">
        <v>1511</v>
      </c>
      <c r="I2126" t="s">
        <v>1630</v>
      </c>
      <c r="J2126" t="s">
        <v>3369</v>
      </c>
      <c r="K2126" t="s">
        <v>605</v>
      </c>
      <c r="L2126" t="s">
        <v>3375</v>
      </c>
      <c r="M2126" t="s">
        <v>3364</v>
      </c>
      <c r="N2126" t="s">
        <v>3365</v>
      </c>
      <c r="O2126" t="s">
        <v>3366</v>
      </c>
      <c r="P2126" t="s">
        <v>3382</v>
      </c>
    </row>
    <row r="2127" spans="1:16" x14ac:dyDescent="0.3">
      <c r="A2127" t="s">
        <v>1524</v>
      </c>
      <c r="B2127" t="s">
        <v>1510</v>
      </c>
      <c r="E2127">
        <v>4</v>
      </c>
      <c r="F2127" t="s">
        <v>3361</v>
      </c>
      <c r="G2127" t="s">
        <v>2746</v>
      </c>
      <c r="H2127" t="s">
        <v>1511</v>
      </c>
      <c r="I2127" t="s">
        <v>1630</v>
      </c>
      <c r="J2127" t="s">
        <v>3369</v>
      </c>
      <c r="K2127" t="s">
        <v>605</v>
      </c>
      <c r="L2127" t="s">
        <v>3375</v>
      </c>
      <c r="M2127" t="s">
        <v>3364</v>
      </c>
      <c r="N2127" t="s">
        <v>3365</v>
      </c>
      <c r="O2127" t="s">
        <v>3366</v>
      </c>
      <c r="P2127" t="s">
        <v>3382</v>
      </c>
    </row>
    <row r="2128" spans="1:16" x14ac:dyDescent="0.3">
      <c r="A2128" t="s">
        <v>1525</v>
      </c>
      <c r="B2128" t="s">
        <v>1510</v>
      </c>
      <c r="E2128">
        <v>4</v>
      </c>
      <c r="F2128" t="s">
        <v>3361</v>
      </c>
      <c r="G2128" t="s">
        <v>2746</v>
      </c>
      <c r="H2128" t="s">
        <v>1511</v>
      </c>
      <c r="I2128" t="s">
        <v>1630</v>
      </c>
      <c r="J2128" t="s">
        <v>3369</v>
      </c>
      <c r="K2128" t="s">
        <v>605</v>
      </c>
      <c r="L2128" t="s">
        <v>3375</v>
      </c>
      <c r="M2128" t="s">
        <v>3364</v>
      </c>
      <c r="N2128" t="s">
        <v>3365</v>
      </c>
      <c r="O2128" t="s">
        <v>3366</v>
      </c>
      <c r="P2128" t="s">
        <v>3382</v>
      </c>
    </row>
    <row r="2129" spans="1:16" x14ac:dyDescent="0.3">
      <c r="A2129" t="s">
        <v>1526</v>
      </c>
      <c r="B2129" t="s">
        <v>1510</v>
      </c>
      <c r="E2129">
        <v>4</v>
      </c>
      <c r="F2129" t="s">
        <v>3361</v>
      </c>
      <c r="G2129" t="s">
        <v>2746</v>
      </c>
      <c r="H2129" t="s">
        <v>1511</v>
      </c>
      <c r="I2129" t="s">
        <v>1630</v>
      </c>
      <c r="J2129" t="s">
        <v>3369</v>
      </c>
      <c r="K2129" t="s">
        <v>605</v>
      </c>
      <c r="L2129" t="s">
        <v>3375</v>
      </c>
      <c r="M2129" t="s">
        <v>3364</v>
      </c>
      <c r="N2129" t="s">
        <v>3365</v>
      </c>
      <c r="O2129" t="s">
        <v>3377</v>
      </c>
      <c r="P2129" t="s">
        <v>3382</v>
      </c>
    </row>
    <row r="2130" spans="1:16" x14ac:dyDescent="0.3">
      <c r="A2130" t="s">
        <v>813</v>
      </c>
      <c r="B2130" t="s">
        <v>1527</v>
      </c>
      <c r="E2130">
        <v>4</v>
      </c>
      <c r="F2130" t="s">
        <v>3361</v>
      </c>
      <c r="G2130" t="s">
        <v>2746</v>
      </c>
      <c r="H2130" t="s">
        <v>1528</v>
      </c>
      <c r="I2130" t="s">
        <v>1630</v>
      </c>
      <c r="J2130" t="s">
        <v>3369</v>
      </c>
      <c r="K2130" t="s">
        <v>605</v>
      </c>
      <c r="L2130" t="s">
        <v>3375</v>
      </c>
      <c r="M2130" t="s">
        <v>3364</v>
      </c>
      <c r="N2130" t="s">
        <v>3365</v>
      </c>
      <c r="O2130" t="s">
        <v>3366</v>
      </c>
      <c r="P2130" t="s">
        <v>3382</v>
      </c>
    </row>
    <row r="2131" spans="1:16" x14ac:dyDescent="0.3">
      <c r="A2131" t="s">
        <v>809</v>
      </c>
      <c r="B2131" t="s">
        <v>1527</v>
      </c>
      <c r="E2131">
        <v>4</v>
      </c>
      <c r="F2131" t="s">
        <v>3361</v>
      </c>
      <c r="G2131" t="s">
        <v>2746</v>
      </c>
      <c r="H2131" t="s">
        <v>1528</v>
      </c>
      <c r="I2131" t="s">
        <v>1630</v>
      </c>
      <c r="J2131" t="s">
        <v>3369</v>
      </c>
      <c r="K2131" t="s">
        <v>605</v>
      </c>
      <c r="L2131" t="s">
        <v>3375</v>
      </c>
      <c r="M2131" t="s">
        <v>3364</v>
      </c>
      <c r="N2131" t="s">
        <v>3365</v>
      </c>
      <c r="O2131" t="s">
        <v>3366</v>
      </c>
      <c r="P2131" t="s">
        <v>3382</v>
      </c>
    </row>
    <row r="2132" spans="1:16" x14ac:dyDescent="0.3">
      <c r="A2132" t="s">
        <v>1533</v>
      </c>
      <c r="B2132" t="s">
        <v>1527</v>
      </c>
      <c r="E2132">
        <v>4</v>
      </c>
      <c r="F2132" t="s">
        <v>3361</v>
      </c>
      <c r="G2132" t="s">
        <v>2746</v>
      </c>
      <c r="H2132" t="s">
        <v>1528</v>
      </c>
      <c r="I2132" t="s">
        <v>1630</v>
      </c>
      <c r="J2132" t="s">
        <v>3369</v>
      </c>
      <c r="K2132" t="s">
        <v>605</v>
      </c>
      <c r="L2132" t="s">
        <v>3375</v>
      </c>
      <c r="M2132" t="s">
        <v>3364</v>
      </c>
      <c r="N2132" t="s">
        <v>3365</v>
      </c>
      <c r="O2132" t="s">
        <v>3366</v>
      </c>
      <c r="P2132" t="s">
        <v>3382</v>
      </c>
    </row>
    <row r="2133" spans="1:16" x14ac:dyDescent="0.3">
      <c r="A2133" t="s">
        <v>1534</v>
      </c>
      <c r="B2133" t="s">
        <v>1527</v>
      </c>
      <c r="E2133">
        <v>4</v>
      </c>
      <c r="F2133" t="s">
        <v>3361</v>
      </c>
      <c r="G2133" t="s">
        <v>2746</v>
      </c>
      <c r="H2133" t="s">
        <v>1528</v>
      </c>
      <c r="I2133" t="s">
        <v>1630</v>
      </c>
      <c r="J2133" t="s">
        <v>3369</v>
      </c>
      <c r="K2133" t="s">
        <v>605</v>
      </c>
      <c r="L2133" t="s">
        <v>3375</v>
      </c>
      <c r="M2133" t="s">
        <v>3364</v>
      </c>
      <c r="N2133" t="s">
        <v>3365</v>
      </c>
      <c r="O2133" t="s">
        <v>3366</v>
      </c>
      <c r="P2133" t="s">
        <v>3382</v>
      </c>
    </row>
    <row r="2134" spans="1:16" x14ac:dyDescent="0.3">
      <c r="A2134" t="s">
        <v>1535</v>
      </c>
      <c r="B2134" t="s">
        <v>1527</v>
      </c>
      <c r="E2134">
        <v>4</v>
      </c>
      <c r="F2134" t="s">
        <v>3361</v>
      </c>
      <c r="G2134" t="s">
        <v>2746</v>
      </c>
      <c r="H2134" t="s">
        <v>1528</v>
      </c>
      <c r="I2134" t="s">
        <v>1630</v>
      </c>
      <c r="J2134" t="s">
        <v>3369</v>
      </c>
      <c r="K2134" t="s">
        <v>605</v>
      </c>
      <c r="L2134" t="s">
        <v>3375</v>
      </c>
      <c r="M2134" t="s">
        <v>3364</v>
      </c>
      <c r="N2134" t="s">
        <v>3365</v>
      </c>
      <c r="O2134" t="s">
        <v>3366</v>
      </c>
      <c r="P2134" t="s">
        <v>3382</v>
      </c>
    </row>
    <row r="2135" spans="1:16" x14ac:dyDescent="0.3">
      <c r="A2135" t="s">
        <v>1536</v>
      </c>
      <c r="B2135" t="s">
        <v>1527</v>
      </c>
      <c r="E2135">
        <v>4</v>
      </c>
      <c r="F2135" t="s">
        <v>3361</v>
      </c>
      <c r="G2135" t="s">
        <v>2746</v>
      </c>
      <c r="H2135" t="s">
        <v>1528</v>
      </c>
      <c r="I2135" t="s">
        <v>1630</v>
      </c>
      <c r="J2135" t="s">
        <v>3369</v>
      </c>
      <c r="K2135" t="s">
        <v>605</v>
      </c>
      <c r="L2135" t="s">
        <v>3375</v>
      </c>
      <c r="M2135" t="s">
        <v>3364</v>
      </c>
      <c r="N2135" t="s">
        <v>3365</v>
      </c>
      <c r="O2135" t="s">
        <v>3366</v>
      </c>
      <c r="P2135" t="s">
        <v>3382</v>
      </c>
    </row>
    <row r="2136" spans="1:16" x14ac:dyDescent="0.3">
      <c r="A2136" t="s">
        <v>1537</v>
      </c>
      <c r="B2136" t="s">
        <v>1527</v>
      </c>
      <c r="E2136">
        <v>4</v>
      </c>
      <c r="F2136" t="s">
        <v>3361</v>
      </c>
      <c r="G2136" t="s">
        <v>2746</v>
      </c>
      <c r="H2136" t="s">
        <v>1528</v>
      </c>
      <c r="I2136" t="s">
        <v>1630</v>
      </c>
      <c r="J2136" t="s">
        <v>3369</v>
      </c>
      <c r="K2136" t="s">
        <v>605</v>
      </c>
      <c r="L2136" t="s">
        <v>3375</v>
      </c>
      <c r="M2136" t="s">
        <v>3364</v>
      </c>
      <c r="N2136" t="s">
        <v>3365</v>
      </c>
      <c r="O2136" t="s">
        <v>3366</v>
      </c>
      <c r="P2136" t="s">
        <v>3382</v>
      </c>
    </row>
    <row r="2137" spans="1:16" x14ac:dyDescent="0.3">
      <c r="A2137" t="s">
        <v>749</v>
      </c>
      <c r="B2137" t="s">
        <v>1527</v>
      </c>
      <c r="E2137">
        <v>4</v>
      </c>
      <c r="F2137" t="s">
        <v>3361</v>
      </c>
      <c r="G2137" t="s">
        <v>2746</v>
      </c>
      <c r="H2137" t="s">
        <v>1528</v>
      </c>
      <c r="I2137" t="s">
        <v>1630</v>
      </c>
      <c r="J2137" t="s">
        <v>3369</v>
      </c>
      <c r="K2137" t="s">
        <v>605</v>
      </c>
      <c r="L2137" t="s">
        <v>3375</v>
      </c>
      <c r="M2137" t="s">
        <v>3364</v>
      </c>
      <c r="N2137" t="s">
        <v>3365</v>
      </c>
      <c r="O2137" t="s">
        <v>3366</v>
      </c>
      <c r="P2137" t="s">
        <v>3382</v>
      </c>
    </row>
    <row r="2138" spans="1:16" x14ac:dyDescent="0.3">
      <c r="A2138" t="s">
        <v>1538</v>
      </c>
      <c r="B2138" t="s">
        <v>1527</v>
      </c>
      <c r="E2138">
        <v>4</v>
      </c>
      <c r="F2138" t="s">
        <v>3361</v>
      </c>
      <c r="G2138" t="s">
        <v>2746</v>
      </c>
      <c r="H2138" t="s">
        <v>1528</v>
      </c>
      <c r="I2138" t="s">
        <v>1630</v>
      </c>
      <c r="J2138" t="s">
        <v>3369</v>
      </c>
      <c r="K2138" t="s">
        <v>605</v>
      </c>
      <c r="L2138" t="s">
        <v>3375</v>
      </c>
      <c r="M2138" t="s">
        <v>3364</v>
      </c>
      <c r="N2138" t="s">
        <v>3365</v>
      </c>
      <c r="O2138" t="s">
        <v>3366</v>
      </c>
      <c r="P2138" t="s">
        <v>3382</v>
      </c>
    </row>
    <row r="2139" spans="1:16" x14ac:dyDescent="0.3">
      <c r="A2139" t="s">
        <v>1539</v>
      </c>
      <c r="B2139" t="s">
        <v>1527</v>
      </c>
      <c r="E2139">
        <v>4</v>
      </c>
      <c r="F2139" t="s">
        <v>3361</v>
      </c>
      <c r="G2139" t="s">
        <v>2746</v>
      </c>
      <c r="H2139" t="s">
        <v>1528</v>
      </c>
      <c r="I2139" t="s">
        <v>1630</v>
      </c>
      <c r="J2139" t="s">
        <v>3369</v>
      </c>
      <c r="K2139" t="s">
        <v>605</v>
      </c>
      <c r="L2139" t="s">
        <v>3375</v>
      </c>
      <c r="M2139" t="s">
        <v>3364</v>
      </c>
      <c r="N2139" t="s">
        <v>3365</v>
      </c>
      <c r="O2139" t="s">
        <v>3366</v>
      </c>
      <c r="P2139" t="s">
        <v>3382</v>
      </c>
    </row>
    <row r="2140" spans="1:16" x14ac:dyDescent="0.3">
      <c r="A2140" t="s">
        <v>1452</v>
      </c>
      <c r="B2140" t="s">
        <v>1527</v>
      </c>
      <c r="E2140">
        <v>4</v>
      </c>
      <c r="F2140" t="s">
        <v>3361</v>
      </c>
      <c r="G2140" t="s">
        <v>2746</v>
      </c>
      <c r="H2140" t="s">
        <v>1528</v>
      </c>
      <c r="I2140" t="s">
        <v>1630</v>
      </c>
      <c r="J2140" t="s">
        <v>3369</v>
      </c>
      <c r="K2140" t="s">
        <v>605</v>
      </c>
      <c r="L2140" t="s">
        <v>3375</v>
      </c>
      <c r="M2140" t="s">
        <v>3364</v>
      </c>
      <c r="N2140" t="s">
        <v>3365</v>
      </c>
      <c r="O2140" t="s">
        <v>3366</v>
      </c>
      <c r="P2140" t="s">
        <v>3382</v>
      </c>
    </row>
    <row r="2141" spans="1:16" x14ac:dyDescent="0.3">
      <c r="A2141" t="s">
        <v>1540</v>
      </c>
      <c r="B2141" t="s">
        <v>1527</v>
      </c>
      <c r="E2141">
        <v>4</v>
      </c>
      <c r="F2141" t="s">
        <v>3361</v>
      </c>
      <c r="G2141" t="s">
        <v>2746</v>
      </c>
      <c r="H2141" t="s">
        <v>1528</v>
      </c>
      <c r="I2141" t="s">
        <v>1630</v>
      </c>
      <c r="J2141" t="s">
        <v>3369</v>
      </c>
      <c r="K2141" t="s">
        <v>605</v>
      </c>
      <c r="L2141" t="s">
        <v>3375</v>
      </c>
      <c r="M2141" t="s">
        <v>3364</v>
      </c>
      <c r="N2141" t="s">
        <v>3365</v>
      </c>
      <c r="O2141" t="s">
        <v>3366</v>
      </c>
      <c r="P2141" t="s">
        <v>3382</v>
      </c>
    </row>
    <row r="2142" spans="1:16" x14ac:dyDescent="0.3">
      <c r="A2142" t="s">
        <v>1541</v>
      </c>
      <c r="B2142" t="s">
        <v>1527</v>
      </c>
      <c r="E2142">
        <v>4</v>
      </c>
      <c r="F2142" t="s">
        <v>3361</v>
      </c>
      <c r="G2142" t="s">
        <v>2746</v>
      </c>
      <c r="H2142" t="s">
        <v>1528</v>
      </c>
      <c r="I2142" t="s">
        <v>1630</v>
      </c>
      <c r="J2142" t="s">
        <v>3369</v>
      </c>
      <c r="K2142" t="s">
        <v>605</v>
      </c>
      <c r="L2142" t="s">
        <v>3375</v>
      </c>
      <c r="M2142" t="s">
        <v>3364</v>
      </c>
      <c r="N2142" t="s">
        <v>3365</v>
      </c>
      <c r="O2142" t="s">
        <v>3366</v>
      </c>
      <c r="P2142" t="s">
        <v>3382</v>
      </c>
    </row>
    <row r="2143" spans="1:16" x14ac:dyDescent="0.3">
      <c r="A2143" t="s">
        <v>1447</v>
      </c>
      <c r="B2143" t="s">
        <v>1527</v>
      </c>
      <c r="E2143">
        <v>4</v>
      </c>
      <c r="F2143" t="s">
        <v>3361</v>
      </c>
      <c r="G2143" t="s">
        <v>2746</v>
      </c>
      <c r="H2143" t="s">
        <v>1528</v>
      </c>
      <c r="I2143" t="s">
        <v>1630</v>
      </c>
      <c r="J2143" t="s">
        <v>3369</v>
      </c>
      <c r="K2143" t="s">
        <v>605</v>
      </c>
      <c r="L2143" t="s">
        <v>3375</v>
      </c>
      <c r="M2143" t="s">
        <v>3364</v>
      </c>
      <c r="N2143" t="s">
        <v>3365</v>
      </c>
      <c r="O2143" t="s">
        <v>3366</v>
      </c>
      <c r="P2143" t="s">
        <v>3382</v>
      </c>
    </row>
    <row r="2144" spans="1:16" x14ac:dyDescent="0.3">
      <c r="A2144" t="s">
        <v>1453</v>
      </c>
      <c r="B2144" t="s">
        <v>1527</v>
      </c>
      <c r="E2144">
        <v>4</v>
      </c>
      <c r="F2144" t="s">
        <v>3361</v>
      </c>
      <c r="G2144" t="s">
        <v>2746</v>
      </c>
      <c r="H2144" t="s">
        <v>1528</v>
      </c>
      <c r="I2144" t="s">
        <v>1630</v>
      </c>
      <c r="J2144" t="s">
        <v>3369</v>
      </c>
      <c r="K2144" t="s">
        <v>605</v>
      </c>
      <c r="L2144" t="s">
        <v>3375</v>
      </c>
      <c r="M2144" t="s">
        <v>3364</v>
      </c>
      <c r="N2144" t="s">
        <v>3365</v>
      </c>
      <c r="O2144" t="s">
        <v>3366</v>
      </c>
      <c r="P2144" t="s">
        <v>3382</v>
      </c>
    </row>
    <row r="2145" spans="1:16" x14ac:dyDescent="0.3">
      <c r="A2145" t="s">
        <v>1542</v>
      </c>
      <c r="B2145" t="s">
        <v>1527</v>
      </c>
      <c r="E2145">
        <v>4</v>
      </c>
      <c r="F2145" t="s">
        <v>3361</v>
      </c>
      <c r="G2145" t="s">
        <v>2746</v>
      </c>
      <c r="H2145" t="s">
        <v>1528</v>
      </c>
      <c r="I2145" t="s">
        <v>1630</v>
      </c>
      <c r="J2145" t="s">
        <v>3369</v>
      </c>
      <c r="K2145" t="s">
        <v>605</v>
      </c>
      <c r="L2145" t="s">
        <v>3375</v>
      </c>
      <c r="M2145" t="s">
        <v>3364</v>
      </c>
      <c r="N2145" t="s">
        <v>3365</v>
      </c>
      <c r="O2145" t="s">
        <v>3366</v>
      </c>
      <c r="P2145" t="s">
        <v>3382</v>
      </c>
    </row>
    <row r="2146" spans="1:16" x14ac:dyDescent="0.3">
      <c r="A2146" t="s">
        <v>1543</v>
      </c>
      <c r="B2146" t="s">
        <v>1527</v>
      </c>
      <c r="E2146">
        <v>4</v>
      </c>
      <c r="F2146" t="s">
        <v>3361</v>
      </c>
      <c r="G2146" t="s">
        <v>2746</v>
      </c>
      <c r="H2146" t="s">
        <v>1528</v>
      </c>
      <c r="I2146" t="s">
        <v>1630</v>
      </c>
      <c r="J2146" t="s">
        <v>3369</v>
      </c>
      <c r="K2146" t="s">
        <v>605</v>
      </c>
      <c r="L2146" t="s">
        <v>3375</v>
      </c>
      <c r="M2146" t="s">
        <v>3364</v>
      </c>
      <c r="N2146" t="s">
        <v>3365</v>
      </c>
      <c r="O2146" t="s">
        <v>3366</v>
      </c>
      <c r="P2146" t="s">
        <v>3382</v>
      </c>
    </row>
    <row r="2147" spans="1:16" x14ac:dyDescent="0.3">
      <c r="A2147" t="s">
        <v>1544</v>
      </c>
      <c r="B2147" t="s">
        <v>1527</v>
      </c>
      <c r="E2147">
        <v>4</v>
      </c>
      <c r="F2147" t="s">
        <v>3361</v>
      </c>
      <c r="G2147" t="s">
        <v>2746</v>
      </c>
      <c r="H2147" t="s">
        <v>1528</v>
      </c>
      <c r="I2147" t="s">
        <v>1630</v>
      </c>
      <c r="J2147" t="s">
        <v>3369</v>
      </c>
      <c r="K2147" t="s">
        <v>605</v>
      </c>
      <c r="L2147" t="s">
        <v>3375</v>
      </c>
      <c r="M2147" t="s">
        <v>3364</v>
      </c>
      <c r="N2147" t="s">
        <v>3365</v>
      </c>
      <c r="O2147" t="s">
        <v>3366</v>
      </c>
      <c r="P2147" t="s">
        <v>3382</v>
      </c>
    </row>
    <row r="2148" spans="1:16" x14ac:dyDescent="0.3">
      <c r="A2148" t="s">
        <v>1545</v>
      </c>
      <c r="B2148" t="s">
        <v>1527</v>
      </c>
      <c r="E2148">
        <v>4</v>
      </c>
      <c r="F2148" t="s">
        <v>3361</v>
      </c>
      <c r="G2148" t="s">
        <v>2746</v>
      </c>
      <c r="H2148" t="s">
        <v>1528</v>
      </c>
      <c r="I2148" t="s">
        <v>1630</v>
      </c>
      <c r="J2148" t="s">
        <v>3369</v>
      </c>
      <c r="K2148" t="s">
        <v>605</v>
      </c>
      <c r="L2148" t="s">
        <v>3375</v>
      </c>
      <c r="M2148" t="s">
        <v>3364</v>
      </c>
      <c r="N2148" t="s">
        <v>3365</v>
      </c>
      <c r="O2148" t="s">
        <v>3366</v>
      </c>
      <c r="P2148" t="s">
        <v>3382</v>
      </c>
    </row>
    <row r="2149" spans="1:16" x14ac:dyDescent="0.3">
      <c r="A2149" t="s">
        <v>1546</v>
      </c>
      <c r="B2149" t="s">
        <v>1527</v>
      </c>
      <c r="E2149">
        <v>4</v>
      </c>
      <c r="F2149" t="s">
        <v>3361</v>
      </c>
      <c r="G2149" t="s">
        <v>2746</v>
      </c>
      <c r="H2149" t="s">
        <v>1528</v>
      </c>
      <c r="I2149" t="s">
        <v>1630</v>
      </c>
      <c r="J2149" t="s">
        <v>3369</v>
      </c>
      <c r="K2149" t="s">
        <v>605</v>
      </c>
      <c r="L2149" t="s">
        <v>3375</v>
      </c>
      <c r="M2149" t="s">
        <v>3364</v>
      </c>
      <c r="N2149" t="s">
        <v>3365</v>
      </c>
      <c r="O2149" t="s">
        <v>3366</v>
      </c>
      <c r="P2149" t="s">
        <v>3382</v>
      </c>
    </row>
    <row r="2150" spans="1:16" x14ac:dyDescent="0.3">
      <c r="A2150" t="s">
        <v>1547</v>
      </c>
      <c r="B2150" t="s">
        <v>1527</v>
      </c>
      <c r="E2150">
        <v>4</v>
      </c>
      <c r="F2150" t="s">
        <v>3361</v>
      </c>
      <c r="G2150" t="s">
        <v>2746</v>
      </c>
      <c r="H2150" t="s">
        <v>1528</v>
      </c>
      <c r="I2150" t="s">
        <v>1630</v>
      </c>
      <c r="J2150" t="s">
        <v>3369</v>
      </c>
      <c r="K2150" t="s">
        <v>605</v>
      </c>
      <c r="L2150" t="s">
        <v>3375</v>
      </c>
      <c r="M2150" t="s">
        <v>3364</v>
      </c>
      <c r="N2150" t="s">
        <v>3365</v>
      </c>
      <c r="O2150" t="s">
        <v>3366</v>
      </c>
      <c r="P2150" t="s">
        <v>3382</v>
      </c>
    </row>
    <row r="2151" spans="1:16" x14ac:dyDescent="0.3">
      <c r="A2151" t="s">
        <v>1548</v>
      </c>
      <c r="B2151" t="s">
        <v>1527</v>
      </c>
      <c r="E2151">
        <v>4</v>
      </c>
      <c r="F2151" t="s">
        <v>3361</v>
      </c>
      <c r="G2151" t="s">
        <v>2746</v>
      </c>
      <c r="H2151" t="s">
        <v>1528</v>
      </c>
      <c r="I2151" t="s">
        <v>1630</v>
      </c>
      <c r="J2151" t="s">
        <v>3369</v>
      </c>
      <c r="K2151" t="s">
        <v>605</v>
      </c>
      <c r="L2151" t="s">
        <v>3375</v>
      </c>
      <c r="M2151" t="s">
        <v>3364</v>
      </c>
      <c r="N2151" t="s">
        <v>3365</v>
      </c>
      <c r="O2151" t="s">
        <v>3366</v>
      </c>
      <c r="P2151" t="s">
        <v>3382</v>
      </c>
    </row>
    <row r="2152" spans="1:16" x14ac:dyDescent="0.3">
      <c r="A2152" t="s">
        <v>1549</v>
      </c>
      <c r="B2152" t="s">
        <v>1527</v>
      </c>
      <c r="E2152">
        <v>4</v>
      </c>
      <c r="F2152" t="s">
        <v>3361</v>
      </c>
      <c r="G2152" t="s">
        <v>2746</v>
      </c>
      <c r="H2152" t="s">
        <v>1528</v>
      </c>
      <c r="I2152" t="s">
        <v>1630</v>
      </c>
      <c r="J2152" t="s">
        <v>3369</v>
      </c>
      <c r="K2152" t="s">
        <v>605</v>
      </c>
      <c r="L2152" t="s">
        <v>3375</v>
      </c>
      <c r="M2152" t="s">
        <v>3364</v>
      </c>
      <c r="N2152" t="s">
        <v>3365</v>
      </c>
      <c r="O2152" t="s">
        <v>3366</v>
      </c>
      <c r="P2152" t="s">
        <v>3382</v>
      </c>
    </row>
    <row r="2153" spans="1:16" x14ac:dyDescent="0.3">
      <c r="A2153" t="s">
        <v>1550</v>
      </c>
      <c r="B2153" t="s">
        <v>1527</v>
      </c>
      <c r="E2153">
        <v>4</v>
      </c>
      <c r="F2153" t="s">
        <v>3361</v>
      </c>
      <c r="G2153" t="s">
        <v>2746</v>
      </c>
      <c r="H2153" t="s">
        <v>1528</v>
      </c>
      <c r="I2153" t="s">
        <v>1630</v>
      </c>
      <c r="J2153" t="s">
        <v>3369</v>
      </c>
      <c r="K2153" t="s">
        <v>605</v>
      </c>
      <c r="L2153" t="s">
        <v>3375</v>
      </c>
      <c r="M2153" t="s">
        <v>3364</v>
      </c>
      <c r="N2153" t="s">
        <v>3365</v>
      </c>
      <c r="O2153" t="s">
        <v>3366</v>
      </c>
      <c r="P2153" t="s">
        <v>3382</v>
      </c>
    </row>
    <row r="2154" spans="1:16" x14ac:dyDescent="0.3">
      <c r="A2154" t="s">
        <v>1551</v>
      </c>
      <c r="B2154" t="s">
        <v>1527</v>
      </c>
      <c r="E2154">
        <v>4</v>
      </c>
      <c r="F2154" t="s">
        <v>3361</v>
      </c>
      <c r="G2154" t="s">
        <v>2746</v>
      </c>
      <c r="H2154" t="s">
        <v>1528</v>
      </c>
      <c r="I2154" t="s">
        <v>1630</v>
      </c>
      <c r="J2154" t="s">
        <v>3369</v>
      </c>
      <c r="K2154" t="s">
        <v>605</v>
      </c>
      <c r="L2154" t="s">
        <v>3375</v>
      </c>
      <c r="M2154" t="s">
        <v>3364</v>
      </c>
      <c r="N2154" t="s">
        <v>3365</v>
      </c>
      <c r="O2154" t="s">
        <v>3366</v>
      </c>
      <c r="P2154" t="s">
        <v>3382</v>
      </c>
    </row>
    <row r="2155" spans="1:16" x14ac:dyDescent="0.3">
      <c r="A2155" t="s">
        <v>1552</v>
      </c>
      <c r="B2155" t="s">
        <v>1527</v>
      </c>
      <c r="E2155">
        <v>4</v>
      </c>
      <c r="F2155" t="s">
        <v>3361</v>
      </c>
      <c r="G2155" t="s">
        <v>2746</v>
      </c>
      <c r="H2155" t="s">
        <v>1528</v>
      </c>
      <c r="I2155" t="s">
        <v>1630</v>
      </c>
      <c r="J2155" t="s">
        <v>3369</v>
      </c>
      <c r="K2155" t="s">
        <v>605</v>
      </c>
      <c r="L2155" t="s">
        <v>3375</v>
      </c>
      <c r="M2155" t="s">
        <v>3364</v>
      </c>
      <c r="N2155" t="s">
        <v>3365</v>
      </c>
      <c r="O2155" t="s">
        <v>3366</v>
      </c>
      <c r="P2155" t="s">
        <v>3382</v>
      </c>
    </row>
    <row r="2156" spans="1:16" x14ac:dyDescent="0.3">
      <c r="A2156" t="s">
        <v>1553</v>
      </c>
      <c r="B2156" t="s">
        <v>1527</v>
      </c>
      <c r="E2156">
        <v>4</v>
      </c>
      <c r="F2156" t="s">
        <v>3361</v>
      </c>
      <c r="G2156" t="s">
        <v>2746</v>
      </c>
      <c r="H2156" t="s">
        <v>1528</v>
      </c>
      <c r="I2156" t="s">
        <v>1630</v>
      </c>
      <c r="J2156" t="s">
        <v>3369</v>
      </c>
      <c r="K2156" t="s">
        <v>605</v>
      </c>
      <c r="L2156" t="s">
        <v>3375</v>
      </c>
      <c r="M2156" t="s">
        <v>3364</v>
      </c>
      <c r="N2156" t="s">
        <v>3365</v>
      </c>
      <c r="O2156" t="s">
        <v>3366</v>
      </c>
      <c r="P2156" t="s">
        <v>3382</v>
      </c>
    </row>
    <row r="2157" spans="1:16" x14ac:dyDescent="0.3">
      <c r="A2157" t="s">
        <v>1554</v>
      </c>
      <c r="B2157" t="s">
        <v>1555</v>
      </c>
      <c r="E2157">
        <v>3</v>
      </c>
      <c r="F2157" t="s">
        <v>3361</v>
      </c>
      <c r="G2157" t="s">
        <v>2746</v>
      </c>
      <c r="H2157" t="s">
        <v>337</v>
      </c>
      <c r="I2157" t="s">
        <v>1630</v>
      </c>
      <c r="J2157" t="s">
        <v>3369</v>
      </c>
      <c r="K2157" t="s">
        <v>605</v>
      </c>
      <c r="L2157" t="s">
        <v>3375</v>
      </c>
      <c r="M2157" t="s">
        <v>3364</v>
      </c>
      <c r="N2157" t="s">
        <v>3365</v>
      </c>
      <c r="O2157" t="s">
        <v>3366</v>
      </c>
      <c r="P2157" t="s">
        <v>3382</v>
      </c>
    </row>
    <row r="2158" spans="1:16" x14ac:dyDescent="0.3">
      <c r="A2158" t="s">
        <v>1560</v>
      </c>
      <c r="B2158" t="s">
        <v>1555</v>
      </c>
      <c r="E2158">
        <v>3</v>
      </c>
      <c r="F2158" t="s">
        <v>3361</v>
      </c>
      <c r="G2158" t="s">
        <v>2746</v>
      </c>
      <c r="H2158" t="s">
        <v>337</v>
      </c>
      <c r="I2158" t="s">
        <v>1630</v>
      </c>
      <c r="J2158" t="s">
        <v>3369</v>
      </c>
      <c r="K2158" t="s">
        <v>605</v>
      </c>
      <c r="L2158" t="s">
        <v>3375</v>
      </c>
      <c r="M2158" t="s">
        <v>3364</v>
      </c>
      <c r="N2158" t="s">
        <v>3365</v>
      </c>
      <c r="O2158" t="s">
        <v>3366</v>
      </c>
      <c r="P2158" t="s">
        <v>3382</v>
      </c>
    </row>
    <row r="2159" spans="1:16" x14ac:dyDescent="0.3">
      <c r="A2159" t="s">
        <v>1561</v>
      </c>
      <c r="B2159" t="s">
        <v>1555</v>
      </c>
      <c r="E2159">
        <v>3</v>
      </c>
      <c r="F2159" t="s">
        <v>3361</v>
      </c>
      <c r="G2159" t="s">
        <v>2746</v>
      </c>
      <c r="H2159" t="s">
        <v>337</v>
      </c>
      <c r="I2159" t="s">
        <v>1630</v>
      </c>
      <c r="J2159" t="s">
        <v>3369</v>
      </c>
      <c r="K2159" t="s">
        <v>605</v>
      </c>
      <c r="L2159" t="s">
        <v>3375</v>
      </c>
      <c r="M2159" t="s">
        <v>3364</v>
      </c>
      <c r="N2159" t="s">
        <v>3365</v>
      </c>
      <c r="O2159" t="s">
        <v>3366</v>
      </c>
      <c r="P2159" t="s">
        <v>3382</v>
      </c>
    </row>
    <row r="2160" spans="1:16" x14ac:dyDescent="0.3">
      <c r="A2160" t="s">
        <v>1562</v>
      </c>
      <c r="B2160" t="s">
        <v>1555</v>
      </c>
      <c r="E2160">
        <v>3</v>
      </c>
      <c r="F2160" t="s">
        <v>3361</v>
      </c>
      <c r="G2160" t="s">
        <v>2746</v>
      </c>
      <c r="H2160" t="s">
        <v>337</v>
      </c>
      <c r="I2160" t="s">
        <v>1630</v>
      </c>
      <c r="J2160" t="s">
        <v>3369</v>
      </c>
      <c r="K2160" t="s">
        <v>605</v>
      </c>
      <c r="L2160" t="s">
        <v>3375</v>
      </c>
      <c r="M2160" t="s">
        <v>3364</v>
      </c>
      <c r="N2160" t="s">
        <v>3365</v>
      </c>
      <c r="O2160" t="s">
        <v>3366</v>
      </c>
      <c r="P2160" t="s">
        <v>3382</v>
      </c>
    </row>
    <row r="2161" spans="1:16" x14ac:dyDescent="0.3">
      <c r="A2161" t="s">
        <v>1563</v>
      </c>
      <c r="B2161" t="s">
        <v>1555</v>
      </c>
      <c r="E2161">
        <v>3</v>
      </c>
      <c r="F2161" t="s">
        <v>3361</v>
      </c>
      <c r="G2161" t="s">
        <v>2746</v>
      </c>
      <c r="H2161" t="s">
        <v>337</v>
      </c>
      <c r="I2161" t="s">
        <v>1630</v>
      </c>
      <c r="J2161" t="s">
        <v>3369</v>
      </c>
      <c r="K2161" t="s">
        <v>605</v>
      </c>
      <c r="L2161" t="s">
        <v>3375</v>
      </c>
      <c r="M2161" t="s">
        <v>3364</v>
      </c>
      <c r="N2161" t="s">
        <v>3365</v>
      </c>
      <c r="O2161" t="s">
        <v>3366</v>
      </c>
      <c r="P2161" t="s">
        <v>3382</v>
      </c>
    </row>
    <row r="2162" spans="1:16" x14ac:dyDescent="0.3">
      <c r="A2162" t="s">
        <v>1564</v>
      </c>
      <c r="B2162" t="s">
        <v>1555</v>
      </c>
      <c r="E2162">
        <v>3</v>
      </c>
      <c r="F2162" t="s">
        <v>3361</v>
      </c>
      <c r="G2162" t="s">
        <v>2746</v>
      </c>
      <c r="H2162" t="s">
        <v>337</v>
      </c>
      <c r="I2162" t="s">
        <v>1630</v>
      </c>
      <c r="J2162" t="s">
        <v>3369</v>
      </c>
      <c r="K2162" t="s">
        <v>605</v>
      </c>
      <c r="L2162" t="s">
        <v>3375</v>
      </c>
      <c r="M2162" t="s">
        <v>3364</v>
      </c>
      <c r="N2162" t="s">
        <v>3365</v>
      </c>
      <c r="O2162" t="s">
        <v>3366</v>
      </c>
      <c r="P2162" t="s">
        <v>3382</v>
      </c>
    </row>
    <row r="2163" spans="1:16" x14ac:dyDescent="0.3">
      <c r="A2163" t="s">
        <v>1565</v>
      </c>
      <c r="B2163" t="s">
        <v>1555</v>
      </c>
      <c r="E2163">
        <v>3</v>
      </c>
      <c r="F2163" t="s">
        <v>3361</v>
      </c>
      <c r="G2163" t="s">
        <v>2746</v>
      </c>
      <c r="H2163" t="s">
        <v>337</v>
      </c>
      <c r="I2163" t="s">
        <v>1630</v>
      </c>
      <c r="J2163" t="s">
        <v>3369</v>
      </c>
      <c r="K2163" t="s">
        <v>605</v>
      </c>
      <c r="L2163" t="s">
        <v>3375</v>
      </c>
      <c r="M2163" t="s">
        <v>3364</v>
      </c>
      <c r="N2163" t="s">
        <v>3365</v>
      </c>
      <c r="O2163" t="s">
        <v>3366</v>
      </c>
      <c r="P2163" t="s">
        <v>3382</v>
      </c>
    </row>
    <row r="2164" spans="1:16" x14ac:dyDescent="0.3">
      <c r="A2164" t="s">
        <v>1566</v>
      </c>
      <c r="B2164" t="s">
        <v>1555</v>
      </c>
      <c r="E2164">
        <v>3</v>
      </c>
      <c r="F2164" t="s">
        <v>3361</v>
      </c>
      <c r="G2164" t="s">
        <v>2746</v>
      </c>
      <c r="H2164" t="s">
        <v>337</v>
      </c>
      <c r="I2164" t="s">
        <v>1630</v>
      </c>
      <c r="J2164" t="s">
        <v>3369</v>
      </c>
      <c r="K2164" t="s">
        <v>605</v>
      </c>
      <c r="L2164" t="s">
        <v>3375</v>
      </c>
      <c r="M2164" t="s">
        <v>3364</v>
      </c>
      <c r="N2164" t="s">
        <v>3365</v>
      </c>
      <c r="O2164" t="s">
        <v>3366</v>
      </c>
      <c r="P2164" t="s">
        <v>3382</v>
      </c>
    </row>
    <row r="2165" spans="1:16" x14ac:dyDescent="0.3">
      <c r="A2165" t="s">
        <v>360</v>
      </c>
      <c r="B2165" t="s">
        <v>1555</v>
      </c>
      <c r="E2165">
        <v>3</v>
      </c>
      <c r="F2165" t="s">
        <v>3361</v>
      </c>
      <c r="G2165" t="s">
        <v>2746</v>
      </c>
      <c r="H2165" t="s">
        <v>341</v>
      </c>
      <c r="I2165" t="s">
        <v>1630</v>
      </c>
      <c r="J2165" t="s">
        <v>3362</v>
      </c>
      <c r="K2165" t="s">
        <v>605</v>
      </c>
      <c r="L2165" t="s">
        <v>3375</v>
      </c>
      <c r="M2165" t="s">
        <v>3364</v>
      </c>
      <c r="N2165" t="s">
        <v>3365</v>
      </c>
      <c r="O2165" t="s">
        <v>3366</v>
      </c>
      <c r="P2165" t="s">
        <v>3367</v>
      </c>
    </row>
    <row r="2166" spans="1:16" x14ac:dyDescent="0.3">
      <c r="A2166" t="s">
        <v>696</v>
      </c>
      <c r="B2166" t="s">
        <v>1555</v>
      </c>
      <c r="E2166">
        <v>3</v>
      </c>
      <c r="F2166" t="s">
        <v>3361</v>
      </c>
      <c r="G2166" t="s">
        <v>2746</v>
      </c>
      <c r="H2166" t="s">
        <v>341</v>
      </c>
      <c r="I2166" t="s">
        <v>1630</v>
      </c>
      <c r="J2166" t="s">
        <v>3369</v>
      </c>
      <c r="K2166" t="s">
        <v>605</v>
      </c>
      <c r="L2166" t="s">
        <v>3375</v>
      </c>
      <c r="M2166" t="s">
        <v>3364</v>
      </c>
      <c r="N2166" t="s">
        <v>3365</v>
      </c>
      <c r="O2166" t="s">
        <v>3366</v>
      </c>
      <c r="P2166" t="s">
        <v>3382</v>
      </c>
    </row>
    <row r="2167" spans="1:16" x14ac:dyDescent="0.3">
      <c r="A2167" t="s">
        <v>1567</v>
      </c>
      <c r="B2167" t="s">
        <v>1555</v>
      </c>
      <c r="E2167">
        <v>3</v>
      </c>
      <c r="F2167" t="s">
        <v>3361</v>
      </c>
      <c r="G2167" t="s">
        <v>2746</v>
      </c>
      <c r="H2167" t="s">
        <v>341</v>
      </c>
      <c r="I2167" t="s">
        <v>1630</v>
      </c>
      <c r="J2167" t="s">
        <v>3369</v>
      </c>
      <c r="K2167" t="s">
        <v>605</v>
      </c>
      <c r="L2167" t="s">
        <v>3375</v>
      </c>
      <c r="M2167" t="s">
        <v>3364</v>
      </c>
      <c r="N2167" t="s">
        <v>3365</v>
      </c>
      <c r="O2167" t="s">
        <v>3366</v>
      </c>
      <c r="P2167" t="s">
        <v>3382</v>
      </c>
    </row>
    <row r="2168" spans="1:16" x14ac:dyDescent="0.3">
      <c r="A2168" t="s">
        <v>1031</v>
      </c>
      <c r="B2168" t="s">
        <v>1555</v>
      </c>
      <c r="E2168">
        <v>3</v>
      </c>
      <c r="F2168" t="s">
        <v>3361</v>
      </c>
      <c r="G2168" t="s">
        <v>2746</v>
      </c>
      <c r="H2168" t="s">
        <v>341</v>
      </c>
      <c r="I2168" t="s">
        <v>1630</v>
      </c>
      <c r="J2168" t="s">
        <v>3369</v>
      </c>
      <c r="K2168" t="s">
        <v>605</v>
      </c>
      <c r="L2168" t="s">
        <v>3375</v>
      </c>
      <c r="M2168" t="s">
        <v>3364</v>
      </c>
      <c r="N2168" t="s">
        <v>3365</v>
      </c>
      <c r="O2168" t="s">
        <v>3366</v>
      </c>
      <c r="P2168" t="s">
        <v>3382</v>
      </c>
    </row>
    <row r="2169" spans="1:16" x14ac:dyDescent="0.3">
      <c r="A2169" t="s">
        <v>1568</v>
      </c>
      <c r="B2169" t="s">
        <v>1555</v>
      </c>
      <c r="E2169">
        <v>3</v>
      </c>
      <c r="F2169" t="s">
        <v>3361</v>
      </c>
      <c r="G2169" t="s">
        <v>2746</v>
      </c>
      <c r="H2169" t="s">
        <v>341</v>
      </c>
      <c r="I2169" t="s">
        <v>1630</v>
      </c>
      <c r="J2169" t="s">
        <v>3369</v>
      </c>
      <c r="K2169" t="s">
        <v>605</v>
      </c>
      <c r="L2169" t="s">
        <v>3375</v>
      </c>
      <c r="M2169" t="s">
        <v>3364</v>
      </c>
      <c r="N2169" t="s">
        <v>3365</v>
      </c>
      <c r="O2169" t="s">
        <v>3366</v>
      </c>
      <c r="P2169" t="s">
        <v>3382</v>
      </c>
    </row>
    <row r="2170" spans="1:16" x14ac:dyDescent="0.3">
      <c r="A2170" t="s">
        <v>1569</v>
      </c>
      <c r="B2170" t="s">
        <v>1555</v>
      </c>
      <c r="E2170">
        <v>3</v>
      </c>
      <c r="F2170" t="s">
        <v>3361</v>
      </c>
      <c r="G2170" t="s">
        <v>2746</v>
      </c>
      <c r="H2170" t="s">
        <v>341</v>
      </c>
      <c r="I2170" t="s">
        <v>1630</v>
      </c>
      <c r="J2170" t="s">
        <v>3369</v>
      </c>
      <c r="K2170" t="s">
        <v>605</v>
      </c>
      <c r="L2170" t="s">
        <v>3375</v>
      </c>
      <c r="M2170" t="s">
        <v>3364</v>
      </c>
      <c r="N2170" t="s">
        <v>3365</v>
      </c>
      <c r="O2170" t="s">
        <v>3366</v>
      </c>
      <c r="P2170" t="s">
        <v>3382</v>
      </c>
    </row>
    <row r="2171" spans="1:16" x14ac:dyDescent="0.3">
      <c r="A2171" t="s">
        <v>1570</v>
      </c>
      <c r="B2171" t="s">
        <v>1555</v>
      </c>
      <c r="E2171">
        <v>3</v>
      </c>
      <c r="F2171" t="s">
        <v>3361</v>
      </c>
      <c r="G2171" t="s">
        <v>2746</v>
      </c>
      <c r="H2171" t="s">
        <v>341</v>
      </c>
      <c r="I2171" t="s">
        <v>1630</v>
      </c>
      <c r="J2171" t="s">
        <v>3369</v>
      </c>
      <c r="K2171" t="s">
        <v>605</v>
      </c>
      <c r="L2171" t="s">
        <v>3375</v>
      </c>
      <c r="M2171" t="s">
        <v>3364</v>
      </c>
      <c r="N2171" t="s">
        <v>3365</v>
      </c>
      <c r="O2171" t="s">
        <v>3366</v>
      </c>
      <c r="P2171" t="s">
        <v>3382</v>
      </c>
    </row>
    <row r="2172" spans="1:16" x14ac:dyDescent="0.3">
      <c r="A2172" t="s">
        <v>1571</v>
      </c>
      <c r="B2172" t="s">
        <v>1555</v>
      </c>
      <c r="E2172">
        <v>3</v>
      </c>
      <c r="F2172" t="s">
        <v>3361</v>
      </c>
      <c r="G2172" t="s">
        <v>2746</v>
      </c>
      <c r="H2172" t="s">
        <v>343</v>
      </c>
      <c r="I2172" t="s">
        <v>1630</v>
      </c>
      <c r="J2172" t="s">
        <v>3369</v>
      </c>
      <c r="K2172" t="s">
        <v>605</v>
      </c>
      <c r="L2172" t="s">
        <v>3375</v>
      </c>
      <c r="M2172" t="s">
        <v>3364</v>
      </c>
      <c r="N2172" t="s">
        <v>3365</v>
      </c>
      <c r="O2172" t="s">
        <v>3366</v>
      </c>
      <c r="P2172" t="s">
        <v>3382</v>
      </c>
    </row>
    <row r="2173" spans="1:16" x14ac:dyDescent="0.3">
      <c r="A2173" t="s">
        <v>702</v>
      </c>
      <c r="B2173" t="s">
        <v>1555</v>
      </c>
      <c r="E2173">
        <v>3</v>
      </c>
      <c r="F2173" t="s">
        <v>3361</v>
      </c>
      <c r="G2173" t="s">
        <v>2746</v>
      </c>
      <c r="H2173" t="s">
        <v>343</v>
      </c>
      <c r="I2173" t="s">
        <v>1630</v>
      </c>
      <c r="J2173" t="s">
        <v>3369</v>
      </c>
      <c r="K2173" t="s">
        <v>605</v>
      </c>
      <c r="L2173" t="s">
        <v>3375</v>
      </c>
      <c r="M2173" t="s">
        <v>3364</v>
      </c>
      <c r="N2173" t="s">
        <v>3365</v>
      </c>
      <c r="O2173" t="s">
        <v>3366</v>
      </c>
      <c r="P2173" t="s">
        <v>3382</v>
      </c>
    </row>
    <row r="2174" spans="1:16" x14ac:dyDescent="0.3">
      <c r="A2174" t="s">
        <v>1572</v>
      </c>
      <c r="B2174" t="s">
        <v>1555</v>
      </c>
      <c r="E2174">
        <v>3</v>
      </c>
      <c r="F2174" t="s">
        <v>3361</v>
      </c>
      <c r="G2174" t="s">
        <v>2746</v>
      </c>
      <c r="H2174" t="s">
        <v>343</v>
      </c>
      <c r="I2174" t="s">
        <v>1630</v>
      </c>
      <c r="J2174" t="s">
        <v>3369</v>
      </c>
      <c r="K2174" t="s">
        <v>605</v>
      </c>
      <c r="L2174" t="s">
        <v>3375</v>
      </c>
      <c r="M2174" t="s">
        <v>3364</v>
      </c>
      <c r="N2174" t="s">
        <v>3365</v>
      </c>
      <c r="O2174" t="s">
        <v>3366</v>
      </c>
      <c r="P2174" t="s">
        <v>3382</v>
      </c>
    </row>
    <row r="2175" spans="1:16" x14ac:dyDescent="0.3">
      <c r="A2175" t="s">
        <v>1573</v>
      </c>
      <c r="B2175" t="s">
        <v>1555</v>
      </c>
      <c r="E2175">
        <v>3</v>
      </c>
      <c r="F2175" t="s">
        <v>3361</v>
      </c>
      <c r="G2175" t="s">
        <v>2746</v>
      </c>
      <c r="H2175" t="s">
        <v>343</v>
      </c>
      <c r="I2175" t="s">
        <v>1630</v>
      </c>
      <c r="J2175" t="s">
        <v>3369</v>
      </c>
      <c r="K2175" t="s">
        <v>605</v>
      </c>
      <c r="L2175" t="s">
        <v>3375</v>
      </c>
      <c r="M2175" t="s">
        <v>3364</v>
      </c>
      <c r="N2175" t="s">
        <v>3365</v>
      </c>
      <c r="O2175" t="s">
        <v>3366</v>
      </c>
      <c r="P2175" t="s">
        <v>3382</v>
      </c>
    </row>
    <row r="2176" spans="1:16" x14ac:dyDescent="0.3">
      <c r="A2176" t="s">
        <v>1574</v>
      </c>
      <c r="B2176" t="s">
        <v>1555</v>
      </c>
      <c r="E2176">
        <v>3</v>
      </c>
      <c r="F2176" t="s">
        <v>3361</v>
      </c>
      <c r="G2176" t="s">
        <v>2746</v>
      </c>
      <c r="H2176" t="s">
        <v>343</v>
      </c>
      <c r="I2176" t="s">
        <v>1630</v>
      </c>
      <c r="J2176" t="s">
        <v>3369</v>
      </c>
      <c r="K2176" t="s">
        <v>605</v>
      </c>
      <c r="L2176" t="s">
        <v>3375</v>
      </c>
      <c r="M2176" t="s">
        <v>3364</v>
      </c>
      <c r="N2176" t="s">
        <v>3365</v>
      </c>
      <c r="O2176" t="s">
        <v>3366</v>
      </c>
      <c r="P2176" t="s">
        <v>3382</v>
      </c>
    </row>
    <row r="2177" spans="1:16" x14ac:dyDescent="0.3">
      <c r="A2177" t="s">
        <v>1575</v>
      </c>
      <c r="B2177" t="s">
        <v>1555</v>
      </c>
      <c r="E2177">
        <v>3</v>
      </c>
      <c r="F2177" t="s">
        <v>3361</v>
      </c>
      <c r="G2177" t="s">
        <v>2746</v>
      </c>
      <c r="H2177" t="s">
        <v>343</v>
      </c>
      <c r="I2177" t="s">
        <v>1630</v>
      </c>
      <c r="J2177" t="s">
        <v>3369</v>
      </c>
      <c r="K2177" t="s">
        <v>605</v>
      </c>
      <c r="L2177" t="s">
        <v>3375</v>
      </c>
      <c r="M2177" t="s">
        <v>3364</v>
      </c>
      <c r="N2177" t="s">
        <v>3365</v>
      </c>
      <c r="O2177" t="s">
        <v>3366</v>
      </c>
      <c r="P2177" t="s">
        <v>3382</v>
      </c>
    </row>
    <row r="2178" spans="1:16" x14ac:dyDescent="0.3">
      <c r="A2178" t="s">
        <v>1576</v>
      </c>
      <c r="B2178" t="s">
        <v>1555</v>
      </c>
      <c r="E2178">
        <v>3</v>
      </c>
      <c r="F2178" t="s">
        <v>3361</v>
      </c>
      <c r="G2178" t="s">
        <v>2746</v>
      </c>
      <c r="H2178" t="s">
        <v>343</v>
      </c>
      <c r="I2178" t="s">
        <v>1630</v>
      </c>
      <c r="J2178" t="s">
        <v>3369</v>
      </c>
      <c r="K2178" t="s">
        <v>605</v>
      </c>
      <c r="L2178" t="s">
        <v>3375</v>
      </c>
      <c r="M2178" t="s">
        <v>3364</v>
      </c>
      <c r="N2178" t="s">
        <v>3365</v>
      </c>
      <c r="O2178" t="s">
        <v>3366</v>
      </c>
      <c r="P2178" t="s">
        <v>3382</v>
      </c>
    </row>
    <row r="2179" spans="1:16" x14ac:dyDescent="0.3">
      <c r="A2179" t="s">
        <v>708</v>
      </c>
      <c r="B2179" t="s">
        <v>1555</v>
      </c>
      <c r="E2179">
        <v>3</v>
      </c>
      <c r="F2179" t="s">
        <v>3361</v>
      </c>
      <c r="G2179" t="s">
        <v>2746</v>
      </c>
      <c r="H2179" t="s">
        <v>345</v>
      </c>
      <c r="I2179" t="s">
        <v>1630</v>
      </c>
      <c r="J2179" t="s">
        <v>3369</v>
      </c>
      <c r="K2179" t="s">
        <v>605</v>
      </c>
      <c r="L2179" t="s">
        <v>3375</v>
      </c>
      <c r="M2179" t="s">
        <v>3364</v>
      </c>
      <c r="N2179" t="s">
        <v>3365</v>
      </c>
      <c r="O2179" t="s">
        <v>3366</v>
      </c>
      <c r="P2179" t="s">
        <v>3382</v>
      </c>
    </row>
    <row r="2180" spans="1:16" x14ac:dyDescent="0.3">
      <c r="A2180" t="s">
        <v>1577</v>
      </c>
      <c r="B2180" t="s">
        <v>1555</v>
      </c>
      <c r="E2180">
        <v>3</v>
      </c>
      <c r="F2180" t="s">
        <v>3361</v>
      </c>
      <c r="G2180" t="s">
        <v>2746</v>
      </c>
      <c r="H2180" t="s">
        <v>345</v>
      </c>
      <c r="I2180" t="s">
        <v>1630</v>
      </c>
      <c r="J2180" t="s">
        <v>3369</v>
      </c>
      <c r="K2180" t="s">
        <v>605</v>
      </c>
      <c r="L2180" t="s">
        <v>3375</v>
      </c>
      <c r="M2180" t="s">
        <v>3364</v>
      </c>
      <c r="N2180" t="s">
        <v>3365</v>
      </c>
      <c r="O2180" t="s">
        <v>3366</v>
      </c>
      <c r="P2180" t="s">
        <v>3382</v>
      </c>
    </row>
    <row r="2181" spans="1:16" x14ac:dyDescent="0.3">
      <c r="A2181" t="s">
        <v>1578</v>
      </c>
      <c r="B2181" t="s">
        <v>1555</v>
      </c>
      <c r="E2181">
        <v>3</v>
      </c>
      <c r="F2181" t="s">
        <v>3361</v>
      </c>
      <c r="G2181" t="s">
        <v>2746</v>
      </c>
      <c r="H2181" t="s">
        <v>345</v>
      </c>
      <c r="I2181" t="s">
        <v>1630</v>
      </c>
      <c r="J2181" t="s">
        <v>3369</v>
      </c>
      <c r="K2181" t="s">
        <v>605</v>
      </c>
      <c r="L2181" t="s">
        <v>3375</v>
      </c>
      <c r="M2181" t="s">
        <v>3364</v>
      </c>
      <c r="N2181" t="s">
        <v>3365</v>
      </c>
      <c r="O2181" t="s">
        <v>3366</v>
      </c>
      <c r="P2181" t="s">
        <v>3382</v>
      </c>
    </row>
    <row r="2182" spans="1:16" x14ac:dyDescent="0.3">
      <c r="A2182" t="s">
        <v>1579</v>
      </c>
      <c r="B2182" t="s">
        <v>1555</v>
      </c>
      <c r="E2182">
        <v>3</v>
      </c>
      <c r="F2182" t="s">
        <v>3361</v>
      </c>
      <c r="G2182" t="s">
        <v>2746</v>
      </c>
      <c r="H2182" t="s">
        <v>345</v>
      </c>
      <c r="I2182" t="s">
        <v>1630</v>
      </c>
      <c r="J2182" t="s">
        <v>3369</v>
      </c>
      <c r="K2182" t="s">
        <v>605</v>
      </c>
      <c r="L2182" t="s">
        <v>3375</v>
      </c>
      <c r="M2182" t="s">
        <v>3364</v>
      </c>
      <c r="N2182" t="s">
        <v>3365</v>
      </c>
      <c r="O2182" t="s">
        <v>3366</v>
      </c>
      <c r="P2182" t="s">
        <v>3382</v>
      </c>
    </row>
    <row r="2183" spans="1:16" x14ac:dyDescent="0.3">
      <c r="A2183" t="s">
        <v>1580</v>
      </c>
      <c r="B2183" t="s">
        <v>1555</v>
      </c>
      <c r="E2183">
        <v>3</v>
      </c>
      <c r="F2183" t="s">
        <v>3361</v>
      </c>
      <c r="G2183" t="s">
        <v>2746</v>
      </c>
      <c r="H2183" t="s">
        <v>345</v>
      </c>
      <c r="I2183" t="s">
        <v>1630</v>
      </c>
      <c r="J2183" t="s">
        <v>3369</v>
      </c>
      <c r="K2183" t="s">
        <v>605</v>
      </c>
      <c r="L2183" t="s">
        <v>3375</v>
      </c>
      <c r="M2183" t="s">
        <v>3364</v>
      </c>
      <c r="N2183" t="s">
        <v>3365</v>
      </c>
      <c r="O2183" t="s">
        <v>3366</v>
      </c>
      <c r="P2183" t="s">
        <v>3382</v>
      </c>
    </row>
    <row r="2184" spans="1:16" x14ac:dyDescent="0.3">
      <c r="A2184" t="s">
        <v>1581</v>
      </c>
      <c r="B2184" t="s">
        <v>1555</v>
      </c>
      <c r="E2184">
        <v>3</v>
      </c>
      <c r="F2184" t="s">
        <v>3361</v>
      </c>
      <c r="G2184" t="s">
        <v>2746</v>
      </c>
      <c r="H2184" t="s">
        <v>345</v>
      </c>
      <c r="I2184" t="s">
        <v>1630</v>
      </c>
      <c r="J2184" t="s">
        <v>3369</v>
      </c>
      <c r="K2184" t="s">
        <v>605</v>
      </c>
      <c r="L2184" t="s">
        <v>3375</v>
      </c>
      <c r="M2184" t="s">
        <v>3364</v>
      </c>
      <c r="N2184" t="s">
        <v>3365</v>
      </c>
      <c r="O2184" t="s">
        <v>3366</v>
      </c>
      <c r="P2184" t="s">
        <v>3382</v>
      </c>
    </row>
    <row r="2185" spans="1:16" x14ac:dyDescent="0.3">
      <c r="A2185" t="s">
        <v>353</v>
      </c>
      <c r="B2185" t="s">
        <v>1555</v>
      </c>
      <c r="E2185">
        <v>3</v>
      </c>
      <c r="F2185" t="s">
        <v>3361</v>
      </c>
      <c r="G2185" t="s">
        <v>2746</v>
      </c>
      <c r="H2185" t="s">
        <v>347</v>
      </c>
      <c r="I2185" t="s">
        <v>1630</v>
      </c>
      <c r="J2185" t="s">
        <v>3369</v>
      </c>
      <c r="K2185" t="s">
        <v>605</v>
      </c>
      <c r="L2185" t="s">
        <v>3375</v>
      </c>
      <c r="M2185" t="s">
        <v>3364</v>
      </c>
      <c r="N2185" t="s">
        <v>3365</v>
      </c>
      <c r="O2185" t="s">
        <v>3366</v>
      </c>
      <c r="P2185" t="s">
        <v>3382</v>
      </c>
    </row>
    <row r="2186" spans="1:16" x14ac:dyDescent="0.3">
      <c r="A2186" t="s">
        <v>1582</v>
      </c>
      <c r="B2186" t="s">
        <v>1555</v>
      </c>
      <c r="E2186">
        <v>3</v>
      </c>
      <c r="F2186" t="s">
        <v>3361</v>
      </c>
      <c r="G2186" t="s">
        <v>2746</v>
      </c>
      <c r="H2186" t="s">
        <v>347</v>
      </c>
      <c r="I2186" t="s">
        <v>1630</v>
      </c>
      <c r="J2186" t="s">
        <v>3369</v>
      </c>
      <c r="K2186" t="s">
        <v>605</v>
      </c>
      <c r="L2186" t="s">
        <v>3375</v>
      </c>
      <c r="M2186" t="s">
        <v>3364</v>
      </c>
      <c r="N2186" t="s">
        <v>3365</v>
      </c>
      <c r="O2186" t="s">
        <v>3366</v>
      </c>
      <c r="P2186" t="s">
        <v>3382</v>
      </c>
    </row>
    <row r="2187" spans="1:16" x14ac:dyDescent="0.3">
      <c r="A2187" t="s">
        <v>1583</v>
      </c>
      <c r="B2187" t="s">
        <v>1555</v>
      </c>
      <c r="E2187">
        <v>3</v>
      </c>
      <c r="F2187" t="s">
        <v>3361</v>
      </c>
      <c r="G2187" t="s">
        <v>2746</v>
      </c>
      <c r="H2187" t="s">
        <v>347</v>
      </c>
      <c r="I2187" t="s">
        <v>1630</v>
      </c>
      <c r="J2187" t="s">
        <v>3362</v>
      </c>
      <c r="K2187" t="s">
        <v>605</v>
      </c>
      <c r="L2187" t="s">
        <v>3375</v>
      </c>
      <c r="M2187" t="s">
        <v>3364</v>
      </c>
      <c r="N2187" t="s">
        <v>3365</v>
      </c>
      <c r="O2187" t="s">
        <v>3366</v>
      </c>
      <c r="P2187" t="s">
        <v>3367</v>
      </c>
    </row>
    <row r="2188" spans="1:16" x14ac:dyDescent="0.3">
      <c r="A2188" t="s">
        <v>1584</v>
      </c>
      <c r="B2188" t="s">
        <v>1555</v>
      </c>
      <c r="E2188">
        <v>3</v>
      </c>
      <c r="F2188" t="s">
        <v>3361</v>
      </c>
      <c r="G2188" t="s">
        <v>2746</v>
      </c>
      <c r="H2188" t="s">
        <v>347</v>
      </c>
      <c r="I2188" t="s">
        <v>1630</v>
      </c>
      <c r="J2188" t="s">
        <v>3369</v>
      </c>
      <c r="K2188" t="s">
        <v>605</v>
      </c>
      <c r="L2188" t="s">
        <v>3375</v>
      </c>
      <c r="M2188" t="s">
        <v>3364</v>
      </c>
      <c r="N2188" t="s">
        <v>3365</v>
      </c>
      <c r="O2188" t="s">
        <v>3366</v>
      </c>
      <c r="P2188" t="s">
        <v>3382</v>
      </c>
    </row>
    <row r="2189" spans="1:16" x14ac:dyDescent="0.3">
      <c r="A2189" t="s">
        <v>1585</v>
      </c>
      <c r="B2189" t="s">
        <v>1555</v>
      </c>
      <c r="E2189">
        <v>3</v>
      </c>
      <c r="F2189" t="s">
        <v>3361</v>
      </c>
      <c r="G2189" t="s">
        <v>2746</v>
      </c>
      <c r="H2189" t="s">
        <v>347</v>
      </c>
      <c r="I2189" t="s">
        <v>1630</v>
      </c>
      <c r="J2189" t="s">
        <v>3369</v>
      </c>
      <c r="K2189" t="s">
        <v>605</v>
      </c>
      <c r="L2189" t="s">
        <v>3375</v>
      </c>
      <c r="M2189" t="s">
        <v>3364</v>
      </c>
      <c r="N2189" t="s">
        <v>3365</v>
      </c>
      <c r="O2189" t="s">
        <v>3366</v>
      </c>
      <c r="P2189" t="s">
        <v>3382</v>
      </c>
    </row>
    <row r="2190" spans="1:16" x14ac:dyDescent="0.3">
      <c r="A2190" t="s">
        <v>1586</v>
      </c>
      <c r="B2190" t="s">
        <v>1555</v>
      </c>
      <c r="E2190">
        <v>3</v>
      </c>
      <c r="F2190" t="s">
        <v>3361</v>
      </c>
      <c r="G2190" t="s">
        <v>2746</v>
      </c>
      <c r="H2190" t="s">
        <v>347</v>
      </c>
      <c r="I2190" t="s">
        <v>1630</v>
      </c>
      <c r="J2190" t="s">
        <v>3369</v>
      </c>
      <c r="K2190" t="s">
        <v>605</v>
      </c>
      <c r="L2190" t="s">
        <v>3375</v>
      </c>
      <c r="M2190" t="s">
        <v>3364</v>
      </c>
      <c r="N2190" t="s">
        <v>3365</v>
      </c>
      <c r="O2190" t="s">
        <v>3366</v>
      </c>
      <c r="P2190" t="s">
        <v>3382</v>
      </c>
    </row>
    <row r="2191" spans="1:16" x14ac:dyDescent="0.3">
      <c r="A2191" t="s">
        <v>716</v>
      </c>
      <c r="B2191" t="s">
        <v>1555</v>
      </c>
      <c r="E2191">
        <v>3</v>
      </c>
      <c r="F2191" t="s">
        <v>3361</v>
      </c>
      <c r="G2191" t="s">
        <v>2746</v>
      </c>
      <c r="H2191" t="s">
        <v>349</v>
      </c>
      <c r="I2191" t="s">
        <v>1630</v>
      </c>
      <c r="J2191" t="s">
        <v>3369</v>
      </c>
      <c r="K2191" t="s">
        <v>605</v>
      </c>
      <c r="L2191" t="s">
        <v>3375</v>
      </c>
      <c r="M2191" t="s">
        <v>3364</v>
      </c>
      <c r="N2191" t="s">
        <v>3365</v>
      </c>
      <c r="O2191" t="s">
        <v>3366</v>
      </c>
      <c r="P2191" t="s">
        <v>3382</v>
      </c>
    </row>
    <row r="2192" spans="1:16" x14ac:dyDescent="0.3">
      <c r="A2192" t="s">
        <v>1587</v>
      </c>
      <c r="B2192" t="s">
        <v>1555</v>
      </c>
      <c r="E2192">
        <v>3</v>
      </c>
      <c r="F2192" t="s">
        <v>3361</v>
      </c>
      <c r="G2192" t="s">
        <v>2746</v>
      </c>
      <c r="H2192" t="s">
        <v>349</v>
      </c>
      <c r="I2192" t="s">
        <v>1630</v>
      </c>
      <c r="J2192" t="s">
        <v>3369</v>
      </c>
      <c r="K2192" t="s">
        <v>605</v>
      </c>
      <c r="L2192" t="s">
        <v>3375</v>
      </c>
      <c r="M2192" t="s">
        <v>3364</v>
      </c>
      <c r="N2192" t="s">
        <v>3365</v>
      </c>
      <c r="O2192" t="s">
        <v>3366</v>
      </c>
      <c r="P2192" t="s">
        <v>3382</v>
      </c>
    </row>
    <row r="2193" spans="1:16" x14ac:dyDescent="0.3">
      <c r="A2193" t="s">
        <v>1588</v>
      </c>
      <c r="B2193" t="s">
        <v>1555</v>
      </c>
      <c r="E2193">
        <v>3</v>
      </c>
      <c r="F2193" t="s">
        <v>3361</v>
      </c>
      <c r="G2193" t="s">
        <v>2746</v>
      </c>
      <c r="H2193" t="s">
        <v>349</v>
      </c>
      <c r="I2193" t="s">
        <v>1630</v>
      </c>
      <c r="J2193" t="s">
        <v>3369</v>
      </c>
      <c r="K2193" t="s">
        <v>605</v>
      </c>
      <c r="L2193" t="s">
        <v>3375</v>
      </c>
      <c r="M2193" t="s">
        <v>3364</v>
      </c>
      <c r="N2193" t="s">
        <v>3365</v>
      </c>
      <c r="O2193" t="s">
        <v>3366</v>
      </c>
      <c r="P2193" t="s">
        <v>3382</v>
      </c>
    </row>
    <row r="2194" spans="1:16" x14ac:dyDescent="0.3">
      <c r="A2194" t="s">
        <v>1589</v>
      </c>
      <c r="B2194" t="s">
        <v>1555</v>
      </c>
      <c r="E2194">
        <v>3</v>
      </c>
      <c r="F2194" t="s">
        <v>3361</v>
      </c>
      <c r="G2194" t="s">
        <v>2746</v>
      </c>
      <c r="H2194" t="s">
        <v>349</v>
      </c>
      <c r="I2194" t="s">
        <v>1630</v>
      </c>
      <c r="J2194" t="s">
        <v>3369</v>
      </c>
      <c r="K2194" t="s">
        <v>605</v>
      </c>
      <c r="L2194" t="s">
        <v>3375</v>
      </c>
      <c r="M2194" t="s">
        <v>3364</v>
      </c>
      <c r="N2194" t="s">
        <v>3365</v>
      </c>
      <c r="O2194" t="s">
        <v>3366</v>
      </c>
      <c r="P2194" t="s">
        <v>3382</v>
      </c>
    </row>
    <row r="2195" spans="1:16" x14ac:dyDescent="0.3">
      <c r="A2195" t="s">
        <v>1590</v>
      </c>
      <c r="B2195" t="s">
        <v>1555</v>
      </c>
      <c r="E2195">
        <v>3</v>
      </c>
      <c r="F2195" t="s">
        <v>3361</v>
      </c>
      <c r="G2195" t="s">
        <v>2746</v>
      </c>
      <c r="H2195" t="s">
        <v>349</v>
      </c>
      <c r="I2195" t="s">
        <v>1630</v>
      </c>
      <c r="J2195" t="s">
        <v>3369</v>
      </c>
      <c r="K2195" t="s">
        <v>605</v>
      </c>
      <c r="L2195" t="s">
        <v>3375</v>
      </c>
      <c r="M2195" t="s">
        <v>3364</v>
      </c>
      <c r="N2195" t="s">
        <v>3365</v>
      </c>
      <c r="O2195" t="s">
        <v>3366</v>
      </c>
      <c r="P2195" t="s">
        <v>3382</v>
      </c>
    </row>
    <row r="2196" spans="1:16" x14ac:dyDescent="0.3">
      <c r="A2196" t="s">
        <v>1591</v>
      </c>
      <c r="B2196" t="s">
        <v>1555</v>
      </c>
      <c r="E2196">
        <v>3</v>
      </c>
      <c r="F2196" t="s">
        <v>3361</v>
      </c>
      <c r="G2196" t="s">
        <v>2746</v>
      </c>
      <c r="H2196" t="s">
        <v>349</v>
      </c>
      <c r="I2196" t="s">
        <v>1630</v>
      </c>
      <c r="J2196" t="s">
        <v>3369</v>
      </c>
      <c r="K2196" t="s">
        <v>605</v>
      </c>
      <c r="L2196" t="s">
        <v>3375</v>
      </c>
      <c r="M2196" t="s">
        <v>3364</v>
      </c>
      <c r="N2196" t="s">
        <v>3365</v>
      </c>
      <c r="O2196" t="s">
        <v>3366</v>
      </c>
      <c r="P2196" t="s">
        <v>3382</v>
      </c>
    </row>
    <row r="2197" spans="1:16" x14ac:dyDescent="0.3">
      <c r="A2197" t="s">
        <v>1592</v>
      </c>
      <c r="B2197" t="s">
        <v>1555</v>
      </c>
      <c r="E2197">
        <v>3</v>
      </c>
      <c r="F2197" t="s">
        <v>3361</v>
      </c>
      <c r="G2197" t="s">
        <v>2746</v>
      </c>
      <c r="H2197" t="s">
        <v>351</v>
      </c>
      <c r="I2197" t="s">
        <v>1630</v>
      </c>
      <c r="J2197" t="s">
        <v>3369</v>
      </c>
      <c r="K2197" t="s">
        <v>605</v>
      </c>
      <c r="L2197" t="s">
        <v>3375</v>
      </c>
      <c r="M2197" t="s">
        <v>3364</v>
      </c>
      <c r="N2197" t="s">
        <v>3365</v>
      </c>
      <c r="O2197" t="s">
        <v>3366</v>
      </c>
      <c r="P2197" t="s">
        <v>3382</v>
      </c>
    </row>
    <row r="2198" spans="1:16" x14ac:dyDescent="0.3">
      <c r="A2198" t="s">
        <v>627</v>
      </c>
      <c r="B2198" t="s">
        <v>1555</v>
      </c>
      <c r="E2198">
        <v>3</v>
      </c>
      <c r="F2198" t="s">
        <v>3361</v>
      </c>
      <c r="G2198" t="s">
        <v>2746</v>
      </c>
      <c r="H2198" t="s">
        <v>351</v>
      </c>
      <c r="I2198" t="s">
        <v>1630</v>
      </c>
      <c r="J2198" t="s">
        <v>3362</v>
      </c>
      <c r="K2198" t="s">
        <v>605</v>
      </c>
      <c r="L2198" t="s">
        <v>3375</v>
      </c>
      <c r="M2198" t="s">
        <v>3364</v>
      </c>
      <c r="N2198" t="s">
        <v>3365</v>
      </c>
      <c r="O2198" t="s">
        <v>3366</v>
      </c>
      <c r="P2198" t="s">
        <v>3367</v>
      </c>
    </row>
    <row r="2199" spans="1:16" x14ac:dyDescent="0.3">
      <c r="A2199" t="s">
        <v>1579</v>
      </c>
      <c r="B2199" t="s">
        <v>1555</v>
      </c>
      <c r="E2199">
        <v>3</v>
      </c>
      <c r="F2199" t="s">
        <v>3361</v>
      </c>
      <c r="G2199" t="s">
        <v>2746</v>
      </c>
      <c r="H2199" t="s">
        <v>351</v>
      </c>
      <c r="I2199" t="s">
        <v>1630</v>
      </c>
      <c r="J2199" t="s">
        <v>3369</v>
      </c>
      <c r="K2199" t="s">
        <v>605</v>
      </c>
      <c r="L2199" t="s">
        <v>3375</v>
      </c>
      <c r="M2199" t="s">
        <v>3364</v>
      </c>
      <c r="N2199" t="s">
        <v>3365</v>
      </c>
      <c r="O2199" t="s">
        <v>3366</v>
      </c>
      <c r="P2199" t="s">
        <v>3382</v>
      </c>
    </row>
    <row r="2200" spans="1:16" x14ac:dyDescent="0.3">
      <c r="A2200" t="s">
        <v>1593</v>
      </c>
      <c r="B2200" t="s">
        <v>1555</v>
      </c>
      <c r="E2200">
        <v>3</v>
      </c>
      <c r="F2200" t="s">
        <v>3361</v>
      </c>
      <c r="G2200" t="s">
        <v>2746</v>
      </c>
      <c r="H2200" t="s">
        <v>351</v>
      </c>
      <c r="I2200" t="s">
        <v>1630</v>
      </c>
      <c r="J2200" t="s">
        <v>3369</v>
      </c>
      <c r="K2200" t="s">
        <v>605</v>
      </c>
      <c r="L2200" t="s">
        <v>3375</v>
      </c>
      <c r="M2200" t="s">
        <v>3364</v>
      </c>
      <c r="N2200" t="s">
        <v>3365</v>
      </c>
      <c r="O2200" t="s">
        <v>3366</v>
      </c>
      <c r="P2200" t="s">
        <v>3382</v>
      </c>
    </row>
    <row r="2201" spans="1:16" x14ac:dyDescent="0.3">
      <c r="A2201" t="s">
        <v>1594</v>
      </c>
      <c r="B2201" t="s">
        <v>1555</v>
      </c>
      <c r="E2201">
        <v>3</v>
      </c>
      <c r="F2201" t="s">
        <v>3361</v>
      </c>
      <c r="G2201" t="s">
        <v>2746</v>
      </c>
      <c r="H2201" t="s">
        <v>351</v>
      </c>
      <c r="I2201" t="s">
        <v>1630</v>
      </c>
      <c r="J2201" t="s">
        <v>3369</v>
      </c>
      <c r="K2201" t="s">
        <v>605</v>
      </c>
      <c r="L2201" t="s">
        <v>3375</v>
      </c>
      <c r="M2201" t="s">
        <v>3364</v>
      </c>
      <c r="N2201" t="s">
        <v>3365</v>
      </c>
      <c r="O2201" t="s">
        <v>3366</v>
      </c>
      <c r="P2201" t="s">
        <v>3382</v>
      </c>
    </row>
    <row r="2202" spans="1:16" x14ac:dyDescent="0.3">
      <c r="A2202" t="s">
        <v>1595</v>
      </c>
      <c r="B2202" t="s">
        <v>1555</v>
      </c>
      <c r="E2202">
        <v>3</v>
      </c>
      <c r="F2202" t="s">
        <v>3361</v>
      </c>
      <c r="G2202" t="s">
        <v>2746</v>
      </c>
      <c r="H2202" t="s">
        <v>351</v>
      </c>
      <c r="I2202" t="s">
        <v>1630</v>
      </c>
      <c r="J2202" t="s">
        <v>3369</v>
      </c>
      <c r="K2202" t="s">
        <v>605</v>
      </c>
      <c r="L2202" t="s">
        <v>3375</v>
      </c>
      <c r="M2202" t="s">
        <v>3364</v>
      </c>
      <c r="N2202" t="s">
        <v>3365</v>
      </c>
      <c r="O2202" t="s">
        <v>3366</v>
      </c>
      <c r="P2202" t="s">
        <v>3382</v>
      </c>
    </row>
    <row r="2203" spans="1:16" x14ac:dyDescent="0.3">
      <c r="A2203" t="s">
        <v>1596</v>
      </c>
      <c r="B2203" t="s">
        <v>1555</v>
      </c>
      <c r="E2203">
        <v>3</v>
      </c>
      <c r="F2203" t="s">
        <v>3361</v>
      </c>
      <c r="G2203" t="s">
        <v>2746</v>
      </c>
      <c r="H2203" t="s">
        <v>353</v>
      </c>
      <c r="I2203" t="s">
        <v>1630</v>
      </c>
      <c r="J2203" t="s">
        <v>3369</v>
      </c>
      <c r="K2203" t="s">
        <v>605</v>
      </c>
      <c r="L2203" t="s">
        <v>3375</v>
      </c>
      <c r="M2203" t="s">
        <v>3364</v>
      </c>
      <c r="N2203" t="s">
        <v>3365</v>
      </c>
      <c r="O2203" t="s">
        <v>3366</v>
      </c>
      <c r="P2203" t="s">
        <v>3382</v>
      </c>
    </row>
    <row r="2204" spans="1:16" x14ac:dyDescent="0.3">
      <c r="A2204" t="s">
        <v>1597</v>
      </c>
      <c r="B2204" t="s">
        <v>1555</v>
      </c>
      <c r="E2204">
        <v>3</v>
      </c>
      <c r="F2204" t="s">
        <v>3361</v>
      </c>
      <c r="G2204" t="s">
        <v>2746</v>
      </c>
      <c r="H2204" t="s">
        <v>353</v>
      </c>
      <c r="I2204" t="s">
        <v>1630</v>
      </c>
      <c r="J2204" t="s">
        <v>3369</v>
      </c>
      <c r="K2204" t="s">
        <v>605</v>
      </c>
      <c r="L2204" t="s">
        <v>3375</v>
      </c>
      <c r="M2204" t="s">
        <v>3364</v>
      </c>
      <c r="N2204" t="s">
        <v>3365</v>
      </c>
      <c r="O2204" t="s">
        <v>3366</v>
      </c>
      <c r="P2204" t="s">
        <v>3382</v>
      </c>
    </row>
    <row r="2205" spans="1:16" x14ac:dyDescent="0.3">
      <c r="A2205" t="s">
        <v>812</v>
      </c>
      <c r="B2205" t="s">
        <v>1555</v>
      </c>
      <c r="E2205">
        <v>3</v>
      </c>
      <c r="F2205" t="s">
        <v>3361</v>
      </c>
      <c r="G2205" t="s">
        <v>2746</v>
      </c>
      <c r="H2205" t="s">
        <v>353</v>
      </c>
      <c r="I2205" t="s">
        <v>1630</v>
      </c>
      <c r="J2205" t="s">
        <v>3369</v>
      </c>
      <c r="K2205" t="s">
        <v>605</v>
      </c>
      <c r="L2205" t="s">
        <v>3375</v>
      </c>
      <c r="M2205" t="s">
        <v>3364</v>
      </c>
      <c r="N2205" t="s">
        <v>3365</v>
      </c>
      <c r="O2205" t="s">
        <v>3366</v>
      </c>
      <c r="P2205" t="s">
        <v>3382</v>
      </c>
    </row>
    <row r="2206" spans="1:16" x14ac:dyDescent="0.3">
      <c r="A2206" t="s">
        <v>1598</v>
      </c>
      <c r="B2206" t="s">
        <v>1555</v>
      </c>
      <c r="E2206">
        <v>3</v>
      </c>
      <c r="F2206" t="s">
        <v>3361</v>
      </c>
      <c r="G2206" t="s">
        <v>2746</v>
      </c>
      <c r="H2206" t="s">
        <v>353</v>
      </c>
      <c r="I2206" t="s">
        <v>1630</v>
      </c>
      <c r="J2206" t="s">
        <v>3369</v>
      </c>
      <c r="K2206" t="s">
        <v>605</v>
      </c>
      <c r="L2206" t="s">
        <v>3375</v>
      </c>
      <c r="M2206" t="s">
        <v>3364</v>
      </c>
      <c r="N2206" t="s">
        <v>3365</v>
      </c>
      <c r="O2206" t="s">
        <v>3366</v>
      </c>
      <c r="P2206" t="s">
        <v>3382</v>
      </c>
    </row>
    <row r="2207" spans="1:16" x14ac:dyDescent="0.3">
      <c r="A2207" t="s">
        <v>1599</v>
      </c>
      <c r="B2207" t="s">
        <v>1555</v>
      </c>
      <c r="E2207">
        <v>3</v>
      </c>
      <c r="F2207" t="s">
        <v>3361</v>
      </c>
      <c r="G2207" t="s">
        <v>2746</v>
      </c>
      <c r="H2207" t="s">
        <v>353</v>
      </c>
      <c r="I2207" t="s">
        <v>1630</v>
      </c>
      <c r="J2207" t="s">
        <v>3369</v>
      </c>
      <c r="K2207" t="s">
        <v>605</v>
      </c>
      <c r="L2207" t="s">
        <v>3375</v>
      </c>
      <c r="M2207" t="s">
        <v>3364</v>
      </c>
      <c r="N2207" t="s">
        <v>3365</v>
      </c>
      <c r="O2207" t="s">
        <v>3366</v>
      </c>
      <c r="P2207" t="s">
        <v>3382</v>
      </c>
    </row>
    <row r="2208" spans="1:16" x14ac:dyDescent="0.3">
      <c r="A2208" t="s">
        <v>1600</v>
      </c>
      <c r="B2208" t="s">
        <v>1555</v>
      </c>
      <c r="E2208">
        <v>3</v>
      </c>
      <c r="F2208" t="s">
        <v>3361</v>
      </c>
      <c r="G2208" t="s">
        <v>2746</v>
      </c>
      <c r="H2208" t="s">
        <v>353</v>
      </c>
      <c r="I2208" t="s">
        <v>1630</v>
      </c>
      <c r="J2208" t="s">
        <v>3369</v>
      </c>
      <c r="K2208" t="s">
        <v>605</v>
      </c>
      <c r="L2208" t="s">
        <v>3375</v>
      </c>
      <c r="M2208" t="s">
        <v>3364</v>
      </c>
      <c r="N2208" t="s">
        <v>3365</v>
      </c>
      <c r="O2208" t="s">
        <v>3366</v>
      </c>
      <c r="P2208" t="s">
        <v>3382</v>
      </c>
    </row>
    <row r="2209" spans="1:16" x14ac:dyDescent="0.3">
      <c r="A2209" t="s">
        <v>1577</v>
      </c>
      <c r="B2209" t="s">
        <v>1555</v>
      </c>
      <c r="E2209">
        <v>3</v>
      </c>
      <c r="F2209" t="s">
        <v>3361</v>
      </c>
      <c r="G2209" t="s">
        <v>2746</v>
      </c>
      <c r="H2209" t="s">
        <v>726</v>
      </c>
      <c r="I2209" t="s">
        <v>1630</v>
      </c>
      <c r="J2209" t="s">
        <v>3369</v>
      </c>
      <c r="K2209" t="s">
        <v>605</v>
      </c>
      <c r="L2209" t="s">
        <v>3375</v>
      </c>
      <c r="M2209" t="s">
        <v>3364</v>
      </c>
      <c r="N2209" t="s">
        <v>3365</v>
      </c>
      <c r="O2209" t="s">
        <v>3366</v>
      </c>
      <c r="P2209" t="s">
        <v>3382</v>
      </c>
    </row>
    <row r="2210" spans="1:16" x14ac:dyDescent="0.3">
      <c r="A2210" t="s">
        <v>727</v>
      </c>
      <c r="B2210" t="s">
        <v>1555</v>
      </c>
      <c r="E2210">
        <v>3</v>
      </c>
      <c r="F2210" t="s">
        <v>3361</v>
      </c>
      <c r="G2210" t="s">
        <v>2746</v>
      </c>
      <c r="H2210" t="s">
        <v>726</v>
      </c>
      <c r="I2210" t="s">
        <v>1630</v>
      </c>
      <c r="J2210" t="s">
        <v>3369</v>
      </c>
      <c r="K2210" t="s">
        <v>605</v>
      </c>
      <c r="L2210" t="s">
        <v>3375</v>
      </c>
      <c r="M2210" t="s">
        <v>3364</v>
      </c>
      <c r="N2210" t="s">
        <v>3365</v>
      </c>
      <c r="O2210" t="s">
        <v>3366</v>
      </c>
      <c r="P2210" t="s">
        <v>3382</v>
      </c>
    </row>
    <row r="2211" spans="1:16" x14ac:dyDescent="0.3">
      <c r="A2211" t="s">
        <v>1591</v>
      </c>
      <c r="B2211" t="s">
        <v>1555</v>
      </c>
      <c r="E2211">
        <v>3</v>
      </c>
      <c r="F2211" t="s">
        <v>3361</v>
      </c>
      <c r="G2211" t="s">
        <v>2746</v>
      </c>
      <c r="H2211" t="s">
        <v>726</v>
      </c>
      <c r="I2211" t="s">
        <v>1630</v>
      </c>
      <c r="J2211" t="s">
        <v>3369</v>
      </c>
      <c r="K2211" t="s">
        <v>605</v>
      </c>
      <c r="L2211" t="s">
        <v>3375</v>
      </c>
      <c r="M2211" t="s">
        <v>3364</v>
      </c>
      <c r="N2211" t="s">
        <v>3365</v>
      </c>
      <c r="O2211" t="s">
        <v>3366</v>
      </c>
      <c r="P2211" t="s">
        <v>3382</v>
      </c>
    </row>
    <row r="2212" spans="1:16" x14ac:dyDescent="0.3">
      <c r="A2212" t="s">
        <v>1601</v>
      </c>
      <c r="B2212" t="s">
        <v>1555</v>
      </c>
      <c r="E2212">
        <v>3</v>
      </c>
      <c r="F2212" t="s">
        <v>3361</v>
      </c>
      <c r="G2212" t="s">
        <v>2746</v>
      </c>
      <c r="H2212" t="s">
        <v>726</v>
      </c>
      <c r="I2212" t="s">
        <v>1630</v>
      </c>
      <c r="J2212" t="s">
        <v>3369</v>
      </c>
      <c r="K2212" t="s">
        <v>605</v>
      </c>
      <c r="L2212" t="s">
        <v>3375</v>
      </c>
      <c r="M2212" t="s">
        <v>3364</v>
      </c>
      <c r="N2212" t="s">
        <v>3365</v>
      </c>
      <c r="O2212" t="s">
        <v>3366</v>
      </c>
      <c r="P2212" t="s">
        <v>3382</v>
      </c>
    </row>
    <row r="2213" spans="1:16" x14ac:dyDescent="0.3">
      <c r="A2213" t="s">
        <v>1602</v>
      </c>
      <c r="B2213" t="s">
        <v>1555</v>
      </c>
      <c r="E2213">
        <v>3</v>
      </c>
      <c r="F2213" t="s">
        <v>3361</v>
      </c>
      <c r="G2213" t="s">
        <v>2746</v>
      </c>
      <c r="H2213" t="s">
        <v>726</v>
      </c>
      <c r="I2213" t="s">
        <v>1630</v>
      </c>
      <c r="J2213" t="s">
        <v>3369</v>
      </c>
      <c r="K2213" t="s">
        <v>605</v>
      </c>
      <c r="L2213" t="s">
        <v>3375</v>
      </c>
      <c r="M2213" t="s">
        <v>3364</v>
      </c>
      <c r="N2213" t="s">
        <v>3365</v>
      </c>
      <c r="O2213" t="s">
        <v>3366</v>
      </c>
      <c r="P2213" t="s">
        <v>3382</v>
      </c>
    </row>
    <row r="2214" spans="1:16" x14ac:dyDescent="0.3">
      <c r="A2214" t="s">
        <v>1603</v>
      </c>
      <c r="B2214" t="s">
        <v>1555</v>
      </c>
      <c r="E2214">
        <v>3</v>
      </c>
      <c r="F2214" t="s">
        <v>3361</v>
      </c>
      <c r="G2214" t="s">
        <v>2746</v>
      </c>
      <c r="H2214" t="s">
        <v>726</v>
      </c>
      <c r="I2214" t="s">
        <v>1630</v>
      </c>
      <c r="J2214" t="s">
        <v>3369</v>
      </c>
      <c r="K2214" t="s">
        <v>605</v>
      </c>
      <c r="L2214" t="s">
        <v>3375</v>
      </c>
      <c r="M2214" t="s">
        <v>3364</v>
      </c>
      <c r="N2214" t="s">
        <v>3365</v>
      </c>
      <c r="O2214" t="s">
        <v>3366</v>
      </c>
      <c r="P2214" t="s">
        <v>3382</v>
      </c>
    </row>
    <row r="2215" spans="1:16" x14ac:dyDescent="0.3">
      <c r="A2215" t="s">
        <v>1604</v>
      </c>
      <c r="B2215" t="s">
        <v>1605</v>
      </c>
      <c r="E2215">
        <v>4</v>
      </c>
      <c r="F2215" t="s">
        <v>3361</v>
      </c>
      <c r="G2215" t="s">
        <v>2746</v>
      </c>
      <c r="H2215" t="s">
        <v>1606</v>
      </c>
      <c r="I2215" t="s">
        <v>1630</v>
      </c>
      <c r="J2215" t="s">
        <v>3369</v>
      </c>
      <c r="K2215" t="s">
        <v>3387</v>
      </c>
      <c r="L2215" t="s">
        <v>3388</v>
      </c>
      <c r="M2215" t="s">
        <v>3364</v>
      </c>
      <c r="N2215" t="s">
        <v>3365</v>
      </c>
      <c r="O2215" t="s">
        <v>3376</v>
      </c>
      <c r="P2215" t="s">
        <v>3382</v>
      </c>
    </row>
    <row r="2216" spans="1:16" x14ac:dyDescent="0.3">
      <c r="A2216" t="s">
        <v>1611</v>
      </c>
      <c r="B2216" t="s">
        <v>1605</v>
      </c>
      <c r="E2216">
        <v>4</v>
      </c>
      <c r="F2216" t="s">
        <v>3361</v>
      </c>
      <c r="G2216" t="s">
        <v>2746</v>
      </c>
      <c r="H2216" t="s">
        <v>1606</v>
      </c>
      <c r="I2216" t="s">
        <v>1630</v>
      </c>
      <c r="J2216" t="s">
        <v>3369</v>
      </c>
      <c r="K2216" t="s">
        <v>3387</v>
      </c>
      <c r="L2216" t="s">
        <v>3388</v>
      </c>
      <c r="M2216" t="s">
        <v>3364</v>
      </c>
      <c r="N2216" t="s">
        <v>3365</v>
      </c>
      <c r="O2216" t="s">
        <v>3376</v>
      </c>
      <c r="P2216" t="s">
        <v>3382</v>
      </c>
    </row>
    <row r="2217" spans="1:16" x14ac:dyDescent="0.3">
      <c r="A2217" t="s">
        <v>877</v>
      </c>
      <c r="B2217" t="s">
        <v>1605</v>
      </c>
      <c r="E2217">
        <v>4</v>
      </c>
      <c r="F2217" t="s">
        <v>3361</v>
      </c>
      <c r="G2217" t="s">
        <v>2746</v>
      </c>
      <c r="H2217" t="s">
        <v>1606</v>
      </c>
      <c r="I2217" t="s">
        <v>1630</v>
      </c>
      <c r="J2217" t="s">
        <v>3369</v>
      </c>
      <c r="K2217" t="s">
        <v>3387</v>
      </c>
      <c r="L2217" t="s">
        <v>3388</v>
      </c>
      <c r="M2217" t="s">
        <v>3364</v>
      </c>
      <c r="N2217" t="s">
        <v>3365</v>
      </c>
      <c r="O2217" t="s">
        <v>3376</v>
      </c>
      <c r="P2217" t="s">
        <v>3382</v>
      </c>
    </row>
    <row r="2218" spans="1:16" x14ac:dyDescent="0.3">
      <c r="A2218" t="s">
        <v>882</v>
      </c>
      <c r="B2218" t="s">
        <v>1605</v>
      </c>
      <c r="E2218">
        <v>4</v>
      </c>
      <c r="F2218" t="s">
        <v>3361</v>
      </c>
      <c r="G2218" t="s">
        <v>2746</v>
      </c>
      <c r="H2218" t="s">
        <v>1606</v>
      </c>
      <c r="I2218" t="s">
        <v>1630</v>
      </c>
      <c r="J2218" t="s">
        <v>3369</v>
      </c>
      <c r="K2218" t="s">
        <v>3387</v>
      </c>
      <c r="L2218" t="s">
        <v>3388</v>
      </c>
      <c r="M2218" t="s">
        <v>3364</v>
      </c>
      <c r="N2218" t="s">
        <v>3365</v>
      </c>
      <c r="O2218" t="s">
        <v>3376</v>
      </c>
      <c r="P2218" t="s">
        <v>3382</v>
      </c>
    </row>
    <row r="2219" spans="1:16" x14ac:dyDescent="0.3">
      <c r="A2219" t="s">
        <v>885</v>
      </c>
      <c r="B2219" t="s">
        <v>1605</v>
      </c>
      <c r="E2219">
        <v>4</v>
      </c>
      <c r="F2219" t="s">
        <v>3361</v>
      </c>
      <c r="G2219" t="s">
        <v>2746</v>
      </c>
      <c r="H2219" t="s">
        <v>1606</v>
      </c>
      <c r="I2219" t="s">
        <v>1630</v>
      </c>
      <c r="J2219" t="s">
        <v>3369</v>
      </c>
      <c r="K2219" t="s">
        <v>3387</v>
      </c>
      <c r="L2219" t="s">
        <v>3388</v>
      </c>
      <c r="M2219" t="s">
        <v>3364</v>
      </c>
      <c r="N2219" t="s">
        <v>3365</v>
      </c>
      <c r="O2219" t="s">
        <v>3376</v>
      </c>
      <c r="P2219" t="s">
        <v>3382</v>
      </c>
    </row>
    <row r="2220" spans="1:16" x14ac:dyDescent="0.3">
      <c r="A2220" t="s">
        <v>1612</v>
      </c>
      <c r="B2220" t="s">
        <v>1605</v>
      </c>
      <c r="E2220">
        <v>4</v>
      </c>
      <c r="F2220" t="s">
        <v>3361</v>
      </c>
      <c r="G2220" t="s">
        <v>2746</v>
      </c>
      <c r="H2220" t="s">
        <v>1606</v>
      </c>
      <c r="I2220" t="s">
        <v>1630</v>
      </c>
      <c r="J2220" t="s">
        <v>3369</v>
      </c>
      <c r="K2220" t="s">
        <v>3387</v>
      </c>
      <c r="L2220" t="s">
        <v>3388</v>
      </c>
      <c r="M2220" t="s">
        <v>3364</v>
      </c>
      <c r="N2220" t="s">
        <v>3365</v>
      </c>
      <c r="O2220" t="s">
        <v>3376</v>
      </c>
      <c r="P2220" t="s">
        <v>3382</v>
      </c>
    </row>
    <row r="2221" spans="1:16" x14ac:dyDescent="0.3">
      <c r="A2221" t="s">
        <v>1613</v>
      </c>
      <c r="B2221" t="s">
        <v>1605</v>
      </c>
      <c r="E2221">
        <v>4</v>
      </c>
      <c r="F2221" t="s">
        <v>3361</v>
      </c>
      <c r="G2221" t="s">
        <v>2746</v>
      </c>
      <c r="H2221" t="s">
        <v>1606</v>
      </c>
      <c r="I2221" t="s">
        <v>1630</v>
      </c>
      <c r="J2221" t="s">
        <v>3369</v>
      </c>
      <c r="K2221" t="s">
        <v>3387</v>
      </c>
      <c r="L2221" t="s">
        <v>3388</v>
      </c>
      <c r="M2221" t="s">
        <v>3364</v>
      </c>
      <c r="N2221" t="s">
        <v>3365</v>
      </c>
      <c r="O2221" t="s">
        <v>3376</v>
      </c>
      <c r="P2221" t="s">
        <v>3382</v>
      </c>
    </row>
    <row r="2222" spans="1:16" x14ac:dyDescent="0.3">
      <c r="A2222" t="s">
        <v>1078</v>
      </c>
      <c r="B2222" t="s">
        <v>1605</v>
      </c>
      <c r="E2222">
        <v>4</v>
      </c>
      <c r="F2222" t="s">
        <v>3361</v>
      </c>
      <c r="G2222" t="s">
        <v>2746</v>
      </c>
      <c r="H2222" t="s">
        <v>1606</v>
      </c>
      <c r="I2222" t="s">
        <v>1630</v>
      </c>
      <c r="J2222" t="s">
        <v>3369</v>
      </c>
      <c r="K2222" t="s">
        <v>3387</v>
      </c>
      <c r="L2222" t="s">
        <v>3388</v>
      </c>
      <c r="M2222" t="s">
        <v>3364</v>
      </c>
      <c r="N2222" t="s">
        <v>3365</v>
      </c>
      <c r="O2222" t="s">
        <v>3376</v>
      </c>
      <c r="P2222" t="s">
        <v>3382</v>
      </c>
    </row>
    <row r="2223" spans="1:16" x14ac:dyDescent="0.3">
      <c r="A2223" t="s">
        <v>1614</v>
      </c>
      <c r="B2223" t="s">
        <v>1605</v>
      </c>
      <c r="E2223">
        <v>4</v>
      </c>
      <c r="F2223" t="s">
        <v>3361</v>
      </c>
      <c r="G2223" t="s">
        <v>2746</v>
      </c>
      <c r="H2223" t="s">
        <v>1606</v>
      </c>
      <c r="I2223" t="s">
        <v>1630</v>
      </c>
      <c r="J2223" t="s">
        <v>3369</v>
      </c>
      <c r="K2223" t="s">
        <v>3387</v>
      </c>
      <c r="L2223" t="s">
        <v>3388</v>
      </c>
      <c r="M2223" t="s">
        <v>3364</v>
      </c>
      <c r="N2223" t="s">
        <v>3365</v>
      </c>
      <c r="O2223" t="s">
        <v>3376</v>
      </c>
      <c r="P2223" t="s">
        <v>3382</v>
      </c>
    </row>
    <row r="2224" spans="1:16" x14ac:dyDescent="0.3">
      <c r="A2224" t="s">
        <v>1615</v>
      </c>
      <c r="B2224" t="s">
        <v>1605</v>
      </c>
      <c r="E2224">
        <v>4</v>
      </c>
      <c r="F2224" t="s">
        <v>3361</v>
      </c>
      <c r="G2224" t="s">
        <v>2746</v>
      </c>
      <c r="H2224" t="s">
        <v>1606</v>
      </c>
      <c r="I2224" t="s">
        <v>1630</v>
      </c>
      <c r="J2224" t="s">
        <v>3369</v>
      </c>
      <c r="K2224" t="s">
        <v>3387</v>
      </c>
      <c r="L2224" t="s">
        <v>3388</v>
      </c>
      <c r="M2224" t="s">
        <v>3364</v>
      </c>
      <c r="N2224" t="s">
        <v>3365</v>
      </c>
      <c r="O2224" t="s">
        <v>3376</v>
      </c>
      <c r="P2224" t="s">
        <v>3382</v>
      </c>
    </row>
    <row r="2225" spans="1:16" x14ac:dyDescent="0.3">
      <c r="A2225" t="s">
        <v>1616</v>
      </c>
      <c r="B2225" t="s">
        <v>1605</v>
      </c>
      <c r="E2225">
        <v>4</v>
      </c>
      <c r="F2225" t="s">
        <v>3361</v>
      </c>
      <c r="G2225" t="s">
        <v>2746</v>
      </c>
      <c r="H2225" t="s">
        <v>1606</v>
      </c>
      <c r="I2225" t="s">
        <v>1630</v>
      </c>
      <c r="J2225" t="s">
        <v>3369</v>
      </c>
      <c r="K2225" t="s">
        <v>3387</v>
      </c>
      <c r="L2225" t="s">
        <v>3388</v>
      </c>
      <c r="M2225" t="s">
        <v>3364</v>
      </c>
      <c r="N2225" t="s">
        <v>3365</v>
      </c>
      <c r="O2225" t="s">
        <v>3376</v>
      </c>
      <c r="P2225" t="s">
        <v>3382</v>
      </c>
    </row>
    <row r="2226" spans="1:16" x14ac:dyDescent="0.3">
      <c r="A2226" t="s">
        <v>1617</v>
      </c>
      <c r="B2226" t="s">
        <v>1605</v>
      </c>
      <c r="E2226">
        <v>4</v>
      </c>
      <c r="F2226" t="s">
        <v>3361</v>
      </c>
      <c r="G2226" t="s">
        <v>2746</v>
      </c>
      <c r="H2226" t="s">
        <v>1606</v>
      </c>
      <c r="I2226" t="s">
        <v>1630</v>
      </c>
      <c r="J2226" t="s">
        <v>3369</v>
      </c>
      <c r="K2226" t="s">
        <v>3387</v>
      </c>
      <c r="L2226" t="s">
        <v>3388</v>
      </c>
      <c r="M2226" t="s">
        <v>3364</v>
      </c>
      <c r="N2226" t="s">
        <v>3365</v>
      </c>
      <c r="O2226" t="s">
        <v>3376</v>
      </c>
      <c r="P2226" t="s">
        <v>3382</v>
      </c>
    </row>
    <row r="2227" spans="1:16" x14ac:dyDescent="0.3">
      <c r="A2227" t="s">
        <v>1618</v>
      </c>
      <c r="B2227" t="s">
        <v>1605</v>
      </c>
      <c r="E2227">
        <v>4</v>
      </c>
      <c r="F2227" t="s">
        <v>3361</v>
      </c>
      <c r="G2227" t="s">
        <v>2746</v>
      </c>
      <c r="H2227" t="s">
        <v>1606</v>
      </c>
      <c r="I2227" t="s">
        <v>1630</v>
      </c>
      <c r="J2227" t="s">
        <v>3369</v>
      </c>
      <c r="K2227" t="s">
        <v>3387</v>
      </c>
      <c r="L2227" t="s">
        <v>3388</v>
      </c>
      <c r="M2227" t="s">
        <v>3364</v>
      </c>
      <c r="N2227" t="s">
        <v>3365</v>
      </c>
      <c r="O2227" t="s">
        <v>3376</v>
      </c>
      <c r="P2227" t="s">
        <v>3382</v>
      </c>
    </row>
    <row r="2228" spans="1:16" x14ac:dyDescent="0.3">
      <c r="A2228" t="s">
        <v>1619</v>
      </c>
      <c r="B2228" t="s">
        <v>1605</v>
      </c>
      <c r="E2228">
        <v>4</v>
      </c>
      <c r="F2228" t="s">
        <v>3361</v>
      </c>
      <c r="G2228" t="s">
        <v>2746</v>
      </c>
      <c r="H2228" t="s">
        <v>1606</v>
      </c>
      <c r="I2228" t="s">
        <v>1630</v>
      </c>
      <c r="J2228" t="s">
        <v>3369</v>
      </c>
      <c r="K2228" t="s">
        <v>3387</v>
      </c>
      <c r="L2228" t="s">
        <v>3388</v>
      </c>
      <c r="M2228" t="s">
        <v>3364</v>
      </c>
      <c r="N2228" t="s">
        <v>3365</v>
      </c>
      <c r="O2228" t="s">
        <v>3376</v>
      </c>
      <c r="P2228" t="s">
        <v>3382</v>
      </c>
    </row>
    <row r="2229" spans="1:16" x14ac:dyDescent="0.3">
      <c r="A2229" t="s">
        <v>876</v>
      </c>
      <c r="B2229" t="s">
        <v>1605</v>
      </c>
      <c r="E2229">
        <v>4</v>
      </c>
      <c r="F2229" t="s">
        <v>3361</v>
      </c>
      <c r="G2229" t="s">
        <v>2746</v>
      </c>
      <c r="H2229" t="s">
        <v>1606</v>
      </c>
      <c r="I2229" t="s">
        <v>1630</v>
      </c>
      <c r="J2229" t="s">
        <v>3369</v>
      </c>
      <c r="K2229" t="s">
        <v>3387</v>
      </c>
      <c r="L2229" t="s">
        <v>3388</v>
      </c>
      <c r="M2229" t="s">
        <v>3364</v>
      </c>
      <c r="N2229" t="s">
        <v>3365</v>
      </c>
      <c r="O2229" t="s">
        <v>3376</v>
      </c>
      <c r="P2229" t="s">
        <v>3382</v>
      </c>
    </row>
    <row r="2230" spans="1:16" x14ac:dyDescent="0.3">
      <c r="A2230" t="s">
        <v>1620</v>
      </c>
      <c r="B2230" t="s">
        <v>1605</v>
      </c>
      <c r="E2230">
        <v>4</v>
      </c>
      <c r="F2230" t="s">
        <v>3361</v>
      </c>
      <c r="G2230" t="s">
        <v>2746</v>
      </c>
      <c r="H2230" t="s">
        <v>1606</v>
      </c>
      <c r="I2230" t="s">
        <v>1630</v>
      </c>
      <c r="J2230" t="s">
        <v>3369</v>
      </c>
      <c r="K2230" t="s">
        <v>3387</v>
      </c>
      <c r="L2230" t="s">
        <v>3388</v>
      </c>
      <c r="M2230" t="s">
        <v>3364</v>
      </c>
      <c r="N2230" t="s">
        <v>3365</v>
      </c>
      <c r="O2230" t="s">
        <v>3376</v>
      </c>
      <c r="P2230" t="s">
        <v>3382</v>
      </c>
    </row>
    <row r="2231" spans="1:16" x14ac:dyDescent="0.3">
      <c r="A2231" t="s">
        <v>1621</v>
      </c>
      <c r="B2231" t="s">
        <v>1605</v>
      </c>
      <c r="E2231">
        <v>4</v>
      </c>
      <c r="F2231" t="s">
        <v>3361</v>
      </c>
      <c r="G2231" t="s">
        <v>2746</v>
      </c>
      <c r="H2231" t="s">
        <v>1606</v>
      </c>
      <c r="I2231" t="s">
        <v>1630</v>
      </c>
      <c r="J2231" t="s">
        <v>3369</v>
      </c>
      <c r="K2231" t="s">
        <v>3387</v>
      </c>
      <c r="L2231" t="s">
        <v>3388</v>
      </c>
      <c r="M2231" t="s">
        <v>3364</v>
      </c>
      <c r="N2231" t="s">
        <v>3365</v>
      </c>
      <c r="O2231" t="s">
        <v>3376</v>
      </c>
      <c r="P2231" t="s">
        <v>3382</v>
      </c>
    </row>
    <row r="2232" spans="1:16" x14ac:dyDescent="0.3">
      <c r="A2232" t="s">
        <v>1622</v>
      </c>
      <c r="B2232" t="s">
        <v>1605</v>
      </c>
      <c r="E2232">
        <v>4</v>
      </c>
      <c r="F2232" t="s">
        <v>3361</v>
      </c>
      <c r="G2232" t="s">
        <v>2746</v>
      </c>
      <c r="H2232" t="s">
        <v>1606</v>
      </c>
      <c r="I2232" t="s">
        <v>1630</v>
      </c>
      <c r="J2232" t="s">
        <v>3369</v>
      </c>
      <c r="K2232" t="s">
        <v>3387</v>
      </c>
      <c r="L2232" t="s">
        <v>3388</v>
      </c>
      <c r="M2232" t="s">
        <v>3364</v>
      </c>
      <c r="N2232" t="s">
        <v>3365</v>
      </c>
      <c r="O2232" t="s">
        <v>3376</v>
      </c>
      <c r="P2232" t="s">
        <v>3382</v>
      </c>
    </row>
    <row r="2233" spans="1:16" x14ac:dyDescent="0.3">
      <c r="A2233" t="s">
        <v>1623</v>
      </c>
      <c r="B2233" t="s">
        <v>1605</v>
      </c>
      <c r="E2233">
        <v>4</v>
      </c>
      <c r="F2233" t="s">
        <v>3361</v>
      </c>
      <c r="G2233" t="s">
        <v>2746</v>
      </c>
      <c r="H2233" t="s">
        <v>1606</v>
      </c>
      <c r="I2233" t="s">
        <v>1630</v>
      </c>
      <c r="J2233" t="s">
        <v>3369</v>
      </c>
      <c r="K2233" t="s">
        <v>3387</v>
      </c>
      <c r="L2233" t="s">
        <v>3388</v>
      </c>
      <c r="M2233" t="s">
        <v>3364</v>
      </c>
      <c r="N2233" t="s">
        <v>3365</v>
      </c>
      <c r="O2233" t="s">
        <v>3376</v>
      </c>
      <c r="P2233" t="s">
        <v>3382</v>
      </c>
    </row>
    <row r="2234" spans="1:16" x14ac:dyDescent="0.3">
      <c r="A2234" t="s">
        <v>1624</v>
      </c>
      <c r="B2234" t="s">
        <v>1605</v>
      </c>
      <c r="E2234">
        <v>4</v>
      </c>
      <c r="F2234" t="s">
        <v>3361</v>
      </c>
      <c r="G2234" t="s">
        <v>2746</v>
      </c>
      <c r="H2234" t="s">
        <v>1606</v>
      </c>
      <c r="I2234" t="s">
        <v>1630</v>
      </c>
      <c r="J2234" t="s">
        <v>3369</v>
      </c>
      <c r="K2234" t="s">
        <v>3387</v>
      </c>
      <c r="L2234" t="s">
        <v>3388</v>
      </c>
      <c r="M2234" t="s">
        <v>3364</v>
      </c>
      <c r="N2234" t="s">
        <v>3365</v>
      </c>
      <c r="O2234" t="s">
        <v>3376</v>
      </c>
      <c r="P2234" t="s">
        <v>3382</v>
      </c>
    </row>
    <row r="2235" spans="1:16" x14ac:dyDescent="0.3">
      <c r="A2235" t="s">
        <v>1625</v>
      </c>
      <c r="B2235" t="s">
        <v>1605</v>
      </c>
      <c r="E2235">
        <v>4</v>
      </c>
      <c r="F2235" t="s">
        <v>3361</v>
      </c>
      <c r="G2235" t="s">
        <v>2746</v>
      </c>
      <c r="H2235" t="s">
        <v>1606</v>
      </c>
      <c r="I2235" t="s">
        <v>1630</v>
      </c>
      <c r="J2235" t="s">
        <v>3369</v>
      </c>
      <c r="K2235" t="s">
        <v>3387</v>
      </c>
      <c r="L2235" t="s">
        <v>3388</v>
      </c>
      <c r="M2235" t="s">
        <v>3364</v>
      </c>
      <c r="N2235" t="s">
        <v>3365</v>
      </c>
      <c r="O2235" t="s">
        <v>3376</v>
      </c>
      <c r="P2235" t="s">
        <v>3382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08B8B-4DB4-42F8-8ECE-932B81623925}">
  <sheetPr>
    <tabColor rgb="FF9B59B6"/>
  </sheetPr>
  <dimension ref="A1:F597"/>
  <sheetViews>
    <sheetView workbookViewId="0">
      <selection sqref="A1:A34"/>
    </sheetView>
  </sheetViews>
  <sheetFormatPr defaultRowHeight="14.4" x14ac:dyDescent="0.3"/>
  <cols>
    <col min="1" max="1" width="46.33203125" style="154" customWidth="1"/>
    <col min="2" max="2" width="14.77734375" style="154" customWidth="1"/>
    <col min="3" max="3" width="9.21875" style="154" customWidth="1"/>
    <col min="4" max="4" width="22.21875" style="154" customWidth="1"/>
    <col min="5" max="5" width="7.44140625" style="154" customWidth="1"/>
    <col min="6" max="6" width="33.33203125" style="154" customWidth="1"/>
    <col min="7" max="16384" width="8.88671875" style="154"/>
  </cols>
  <sheetData>
    <row r="1" spans="1:6" ht="15.6" x14ac:dyDescent="0.3">
      <c r="A1" s="152" t="s">
        <v>3325</v>
      </c>
      <c r="B1" s="153"/>
      <c r="C1" s="153"/>
      <c r="D1" s="153"/>
      <c r="E1" s="153"/>
      <c r="F1" s="153"/>
    </row>
    <row r="2" spans="1:6" x14ac:dyDescent="0.3">
      <c r="A2" s="155"/>
      <c r="B2" s="153"/>
      <c r="C2" s="153"/>
      <c r="D2" s="153"/>
      <c r="E2" s="153"/>
      <c r="F2" s="153"/>
    </row>
    <row r="3" spans="1:6" x14ac:dyDescent="0.3">
      <c r="A3" s="156" t="s">
        <v>3326</v>
      </c>
      <c r="B3" s="156"/>
      <c r="C3" s="156"/>
      <c r="D3" s="156"/>
      <c r="E3" s="156"/>
      <c r="F3" s="156"/>
    </row>
    <row r="4" spans="1:6" x14ac:dyDescent="0.3">
      <c r="A4" s="157" t="e" cm="1">
        <f t="array" ref="A4">- Full_1828 = the term carries its full historical/theological/moral depth</f>
        <v>#NAME?</v>
      </c>
      <c r="B4" s="157" t="s">
        <v>365</v>
      </c>
      <c r="C4" s="157" t="s">
        <v>2739</v>
      </c>
      <c r="D4" s="157" t="s">
        <v>2740</v>
      </c>
      <c r="E4" s="157" t="s">
        <v>2741</v>
      </c>
      <c r="F4" s="157" t="s">
        <v>2742</v>
      </c>
    </row>
    <row r="5" spans="1:6" x14ac:dyDescent="0.3">
      <c r="A5" s="158" t="e" cm="1">
        <f t="array" ref="A5">- Standard = Standard modern meaning, intact but no theological overtone</f>
        <v>#NAME?</v>
      </c>
      <c r="B5" s="159" t="s">
        <v>100</v>
      </c>
      <c r="C5" s="160" t="s">
        <v>2744</v>
      </c>
      <c r="D5" s="160" t="s">
        <v>2745</v>
      </c>
      <c r="E5" s="160" t="s">
        <v>2746</v>
      </c>
      <c r="F5" s="160" t="s">
        <v>2747</v>
      </c>
    </row>
    <row r="6" spans="1:6" x14ac:dyDescent="0.3">
      <c r="A6" s="161" t="s">
        <v>3327</v>
      </c>
      <c r="B6" s="162" t="s">
        <v>100</v>
      </c>
      <c r="C6" s="163" t="s">
        <v>2744</v>
      </c>
      <c r="D6" s="163" t="s">
        <v>2745</v>
      </c>
      <c r="E6" s="163" t="s">
        <v>2746</v>
      </c>
      <c r="F6" s="163" t="s">
        <v>2747</v>
      </c>
    </row>
    <row r="7" spans="1:6" x14ac:dyDescent="0.3">
      <c r="A7" s="158" t="s">
        <v>3328</v>
      </c>
      <c r="B7" s="159" t="s">
        <v>100</v>
      </c>
      <c r="C7" s="160" t="s">
        <v>2744</v>
      </c>
      <c r="D7" s="160" t="s">
        <v>2745</v>
      </c>
      <c r="E7" s="160" t="s">
        <v>2746</v>
      </c>
      <c r="F7" s="160" t="s">
        <v>2747</v>
      </c>
    </row>
    <row r="8" spans="1:6" x14ac:dyDescent="0.3">
      <c r="A8" s="161" t="s">
        <v>3329</v>
      </c>
      <c r="B8" s="162" t="s">
        <v>100</v>
      </c>
      <c r="C8" s="163" t="s">
        <v>2744</v>
      </c>
      <c r="D8" s="163" t="s">
        <v>2745</v>
      </c>
      <c r="E8" s="163" t="s">
        <v>2746</v>
      </c>
      <c r="F8" s="163" t="s">
        <v>2747</v>
      </c>
    </row>
    <row r="9" spans="1:6" x14ac:dyDescent="0.3">
      <c r="A9" s="158"/>
      <c r="B9" s="159" t="s">
        <v>100</v>
      </c>
      <c r="C9" s="160" t="s">
        <v>2744</v>
      </c>
      <c r="D9" s="160" t="s">
        <v>2745</v>
      </c>
      <c r="E9" s="160" t="s">
        <v>2746</v>
      </c>
      <c r="F9" s="160" t="s">
        <v>2747</v>
      </c>
    </row>
    <row r="10" spans="1:6" x14ac:dyDescent="0.3">
      <c r="A10" s="161" t="s">
        <v>3330</v>
      </c>
      <c r="B10" s="162" t="s">
        <v>100</v>
      </c>
      <c r="C10" s="163" t="s">
        <v>2744</v>
      </c>
      <c r="D10" s="163" t="s">
        <v>2745</v>
      </c>
      <c r="E10" s="163" t="s">
        <v>2746</v>
      </c>
      <c r="F10" s="163" t="s">
        <v>2747</v>
      </c>
    </row>
    <row r="11" spans="1:6" x14ac:dyDescent="0.3">
      <c r="A11" s="158" t="e" cm="1">
        <f t="array" ref="A11">- Reality = ground facts. Signal = data/evidence. Perception = how things appear. Interpretation = meaning-making. meaning = _xleta.VALUE-placed. Belief = held proposition. Identity = who I am. Action = behavior. World = institution-building.</f>
        <v>#NAME?</v>
      </c>
      <c r="B11" s="159" t="s">
        <v>100</v>
      </c>
      <c r="C11" s="160" t="s">
        <v>2744</v>
      </c>
      <c r="D11" s="160" t="s">
        <v>2745</v>
      </c>
      <c r="E11" s="160" t="s">
        <v>2746</v>
      </c>
      <c r="F11" s="160" t="s">
        <v>2747</v>
      </c>
    </row>
    <row r="12" spans="1:6" x14ac:dyDescent="0.3">
      <c r="A12" s="161" t="s">
        <v>3331</v>
      </c>
      <c r="B12" s="162" t="s">
        <v>100</v>
      </c>
      <c r="C12" s="163" t="s">
        <v>2744</v>
      </c>
      <c r="D12" s="163" t="s">
        <v>2745</v>
      </c>
      <c r="E12" s="163" t="s">
        <v>2746</v>
      </c>
      <c r="F12" s="163" t="s">
        <v>2747</v>
      </c>
    </row>
    <row r="13" spans="1:6" x14ac:dyDescent="0.3">
      <c r="A13" s="158"/>
      <c r="B13" s="159" t="s">
        <v>100</v>
      </c>
      <c r="C13" s="160" t="s">
        <v>2744</v>
      </c>
      <c r="D13" s="160" t="s">
        <v>2745</v>
      </c>
      <c r="E13" s="160" t="s">
        <v>2746</v>
      </c>
      <c r="F13" s="160" t="s">
        <v>2747</v>
      </c>
    </row>
    <row r="14" spans="1:6" x14ac:dyDescent="0.3">
      <c r="A14" s="161" t="s">
        <v>3332</v>
      </c>
      <c r="B14" s="162" t="s">
        <v>100</v>
      </c>
      <c r="C14" s="163" t="s">
        <v>2744</v>
      </c>
      <c r="D14" s="163" t="s">
        <v>2745</v>
      </c>
      <c r="E14" s="163" t="s">
        <v>2746</v>
      </c>
      <c r="F14" s="163" t="s">
        <v>2747</v>
      </c>
    </row>
    <row r="15" spans="1:6" x14ac:dyDescent="0.3">
      <c r="A15" s="158" t="s">
        <v>3333</v>
      </c>
      <c r="B15" s="159" t="s">
        <v>100</v>
      </c>
      <c r="C15" s="160" t="s">
        <v>2744</v>
      </c>
      <c r="D15" s="160" t="s">
        <v>2745</v>
      </c>
      <c r="E15" s="160" t="s">
        <v>2746</v>
      </c>
      <c r="F15" s="160" t="s">
        <v>2747</v>
      </c>
    </row>
    <row r="16" spans="1:6" x14ac:dyDescent="0.3">
      <c r="A16" s="161" t="s">
        <v>3334</v>
      </c>
      <c r="B16" s="162" t="s">
        <v>100</v>
      </c>
      <c r="C16" s="163" t="s">
        <v>2744</v>
      </c>
      <c r="D16" s="163" t="s">
        <v>2745</v>
      </c>
      <c r="E16" s="163" t="s">
        <v>2746</v>
      </c>
      <c r="F16" s="163" t="s">
        <v>2747</v>
      </c>
    </row>
    <row r="17" spans="1:6" x14ac:dyDescent="0.3">
      <c r="A17" s="158"/>
      <c r="B17" s="159" t="s">
        <v>100</v>
      </c>
      <c r="C17" s="160" t="s">
        <v>2744</v>
      </c>
      <c r="D17" s="160" t="s">
        <v>2745</v>
      </c>
      <c r="E17" s="160" t="s">
        <v>2746</v>
      </c>
      <c r="F17" s="160" t="s">
        <v>2747</v>
      </c>
    </row>
    <row r="18" spans="1:6" x14ac:dyDescent="0.3">
      <c r="A18" s="161" t="s">
        <v>3335</v>
      </c>
      <c r="B18" s="162" t="s">
        <v>100</v>
      </c>
      <c r="C18" s="163" t="s">
        <v>2744</v>
      </c>
      <c r="D18" s="163" t="s">
        <v>2745</v>
      </c>
      <c r="E18" s="163" t="s">
        <v>2746</v>
      </c>
      <c r="F18" s="163" t="s">
        <v>2747</v>
      </c>
    </row>
    <row r="19" spans="1:6" x14ac:dyDescent="0.3">
      <c r="A19" s="158" t="e" cm="1">
        <f t="array" ref="A19">- Stable = always the same polarity. Context-flip = Context can reverse meaning. Sarcasm-risk = frequently sarcastic. Dialect-dependent = meaning changes by community.</f>
        <v>#NAME?</v>
      </c>
      <c r="B19" s="159" t="s">
        <v>100</v>
      </c>
      <c r="C19" s="160" t="s">
        <v>2744</v>
      </c>
      <c r="D19" s="160" t="s">
        <v>2745</v>
      </c>
      <c r="E19" s="160" t="s">
        <v>2746</v>
      </c>
      <c r="F19" s="160" t="s">
        <v>2747</v>
      </c>
    </row>
    <row r="20" spans="1:6" x14ac:dyDescent="0.3">
      <c r="A20" s="161" t="s">
        <v>3336</v>
      </c>
      <c r="B20" s="162" t="s">
        <v>100</v>
      </c>
      <c r="C20" s="163" t="s">
        <v>2744</v>
      </c>
      <c r="D20" s="163" t="s">
        <v>2745</v>
      </c>
      <c r="E20" s="163" t="s">
        <v>2746</v>
      </c>
      <c r="F20" s="163" t="s">
        <v>2747</v>
      </c>
    </row>
    <row r="21" spans="1:6" x14ac:dyDescent="0.3">
      <c r="A21" s="158"/>
      <c r="B21" s="159" t="s">
        <v>100</v>
      </c>
      <c r="C21" s="160" t="s">
        <v>2744</v>
      </c>
      <c r="D21" s="160" t="s">
        <v>2745</v>
      </c>
      <c r="E21" s="160" t="s">
        <v>2746</v>
      </c>
      <c r="F21" s="160" t="s">
        <v>2747</v>
      </c>
    </row>
    <row r="22" spans="1:6" x14ac:dyDescent="0.3">
      <c r="A22" s="161" t="s">
        <v>3337</v>
      </c>
      <c r="B22" s="162" t="s">
        <v>100</v>
      </c>
      <c r="C22" s="163" t="s">
        <v>2744</v>
      </c>
      <c r="D22" s="163" t="s">
        <v>2745</v>
      </c>
      <c r="E22" s="163" t="s">
        <v>2746</v>
      </c>
      <c r="F22" s="163" t="s">
        <v>2747</v>
      </c>
    </row>
    <row r="23" spans="1:6" x14ac:dyDescent="0.3">
      <c r="A23" s="158" t="s">
        <v>3338</v>
      </c>
      <c r="B23" s="159" t="s">
        <v>100</v>
      </c>
      <c r="C23" s="160" t="s">
        <v>2744</v>
      </c>
      <c r="D23" s="160" t="s">
        <v>2745</v>
      </c>
      <c r="E23" s="160" t="s">
        <v>2746</v>
      </c>
      <c r="F23" s="160" t="s">
        <v>2747</v>
      </c>
    </row>
    <row r="24" spans="1:6" x14ac:dyDescent="0.3">
      <c r="A24" s="161" t="s">
        <v>3339</v>
      </c>
      <c r="B24" s="162" t="s">
        <v>100</v>
      </c>
      <c r="C24" s="163" t="s">
        <v>2744</v>
      </c>
      <c r="D24" s="163" t="s">
        <v>2745</v>
      </c>
      <c r="E24" s="163" t="s">
        <v>2746</v>
      </c>
      <c r="F24" s="163" t="s">
        <v>2747</v>
      </c>
    </row>
    <row r="25" spans="1:6" x14ac:dyDescent="0.3">
      <c r="A25" s="158"/>
      <c r="B25" s="159" t="s">
        <v>100</v>
      </c>
      <c r="C25" s="160" t="s">
        <v>2744</v>
      </c>
      <c r="D25" s="160" t="s">
        <v>2745</v>
      </c>
      <c r="E25" s="160" t="s">
        <v>2746</v>
      </c>
      <c r="F25" s="160" t="s">
        <v>2747</v>
      </c>
    </row>
    <row r="26" spans="1:6" x14ac:dyDescent="0.3">
      <c r="A26" s="161" t="s">
        <v>3340</v>
      </c>
      <c r="B26" s="162" t="s">
        <v>100</v>
      </c>
      <c r="C26" s="163" t="s">
        <v>2744</v>
      </c>
      <c r="D26" s="163" t="s">
        <v>2745</v>
      </c>
      <c r="E26" s="163" t="s">
        <v>2746</v>
      </c>
      <c r="F26" s="163" t="s">
        <v>2747</v>
      </c>
    </row>
    <row r="27" spans="1:6" x14ac:dyDescent="0.3">
      <c r="A27" s="158" t="s">
        <v>3341</v>
      </c>
      <c r="B27" s="159" t="s">
        <v>100</v>
      </c>
      <c r="C27" s="160" t="s">
        <v>2744</v>
      </c>
      <c r="D27" s="160" t="s">
        <v>2745</v>
      </c>
      <c r="E27" s="160" t="s">
        <v>2746</v>
      </c>
      <c r="F27" s="160" t="s">
        <v>2747</v>
      </c>
    </row>
    <row r="28" spans="1:6" x14ac:dyDescent="0.3">
      <c r="A28" s="161" t="s">
        <v>3342</v>
      </c>
      <c r="B28" s="162" t="s">
        <v>100</v>
      </c>
      <c r="C28" s="163" t="s">
        <v>2744</v>
      </c>
      <c r="D28" s="163" t="s">
        <v>2745</v>
      </c>
      <c r="E28" s="163" t="s">
        <v>2746</v>
      </c>
      <c r="F28" s="163" t="s">
        <v>2747</v>
      </c>
    </row>
    <row r="29" spans="1:6" x14ac:dyDescent="0.3">
      <c r="A29" s="158"/>
      <c r="B29" s="159" t="s">
        <v>100</v>
      </c>
      <c r="C29" s="160" t="s">
        <v>2744</v>
      </c>
      <c r="D29" s="160" t="s">
        <v>2745</v>
      </c>
      <c r="E29" s="160" t="s">
        <v>2746</v>
      </c>
      <c r="F29" s="160" t="s">
        <v>2747</v>
      </c>
    </row>
    <row r="30" spans="1:6" x14ac:dyDescent="0.3">
      <c r="A30" s="161" t="s">
        <v>3343</v>
      </c>
      <c r="B30" s="162" t="s">
        <v>100</v>
      </c>
      <c r="C30" s="163" t="s">
        <v>2744</v>
      </c>
      <c r="D30" s="163" t="s">
        <v>2745</v>
      </c>
      <c r="E30" s="163" t="s">
        <v>2746</v>
      </c>
      <c r="F30" s="163" t="s">
        <v>2747</v>
      </c>
    </row>
    <row r="31" spans="1:6" x14ac:dyDescent="0.3">
      <c r="A31" s="158" t="s">
        <v>3344</v>
      </c>
      <c r="B31" s="159" t="s">
        <v>100</v>
      </c>
      <c r="C31" s="160" t="s">
        <v>2744</v>
      </c>
      <c r="D31" s="160" t="s">
        <v>2745</v>
      </c>
      <c r="E31" s="160" t="s">
        <v>2746</v>
      </c>
      <c r="F31" s="160" t="s">
        <v>2747</v>
      </c>
    </row>
    <row r="32" spans="1:6" x14ac:dyDescent="0.3">
      <c r="A32" s="161" t="s">
        <v>3345</v>
      </c>
      <c r="B32" s="162" t="s">
        <v>100</v>
      </c>
      <c r="C32" s="163" t="s">
        <v>2744</v>
      </c>
      <c r="D32" s="163" t="s">
        <v>2745</v>
      </c>
      <c r="E32" s="163" t="s">
        <v>2746</v>
      </c>
      <c r="F32" s="163" t="s">
        <v>2747</v>
      </c>
    </row>
    <row r="33" spans="1:6" x14ac:dyDescent="0.3">
      <c r="A33" s="158"/>
      <c r="B33" s="159" t="s">
        <v>100</v>
      </c>
      <c r="C33" s="160" t="s">
        <v>2744</v>
      </c>
      <c r="D33" s="160" t="s">
        <v>2745</v>
      </c>
      <c r="E33" s="160" t="s">
        <v>2746</v>
      </c>
      <c r="F33" s="160" t="s">
        <v>2747</v>
      </c>
    </row>
    <row r="34" spans="1:6" x14ac:dyDescent="0.3">
      <c r="A34" s="161" t="s">
        <v>3346</v>
      </c>
      <c r="B34" s="162" t="s">
        <v>100</v>
      </c>
      <c r="C34" s="163" t="s">
        <v>2744</v>
      </c>
      <c r="D34" s="163" t="s">
        <v>2745</v>
      </c>
      <c r="E34" s="163" t="s">
        <v>2746</v>
      </c>
      <c r="F34" s="163" t="s">
        <v>2747</v>
      </c>
    </row>
    <row r="35" spans="1:6" x14ac:dyDescent="0.3">
      <c r="A35" s="158" t="s">
        <v>2763</v>
      </c>
      <c r="B35" s="159" t="s">
        <v>100</v>
      </c>
      <c r="C35" s="160" t="s">
        <v>2744</v>
      </c>
      <c r="D35" s="160" t="s">
        <v>2745</v>
      </c>
      <c r="E35" s="160" t="s">
        <v>2746</v>
      </c>
      <c r="F35" s="160" t="s">
        <v>2747</v>
      </c>
    </row>
    <row r="36" spans="1:6" x14ac:dyDescent="0.3">
      <c r="A36" s="161" t="s">
        <v>2764</v>
      </c>
      <c r="B36" s="162" t="s">
        <v>100</v>
      </c>
      <c r="C36" s="163" t="s">
        <v>2744</v>
      </c>
      <c r="D36" s="163" t="s">
        <v>2745</v>
      </c>
      <c r="E36" s="163" t="s">
        <v>2746</v>
      </c>
      <c r="F36" s="163" t="s">
        <v>2747</v>
      </c>
    </row>
    <row r="37" spans="1:6" x14ac:dyDescent="0.3">
      <c r="A37" s="158" t="s">
        <v>2765</v>
      </c>
      <c r="B37" s="159" t="s">
        <v>100</v>
      </c>
      <c r="C37" s="160" t="s">
        <v>2744</v>
      </c>
      <c r="D37" s="160" t="s">
        <v>2745</v>
      </c>
      <c r="E37" s="160" t="s">
        <v>2746</v>
      </c>
      <c r="F37" s="160" t="s">
        <v>2747</v>
      </c>
    </row>
    <row r="38" spans="1:6" x14ac:dyDescent="0.3">
      <c r="A38" s="161" t="s">
        <v>2766</v>
      </c>
      <c r="B38" s="162" t="s">
        <v>100</v>
      </c>
      <c r="C38" s="163" t="s">
        <v>2744</v>
      </c>
      <c r="D38" s="163" t="s">
        <v>2745</v>
      </c>
      <c r="E38" s="163" t="s">
        <v>2746</v>
      </c>
      <c r="F38" s="163" t="s">
        <v>2747</v>
      </c>
    </row>
    <row r="39" spans="1:6" x14ac:dyDescent="0.3">
      <c r="A39" s="158" t="s">
        <v>2767</v>
      </c>
      <c r="B39" s="159" t="s">
        <v>100</v>
      </c>
      <c r="C39" s="160" t="s">
        <v>2744</v>
      </c>
      <c r="D39" s="160" t="s">
        <v>2745</v>
      </c>
      <c r="E39" s="160" t="s">
        <v>2746</v>
      </c>
      <c r="F39" s="160" t="s">
        <v>2747</v>
      </c>
    </row>
    <row r="40" spans="1:6" x14ac:dyDescent="0.3">
      <c r="A40" s="161" t="s">
        <v>2768</v>
      </c>
      <c r="B40" s="162" t="s">
        <v>100</v>
      </c>
      <c r="C40" s="163" t="s">
        <v>2744</v>
      </c>
      <c r="D40" s="163" t="s">
        <v>2745</v>
      </c>
      <c r="E40" s="163" t="s">
        <v>2746</v>
      </c>
      <c r="F40" s="163" t="s">
        <v>2747</v>
      </c>
    </row>
    <row r="41" spans="1:6" x14ac:dyDescent="0.3">
      <c r="A41" s="158" t="s">
        <v>2769</v>
      </c>
      <c r="B41" s="159" t="s">
        <v>100</v>
      </c>
      <c r="C41" s="160" t="s">
        <v>2744</v>
      </c>
      <c r="D41" s="160" t="s">
        <v>2745</v>
      </c>
      <c r="E41" s="160" t="s">
        <v>2746</v>
      </c>
      <c r="F41" s="160" t="s">
        <v>2747</v>
      </c>
    </row>
    <row r="42" spans="1:6" x14ac:dyDescent="0.3">
      <c r="A42" s="161" t="s">
        <v>2770</v>
      </c>
      <c r="B42" s="162" t="s">
        <v>100</v>
      </c>
      <c r="C42" s="163" t="s">
        <v>2744</v>
      </c>
      <c r="D42" s="163" t="s">
        <v>2745</v>
      </c>
      <c r="E42" s="163" t="s">
        <v>2746</v>
      </c>
      <c r="F42" s="163" t="s">
        <v>2747</v>
      </c>
    </row>
    <row r="43" spans="1:6" x14ac:dyDescent="0.3">
      <c r="A43" s="158" t="s">
        <v>2771</v>
      </c>
      <c r="B43" s="159" t="s">
        <v>100</v>
      </c>
      <c r="C43" s="160" t="s">
        <v>2744</v>
      </c>
      <c r="D43" s="160" t="s">
        <v>2745</v>
      </c>
      <c r="E43" s="160" t="s">
        <v>2746</v>
      </c>
      <c r="F43" s="160" t="s">
        <v>2747</v>
      </c>
    </row>
    <row r="44" spans="1:6" x14ac:dyDescent="0.3">
      <c r="A44" s="161" t="s">
        <v>2772</v>
      </c>
      <c r="B44" s="162" t="s">
        <v>100</v>
      </c>
      <c r="C44" s="163" t="s">
        <v>2744</v>
      </c>
      <c r="D44" s="163" t="s">
        <v>2745</v>
      </c>
      <c r="E44" s="163" t="s">
        <v>2746</v>
      </c>
      <c r="F44" s="163" t="s">
        <v>2747</v>
      </c>
    </row>
    <row r="45" spans="1:6" x14ac:dyDescent="0.3">
      <c r="A45" s="158" t="s">
        <v>2773</v>
      </c>
      <c r="B45" s="159" t="s">
        <v>100</v>
      </c>
      <c r="C45" s="160" t="s">
        <v>2744</v>
      </c>
      <c r="D45" s="160" t="s">
        <v>2745</v>
      </c>
      <c r="E45" s="160" t="s">
        <v>2746</v>
      </c>
      <c r="F45" s="160" t="s">
        <v>2747</v>
      </c>
    </row>
    <row r="46" spans="1:6" x14ac:dyDescent="0.3">
      <c r="A46" s="161" t="s">
        <v>2774</v>
      </c>
      <c r="B46" s="162" t="s">
        <v>100</v>
      </c>
      <c r="C46" s="163" t="s">
        <v>2744</v>
      </c>
      <c r="D46" s="163" t="s">
        <v>2745</v>
      </c>
      <c r="E46" s="163" t="s">
        <v>2746</v>
      </c>
      <c r="F46" s="163" t="s">
        <v>2747</v>
      </c>
    </row>
    <row r="47" spans="1:6" x14ac:dyDescent="0.3">
      <c r="A47" s="158" t="s">
        <v>2775</v>
      </c>
      <c r="B47" s="159" t="s">
        <v>100</v>
      </c>
      <c r="C47" s="160" t="s">
        <v>2744</v>
      </c>
      <c r="D47" s="160" t="s">
        <v>2745</v>
      </c>
      <c r="E47" s="160" t="s">
        <v>2746</v>
      </c>
      <c r="F47" s="160" t="s">
        <v>2747</v>
      </c>
    </row>
    <row r="48" spans="1:6" x14ac:dyDescent="0.3">
      <c r="A48" s="161" t="s">
        <v>2776</v>
      </c>
      <c r="B48" s="162" t="s">
        <v>100</v>
      </c>
      <c r="C48" s="163" t="s">
        <v>2744</v>
      </c>
      <c r="D48" s="163" t="s">
        <v>2745</v>
      </c>
      <c r="E48" s="163" t="s">
        <v>2746</v>
      </c>
      <c r="F48" s="163" t="s">
        <v>2747</v>
      </c>
    </row>
    <row r="49" spans="1:6" x14ac:dyDescent="0.3">
      <c r="A49" s="158" t="s">
        <v>2777</v>
      </c>
      <c r="B49" s="159" t="s">
        <v>100</v>
      </c>
      <c r="C49" s="160" t="s">
        <v>2744</v>
      </c>
      <c r="D49" s="160" t="s">
        <v>2745</v>
      </c>
      <c r="E49" s="160" t="s">
        <v>2746</v>
      </c>
      <c r="F49" s="160" t="s">
        <v>2747</v>
      </c>
    </row>
    <row r="50" spans="1:6" x14ac:dyDescent="0.3">
      <c r="A50" s="161" t="s">
        <v>2778</v>
      </c>
      <c r="B50" s="162" t="s">
        <v>100</v>
      </c>
      <c r="C50" s="163" t="s">
        <v>2744</v>
      </c>
      <c r="D50" s="163" t="s">
        <v>2745</v>
      </c>
      <c r="E50" s="163" t="s">
        <v>2746</v>
      </c>
      <c r="F50" s="163" t="s">
        <v>2747</v>
      </c>
    </row>
    <row r="51" spans="1:6" x14ac:dyDescent="0.3">
      <c r="A51" s="158" t="s">
        <v>2779</v>
      </c>
      <c r="B51" s="159" t="s">
        <v>100</v>
      </c>
      <c r="C51" s="160" t="s">
        <v>2744</v>
      </c>
      <c r="D51" s="160" t="s">
        <v>2745</v>
      </c>
      <c r="E51" s="160" t="s">
        <v>2746</v>
      </c>
      <c r="F51" s="160" t="s">
        <v>2747</v>
      </c>
    </row>
    <row r="52" spans="1:6" x14ac:dyDescent="0.3">
      <c r="A52" s="161" t="s">
        <v>2780</v>
      </c>
      <c r="B52" s="162" t="s">
        <v>100</v>
      </c>
      <c r="C52" s="163" t="s">
        <v>2744</v>
      </c>
      <c r="D52" s="163" t="s">
        <v>2745</v>
      </c>
      <c r="E52" s="163" t="s">
        <v>2746</v>
      </c>
      <c r="F52" s="163" t="s">
        <v>2747</v>
      </c>
    </row>
    <row r="53" spans="1:6" x14ac:dyDescent="0.3">
      <c r="A53" s="158" t="s">
        <v>2781</v>
      </c>
      <c r="B53" s="159" t="s">
        <v>100</v>
      </c>
      <c r="C53" s="160" t="s">
        <v>2744</v>
      </c>
      <c r="D53" s="160" t="s">
        <v>2745</v>
      </c>
      <c r="E53" s="160" t="s">
        <v>2746</v>
      </c>
      <c r="F53" s="160" t="s">
        <v>2747</v>
      </c>
    </row>
    <row r="54" spans="1:6" x14ac:dyDescent="0.3">
      <c r="A54" s="161" t="s">
        <v>2782</v>
      </c>
      <c r="B54" s="162" t="s">
        <v>100</v>
      </c>
      <c r="C54" s="163" t="s">
        <v>2744</v>
      </c>
      <c r="D54" s="163" t="s">
        <v>2745</v>
      </c>
      <c r="E54" s="163" t="s">
        <v>2746</v>
      </c>
      <c r="F54" s="163" t="s">
        <v>2747</v>
      </c>
    </row>
    <row r="55" spans="1:6" x14ac:dyDescent="0.3">
      <c r="A55" s="158" t="s">
        <v>2783</v>
      </c>
      <c r="B55" s="159" t="s">
        <v>100</v>
      </c>
      <c r="C55" s="160" t="s">
        <v>2744</v>
      </c>
      <c r="D55" s="160" t="s">
        <v>2745</v>
      </c>
      <c r="E55" s="160" t="s">
        <v>2746</v>
      </c>
      <c r="F55" s="160" t="s">
        <v>2747</v>
      </c>
    </row>
    <row r="56" spans="1:6" x14ac:dyDescent="0.3">
      <c r="A56" s="161" t="s">
        <v>2784</v>
      </c>
      <c r="B56" s="162" t="s">
        <v>100</v>
      </c>
      <c r="C56" s="163" t="s">
        <v>2744</v>
      </c>
      <c r="D56" s="163" t="s">
        <v>2745</v>
      </c>
      <c r="E56" s="163" t="s">
        <v>2746</v>
      </c>
      <c r="F56" s="163" t="s">
        <v>2747</v>
      </c>
    </row>
    <row r="57" spans="1:6" x14ac:dyDescent="0.3">
      <c r="A57" s="158" t="s">
        <v>2785</v>
      </c>
      <c r="B57" s="159" t="s">
        <v>100</v>
      </c>
      <c r="C57" s="160" t="s">
        <v>2744</v>
      </c>
      <c r="D57" s="160" t="s">
        <v>2745</v>
      </c>
      <c r="E57" s="160" t="s">
        <v>2746</v>
      </c>
      <c r="F57" s="160" t="s">
        <v>2747</v>
      </c>
    </row>
    <row r="58" spans="1:6" x14ac:dyDescent="0.3">
      <c r="A58" s="161" t="s">
        <v>2786</v>
      </c>
      <c r="B58" s="162" t="s">
        <v>100</v>
      </c>
      <c r="C58" s="163" t="s">
        <v>2744</v>
      </c>
      <c r="D58" s="163" t="s">
        <v>2745</v>
      </c>
      <c r="E58" s="163" t="s">
        <v>2746</v>
      </c>
      <c r="F58" s="163" t="s">
        <v>2747</v>
      </c>
    </row>
    <row r="59" spans="1:6" x14ac:dyDescent="0.3">
      <c r="A59" s="158" t="s">
        <v>2787</v>
      </c>
      <c r="B59" s="159" t="s">
        <v>100</v>
      </c>
      <c r="C59" s="160" t="s">
        <v>2744</v>
      </c>
      <c r="D59" s="160" t="s">
        <v>2745</v>
      </c>
      <c r="E59" s="160" t="s">
        <v>2746</v>
      </c>
      <c r="F59" s="160" t="s">
        <v>2747</v>
      </c>
    </row>
    <row r="60" spans="1:6" x14ac:dyDescent="0.3">
      <c r="A60" s="161" t="s">
        <v>2788</v>
      </c>
      <c r="B60" s="162" t="s">
        <v>100</v>
      </c>
      <c r="C60" s="163" t="s">
        <v>2744</v>
      </c>
      <c r="D60" s="163" t="s">
        <v>2745</v>
      </c>
      <c r="E60" s="163" t="s">
        <v>2746</v>
      </c>
      <c r="F60" s="163" t="s">
        <v>2747</v>
      </c>
    </row>
    <row r="61" spans="1:6" x14ac:dyDescent="0.3">
      <c r="A61" s="158" t="s">
        <v>2789</v>
      </c>
      <c r="B61" s="159" t="s">
        <v>100</v>
      </c>
      <c r="C61" s="160" t="s">
        <v>2744</v>
      </c>
      <c r="D61" s="160" t="s">
        <v>2745</v>
      </c>
      <c r="E61" s="160" t="s">
        <v>2746</v>
      </c>
      <c r="F61" s="160" t="s">
        <v>2747</v>
      </c>
    </row>
    <row r="62" spans="1:6" x14ac:dyDescent="0.3">
      <c r="A62" s="161" t="s">
        <v>2790</v>
      </c>
      <c r="B62" s="162" t="s">
        <v>100</v>
      </c>
      <c r="C62" s="163" t="s">
        <v>2744</v>
      </c>
      <c r="D62" s="163" t="s">
        <v>2745</v>
      </c>
      <c r="E62" s="163" t="s">
        <v>2746</v>
      </c>
      <c r="F62" s="163" t="s">
        <v>2747</v>
      </c>
    </row>
    <row r="63" spans="1:6" x14ac:dyDescent="0.3">
      <c r="A63" s="158" t="s">
        <v>2791</v>
      </c>
      <c r="B63" s="159" t="s">
        <v>100</v>
      </c>
      <c r="C63" s="160" t="s">
        <v>2744</v>
      </c>
      <c r="D63" s="160" t="s">
        <v>2745</v>
      </c>
      <c r="E63" s="160" t="s">
        <v>2746</v>
      </c>
      <c r="F63" s="160" t="s">
        <v>2747</v>
      </c>
    </row>
    <row r="64" spans="1:6" x14ac:dyDescent="0.3">
      <c r="A64" s="161" t="s">
        <v>2792</v>
      </c>
      <c r="B64" s="162" t="s">
        <v>100</v>
      </c>
      <c r="C64" s="163" t="s">
        <v>2744</v>
      </c>
      <c r="D64" s="163" t="s">
        <v>2745</v>
      </c>
      <c r="E64" s="163" t="s">
        <v>2746</v>
      </c>
      <c r="F64" s="163" t="s">
        <v>2747</v>
      </c>
    </row>
    <row r="65" spans="1:6" x14ac:dyDescent="0.3">
      <c r="A65" s="158" t="s">
        <v>2793</v>
      </c>
      <c r="B65" s="159" t="s">
        <v>100</v>
      </c>
      <c r="C65" s="160" t="s">
        <v>2744</v>
      </c>
      <c r="D65" s="160" t="s">
        <v>2745</v>
      </c>
      <c r="E65" s="160" t="s">
        <v>2746</v>
      </c>
      <c r="F65" s="160" t="s">
        <v>2747</v>
      </c>
    </row>
    <row r="66" spans="1:6" x14ac:dyDescent="0.3">
      <c r="A66" s="161" t="s">
        <v>2794</v>
      </c>
      <c r="B66" s="162" t="s">
        <v>100</v>
      </c>
      <c r="C66" s="163" t="s">
        <v>2744</v>
      </c>
      <c r="D66" s="163" t="s">
        <v>2745</v>
      </c>
      <c r="E66" s="163" t="s">
        <v>2746</v>
      </c>
      <c r="F66" s="163" t="s">
        <v>2747</v>
      </c>
    </row>
    <row r="67" spans="1:6" x14ac:dyDescent="0.3">
      <c r="A67" s="158" t="s">
        <v>2795</v>
      </c>
      <c r="B67" s="159" t="s">
        <v>100</v>
      </c>
      <c r="C67" s="160" t="s">
        <v>2796</v>
      </c>
      <c r="D67" s="160" t="s">
        <v>2797</v>
      </c>
      <c r="E67" s="160" t="s">
        <v>2746</v>
      </c>
      <c r="F67" s="160"/>
    </row>
    <row r="68" spans="1:6" x14ac:dyDescent="0.3">
      <c r="A68" s="161" t="s">
        <v>2798</v>
      </c>
      <c r="B68" s="162" t="s">
        <v>100</v>
      </c>
      <c r="C68" s="163" t="s">
        <v>2796</v>
      </c>
      <c r="D68" s="163" t="s">
        <v>2797</v>
      </c>
      <c r="E68" s="163" t="s">
        <v>2746</v>
      </c>
      <c r="F68" s="163"/>
    </row>
    <row r="69" spans="1:6" x14ac:dyDescent="0.3">
      <c r="A69" s="158" t="s">
        <v>2799</v>
      </c>
      <c r="B69" s="159" t="s">
        <v>100</v>
      </c>
      <c r="C69" s="160" t="s">
        <v>2796</v>
      </c>
      <c r="D69" s="160" t="s">
        <v>2797</v>
      </c>
      <c r="E69" s="160" t="s">
        <v>2746</v>
      </c>
      <c r="F69" s="160"/>
    </row>
    <row r="70" spans="1:6" x14ac:dyDescent="0.3">
      <c r="A70" s="161" t="s">
        <v>2800</v>
      </c>
      <c r="B70" s="162" t="s">
        <v>100</v>
      </c>
      <c r="C70" s="163" t="s">
        <v>2796</v>
      </c>
      <c r="D70" s="163" t="s">
        <v>2797</v>
      </c>
      <c r="E70" s="163" t="s">
        <v>2746</v>
      </c>
      <c r="F70" s="163"/>
    </row>
    <row r="71" spans="1:6" x14ac:dyDescent="0.3">
      <c r="A71" s="158" t="s">
        <v>2801</v>
      </c>
      <c r="B71" s="159" t="s">
        <v>100</v>
      </c>
      <c r="C71" s="160" t="s">
        <v>2796</v>
      </c>
      <c r="D71" s="160" t="s">
        <v>2797</v>
      </c>
      <c r="E71" s="160" t="s">
        <v>2746</v>
      </c>
      <c r="F71" s="160"/>
    </row>
    <row r="72" spans="1:6" x14ac:dyDescent="0.3">
      <c r="A72" s="161" t="s">
        <v>2802</v>
      </c>
      <c r="B72" s="162" t="s">
        <v>100</v>
      </c>
      <c r="C72" s="163" t="s">
        <v>2796</v>
      </c>
      <c r="D72" s="163" t="s">
        <v>2797</v>
      </c>
      <c r="E72" s="163" t="s">
        <v>2746</v>
      </c>
      <c r="F72" s="163"/>
    </row>
    <row r="73" spans="1:6" x14ac:dyDescent="0.3">
      <c r="A73" s="158" t="s">
        <v>2803</v>
      </c>
      <c r="B73" s="159" t="s">
        <v>100</v>
      </c>
      <c r="C73" s="160" t="s">
        <v>2796</v>
      </c>
      <c r="D73" s="160" t="s">
        <v>2797</v>
      </c>
      <c r="E73" s="160" t="s">
        <v>2746</v>
      </c>
      <c r="F73" s="160"/>
    </row>
    <row r="74" spans="1:6" x14ac:dyDescent="0.3">
      <c r="A74" s="161" t="s">
        <v>2804</v>
      </c>
      <c r="B74" s="162" t="s">
        <v>100</v>
      </c>
      <c r="C74" s="163" t="s">
        <v>2796</v>
      </c>
      <c r="D74" s="163" t="s">
        <v>2797</v>
      </c>
      <c r="E74" s="163" t="s">
        <v>2746</v>
      </c>
      <c r="F74" s="163"/>
    </row>
    <row r="75" spans="1:6" x14ac:dyDescent="0.3">
      <c r="A75" s="158" t="s">
        <v>2805</v>
      </c>
      <c r="B75" s="159" t="s">
        <v>100</v>
      </c>
      <c r="C75" s="160" t="s">
        <v>2796</v>
      </c>
      <c r="D75" s="160" t="s">
        <v>2797</v>
      </c>
      <c r="E75" s="160" t="s">
        <v>2746</v>
      </c>
      <c r="F75" s="160"/>
    </row>
    <row r="76" spans="1:6" x14ac:dyDescent="0.3">
      <c r="A76" s="161" t="s">
        <v>2806</v>
      </c>
      <c r="B76" s="162" t="s">
        <v>100</v>
      </c>
      <c r="C76" s="163" t="s">
        <v>2796</v>
      </c>
      <c r="D76" s="163" t="s">
        <v>2797</v>
      </c>
      <c r="E76" s="163" t="s">
        <v>2746</v>
      </c>
      <c r="F76" s="163"/>
    </row>
    <row r="77" spans="1:6" x14ac:dyDescent="0.3">
      <c r="A77" s="158" t="s">
        <v>2807</v>
      </c>
      <c r="B77" s="159" t="s">
        <v>100</v>
      </c>
      <c r="C77" s="160" t="s">
        <v>2796</v>
      </c>
      <c r="D77" s="160" t="s">
        <v>2797</v>
      </c>
      <c r="E77" s="160" t="s">
        <v>2746</v>
      </c>
      <c r="F77" s="160"/>
    </row>
    <row r="78" spans="1:6" x14ac:dyDescent="0.3">
      <c r="A78" s="161" t="s">
        <v>2808</v>
      </c>
      <c r="B78" s="162" t="s">
        <v>100</v>
      </c>
      <c r="C78" s="163" t="s">
        <v>2796</v>
      </c>
      <c r="D78" s="163" t="s">
        <v>2797</v>
      </c>
      <c r="E78" s="163" t="s">
        <v>2746</v>
      </c>
      <c r="F78" s="163"/>
    </row>
    <row r="79" spans="1:6" x14ac:dyDescent="0.3">
      <c r="A79" s="158" t="s">
        <v>2809</v>
      </c>
      <c r="B79" s="159" t="s">
        <v>100</v>
      </c>
      <c r="C79" s="160" t="s">
        <v>2796</v>
      </c>
      <c r="D79" s="160" t="s">
        <v>2797</v>
      </c>
      <c r="E79" s="160" t="s">
        <v>2746</v>
      </c>
      <c r="F79" s="160"/>
    </row>
    <row r="80" spans="1:6" x14ac:dyDescent="0.3">
      <c r="A80" s="161" t="s">
        <v>2810</v>
      </c>
      <c r="B80" s="162" t="s">
        <v>100</v>
      </c>
      <c r="C80" s="163" t="s">
        <v>2796</v>
      </c>
      <c r="D80" s="163" t="s">
        <v>2797</v>
      </c>
      <c r="E80" s="163" t="s">
        <v>2746</v>
      </c>
      <c r="F80" s="163"/>
    </row>
    <row r="81" spans="1:6" x14ac:dyDescent="0.3">
      <c r="A81" s="158" t="s">
        <v>2811</v>
      </c>
      <c r="B81" s="159" t="s">
        <v>100</v>
      </c>
      <c r="C81" s="160" t="s">
        <v>2796</v>
      </c>
      <c r="D81" s="160" t="s">
        <v>2797</v>
      </c>
      <c r="E81" s="160" t="s">
        <v>2746</v>
      </c>
      <c r="F81" s="160"/>
    </row>
    <row r="82" spans="1:6" x14ac:dyDescent="0.3">
      <c r="A82" s="161" t="s">
        <v>2812</v>
      </c>
      <c r="B82" s="162" t="s">
        <v>100</v>
      </c>
      <c r="C82" s="163" t="s">
        <v>2796</v>
      </c>
      <c r="D82" s="163" t="s">
        <v>2797</v>
      </c>
      <c r="E82" s="163" t="s">
        <v>2746</v>
      </c>
      <c r="F82" s="163"/>
    </row>
    <row r="83" spans="1:6" x14ac:dyDescent="0.3">
      <c r="A83" s="158" t="s">
        <v>2813</v>
      </c>
      <c r="B83" s="159" t="s">
        <v>100</v>
      </c>
      <c r="C83" s="160" t="s">
        <v>2796</v>
      </c>
      <c r="D83" s="160" t="s">
        <v>2797</v>
      </c>
      <c r="E83" s="160" t="s">
        <v>2746</v>
      </c>
      <c r="F83" s="160"/>
    </row>
    <row r="84" spans="1:6" x14ac:dyDescent="0.3">
      <c r="A84" s="161" t="s">
        <v>2814</v>
      </c>
      <c r="B84" s="162" t="s">
        <v>100</v>
      </c>
      <c r="C84" s="163" t="s">
        <v>2796</v>
      </c>
      <c r="D84" s="163" t="s">
        <v>2797</v>
      </c>
      <c r="E84" s="163" t="s">
        <v>2746</v>
      </c>
      <c r="F84" s="163"/>
    </row>
    <row r="85" spans="1:6" x14ac:dyDescent="0.3">
      <c r="A85" s="158" t="s">
        <v>2815</v>
      </c>
      <c r="B85" s="159" t="s">
        <v>100</v>
      </c>
      <c r="C85" s="160" t="s">
        <v>2796</v>
      </c>
      <c r="D85" s="160" t="s">
        <v>2797</v>
      </c>
      <c r="E85" s="160" t="s">
        <v>2746</v>
      </c>
      <c r="F85" s="160"/>
    </row>
    <row r="86" spans="1:6" x14ac:dyDescent="0.3">
      <c r="A86" s="161" t="s">
        <v>2816</v>
      </c>
      <c r="B86" s="162" t="s">
        <v>100</v>
      </c>
      <c r="C86" s="163" t="s">
        <v>2796</v>
      </c>
      <c r="D86" s="163" t="s">
        <v>2797</v>
      </c>
      <c r="E86" s="163" t="s">
        <v>2746</v>
      </c>
      <c r="F86" s="163"/>
    </row>
    <row r="87" spans="1:6" x14ac:dyDescent="0.3">
      <c r="A87" s="158" t="s">
        <v>2817</v>
      </c>
      <c r="B87" s="159" t="s">
        <v>100</v>
      </c>
      <c r="C87" s="160" t="s">
        <v>2796</v>
      </c>
      <c r="D87" s="160" t="s">
        <v>2797</v>
      </c>
      <c r="E87" s="160" t="s">
        <v>2746</v>
      </c>
      <c r="F87" s="160"/>
    </row>
    <row r="88" spans="1:6" x14ac:dyDescent="0.3">
      <c r="A88" s="161" t="s">
        <v>2818</v>
      </c>
      <c r="B88" s="162" t="s">
        <v>100</v>
      </c>
      <c r="C88" s="163" t="s">
        <v>2796</v>
      </c>
      <c r="D88" s="163" t="s">
        <v>2797</v>
      </c>
      <c r="E88" s="163" t="s">
        <v>2746</v>
      </c>
      <c r="F88" s="163"/>
    </row>
    <row r="89" spans="1:6" x14ac:dyDescent="0.3">
      <c r="A89" s="158" t="s">
        <v>2819</v>
      </c>
      <c r="B89" s="159" t="s">
        <v>100</v>
      </c>
      <c r="C89" s="160" t="s">
        <v>2796</v>
      </c>
      <c r="D89" s="160" t="s">
        <v>2797</v>
      </c>
      <c r="E89" s="160" t="s">
        <v>2746</v>
      </c>
      <c r="F89" s="160"/>
    </row>
    <row r="90" spans="1:6" x14ac:dyDescent="0.3">
      <c r="A90" s="161" t="s">
        <v>2820</v>
      </c>
      <c r="B90" s="162" t="s">
        <v>100</v>
      </c>
      <c r="C90" s="163" t="s">
        <v>2796</v>
      </c>
      <c r="D90" s="163" t="s">
        <v>2797</v>
      </c>
      <c r="E90" s="163" t="s">
        <v>2746</v>
      </c>
      <c r="F90" s="163"/>
    </row>
    <row r="91" spans="1:6" x14ac:dyDescent="0.3">
      <c r="A91" s="158" t="s">
        <v>2821</v>
      </c>
      <c r="B91" s="159" t="s">
        <v>100</v>
      </c>
      <c r="C91" s="160" t="s">
        <v>2796</v>
      </c>
      <c r="D91" s="160" t="s">
        <v>2797</v>
      </c>
      <c r="E91" s="160" t="s">
        <v>2746</v>
      </c>
      <c r="F91" s="160"/>
    </row>
    <row r="92" spans="1:6" x14ac:dyDescent="0.3">
      <c r="A92" s="161" t="s">
        <v>2822</v>
      </c>
      <c r="B92" s="162" t="s">
        <v>100</v>
      </c>
      <c r="C92" s="163" t="s">
        <v>2796</v>
      </c>
      <c r="D92" s="163" t="s">
        <v>2797</v>
      </c>
      <c r="E92" s="163" t="s">
        <v>2746</v>
      </c>
      <c r="F92" s="163"/>
    </row>
    <row r="93" spans="1:6" x14ac:dyDescent="0.3">
      <c r="A93" s="158" t="s">
        <v>2823</v>
      </c>
      <c r="B93" s="159" t="s">
        <v>100</v>
      </c>
      <c r="C93" s="160" t="s">
        <v>2796</v>
      </c>
      <c r="D93" s="160" t="s">
        <v>2797</v>
      </c>
      <c r="E93" s="160" t="s">
        <v>2746</v>
      </c>
      <c r="F93" s="160"/>
    </row>
    <row r="94" spans="1:6" x14ac:dyDescent="0.3">
      <c r="A94" s="161" t="s">
        <v>2824</v>
      </c>
      <c r="B94" s="162" t="s">
        <v>100</v>
      </c>
      <c r="C94" s="163" t="s">
        <v>2796</v>
      </c>
      <c r="D94" s="163" t="s">
        <v>2797</v>
      </c>
      <c r="E94" s="163" t="s">
        <v>2746</v>
      </c>
      <c r="F94" s="163"/>
    </row>
    <row r="95" spans="1:6" x14ac:dyDescent="0.3">
      <c r="A95" s="158" t="s">
        <v>2825</v>
      </c>
      <c r="B95" s="159" t="s">
        <v>100</v>
      </c>
      <c r="C95" s="160" t="s">
        <v>2796</v>
      </c>
      <c r="D95" s="160" t="s">
        <v>2797</v>
      </c>
      <c r="E95" s="160" t="s">
        <v>2746</v>
      </c>
      <c r="F95" s="160"/>
    </row>
    <row r="96" spans="1:6" x14ac:dyDescent="0.3">
      <c r="A96" s="161" t="s">
        <v>2826</v>
      </c>
      <c r="B96" s="162" t="s">
        <v>100</v>
      </c>
      <c r="C96" s="163" t="s">
        <v>2796</v>
      </c>
      <c r="D96" s="163" t="s">
        <v>2797</v>
      </c>
      <c r="E96" s="163" t="s">
        <v>2746</v>
      </c>
      <c r="F96" s="163"/>
    </row>
    <row r="97" spans="1:6" x14ac:dyDescent="0.3">
      <c r="A97" s="158" t="s">
        <v>2827</v>
      </c>
      <c r="B97" s="159" t="s">
        <v>100</v>
      </c>
      <c r="C97" s="160" t="s">
        <v>2828</v>
      </c>
      <c r="D97" s="160" t="s">
        <v>2829</v>
      </c>
      <c r="E97" s="160" t="s">
        <v>2746</v>
      </c>
      <c r="F97" s="160"/>
    </row>
    <row r="98" spans="1:6" x14ac:dyDescent="0.3">
      <c r="A98" s="161" t="s">
        <v>2830</v>
      </c>
      <c r="B98" s="162" t="s">
        <v>100</v>
      </c>
      <c r="C98" s="163" t="s">
        <v>2828</v>
      </c>
      <c r="D98" s="163" t="s">
        <v>2829</v>
      </c>
      <c r="E98" s="163" t="s">
        <v>2746</v>
      </c>
      <c r="F98" s="163"/>
    </row>
    <row r="99" spans="1:6" x14ac:dyDescent="0.3">
      <c r="A99" s="158" t="s">
        <v>2831</v>
      </c>
      <c r="B99" s="159" t="s">
        <v>100</v>
      </c>
      <c r="C99" s="160" t="s">
        <v>2828</v>
      </c>
      <c r="D99" s="160" t="s">
        <v>2829</v>
      </c>
      <c r="E99" s="160" t="s">
        <v>2746</v>
      </c>
      <c r="F99" s="160"/>
    </row>
    <row r="100" spans="1:6" x14ac:dyDescent="0.3">
      <c r="A100" s="161" t="s">
        <v>2832</v>
      </c>
      <c r="B100" s="162" t="s">
        <v>100</v>
      </c>
      <c r="C100" s="163" t="s">
        <v>2828</v>
      </c>
      <c r="D100" s="163" t="s">
        <v>2829</v>
      </c>
      <c r="E100" s="163" t="s">
        <v>2746</v>
      </c>
      <c r="F100" s="163"/>
    </row>
    <row r="101" spans="1:6" x14ac:dyDescent="0.3">
      <c r="A101" s="158" t="s">
        <v>2833</v>
      </c>
      <c r="B101" s="159" t="s">
        <v>100</v>
      </c>
      <c r="C101" s="160" t="s">
        <v>2828</v>
      </c>
      <c r="D101" s="160" t="s">
        <v>2829</v>
      </c>
      <c r="E101" s="160" t="s">
        <v>2746</v>
      </c>
      <c r="F101" s="160"/>
    </row>
    <row r="102" spans="1:6" x14ac:dyDescent="0.3">
      <c r="A102" s="161" t="s">
        <v>2834</v>
      </c>
      <c r="B102" s="162" t="s">
        <v>100</v>
      </c>
      <c r="C102" s="163" t="s">
        <v>2828</v>
      </c>
      <c r="D102" s="163" t="s">
        <v>2829</v>
      </c>
      <c r="E102" s="163" t="s">
        <v>2746</v>
      </c>
      <c r="F102" s="163"/>
    </row>
    <row r="103" spans="1:6" x14ac:dyDescent="0.3">
      <c r="A103" s="158" t="s">
        <v>2835</v>
      </c>
      <c r="B103" s="159" t="s">
        <v>100</v>
      </c>
      <c r="C103" s="160" t="s">
        <v>2828</v>
      </c>
      <c r="D103" s="160" t="s">
        <v>2829</v>
      </c>
      <c r="E103" s="160" t="s">
        <v>2746</v>
      </c>
      <c r="F103" s="160"/>
    </row>
    <row r="104" spans="1:6" x14ac:dyDescent="0.3">
      <c r="A104" s="161" t="s">
        <v>2836</v>
      </c>
      <c r="B104" s="162" t="s">
        <v>100</v>
      </c>
      <c r="C104" s="163" t="s">
        <v>2828</v>
      </c>
      <c r="D104" s="163" t="s">
        <v>2829</v>
      </c>
      <c r="E104" s="163" t="s">
        <v>2746</v>
      </c>
      <c r="F104" s="163"/>
    </row>
    <row r="105" spans="1:6" x14ac:dyDescent="0.3">
      <c r="A105" s="158" t="s">
        <v>2837</v>
      </c>
      <c r="B105" s="159" t="s">
        <v>100</v>
      </c>
      <c r="C105" s="160" t="s">
        <v>2828</v>
      </c>
      <c r="D105" s="160" t="s">
        <v>2829</v>
      </c>
      <c r="E105" s="160" t="s">
        <v>2746</v>
      </c>
      <c r="F105" s="160"/>
    </row>
    <row r="106" spans="1:6" x14ac:dyDescent="0.3">
      <c r="A106" s="161" t="s">
        <v>2838</v>
      </c>
      <c r="B106" s="162" t="s">
        <v>100</v>
      </c>
      <c r="C106" s="163" t="s">
        <v>2828</v>
      </c>
      <c r="D106" s="163" t="s">
        <v>2829</v>
      </c>
      <c r="E106" s="163" t="s">
        <v>2746</v>
      </c>
      <c r="F106" s="163"/>
    </row>
    <row r="107" spans="1:6" x14ac:dyDescent="0.3">
      <c r="A107" s="158" t="s">
        <v>2839</v>
      </c>
      <c r="B107" s="159" t="s">
        <v>100</v>
      </c>
      <c r="C107" s="160" t="s">
        <v>2828</v>
      </c>
      <c r="D107" s="160" t="s">
        <v>2829</v>
      </c>
      <c r="E107" s="160" t="s">
        <v>2746</v>
      </c>
      <c r="F107" s="160"/>
    </row>
    <row r="108" spans="1:6" x14ac:dyDescent="0.3">
      <c r="A108" s="161" t="s">
        <v>2840</v>
      </c>
      <c r="B108" s="162" t="s">
        <v>100</v>
      </c>
      <c r="C108" s="163" t="s">
        <v>2828</v>
      </c>
      <c r="D108" s="163" t="s">
        <v>2829</v>
      </c>
      <c r="E108" s="163" t="s">
        <v>2746</v>
      </c>
      <c r="F108" s="163"/>
    </row>
    <row r="109" spans="1:6" x14ac:dyDescent="0.3">
      <c r="A109" s="158" t="s">
        <v>2841</v>
      </c>
      <c r="B109" s="159" t="s">
        <v>100</v>
      </c>
      <c r="C109" s="160" t="s">
        <v>2828</v>
      </c>
      <c r="D109" s="160" t="s">
        <v>2829</v>
      </c>
      <c r="E109" s="160" t="s">
        <v>2746</v>
      </c>
      <c r="F109" s="160"/>
    </row>
    <row r="110" spans="1:6" x14ac:dyDescent="0.3">
      <c r="A110" s="161" t="s">
        <v>2842</v>
      </c>
      <c r="B110" s="162" t="s">
        <v>100</v>
      </c>
      <c r="C110" s="163" t="s">
        <v>2828</v>
      </c>
      <c r="D110" s="163" t="s">
        <v>2829</v>
      </c>
      <c r="E110" s="163" t="s">
        <v>2746</v>
      </c>
      <c r="F110" s="163"/>
    </row>
    <row r="111" spans="1:6" x14ac:dyDescent="0.3">
      <c r="A111" s="158" t="s">
        <v>2843</v>
      </c>
      <c r="B111" s="159" t="s">
        <v>100</v>
      </c>
      <c r="C111" s="160" t="s">
        <v>2828</v>
      </c>
      <c r="D111" s="160" t="s">
        <v>2829</v>
      </c>
      <c r="E111" s="160" t="s">
        <v>2746</v>
      </c>
      <c r="F111" s="160"/>
    </row>
    <row r="112" spans="1:6" x14ac:dyDescent="0.3">
      <c r="A112" s="161" t="s">
        <v>2844</v>
      </c>
      <c r="B112" s="162" t="s">
        <v>100</v>
      </c>
      <c r="C112" s="163" t="s">
        <v>2828</v>
      </c>
      <c r="D112" s="163" t="s">
        <v>2829</v>
      </c>
      <c r="E112" s="163" t="s">
        <v>2746</v>
      </c>
      <c r="F112" s="163"/>
    </row>
    <row r="113" spans="1:6" x14ac:dyDescent="0.3">
      <c r="A113" s="158" t="s">
        <v>2845</v>
      </c>
      <c r="B113" s="159" t="s">
        <v>100</v>
      </c>
      <c r="C113" s="160" t="s">
        <v>2828</v>
      </c>
      <c r="D113" s="160" t="s">
        <v>2829</v>
      </c>
      <c r="E113" s="160" t="s">
        <v>2746</v>
      </c>
      <c r="F113" s="160"/>
    </row>
    <row r="114" spans="1:6" x14ac:dyDescent="0.3">
      <c r="A114" s="161" t="s">
        <v>2846</v>
      </c>
      <c r="B114" s="162" t="s">
        <v>100</v>
      </c>
      <c r="C114" s="163" t="s">
        <v>2828</v>
      </c>
      <c r="D114" s="163" t="s">
        <v>2829</v>
      </c>
      <c r="E114" s="163" t="s">
        <v>2746</v>
      </c>
      <c r="F114" s="163"/>
    </row>
    <row r="115" spans="1:6" x14ac:dyDescent="0.3">
      <c r="A115" s="158" t="s">
        <v>2847</v>
      </c>
      <c r="B115" s="159" t="s">
        <v>100</v>
      </c>
      <c r="C115" s="160" t="s">
        <v>2828</v>
      </c>
      <c r="D115" s="160" t="s">
        <v>2829</v>
      </c>
      <c r="E115" s="160" t="s">
        <v>2746</v>
      </c>
      <c r="F115" s="160"/>
    </row>
    <row r="116" spans="1:6" x14ac:dyDescent="0.3">
      <c r="A116" s="161" t="s">
        <v>2848</v>
      </c>
      <c r="B116" s="162" t="s">
        <v>100</v>
      </c>
      <c r="C116" s="163" t="s">
        <v>2828</v>
      </c>
      <c r="D116" s="163" t="s">
        <v>2829</v>
      </c>
      <c r="E116" s="163" t="s">
        <v>2746</v>
      </c>
      <c r="F116" s="163"/>
    </row>
    <row r="117" spans="1:6" x14ac:dyDescent="0.3">
      <c r="A117" s="158" t="s">
        <v>2849</v>
      </c>
      <c r="B117" s="159" t="s">
        <v>100</v>
      </c>
      <c r="C117" s="160" t="s">
        <v>2828</v>
      </c>
      <c r="D117" s="160" t="s">
        <v>2829</v>
      </c>
      <c r="E117" s="160" t="s">
        <v>2746</v>
      </c>
      <c r="F117" s="160"/>
    </row>
    <row r="118" spans="1:6" x14ac:dyDescent="0.3">
      <c r="A118" s="161" t="s">
        <v>2850</v>
      </c>
      <c r="B118" s="162" t="s">
        <v>100</v>
      </c>
      <c r="C118" s="163" t="s">
        <v>2828</v>
      </c>
      <c r="D118" s="163" t="s">
        <v>2829</v>
      </c>
      <c r="E118" s="163" t="s">
        <v>2746</v>
      </c>
      <c r="F118" s="163"/>
    </row>
    <row r="119" spans="1:6" x14ac:dyDescent="0.3">
      <c r="A119" s="158" t="s">
        <v>2851</v>
      </c>
      <c r="B119" s="159" t="s">
        <v>100</v>
      </c>
      <c r="C119" s="160" t="s">
        <v>2828</v>
      </c>
      <c r="D119" s="160" t="s">
        <v>2829</v>
      </c>
      <c r="E119" s="160" t="s">
        <v>2746</v>
      </c>
      <c r="F119" s="160"/>
    </row>
    <row r="120" spans="1:6" x14ac:dyDescent="0.3">
      <c r="A120" s="161" t="s">
        <v>2852</v>
      </c>
      <c r="B120" s="162" t="s">
        <v>100</v>
      </c>
      <c r="C120" s="163" t="s">
        <v>2828</v>
      </c>
      <c r="D120" s="163" t="s">
        <v>2829</v>
      </c>
      <c r="E120" s="163" t="s">
        <v>2746</v>
      </c>
      <c r="F120" s="163"/>
    </row>
    <row r="121" spans="1:6" x14ac:dyDescent="0.3">
      <c r="A121" s="158" t="s">
        <v>2853</v>
      </c>
      <c r="B121" s="159" t="s">
        <v>100</v>
      </c>
      <c r="C121" s="160" t="s">
        <v>2854</v>
      </c>
      <c r="D121" s="160" t="s">
        <v>695</v>
      </c>
      <c r="E121" s="160" t="s">
        <v>2746</v>
      </c>
      <c r="F121" s="160"/>
    </row>
    <row r="122" spans="1:6" x14ac:dyDescent="0.3">
      <c r="A122" s="161" t="s">
        <v>2855</v>
      </c>
      <c r="B122" s="162" t="s">
        <v>100</v>
      </c>
      <c r="C122" s="163" t="s">
        <v>2854</v>
      </c>
      <c r="D122" s="163" t="s">
        <v>695</v>
      </c>
      <c r="E122" s="163" t="s">
        <v>2746</v>
      </c>
      <c r="F122" s="163"/>
    </row>
    <row r="123" spans="1:6" x14ac:dyDescent="0.3">
      <c r="A123" s="158" t="s">
        <v>2856</v>
      </c>
      <c r="B123" s="159" t="s">
        <v>100</v>
      </c>
      <c r="C123" s="160" t="s">
        <v>2854</v>
      </c>
      <c r="D123" s="160" t="s">
        <v>695</v>
      </c>
      <c r="E123" s="160" t="s">
        <v>2746</v>
      </c>
      <c r="F123" s="160"/>
    </row>
    <row r="124" spans="1:6" x14ac:dyDescent="0.3">
      <c r="A124" s="161" t="s">
        <v>2857</v>
      </c>
      <c r="B124" s="162" t="s">
        <v>100</v>
      </c>
      <c r="C124" s="163" t="s">
        <v>2854</v>
      </c>
      <c r="D124" s="163" t="s">
        <v>695</v>
      </c>
      <c r="E124" s="163" t="s">
        <v>2746</v>
      </c>
      <c r="F124" s="163"/>
    </row>
    <row r="125" spans="1:6" x14ac:dyDescent="0.3">
      <c r="A125" s="158" t="s">
        <v>2858</v>
      </c>
      <c r="B125" s="159" t="s">
        <v>100</v>
      </c>
      <c r="C125" s="160" t="s">
        <v>2854</v>
      </c>
      <c r="D125" s="160" t="s">
        <v>695</v>
      </c>
      <c r="E125" s="160" t="s">
        <v>2746</v>
      </c>
      <c r="F125" s="160"/>
    </row>
    <row r="126" spans="1:6" x14ac:dyDescent="0.3">
      <c r="A126" s="161" t="s">
        <v>2859</v>
      </c>
      <c r="B126" s="162" t="s">
        <v>100</v>
      </c>
      <c r="C126" s="163" t="s">
        <v>2854</v>
      </c>
      <c r="D126" s="163" t="s">
        <v>695</v>
      </c>
      <c r="E126" s="163" t="s">
        <v>2746</v>
      </c>
      <c r="F126" s="163"/>
    </row>
    <row r="127" spans="1:6" x14ac:dyDescent="0.3">
      <c r="A127" s="158" t="s">
        <v>2860</v>
      </c>
      <c r="B127" s="159" t="s">
        <v>100</v>
      </c>
      <c r="C127" s="160" t="s">
        <v>2854</v>
      </c>
      <c r="D127" s="160" t="s">
        <v>695</v>
      </c>
      <c r="E127" s="160" t="s">
        <v>2746</v>
      </c>
      <c r="F127" s="160"/>
    </row>
    <row r="128" spans="1:6" x14ac:dyDescent="0.3">
      <c r="A128" s="161" t="s">
        <v>2861</v>
      </c>
      <c r="B128" s="162" t="s">
        <v>100</v>
      </c>
      <c r="C128" s="163" t="s">
        <v>2854</v>
      </c>
      <c r="D128" s="163" t="s">
        <v>695</v>
      </c>
      <c r="E128" s="163" t="s">
        <v>2746</v>
      </c>
      <c r="F128" s="163"/>
    </row>
    <row r="129" spans="1:6" x14ac:dyDescent="0.3">
      <c r="A129" s="158" t="s">
        <v>2862</v>
      </c>
      <c r="B129" s="159" t="s">
        <v>100</v>
      </c>
      <c r="C129" s="160" t="s">
        <v>2854</v>
      </c>
      <c r="D129" s="160" t="s">
        <v>695</v>
      </c>
      <c r="E129" s="160" t="s">
        <v>2746</v>
      </c>
      <c r="F129" s="160"/>
    </row>
    <row r="130" spans="1:6" x14ac:dyDescent="0.3">
      <c r="A130" s="161" t="s">
        <v>2863</v>
      </c>
      <c r="B130" s="162" t="s">
        <v>100</v>
      </c>
      <c r="C130" s="163" t="s">
        <v>2854</v>
      </c>
      <c r="D130" s="163" t="s">
        <v>695</v>
      </c>
      <c r="E130" s="163" t="s">
        <v>2746</v>
      </c>
      <c r="F130" s="163"/>
    </row>
    <row r="131" spans="1:6" x14ac:dyDescent="0.3">
      <c r="A131" s="158" t="s">
        <v>2864</v>
      </c>
      <c r="B131" s="159" t="s">
        <v>100</v>
      </c>
      <c r="C131" s="160" t="s">
        <v>2854</v>
      </c>
      <c r="D131" s="160" t="s">
        <v>695</v>
      </c>
      <c r="E131" s="160" t="s">
        <v>2746</v>
      </c>
      <c r="F131" s="160"/>
    </row>
    <row r="132" spans="1:6" x14ac:dyDescent="0.3">
      <c r="A132" s="161" t="s">
        <v>2865</v>
      </c>
      <c r="B132" s="162" t="s">
        <v>100</v>
      </c>
      <c r="C132" s="163" t="s">
        <v>2854</v>
      </c>
      <c r="D132" s="163" t="s">
        <v>695</v>
      </c>
      <c r="E132" s="163" t="s">
        <v>2746</v>
      </c>
      <c r="F132" s="163"/>
    </row>
    <row r="133" spans="1:6" x14ac:dyDescent="0.3">
      <c r="A133" s="158" t="s">
        <v>2866</v>
      </c>
      <c r="B133" s="159" t="s">
        <v>100</v>
      </c>
      <c r="C133" s="160" t="s">
        <v>2854</v>
      </c>
      <c r="D133" s="160" t="s">
        <v>695</v>
      </c>
      <c r="E133" s="160" t="s">
        <v>2746</v>
      </c>
      <c r="F133" s="160"/>
    </row>
    <row r="134" spans="1:6" x14ac:dyDescent="0.3">
      <c r="A134" s="161" t="s">
        <v>2867</v>
      </c>
      <c r="B134" s="162" t="s">
        <v>100</v>
      </c>
      <c r="C134" s="163" t="s">
        <v>2854</v>
      </c>
      <c r="D134" s="163" t="s">
        <v>695</v>
      </c>
      <c r="E134" s="163" t="s">
        <v>2746</v>
      </c>
      <c r="F134" s="163"/>
    </row>
    <row r="135" spans="1:6" x14ac:dyDescent="0.3">
      <c r="A135" s="158" t="s">
        <v>357</v>
      </c>
      <c r="B135" s="159" t="s">
        <v>100</v>
      </c>
      <c r="C135" s="160" t="s">
        <v>2854</v>
      </c>
      <c r="D135" s="160" t="s">
        <v>695</v>
      </c>
      <c r="E135" s="160" t="s">
        <v>2746</v>
      </c>
      <c r="F135" s="160"/>
    </row>
    <row r="136" spans="1:6" x14ac:dyDescent="0.3">
      <c r="A136" s="161" t="s">
        <v>2868</v>
      </c>
      <c r="B136" s="162" t="s">
        <v>100</v>
      </c>
      <c r="C136" s="163" t="s">
        <v>2854</v>
      </c>
      <c r="D136" s="163" t="s">
        <v>695</v>
      </c>
      <c r="E136" s="163" t="s">
        <v>2746</v>
      </c>
      <c r="F136" s="163"/>
    </row>
    <row r="137" spans="1:6" x14ac:dyDescent="0.3">
      <c r="A137" s="158" t="s">
        <v>2869</v>
      </c>
      <c r="B137" s="159" t="s">
        <v>100</v>
      </c>
      <c r="C137" s="160" t="s">
        <v>2854</v>
      </c>
      <c r="D137" s="160" t="s">
        <v>695</v>
      </c>
      <c r="E137" s="160" t="s">
        <v>2746</v>
      </c>
      <c r="F137" s="160"/>
    </row>
    <row r="138" spans="1:6" x14ac:dyDescent="0.3">
      <c r="A138" s="161" t="s">
        <v>638</v>
      </c>
      <c r="B138" s="162" t="s">
        <v>100</v>
      </c>
      <c r="C138" s="163" t="s">
        <v>2854</v>
      </c>
      <c r="D138" s="163" t="s">
        <v>695</v>
      </c>
      <c r="E138" s="163" t="s">
        <v>2746</v>
      </c>
      <c r="F138" s="163"/>
    </row>
    <row r="139" spans="1:6" x14ac:dyDescent="0.3">
      <c r="A139" s="158" t="s">
        <v>2870</v>
      </c>
      <c r="B139" s="159" t="s">
        <v>100</v>
      </c>
      <c r="C139" s="160" t="s">
        <v>2854</v>
      </c>
      <c r="D139" s="160" t="s">
        <v>695</v>
      </c>
      <c r="E139" s="160" t="s">
        <v>2746</v>
      </c>
      <c r="F139" s="160"/>
    </row>
    <row r="140" spans="1:6" x14ac:dyDescent="0.3">
      <c r="A140" s="161" t="s">
        <v>2871</v>
      </c>
      <c r="B140" s="162" t="s">
        <v>100</v>
      </c>
      <c r="C140" s="163" t="s">
        <v>2854</v>
      </c>
      <c r="D140" s="163" t="s">
        <v>695</v>
      </c>
      <c r="E140" s="163" t="s">
        <v>2746</v>
      </c>
      <c r="F140" s="163"/>
    </row>
    <row r="141" spans="1:6" x14ac:dyDescent="0.3">
      <c r="A141" s="158" t="s">
        <v>360</v>
      </c>
      <c r="B141" s="159" t="s">
        <v>100</v>
      </c>
      <c r="C141" s="160" t="s">
        <v>2854</v>
      </c>
      <c r="D141" s="160" t="s">
        <v>695</v>
      </c>
      <c r="E141" s="160" t="s">
        <v>2746</v>
      </c>
      <c r="F141" s="160"/>
    </row>
    <row r="142" spans="1:6" x14ac:dyDescent="0.3">
      <c r="A142" s="161" t="s">
        <v>2872</v>
      </c>
      <c r="B142" s="162" t="s">
        <v>100</v>
      </c>
      <c r="C142" s="163" t="s">
        <v>2854</v>
      </c>
      <c r="D142" s="163" t="s">
        <v>695</v>
      </c>
      <c r="E142" s="163" t="s">
        <v>2746</v>
      </c>
      <c r="F142" s="163"/>
    </row>
    <row r="143" spans="1:6" x14ac:dyDescent="0.3">
      <c r="A143" s="158" t="s">
        <v>2873</v>
      </c>
      <c r="B143" s="159" t="s">
        <v>100</v>
      </c>
      <c r="C143" s="160" t="s">
        <v>2854</v>
      </c>
      <c r="D143" s="160" t="s">
        <v>695</v>
      </c>
      <c r="E143" s="160" t="s">
        <v>2746</v>
      </c>
      <c r="F143" s="160"/>
    </row>
    <row r="144" spans="1:6" x14ac:dyDescent="0.3">
      <c r="A144" s="161" t="s">
        <v>337</v>
      </c>
      <c r="B144" s="162" t="s">
        <v>100</v>
      </c>
      <c r="C144" s="163" t="s">
        <v>2854</v>
      </c>
      <c r="D144" s="163" t="s">
        <v>695</v>
      </c>
      <c r="E144" s="163" t="s">
        <v>2746</v>
      </c>
      <c r="F144" s="163"/>
    </row>
    <row r="145" spans="1:6" x14ac:dyDescent="0.3">
      <c r="A145" s="158" t="s">
        <v>2874</v>
      </c>
      <c r="B145" s="159" t="s">
        <v>100</v>
      </c>
      <c r="C145" s="160" t="s">
        <v>2854</v>
      </c>
      <c r="D145" s="160" t="s">
        <v>695</v>
      </c>
      <c r="E145" s="160" t="s">
        <v>2746</v>
      </c>
      <c r="F145" s="160"/>
    </row>
    <row r="146" spans="1:6" x14ac:dyDescent="0.3">
      <c r="A146" s="161" t="s">
        <v>2875</v>
      </c>
      <c r="B146" s="162" t="s">
        <v>100</v>
      </c>
      <c r="C146" s="163" t="s">
        <v>2854</v>
      </c>
      <c r="D146" s="163" t="s">
        <v>695</v>
      </c>
      <c r="E146" s="163" t="s">
        <v>2746</v>
      </c>
      <c r="F146" s="163"/>
    </row>
    <row r="147" spans="1:6" x14ac:dyDescent="0.3">
      <c r="A147" s="158" t="s">
        <v>2876</v>
      </c>
      <c r="B147" s="159" t="s">
        <v>100</v>
      </c>
      <c r="C147" s="160" t="s">
        <v>2854</v>
      </c>
      <c r="D147" s="160" t="s">
        <v>695</v>
      </c>
      <c r="E147" s="160" t="s">
        <v>2746</v>
      </c>
      <c r="F147" s="160"/>
    </row>
    <row r="148" spans="1:6" x14ac:dyDescent="0.3">
      <c r="A148" s="161" t="s">
        <v>2877</v>
      </c>
      <c r="B148" s="162" t="s">
        <v>100</v>
      </c>
      <c r="C148" s="163" t="s">
        <v>2854</v>
      </c>
      <c r="D148" s="163" t="s">
        <v>695</v>
      </c>
      <c r="E148" s="163" t="s">
        <v>2746</v>
      </c>
      <c r="F148" s="163"/>
    </row>
    <row r="149" spans="1:6" x14ac:dyDescent="0.3">
      <c r="A149" s="158" t="s">
        <v>2878</v>
      </c>
      <c r="B149" s="159" t="s">
        <v>100</v>
      </c>
      <c r="C149" s="160" t="s">
        <v>2854</v>
      </c>
      <c r="D149" s="160" t="s">
        <v>695</v>
      </c>
      <c r="E149" s="160" t="s">
        <v>2746</v>
      </c>
      <c r="F149" s="160"/>
    </row>
    <row r="150" spans="1:6" x14ac:dyDescent="0.3">
      <c r="A150" s="161" t="s">
        <v>2879</v>
      </c>
      <c r="B150" s="162" t="s">
        <v>100</v>
      </c>
      <c r="C150" s="163" t="s">
        <v>2854</v>
      </c>
      <c r="D150" s="163" t="s">
        <v>695</v>
      </c>
      <c r="E150" s="163" t="s">
        <v>2746</v>
      </c>
      <c r="F150" s="163"/>
    </row>
    <row r="151" spans="1:6" x14ac:dyDescent="0.3">
      <c r="A151" s="158" t="s">
        <v>740</v>
      </c>
      <c r="B151" s="159" t="s">
        <v>100</v>
      </c>
      <c r="C151" s="160" t="s">
        <v>2854</v>
      </c>
      <c r="D151" s="160" t="s">
        <v>695</v>
      </c>
      <c r="E151" s="160" t="s">
        <v>2746</v>
      </c>
      <c r="F151" s="160"/>
    </row>
    <row r="152" spans="1:6" x14ac:dyDescent="0.3">
      <c r="A152" s="161" t="s">
        <v>2880</v>
      </c>
      <c r="B152" s="162" t="s">
        <v>100</v>
      </c>
      <c r="C152" s="163" t="s">
        <v>2854</v>
      </c>
      <c r="D152" s="163" t="s">
        <v>695</v>
      </c>
      <c r="E152" s="163" t="s">
        <v>2746</v>
      </c>
      <c r="F152" s="163"/>
    </row>
    <row r="153" spans="1:6" x14ac:dyDescent="0.3">
      <c r="A153" s="158" t="s">
        <v>2881</v>
      </c>
      <c r="B153" s="159" t="s">
        <v>100</v>
      </c>
      <c r="C153" s="160" t="s">
        <v>2854</v>
      </c>
      <c r="D153" s="160" t="s">
        <v>695</v>
      </c>
      <c r="E153" s="160" t="s">
        <v>2746</v>
      </c>
      <c r="F153" s="160"/>
    </row>
    <row r="154" spans="1:6" x14ac:dyDescent="0.3">
      <c r="A154" s="161" t="s">
        <v>2882</v>
      </c>
      <c r="B154" s="162" t="s">
        <v>100</v>
      </c>
      <c r="C154" s="163" t="s">
        <v>2854</v>
      </c>
      <c r="D154" s="163" t="s">
        <v>695</v>
      </c>
      <c r="E154" s="163" t="s">
        <v>2746</v>
      </c>
      <c r="F154" s="163"/>
    </row>
    <row r="155" spans="1:6" x14ac:dyDescent="0.3">
      <c r="A155" s="158" t="s">
        <v>2883</v>
      </c>
      <c r="B155" s="159" t="s">
        <v>100</v>
      </c>
      <c r="C155" s="160" t="s">
        <v>2854</v>
      </c>
      <c r="D155" s="160" t="s">
        <v>695</v>
      </c>
      <c r="E155" s="160" t="s">
        <v>2746</v>
      </c>
      <c r="F155" s="160"/>
    </row>
    <row r="156" spans="1:6" x14ac:dyDescent="0.3">
      <c r="A156" s="161" t="s">
        <v>2884</v>
      </c>
      <c r="B156" s="162" t="s">
        <v>100</v>
      </c>
      <c r="C156" s="163" t="s">
        <v>2854</v>
      </c>
      <c r="D156" s="163" t="s">
        <v>695</v>
      </c>
      <c r="E156" s="163" t="s">
        <v>2746</v>
      </c>
      <c r="F156" s="163"/>
    </row>
    <row r="157" spans="1:6" x14ac:dyDescent="0.3">
      <c r="A157" s="164" t="s">
        <v>2885</v>
      </c>
      <c r="B157" s="165" t="s">
        <v>456</v>
      </c>
      <c r="C157" s="160" t="s">
        <v>2744</v>
      </c>
      <c r="D157" s="160" t="s">
        <v>1078</v>
      </c>
      <c r="E157" s="160" t="s">
        <v>2746</v>
      </c>
      <c r="F157" s="160" t="s">
        <v>2886</v>
      </c>
    </row>
    <row r="158" spans="1:6" x14ac:dyDescent="0.3">
      <c r="A158" s="166" t="s">
        <v>2887</v>
      </c>
      <c r="B158" s="167" t="s">
        <v>456</v>
      </c>
      <c r="C158" s="163" t="s">
        <v>2744</v>
      </c>
      <c r="D158" s="163" t="s">
        <v>1078</v>
      </c>
      <c r="E158" s="163" t="s">
        <v>2746</v>
      </c>
      <c r="F158" s="163" t="s">
        <v>2886</v>
      </c>
    </row>
    <row r="159" spans="1:6" x14ac:dyDescent="0.3">
      <c r="A159" s="164" t="s">
        <v>2888</v>
      </c>
      <c r="B159" s="165" t="s">
        <v>456</v>
      </c>
      <c r="C159" s="160" t="s">
        <v>2744</v>
      </c>
      <c r="D159" s="160" t="s">
        <v>1078</v>
      </c>
      <c r="E159" s="160" t="s">
        <v>2746</v>
      </c>
      <c r="F159" s="160" t="s">
        <v>2886</v>
      </c>
    </row>
    <row r="160" spans="1:6" x14ac:dyDescent="0.3">
      <c r="A160" s="166" t="s">
        <v>2889</v>
      </c>
      <c r="B160" s="167" t="s">
        <v>456</v>
      </c>
      <c r="C160" s="163" t="s">
        <v>2744</v>
      </c>
      <c r="D160" s="163" t="s">
        <v>1078</v>
      </c>
      <c r="E160" s="163" t="s">
        <v>2746</v>
      </c>
      <c r="F160" s="163" t="s">
        <v>2886</v>
      </c>
    </row>
    <row r="161" spans="1:6" x14ac:dyDescent="0.3">
      <c r="A161" s="164" t="s">
        <v>2890</v>
      </c>
      <c r="B161" s="165" t="s">
        <v>456</v>
      </c>
      <c r="C161" s="160" t="s">
        <v>2744</v>
      </c>
      <c r="D161" s="160" t="s">
        <v>1078</v>
      </c>
      <c r="E161" s="160" t="s">
        <v>2746</v>
      </c>
      <c r="F161" s="160" t="s">
        <v>2886</v>
      </c>
    </row>
    <row r="162" spans="1:6" x14ac:dyDescent="0.3">
      <c r="A162" s="166" t="s">
        <v>2891</v>
      </c>
      <c r="B162" s="167" t="s">
        <v>456</v>
      </c>
      <c r="C162" s="163" t="s">
        <v>2744</v>
      </c>
      <c r="D162" s="163" t="s">
        <v>1078</v>
      </c>
      <c r="E162" s="163" t="s">
        <v>2746</v>
      </c>
      <c r="F162" s="163" t="s">
        <v>2886</v>
      </c>
    </row>
    <row r="163" spans="1:6" x14ac:dyDescent="0.3">
      <c r="A163" s="164" t="s">
        <v>2892</v>
      </c>
      <c r="B163" s="165" t="s">
        <v>456</v>
      </c>
      <c r="C163" s="160" t="s">
        <v>2744</v>
      </c>
      <c r="D163" s="160" t="s">
        <v>1078</v>
      </c>
      <c r="E163" s="160" t="s">
        <v>2746</v>
      </c>
      <c r="F163" s="160" t="s">
        <v>2886</v>
      </c>
    </row>
    <row r="164" spans="1:6" x14ac:dyDescent="0.3">
      <c r="A164" s="166" t="s">
        <v>2893</v>
      </c>
      <c r="B164" s="167" t="s">
        <v>456</v>
      </c>
      <c r="C164" s="163" t="s">
        <v>2744</v>
      </c>
      <c r="D164" s="163" t="s">
        <v>1078</v>
      </c>
      <c r="E164" s="163" t="s">
        <v>2746</v>
      </c>
      <c r="F164" s="163" t="s">
        <v>2886</v>
      </c>
    </row>
    <row r="165" spans="1:6" x14ac:dyDescent="0.3">
      <c r="A165" s="164" t="s">
        <v>2894</v>
      </c>
      <c r="B165" s="165" t="s">
        <v>456</v>
      </c>
      <c r="C165" s="160" t="s">
        <v>2744</v>
      </c>
      <c r="D165" s="160" t="s">
        <v>1078</v>
      </c>
      <c r="E165" s="160" t="s">
        <v>2746</v>
      </c>
      <c r="F165" s="160" t="s">
        <v>2886</v>
      </c>
    </row>
    <row r="166" spans="1:6" x14ac:dyDescent="0.3">
      <c r="A166" s="166" t="s">
        <v>2895</v>
      </c>
      <c r="B166" s="167" t="s">
        <v>456</v>
      </c>
      <c r="C166" s="163" t="s">
        <v>2744</v>
      </c>
      <c r="D166" s="163" t="s">
        <v>1078</v>
      </c>
      <c r="E166" s="163" t="s">
        <v>2746</v>
      </c>
      <c r="F166" s="163" t="s">
        <v>2886</v>
      </c>
    </row>
    <row r="167" spans="1:6" x14ac:dyDescent="0.3">
      <c r="A167" s="164" t="s">
        <v>2896</v>
      </c>
      <c r="B167" s="165" t="s">
        <v>456</v>
      </c>
      <c r="C167" s="160" t="s">
        <v>2744</v>
      </c>
      <c r="D167" s="160" t="s">
        <v>1078</v>
      </c>
      <c r="E167" s="160" t="s">
        <v>2746</v>
      </c>
      <c r="F167" s="160" t="s">
        <v>2886</v>
      </c>
    </row>
    <row r="168" spans="1:6" x14ac:dyDescent="0.3">
      <c r="A168" s="166" t="s">
        <v>2897</v>
      </c>
      <c r="B168" s="167" t="s">
        <v>456</v>
      </c>
      <c r="C168" s="163" t="s">
        <v>2744</v>
      </c>
      <c r="D168" s="163" t="s">
        <v>1078</v>
      </c>
      <c r="E168" s="163" t="s">
        <v>2746</v>
      </c>
      <c r="F168" s="163" t="s">
        <v>2886</v>
      </c>
    </row>
    <row r="169" spans="1:6" x14ac:dyDescent="0.3">
      <c r="A169" s="164" t="s">
        <v>2898</v>
      </c>
      <c r="B169" s="165" t="s">
        <v>456</v>
      </c>
      <c r="C169" s="160" t="s">
        <v>2744</v>
      </c>
      <c r="D169" s="160" t="s">
        <v>1078</v>
      </c>
      <c r="E169" s="160" t="s">
        <v>2746</v>
      </c>
      <c r="F169" s="160" t="s">
        <v>2886</v>
      </c>
    </row>
    <row r="170" spans="1:6" x14ac:dyDescent="0.3">
      <c r="A170" s="166" t="s">
        <v>2899</v>
      </c>
      <c r="B170" s="167" t="s">
        <v>456</v>
      </c>
      <c r="C170" s="163" t="s">
        <v>2744</v>
      </c>
      <c r="D170" s="163" t="s">
        <v>1078</v>
      </c>
      <c r="E170" s="163" t="s">
        <v>2746</v>
      </c>
      <c r="F170" s="163" t="s">
        <v>2886</v>
      </c>
    </row>
    <row r="171" spans="1:6" x14ac:dyDescent="0.3">
      <c r="A171" s="164" t="s">
        <v>2539</v>
      </c>
      <c r="B171" s="165" t="s">
        <v>456</v>
      </c>
      <c r="C171" s="160" t="s">
        <v>2744</v>
      </c>
      <c r="D171" s="160" t="s">
        <v>1078</v>
      </c>
      <c r="E171" s="160" t="s">
        <v>2746</v>
      </c>
      <c r="F171" s="160" t="s">
        <v>2886</v>
      </c>
    </row>
    <row r="172" spans="1:6" x14ac:dyDescent="0.3">
      <c r="A172" s="166" t="s">
        <v>2900</v>
      </c>
      <c r="B172" s="167" t="s">
        <v>456</v>
      </c>
      <c r="C172" s="163" t="s">
        <v>2744</v>
      </c>
      <c r="D172" s="163" t="s">
        <v>1078</v>
      </c>
      <c r="E172" s="163" t="s">
        <v>2746</v>
      </c>
      <c r="F172" s="163" t="s">
        <v>2886</v>
      </c>
    </row>
    <row r="173" spans="1:6" x14ac:dyDescent="0.3">
      <c r="A173" s="164" t="s">
        <v>2901</v>
      </c>
      <c r="B173" s="165" t="s">
        <v>456</v>
      </c>
      <c r="C173" s="160" t="s">
        <v>2744</v>
      </c>
      <c r="D173" s="160" t="s">
        <v>1078</v>
      </c>
      <c r="E173" s="160" t="s">
        <v>2746</v>
      </c>
      <c r="F173" s="160" t="s">
        <v>2886</v>
      </c>
    </row>
    <row r="174" spans="1:6" x14ac:dyDescent="0.3">
      <c r="A174" s="166" t="s">
        <v>2902</v>
      </c>
      <c r="B174" s="167" t="s">
        <v>456</v>
      </c>
      <c r="C174" s="163" t="s">
        <v>2744</v>
      </c>
      <c r="D174" s="163" t="s">
        <v>1078</v>
      </c>
      <c r="E174" s="163" t="s">
        <v>2746</v>
      </c>
      <c r="F174" s="163" t="s">
        <v>2886</v>
      </c>
    </row>
    <row r="175" spans="1:6" x14ac:dyDescent="0.3">
      <c r="A175" s="164" t="s">
        <v>2903</v>
      </c>
      <c r="B175" s="165" t="s">
        <v>456</v>
      </c>
      <c r="C175" s="160" t="s">
        <v>2744</v>
      </c>
      <c r="D175" s="160" t="s">
        <v>1078</v>
      </c>
      <c r="E175" s="160" t="s">
        <v>2746</v>
      </c>
      <c r="F175" s="160" t="s">
        <v>2886</v>
      </c>
    </row>
    <row r="176" spans="1:6" x14ac:dyDescent="0.3">
      <c r="A176" s="166" t="s">
        <v>2904</v>
      </c>
      <c r="B176" s="167" t="s">
        <v>456</v>
      </c>
      <c r="C176" s="163" t="s">
        <v>2744</v>
      </c>
      <c r="D176" s="163" t="s">
        <v>1078</v>
      </c>
      <c r="E176" s="163" t="s">
        <v>2746</v>
      </c>
      <c r="F176" s="163" t="s">
        <v>2886</v>
      </c>
    </row>
    <row r="177" spans="1:6" x14ac:dyDescent="0.3">
      <c r="A177" s="164" t="s">
        <v>2905</v>
      </c>
      <c r="B177" s="165" t="s">
        <v>456</v>
      </c>
      <c r="C177" s="160" t="s">
        <v>2744</v>
      </c>
      <c r="D177" s="160" t="s">
        <v>1078</v>
      </c>
      <c r="E177" s="160" t="s">
        <v>2746</v>
      </c>
      <c r="F177" s="160" t="s">
        <v>2886</v>
      </c>
    </row>
    <row r="178" spans="1:6" x14ac:dyDescent="0.3">
      <c r="A178" s="166" t="s">
        <v>2906</v>
      </c>
      <c r="B178" s="167" t="s">
        <v>456</v>
      </c>
      <c r="C178" s="163" t="s">
        <v>2744</v>
      </c>
      <c r="D178" s="163" t="s">
        <v>1078</v>
      </c>
      <c r="E178" s="163" t="s">
        <v>2746</v>
      </c>
      <c r="F178" s="163" t="s">
        <v>2886</v>
      </c>
    </row>
    <row r="179" spans="1:6" x14ac:dyDescent="0.3">
      <c r="A179" s="164" t="s">
        <v>2907</v>
      </c>
      <c r="B179" s="165" t="s">
        <v>456</v>
      </c>
      <c r="C179" s="160" t="s">
        <v>2744</v>
      </c>
      <c r="D179" s="160" t="s">
        <v>1078</v>
      </c>
      <c r="E179" s="160" t="s">
        <v>2746</v>
      </c>
      <c r="F179" s="160" t="s">
        <v>2886</v>
      </c>
    </row>
    <row r="180" spans="1:6" x14ac:dyDescent="0.3">
      <c r="A180" s="166" t="s">
        <v>2908</v>
      </c>
      <c r="B180" s="167" t="s">
        <v>456</v>
      </c>
      <c r="C180" s="163" t="s">
        <v>2744</v>
      </c>
      <c r="D180" s="163" t="s">
        <v>1078</v>
      </c>
      <c r="E180" s="163" t="s">
        <v>2746</v>
      </c>
      <c r="F180" s="163" t="s">
        <v>2886</v>
      </c>
    </row>
    <row r="181" spans="1:6" x14ac:dyDescent="0.3">
      <c r="A181" s="164" t="s">
        <v>2909</v>
      </c>
      <c r="B181" s="165" t="s">
        <v>456</v>
      </c>
      <c r="C181" s="160" t="s">
        <v>2744</v>
      </c>
      <c r="D181" s="160" t="s">
        <v>1078</v>
      </c>
      <c r="E181" s="160" t="s">
        <v>2746</v>
      </c>
      <c r="F181" s="160" t="s">
        <v>2886</v>
      </c>
    </row>
    <row r="182" spans="1:6" x14ac:dyDescent="0.3">
      <c r="A182" s="166" t="s">
        <v>2910</v>
      </c>
      <c r="B182" s="167" t="s">
        <v>456</v>
      </c>
      <c r="C182" s="163" t="s">
        <v>2744</v>
      </c>
      <c r="D182" s="163" t="s">
        <v>2704</v>
      </c>
      <c r="E182" s="163" t="s">
        <v>2746</v>
      </c>
      <c r="F182" s="163" t="s">
        <v>2886</v>
      </c>
    </row>
    <row r="183" spans="1:6" x14ac:dyDescent="0.3">
      <c r="A183" s="164" t="s">
        <v>2911</v>
      </c>
      <c r="B183" s="165" t="s">
        <v>456</v>
      </c>
      <c r="C183" s="160" t="s">
        <v>2744</v>
      </c>
      <c r="D183" s="160" t="s">
        <v>2704</v>
      </c>
      <c r="E183" s="160" t="s">
        <v>2746</v>
      </c>
      <c r="F183" s="160" t="s">
        <v>2886</v>
      </c>
    </row>
    <row r="184" spans="1:6" x14ac:dyDescent="0.3">
      <c r="A184" s="166" t="s">
        <v>2912</v>
      </c>
      <c r="B184" s="167" t="s">
        <v>456</v>
      </c>
      <c r="C184" s="163" t="s">
        <v>2744</v>
      </c>
      <c r="D184" s="163" t="s">
        <v>2704</v>
      </c>
      <c r="E184" s="163" t="s">
        <v>2746</v>
      </c>
      <c r="F184" s="163" t="s">
        <v>2886</v>
      </c>
    </row>
    <row r="185" spans="1:6" x14ac:dyDescent="0.3">
      <c r="A185" s="164" t="s">
        <v>2913</v>
      </c>
      <c r="B185" s="165" t="s">
        <v>456</v>
      </c>
      <c r="C185" s="160" t="s">
        <v>2744</v>
      </c>
      <c r="D185" s="160" t="s">
        <v>2704</v>
      </c>
      <c r="E185" s="160" t="s">
        <v>2746</v>
      </c>
      <c r="F185" s="160" t="s">
        <v>2886</v>
      </c>
    </row>
    <row r="186" spans="1:6" x14ac:dyDescent="0.3">
      <c r="A186" s="166" t="s">
        <v>2914</v>
      </c>
      <c r="B186" s="167" t="s">
        <v>456</v>
      </c>
      <c r="C186" s="163" t="s">
        <v>2744</v>
      </c>
      <c r="D186" s="163" t="s">
        <v>2704</v>
      </c>
      <c r="E186" s="163" t="s">
        <v>2746</v>
      </c>
      <c r="F186" s="163" t="s">
        <v>2886</v>
      </c>
    </row>
    <row r="187" spans="1:6" x14ac:dyDescent="0.3">
      <c r="A187" s="164" t="s">
        <v>2915</v>
      </c>
      <c r="B187" s="165" t="s">
        <v>456</v>
      </c>
      <c r="C187" s="160" t="s">
        <v>2744</v>
      </c>
      <c r="D187" s="160" t="s">
        <v>2704</v>
      </c>
      <c r="E187" s="160" t="s">
        <v>2746</v>
      </c>
      <c r="F187" s="160" t="s">
        <v>2886</v>
      </c>
    </row>
    <row r="188" spans="1:6" x14ac:dyDescent="0.3">
      <c r="A188" s="166" t="s">
        <v>2916</v>
      </c>
      <c r="B188" s="167" t="s">
        <v>456</v>
      </c>
      <c r="C188" s="163" t="s">
        <v>2744</v>
      </c>
      <c r="D188" s="163" t="s">
        <v>1078</v>
      </c>
      <c r="E188" s="163" t="s">
        <v>2746</v>
      </c>
      <c r="F188" s="163" t="s">
        <v>2886</v>
      </c>
    </row>
    <row r="189" spans="1:6" x14ac:dyDescent="0.3">
      <c r="A189" s="164" t="s">
        <v>2917</v>
      </c>
      <c r="B189" s="165" t="s">
        <v>456</v>
      </c>
      <c r="C189" s="160" t="s">
        <v>2744</v>
      </c>
      <c r="D189" s="160" t="s">
        <v>1078</v>
      </c>
      <c r="E189" s="160" t="s">
        <v>2746</v>
      </c>
      <c r="F189" s="160" t="s">
        <v>2886</v>
      </c>
    </row>
    <row r="190" spans="1:6" x14ac:dyDescent="0.3">
      <c r="A190" s="166" t="s">
        <v>2918</v>
      </c>
      <c r="B190" s="167" t="s">
        <v>456</v>
      </c>
      <c r="C190" s="163" t="s">
        <v>2744</v>
      </c>
      <c r="D190" s="163" t="s">
        <v>1078</v>
      </c>
      <c r="E190" s="163" t="s">
        <v>2746</v>
      </c>
      <c r="F190" s="163" t="s">
        <v>2886</v>
      </c>
    </row>
    <row r="191" spans="1:6" x14ac:dyDescent="0.3">
      <c r="A191" s="164" t="s">
        <v>2919</v>
      </c>
      <c r="B191" s="165" t="s">
        <v>456</v>
      </c>
      <c r="C191" s="160" t="s">
        <v>2744</v>
      </c>
      <c r="D191" s="160" t="s">
        <v>1078</v>
      </c>
      <c r="E191" s="160" t="s">
        <v>2746</v>
      </c>
      <c r="F191" s="160" t="s">
        <v>2886</v>
      </c>
    </row>
    <row r="192" spans="1:6" x14ac:dyDescent="0.3">
      <c r="A192" s="166" t="s">
        <v>2920</v>
      </c>
      <c r="B192" s="167" t="s">
        <v>456</v>
      </c>
      <c r="C192" s="163" t="s">
        <v>2744</v>
      </c>
      <c r="D192" s="163" t="s">
        <v>1078</v>
      </c>
      <c r="E192" s="163" t="s">
        <v>2746</v>
      </c>
      <c r="F192" s="163" t="s">
        <v>2886</v>
      </c>
    </row>
    <row r="193" spans="1:6" x14ac:dyDescent="0.3">
      <c r="A193" s="164" t="s">
        <v>2921</v>
      </c>
      <c r="B193" s="165" t="s">
        <v>456</v>
      </c>
      <c r="C193" s="160" t="s">
        <v>2744</v>
      </c>
      <c r="D193" s="160" t="s">
        <v>1078</v>
      </c>
      <c r="E193" s="160" t="s">
        <v>2746</v>
      </c>
      <c r="F193" s="160" t="s">
        <v>2886</v>
      </c>
    </row>
    <row r="194" spans="1:6" x14ac:dyDescent="0.3">
      <c r="A194" s="166" t="s">
        <v>2922</v>
      </c>
      <c r="B194" s="167" t="s">
        <v>456</v>
      </c>
      <c r="C194" s="163" t="s">
        <v>2744</v>
      </c>
      <c r="D194" s="163" t="s">
        <v>1052</v>
      </c>
      <c r="E194" s="163" t="s">
        <v>2746</v>
      </c>
      <c r="F194" s="163" t="s">
        <v>2886</v>
      </c>
    </row>
    <row r="195" spans="1:6" x14ac:dyDescent="0.3">
      <c r="A195" s="164" t="s">
        <v>2923</v>
      </c>
      <c r="B195" s="165" t="s">
        <v>456</v>
      </c>
      <c r="C195" s="160" t="s">
        <v>2744</v>
      </c>
      <c r="D195" s="160" t="s">
        <v>1052</v>
      </c>
      <c r="E195" s="160" t="s">
        <v>2746</v>
      </c>
      <c r="F195" s="160" t="s">
        <v>2886</v>
      </c>
    </row>
    <row r="196" spans="1:6" x14ac:dyDescent="0.3">
      <c r="A196" s="166" t="s">
        <v>2924</v>
      </c>
      <c r="B196" s="167" t="s">
        <v>456</v>
      </c>
      <c r="C196" s="163" t="s">
        <v>2744</v>
      </c>
      <c r="D196" s="163" t="s">
        <v>1052</v>
      </c>
      <c r="E196" s="163" t="s">
        <v>2746</v>
      </c>
      <c r="F196" s="163" t="s">
        <v>2886</v>
      </c>
    </row>
    <row r="197" spans="1:6" x14ac:dyDescent="0.3">
      <c r="A197" s="164" t="s">
        <v>2925</v>
      </c>
      <c r="B197" s="165" t="s">
        <v>456</v>
      </c>
      <c r="C197" s="160" t="s">
        <v>2744</v>
      </c>
      <c r="D197" s="160" t="s">
        <v>1052</v>
      </c>
      <c r="E197" s="160" t="s">
        <v>2746</v>
      </c>
      <c r="F197" s="160" t="s">
        <v>2886</v>
      </c>
    </row>
    <row r="198" spans="1:6" x14ac:dyDescent="0.3">
      <c r="A198" s="166" t="s">
        <v>2926</v>
      </c>
      <c r="B198" s="167" t="s">
        <v>456</v>
      </c>
      <c r="C198" s="163" t="s">
        <v>2744</v>
      </c>
      <c r="D198" s="163" t="s">
        <v>1052</v>
      </c>
      <c r="E198" s="163" t="s">
        <v>2746</v>
      </c>
      <c r="F198" s="163" t="s">
        <v>2886</v>
      </c>
    </row>
    <row r="199" spans="1:6" x14ac:dyDescent="0.3">
      <c r="A199" s="164" t="s">
        <v>2927</v>
      </c>
      <c r="B199" s="165" t="s">
        <v>456</v>
      </c>
      <c r="C199" s="160" t="s">
        <v>2744</v>
      </c>
      <c r="D199" s="160" t="s">
        <v>1052</v>
      </c>
      <c r="E199" s="160" t="s">
        <v>2746</v>
      </c>
      <c r="F199" s="160" t="s">
        <v>2886</v>
      </c>
    </row>
    <row r="200" spans="1:6" x14ac:dyDescent="0.3">
      <c r="A200" s="166" t="s">
        <v>2928</v>
      </c>
      <c r="B200" s="167" t="s">
        <v>456</v>
      </c>
      <c r="C200" s="163" t="s">
        <v>2744</v>
      </c>
      <c r="D200" s="163" t="s">
        <v>1052</v>
      </c>
      <c r="E200" s="163" t="s">
        <v>2746</v>
      </c>
      <c r="F200" s="163" t="s">
        <v>2886</v>
      </c>
    </row>
    <row r="201" spans="1:6" x14ac:dyDescent="0.3">
      <c r="A201" s="164" t="s">
        <v>2929</v>
      </c>
      <c r="B201" s="165" t="s">
        <v>456</v>
      </c>
      <c r="C201" s="160" t="s">
        <v>2744</v>
      </c>
      <c r="D201" s="160" t="s">
        <v>2930</v>
      </c>
      <c r="E201" s="160" t="s">
        <v>2746</v>
      </c>
      <c r="F201" s="160" t="s">
        <v>2886</v>
      </c>
    </row>
    <row r="202" spans="1:6" x14ac:dyDescent="0.3">
      <c r="A202" s="166" t="s">
        <v>2931</v>
      </c>
      <c r="B202" s="167" t="s">
        <v>456</v>
      </c>
      <c r="C202" s="163" t="s">
        <v>2744</v>
      </c>
      <c r="D202" s="163" t="s">
        <v>2930</v>
      </c>
      <c r="E202" s="163" t="s">
        <v>2746</v>
      </c>
      <c r="F202" s="163" t="s">
        <v>2886</v>
      </c>
    </row>
    <row r="203" spans="1:6" x14ac:dyDescent="0.3">
      <c r="A203" s="164" t="s">
        <v>2932</v>
      </c>
      <c r="B203" s="165" t="s">
        <v>456</v>
      </c>
      <c r="C203" s="160" t="s">
        <v>2744</v>
      </c>
      <c r="D203" s="160" t="s">
        <v>2930</v>
      </c>
      <c r="E203" s="160" t="s">
        <v>2746</v>
      </c>
      <c r="F203" s="160" t="s">
        <v>2886</v>
      </c>
    </row>
    <row r="204" spans="1:6" x14ac:dyDescent="0.3">
      <c r="A204" s="166" t="s">
        <v>2933</v>
      </c>
      <c r="B204" s="167" t="s">
        <v>456</v>
      </c>
      <c r="C204" s="163" t="s">
        <v>2744</v>
      </c>
      <c r="D204" s="163" t="s">
        <v>2930</v>
      </c>
      <c r="E204" s="163" t="s">
        <v>2746</v>
      </c>
      <c r="F204" s="163" t="s">
        <v>2886</v>
      </c>
    </row>
    <row r="205" spans="1:6" x14ac:dyDescent="0.3">
      <c r="A205" s="164" t="s">
        <v>2934</v>
      </c>
      <c r="B205" s="165" t="s">
        <v>456</v>
      </c>
      <c r="C205" s="160" t="s">
        <v>2744</v>
      </c>
      <c r="D205" s="160" t="s">
        <v>2930</v>
      </c>
      <c r="E205" s="160" t="s">
        <v>2746</v>
      </c>
      <c r="F205" s="160" t="s">
        <v>2886</v>
      </c>
    </row>
    <row r="206" spans="1:6" x14ac:dyDescent="0.3">
      <c r="A206" s="166" t="s">
        <v>2935</v>
      </c>
      <c r="B206" s="167" t="s">
        <v>456</v>
      </c>
      <c r="C206" s="163" t="s">
        <v>2744</v>
      </c>
      <c r="D206" s="163" t="s">
        <v>2930</v>
      </c>
      <c r="E206" s="163" t="s">
        <v>2746</v>
      </c>
      <c r="F206" s="163" t="s">
        <v>2886</v>
      </c>
    </row>
    <row r="207" spans="1:6" x14ac:dyDescent="0.3">
      <c r="A207" s="164" t="s">
        <v>2936</v>
      </c>
      <c r="B207" s="165" t="s">
        <v>456</v>
      </c>
      <c r="C207" s="160" t="s">
        <v>2744</v>
      </c>
      <c r="D207" s="160" t="s">
        <v>1078</v>
      </c>
      <c r="E207" s="160" t="s">
        <v>2746</v>
      </c>
      <c r="F207" s="160" t="s">
        <v>2886</v>
      </c>
    </row>
    <row r="208" spans="1:6" x14ac:dyDescent="0.3">
      <c r="A208" s="166" t="s">
        <v>2937</v>
      </c>
      <c r="B208" s="167" t="s">
        <v>456</v>
      </c>
      <c r="C208" s="163" t="s">
        <v>2744</v>
      </c>
      <c r="D208" s="163" t="s">
        <v>1078</v>
      </c>
      <c r="E208" s="163" t="s">
        <v>2746</v>
      </c>
      <c r="F208" s="163" t="s">
        <v>2886</v>
      </c>
    </row>
    <row r="209" spans="1:6" x14ac:dyDescent="0.3">
      <c r="A209" s="164" t="s">
        <v>2938</v>
      </c>
      <c r="B209" s="165" t="s">
        <v>456</v>
      </c>
      <c r="C209" s="160" t="s">
        <v>2744</v>
      </c>
      <c r="D209" s="160" t="s">
        <v>1078</v>
      </c>
      <c r="E209" s="160" t="s">
        <v>2746</v>
      </c>
      <c r="F209" s="160" t="s">
        <v>2886</v>
      </c>
    </row>
    <row r="210" spans="1:6" x14ac:dyDescent="0.3">
      <c r="A210" s="166" t="s">
        <v>2939</v>
      </c>
      <c r="B210" s="167" t="s">
        <v>456</v>
      </c>
      <c r="C210" s="163" t="s">
        <v>2744</v>
      </c>
      <c r="D210" s="163" t="s">
        <v>1078</v>
      </c>
      <c r="E210" s="163" t="s">
        <v>2746</v>
      </c>
      <c r="F210" s="163" t="s">
        <v>2886</v>
      </c>
    </row>
    <row r="211" spans="1:6" x14ac:dyDescent="0.3">
      <c r="A211" s="164" t="s">
        <v>2940</v>
      </c>
      <c r="B211" s="165" t="s">
        <v>456</v>
      </c>
      <c r="C211" s="160" t="s">
        <v>2744</v>
      </c>
      <c r="D211" s="160" t="s">
        <v>1078</v>
      </c>
      <c r="E211" s="160" t="s">
        <v>2746</v>
      </c>
      <c r="F211" s="160" t="s">
        <v>2886</v>
      </c>
    </row>
    <row r="212" spans="1:6" x14ac:dyDescent="0.3">
      <c r="A212" s="166" t="s">
        <v>2941</v>
      </c>
      <c r="B212" s="167" t="s">
        <v>456</v>
      </c>
      <c r="C212" s="163" t="s">
        <v>2744</v>
      </c>
      <c r="D212" s="163" t="s">
        <v>1078</v>
      </c>
      <c r="E212" s="163" t="s">
        <v>2746</v>
      </c>
      <c r="F212" s="163" t="s">
        <v>2886</v>
      </c>
    </row>
    <row r="213" spans="1:6" x14ac:dyDescent="0.3">
      <c r="A213" s="164" t="s">
        <v>2942</v>
      </c>
      <c r="B213" s="165" t="s">
        <v>456</v>
      </c>
      <c r="C213" s="160" t="s">
        <v>2796</v>
      </c>
      <c r="D213" s="160" t="s">
        <v>2704</v>
      </c>
      <c r="E213" s="160" t="s">
        <v>2746</v>
      </c>
      <c r="F213" s="160"/>
    </row>
    <row r="214" spans="1:6" x14ac:dyDescent="0.3">
      <c r="A214" s="166" t="s">
        <v>2943</v>
      </c>
      <c r="B214" s="167" t="s">
        <v>456</v>
      </c>
      <c r="C214" s="163" t="s">
        <v>2796</v>
      </c>
      <c r="D214" s="163" t="s">
        <v>2704</v>
      </c>
      <c r="E214" s="163" t="s">
        <v>2746</v>
      </c>
      <c r="F214" s="163"/>
    </row>
    <row r="215" spans="1:6" x14ac:dyDescent="0.3">
      <c r="A215" s="164" t="s">
        <v>2944</v>
      </c>
      <c r="B215" s="165" t="s">
        <v>456</v>
      </c>
      <c r="C215" s="160" t="s">
        <v>2796</v>
      </c>
      <c r="D215" s="160" t="s">
        <v>2704</v>
      </c>
      <c r="E215" s="160" t="s">
        <v>2746</v>
      </c>
      <c r="F215" s="160"/>
    </row>
    <row r="216" spans="1:6" x14ac:dyDescent="0.3">
      <c r="A216" s="166" t="s">
        <v>2945</v>
      </c>
      <c r="B216" s="167" t="s">
        <v>456</v>
      </c>
      <c r="C216" s="163" t="s">
        <v>2796</v>
      </c>
      <c r="D216" s="163" t="s">
        <v>2704</v>
      </c>
      <c r="E216" s="163" t="s">
        <v>2746</v>
      </c>
      <c r="F216" s="163"/>
    </row>
    <row r="217" spans="1:6" x14ac:dyDescent="0.3">
      <c r="A217" s="164" t="s">
        <v>2946</v>
      </c>
      <c r="B217" s="165" t="s">
        <v>456</v>
      </c>
      <c r="C217" s="160" t="s">
        <v>2796</v>
      </c>
      <c r="D217" s="160" t="s">
        <v>2704</v>
      </c>
      <c r="E217" s="160" t="s">
        <v>2746</v>
      </c>
      <c r="F217" s="160"/>
    </row>
    <row r="218" spans="1:6" x14ac:dyDescent="0.3">
      <c r="A218" s="166" t="s">
        <v>2947</v>
      </c>
      <c r="B218" s="167" t="s">
        <v>456</v>
      </c>
      <c r="C218" s="163" t="s">
        <v>2796</v>
      </c>
      <c r="D218" s="163" t="s">
        <v>2704</v>
      </c>
      <c r="E218" s="163" t="s">
        <v>2746</v>
      </c>
      <c r="F218" s="163"/>
    </row>
    <row r="219" spans="1:6" x14ac:dyDescent="0.3">
      <c r="A219" s="164" t="s">
        <v>2948</v>
      </c>
      <c r="B219" s="165" t="s">
        <v>456</v>
      </c>
      <c r="C219" s="160" t="s">
        <v>2796</v>
      </c>
      <c r="D219" s="160" t="s">
        <v>2704</v>
      </c>
      <c r="E219" s="160" t="s">
        <v>2746</v>
      </c>
      <c r="F219" s="160"/>
    </row>
    <row r="220" spans="1:6" x14ac:dyDescent="0.3">
      <c r="A220" s="166" t="s">
        <v>2949</v>
      </c>
      <c r="B220" s="167" t="s">
        <v>456</v>
      </c>
      <c r="C220" s="163" t="s">
        <v>2796</v>
      </c>
      <c r="D220" s="163" t="s">
        <v>2704</v>
      </c>
      <c r="E220" s="163" t="s">
        <v>2746</v>
      </c>
      <c r="F220" s="163"/>
    </row>
    <row r="221" spans="1:6" x14ac:dyDescent="0.3">
      <c r="A221" s="164" t="s">
        <v>2950</v>
      </c>
      <c r="B221" s="165" t="s">
        <v>456</v>
      </c>
      <c r="C221" s="160" t="s">
        <v>2796</v>
      </c>
      <c r="D221" s="160" t="s">
        <v>2704</v>
      </c>
      <c r="E221" s="160" t="s">
        <v>2746</v>
      </c>
      <c r="F221" s="160"/>
    </row>
    <row r="222" spans="1:6" x14ac:dyDescent="0.3">
      <c r="A222" s="166" t="s">
        <v>2951</v>
      </c>
      <c r="B222" s="167" t="s">
        <v>456</v>
      </c>
      <c r="C222" s="163" t="s">
        <v>2796</v>
      </c>
      <c r="D222" s="163" t="s">
        <v>2704</v>
      </c>
      <c r="E222" s="163" t="s">
        <v>2746</v>
      </c>
      <c r="F222" s="163"/>
    </row>
    <row r="223" spans="1:6" x14ac:dyDescent="0.3">
      <c r="A223" s="164" t="s">
        <v>2952</v>
      </c>
      <c r="B223" s="165" t="s">
        <v>456</v>
      </c>
      <c r="C223" s="160" t="s">
        <v>2796</v>
      </c>
      <c r="D223" s="160" t="s">
        <v>2704</v>
      </c>
      <c r="E223" s="160" t="s">
        <v>2746</v>
      </c>
      <c r="F223" s="160"/>
    </row>
    <row r="224" spans="1:6" x14ac:dyDescent="0.3">
      <c r="A224" s="166" t="s">
        <v>2953</v>
      </c>
      <c r="B224" s="167" t="s">
        <v>456</v>
      </c>
      <c r="C224" s="163" t="s">
        <v>2796</v>
      </c>
      <c r="D224" s="163" t="s">
        <v>2704</v>
      </c>
      <c r="E224" s="163" t="s">
        <v>2746</v>
      </c>
      <c r="F224" s="163"/>
    </row>
    <row r="225" spans="1:6" x14ac:dyDescent="0.3">
      <c r="A225" s="164" t="s">
        <v>2954</v>
      </c>
      <c r="B225" s="165" t="s">
        <v>456</v>
      </c>
      <c r="C225" s="160" t="s">
        <v>2796</v>
      </c>
      <c r="D225" s="160" t="s">
        <v>2704</v>
      </c>
      <c r="E225" s="160" t="s">
        <v>2746</v>
      </c>
      <c r="F225" s="160"/>
    </row>
    <row r="226" spans="1:6" x14ac:dyDescent="0.3">
      <c r="A226" s="166" t="s">
        <v>2955</v>
      </c>
      <c r="B226" s="167" t="s">
        <v>456</v>
      </c>
      <c r="C226" s="163" t="s">
        <v>2796</v>
      </c>
      <c r="D226" s="163" t="s">
        <v>2704</v>
      </c>
      <c r="E226" s="163" t="s">
        <v>2746</v>
      </c>
      <c r="F226" s="163"/>
    </row>
    <row r="227" spans="1:6" x14ac:dyDescent="0.3">
      <c r="A227" s="164" t="s">
        <v>2956</v>
      </c>
      <c r="B227" s="165" t="s">
        <v>456</v>
      </c>
      <c r="C227" s="160" t="s">
        <v>2796</v>
      </c>
      <c r="D227" s="160" t="s">
        <v>2704</v>
      </c>
      <c r="E227" s="160" t="s">
        <v>2746</v>
      </c>
      <c r="F227" s="160"/>
    </row>
    <row r="228" spans="1:6" x14ac:dyDescent="0.3">
      <c r="A228" s="166" t="s">
        <v>2957</v>
      </c>
      <c r="B228" s="167" t="s">
        <v>456</v>
      </c>
      <c r="C228" s="163" t="s">
        <v>2796</v>
      </c>
      <c r="D228" s="163" t="s">
        <v>2704</v>
      </c>
      <c r="E228" s="163" t="s">
        <v>2746</v>
      </c>
      <c r="F228" s="163"/>
    </row>
    <row r="229" spans="1:6" x14ac:dyDescent="0.3">
      <c r="A229" s="164" t="s">
        <v>2958</v>
      </c>
      <c r="B229" s="165" t="s">
        <v>456</v>
      </c>
      <c r="C229" s="160" t="s">
        <v>2796</v>
      </c>
      <c r="D229" s="160" t="s">
        <v>2704</v>
      </c>
      <c r="E229" s="160" t="s">
        <v>2746</v>
      </c>
      <c r="F229" s="160"/>
    </row>
    <row r="230" spans="1:6" x14ac:dyDescent="0.3">
      <c r="A230" s="166" t="s">
        <v>2959</v>
      </c>
      <c r="B230" s="167" t="s">
        <v>456</v>
      </c>
      <c r="C230" s="163" t="s">
        <v>2796</v>
      </c>
      <c r="D230" s="163" t="s">
        <v>2704</v>
      </c>
      <c r="E230" s="163" t="s">
        <v>2746</v>
      </c>
      <c r="F230" s="163"/>
    </row>
    <row r="231" spans="1:6" x14ac:dyDescent="0.3">
      <c r="A231" s="164" t="s">
        <v>2960</v>
      </c>
      <c r="B231" s="165" t="s">
        <v>456</v>
      </c>
      <c r="C231" s="160" t="s">
        <v>2796</v>
      </c>
      <c r="D231" s="160" t="s">
        <v>2704</v>
      </c>
      <c r="E231" s="160" t="s">
        <v>2746</v>
      </c>
      <c r="F231" s="160"/>
    </row>
    <row r="232" spans="1:6" x14ac:dyDescent="0.3">
      <c r="A232" s="166" t="s">
        <v>2961</v>
      </c>
      <c r="B232" s="167" t="s">
        <v>456</v>
      </c>
      <c r="C232" s="163" t="s">
        <v>2796</v>
      </c>
      <c r="D232" s="163" t="s">
        <v>2704</v>
      </c>
      <c r="E232" s="163" t="s">
        <v>2746</v>
      </c>
      <c r="F232" s="163"/>
    </row>
    <row r="233" spans="1:6" x14ac:dyDescent="0.3">
      <c r="A233" s="164" t="s">
        <v>2962</v>
      </c>
      <c r="B233" s="165" t="s">
        <v>456</v>
      </c>
      <c r="C233" s="160" t="s">
        <v>2796</v>
      </c>
      <c r="D233" s="160" t="s">
        <v>2704</v>
      </c>
      <c r="E233" s="160" t="s">
        <v>2746</v>
      </c>
      <c r="F233" s="160"/>
    </row>
    <row r="234" spans="1:6" x14ac:dyDescent="0.3">
      <c r="A234" s="166" t="s">
        <v>2963</v>
      </c>
      <c r="B234" s="167" t="s">
        <v>456</v>
      </c>
      <c r="C234" s="163" t="s">
        <v>2796</v>
      </c>
      <c r="D234" s="163" t="s">
        <v>2704</v>
      </c>
      <c r="E234" s="163" t="s">
        <v>2746</v>
      </c>
      <c r="F234" s="163"/>
    </row>
    <row r="235" spans="1:6" x14ac:dyDescent="0.3">
      <c r="A235" s="164" t="s">
        <v>2964</v>
      </c>
      <c r="B235" s="165" t="s">
        <v>456</v>
      </c>
      <c r="C235" s="160" t="s">
        <v>2796</v>
      </c>
      <c r="D235" s="160" t="s">
        <v>2704</v>
      </c>
      <c r="E235" s="160" t="s">
        <v>2746</v>
      </c>
      <c r="F235" s="160"/>
    </row>
    <row r="236" spans="1:6" x14ac:dyDescent="0.3">
      <c r="A236" s="166" t="s">
        <v>2965</v>
      </c>
      <c r="B236" s="167" t="s">
        <v>456</v>
      </c>
      <c r="C236" s="163" t="s">
        <v>2796</v>
      </c>
      <c r="D236" s="163" t="s">
        <v>2704</v>
      </c>
      <c r="E236" s="163" t="s">
        <v>2746</v>
      </c>
      <c r="F236" s="163"/>
    </row>
    <row r="237" spans="1:6" x14ac:dyDescent="0.3">
      <c r="A237" s="164" t="s">
        <v>2966</v>
      </c>
      <c r="B237" s="165" t="s">
        <v>456</v>
      </c>
      <c r="C237" s="160" t="s">
        <v>2796</v>
      </c>
      <c r="D237" s="160" t="s">
        <v>2704</v>
      </c>
      <c r="E237" s="160" t="s">
        <v>2746</v>
      </c>
      <c r="F237" s="160"/>
    </row>
    <row r="238" spans="1:6" x14ac:dyDescent="0.3">
      <c r="A238" s="166" t="s">
        <v>2967</v>
      </c>
      <c r="B238" s="167" t="s">
        <v>456</v>
      </c>
      <c r="C238" s="163" t="s">
        <v>2796</v>
      </c>
      <c r="D238" s="163" t="s">
        <v>2704</v>
      </c>
      <c r="E238" s="163" t="s">
        <v>2746</v>
      </c>
      <c r="F238" s="163"/>
    </row>
    <row r="239" spans="1:6" x14ac:dyDescent="0.3">
      <c r="A239" s="164" t="s">
        <v>2968</v>
      </c>
      <c r="B239" s="165" t="s">
        <v>456</v>
      </c>
      <c r="C239" s="160" t="s">
        <v>2796</v>
      </c>
      <c r="D239" s="160" t="s">
        <v>2704</v>
      </c>
      <c r="E239" s="160" t="s">
        <v>2746</v>
      </c>
      <c r="F239" s="160"/>
    </row>
    <row r="240" spans="1:6" x14ac:dyDescent="0.3">
      <c r="A240" s="166" t="s">
        <v>2969</v>
      </c>
      <c r="B240" s="167" t="s">
        <v>456</v>
      </c>
      <c r="C240" s="163" t="s">
        <v>2796</v>
      </c>
      <c r="D240" s="163" t="s">
        <v>2704</v>
      </c>
      <c r="E240" s="163" t="s">
        <v>2746</v>
      </c>
      <c r="F240" s="163"/>
    </row>
    <row r="241" spans="1:6" x14ac:dyDescent="0.3">
      <c r="A241" s="164" t="s">
        <v>2970</v>
      </c>
      <c r="B241" s="165" t="s">
        <v>456</v>
      </c>
      <c r="C241" s="160" t="s">
        <v>2796</v>
      </c>
      <c r="D241" s="160" t="s">
        <v>2704</v>
      </c>
      <c r="E241" s="160" t="s">
        <v>2746</v>
      </c>
      <c r="F241" s="160"/>
    </row>
    <row r="242" spans="1:6" x14ac:dyDescent="0.3">
      <c r="A242" s="166" t="s">
        <v>2971</v>
      </c>
      <c r="B242" s="167" t="s">
        <v>456</v>
      </c>
      <c r="C242" s="163" t="s">
        <v>2796</v>
      </c>
      <c r="D242" s="163" t="s">
        <v>2972</v>
      </c>
      <c r="E242" s="163" t="s">
        <v>2746</v>
      </c>
      <c r="F242" s="163"/>
    </row>
    <row r="243" spans="1:6" x14ac:dyDescent="0.3">
      <c r="A243" s="164" t="s">
        <v>2973</v>
      </c>
      <c r="B243" s="165" t="s">
        <v>456</v>
      </c>
      <c r="C243" s="160" t="s">
        <v>2796</v>
      </c>
      <c r="D243" s="160" t="s">
        <v>2972</v>
      </c>
      <c r="E243" s="160" t="s">
        <v>2746</v>
      </c>
      <c r="F243" s="160"/>
    </row>
    <row r="244" spans="1:6" x14ac:dyDescent="0.3">
      <c r="A244" s="166" t="s">
        <v>2974</v>
      </c>
      <c r="B244" s="167" t="s">
        <v>456</v>
      </c>
      <c r="C244" s="163" t="s">
        <v>2796</v>
      </c>
      <c r="D244" s="163" t="s">
        <v>2972</v>
      </c>
      <c r="E244" s="163" t="s">
        <v>2746</v>
      </c>
      <c r="F244" s="163"/>
    </row>
    <row r="245" spans="1:6" x14ac:dyDescent="0.3">
      <c r="A245" s="164" t="s">
        <v>2975</v>
      </c>
      <c r="B245" s="165" t="s">
        <v>456</v>
      </c>
      <c r="C245" s="160" t="s">
        <v>2796</v>
      </c>
      <c r="D245" s="160" t="s">
        <v>2972</v>
      </c>
      <c r="E245" s="160" t="s">
        <v>2746</v>
      </c>
      <c r="F245" s="160"/>
    </row>
    <row r="246" spans="1:6" x14ac:dyDescent="0.3">
      <c r="A246" s="166" t="s">
        <v>895</v>
      </c>
      <c r="B246" s="167" t="s">
        <v>456</v>
      </c>
      <c r="C246" s="163" t="s">
        <v>2796</v>
      </c>
      <c r="D246" s="163" t="s">
        <v>2972</v>
      </c>
      <c r="E246" s="163" t="s">
        <v>2746</v>
      </c>
      <c r="F246" s="163"/>
    </row>
    <row r="247" spans="1:6" x14ac:dyDescent="0.3">
      <c r="A247" s="164" t="s">
        <v>2976</v>
      </c>
      <c r="B247" s="165" t="s">
        <v>456</v>
      </c>
      <c r="C247" s="160" t="s">
        <v>2828</v>
      </c>
      <c r="D247" s="160" t="s">
        <v>2976</v>
      </c>
      <c r="E247" s="160" t="s">
        <v>2746</v>
      </c>
      <c r="F247" s="160"/>
    </row>
    <row r="248" spans="1:6" x14ac:dyDescent="0.3">
      <c r="A248" s="166" t="s">
        <v>2977</v>
      </c>
      <c r="B248" s="167" t="s">
        <v>456</v>
      </c>
      <c r="C248" s="163" t="s">
        <v>2828</v>
      </c>
      <c r="D248" s="163" t="s">
        <v>2976</v>
      </c>
      <c r="E248" s="163" t="s">
        <v>2746</v>
      </c>
      <c r="F248" s="163"/>
    </row>
    <row r="249" spans="1:6" x14ac:dyDescent="0.3">
      <c r="A249" s="164" t="s">
        <v>2978</v>
      </c>
      <c r="B249" s="165" t="s">
        <v>456</v>
      </c>
      <c r="C249" s="160" t="s">
        <v>2828</v>
      </c>
      <c r="D249" s="160" t="s">
        <v>2976</v>
      </c>
      <c r="E249" s="160" t="s">
        <v>2746</v>
      </c>
      <c r="F249" s="160"/>
    </row>
    <row r="250" spans="1:6" x14ac:dyDescent="0.3">
      <c r="A250" s="166" t="s">
        <v>2979</v>
      </c>
      <c r="B250" s="167" t="s">
        <v>456</v>
      </c>
      <c r="C250" s="163" t="s">
        <v>2828</v>
      </c>
      <c r="D250" s="163" t="s">
        <v>2976</v>
      </c>
      <c r="E250" s="163" t="s">
        <v>2746</v>
      </c>
      <c r="F250" s="163"/>
    </row>
    <row r="251" spans="1:6" x14ac:dyDescent="0.3">
      <c r="A251" s="164" t="s">
        <v>2980</v>
      </c>
      <c r="B251" s="165" t="s">
        <v>456</v>
      </c>
      <c r="C251" s="160" t="s">
        <v>2828</v>
      </c>
      <c r="D251" s="160" t="s">
        <v>2976</v>
      </c>
      <c r="E251" s="160" t="s">
        <v>2746</v>
      </c>
      <c r="F251" s="160"/>
    </row>
    <row r="252" spans="1:6" x14ac:dyDescent="0.3">
      <c r="A252" s="166" t="s">
        <v>2981</v>
      </c>
      <c r="B252" s="167" t="s">
        <v>456</v>
      </c>
      <c r="C252" s="163" t="s">
        <v>2828</v>
      </c>
      <c r="D252" s="163" t="s">
        <v>2976</v>
      </c>
      <c r="E252" s="163" t="s">
        <v>2746</v>
      </c>
      <c r="F252" s="163"/>
    </row>
    <row r="253" spans="1:6" x14ac:dyDescent="0.3">
      <c r="A253" s="164" t="s">
        <v>2982</v>
      </c>
      <c r="B253" s="165" t="s">
        <v>456</v>
      </c>
      <c r="C253" s="160" t="s">
        <v>2828</v>
      </c>
      <c r="D253" s="160" t="s">
        <v>2976</v>
      </c>
      <c r="E253" s="160" t="s">
        <v>2746</v>
      </c>
      <c r="F253" s="160"/>
    </row>
    <row r="254" spans="1:6" x14ac:dyDescent="0.3">
      <c r="A254" s="166" t="s">
        <v>2983</v>
      </c>
      <c r="B254" s="167" t="s">
        <v>456</v>
      </c>
      <c r="C254" s="163" t="s">
        <v>2828</v>
      </c>
      <c r="D254" s="163" t="s">
        <v>909</v>
      </c>
      <c r="E254" s="163" t="s">
        <v>2746</v>
      </c>
      <c r="F254" s="163"/>
    </row>
    <row r="255" spans="1:6" x14ac:dyDescent="0.3">
      <c r="A255" s="164" t="s">
        <v>2984</v>
      </c>
      <c r="B255" s="165" t="s">
        <v>456</v>
      </c>
      <c r="C255" s="160" t="s">
        <v>2828</v>
      </c>
      <c r="D255" s="160" t="s">
        <v>909</v>
      </c>
      <c r="E255" s="160" t="s">
        <v>2746</v>
      </c>
      <c r="F255" s="160"/>
    </row>
    <row r="256" spans="1:6" x14ac:dyDescent="0.3">
      <c r="A256" s="166" t="s">
        <v>2985</v>
      </c>
      <c r="B256" s="167" t="s">
        <v>456</v>
      </c>
      <c r="C256" s="163" t="s">
        <v>2828</v>
      </c>
      <c r="D256" s="163" t="s">
        <v>909</v>
      </c>
      <c r="E256" s="163" t="s">
        <v>2746</v>
      </c>
      <c r="F256" s="163"/>
    </row>
    <row r="257" spans="1:6" x14ac:dyDescent="0.3">
      <c r="A257" s="164" t="s">
        <v>2986</v>
      </c>
      <c r="B257" s="165" t="s">
        <v>456</v>
      </c>
      <c r="C257" s="160" t="s">
        <v>2828</v>
      </c>
      <c r="D257" s="160" t="s">
        <v>909</v>
      </c>
      <c r="E257" s="160" t="s">
        <v>2746</v>
      </c>
      <c r="F257" s="160"/>
    </row>
    <row r="258" spans="1:6" x14ac:dyDescent="0.3">
      <c r="A258" s="166" t="s">
        <v>2987</v>
      </c>
      <c r="B258" s="167" t="s">
        <v>456</v>
      </c>
      <c r="C258" s="163" t="s">
        <v>2828</v>
      </c>
      <c r="D258" s="163" t="s">
        <v>909</v>
      </c>
      <c r="E258" s="163" t="s">
        <v>2746</v>
      </c>
      <c r="F258" s="163"/>
    </row>
    <row r="259" spans="1:6" x14ac:dyDescent="0.3">
      <c r="A259" s="164" t="s">
        <v>2988</v>
      </c>
      <c r="B259" s="165" t="s">
        <v>456</v>
      </c>
      <c r="C259" s="160" t="s">
        <v>2828</v>
      </c>
      <c r="D259" s="160" t="s">
        <v>909</v>
      </c>
      <c r="E259" s="160" t="s">
        <v>2746</v>
      </c>
      <c r="F259" s="160"/>
    </row>
    <row r="260" spans="1:6" x14ac:dyDescent="0.3">
      <c r="A260" s="166" t="s">
        <v>2989</v>
      </c>
      <c r="B260" s="167" t="s">
        <v>456</v>
      </c>
      <c r="C260" s="163" t="s">
        <v>2828</v>
      </c>
      <c r="D260" s="163" t="s">
        <v>2976</v>
      </c>
      <c r="E260" s="163" t="s">
        <v>2746</v>
      </c>
      <c r="F260" s="163"/>
    </row>
    <row r="261" spans="1:6" x14ac:dyDescent="0.3">
      <c r="A261" s="164" t="s">
        <v>2990</v>
      </c>
      <c r="B261" s="165" t="s">
        <v>456</v>
      </c>
      <c r="C261" s="160" t="s">
        <v>2828</v>
      </c>
      <c r="D261" s="160" t="s">
        <v>2976</v>
      </c>
      <c r="E261" s="160" t="s">
        <v>2746</v>
      </c>
      <c r="F261" s="160"/>
    </row>
    <row r="262" spans="1:6" x14ac:dyDescent="0.3">
      <c r="A262" s="166" t="s">
        <v>2991</v>
      </c>
      <c r="B262" s="167" t="s">
        <v>456</v>
      </c>
      <c r="C262" s="163" t="s">
        <v>2828</v>
      </c>
      <c r="D262" s="163" t="s">
        <v>2976</v>
      </c>
      <c r="E262" s="163" t="s">
        <v>2746</v>
      </c>
      <c r="F262" s="163"/>
    </row>
    <row r="263" spans="1:6" x14ac:dyDescent="0.3">
      <c r="A263" s="164" t="s">
        <v>2992</v>
      </c>
      <c r="B263" s="165" t="s">
        <v>456</v>
      </c>
      <c r="C263" s="160" t="s">
        <v>2828</v>
      </c>
      <c r="D263" s="160" t="s">
        <v>877</v>
      </c>
      <c r="E263" s="160" t="s">
        <v>2746</v>
      </c>
      <c r="F263" s="160"/>
    </row>
    <row r="264" spans="1:6" x14ac:dyDescent="0.3">
      <c r="A264" s="166" t="s">
        <v>2993</v>
      </c>
      <c r="B264" s="167" t="s">
        <v>456</v>
      </c>
      <c r="C264" s="163" t="s">
        <v>2828</v>
      </c>
      <c r="D264" s="163" t="s">
        <v>877</v>
      </c>
      <c r="E264" s="163" t="s">
        <v>2746</v>
      </c>
      <c r="F264" s="163"/>
    </row>
    <row r="265" spans="1:6" x14ac:dyDescent="0.3">
      <c r="A265" s="164" t="s">
        <v>2994</v>
      </c>
      <c r="B265" s="165" t="s">
        <v>456</v>
      </c>
      <c r="C265" s="160" t="s">
        <v>2828</v>
      </c>
      <c r="D265" s="160" t="s">
        <v>877</v>
      </c>
      <c r="E265" s="160" t="s">
        <v>2746</v>
      </c>
      <c r="F265" s="160"/>
    </row>
    <row r="266" spans="1:6" x14ac:dyDescent="0.3">
      <c r="A266" s="166" t="s">
        <v>2995</v>
      </c>
      <c r="B266" s="167" t="s">
        <v>456</v>
      </c>
      <c r="C266" s="163" t="s">
        <v>2828</v>
      </c>
      <c r="D266" s="163" t="s">
        <v>877</v>
      </c>
      <c r="E266" s="163" t="s">
        <v>2746</v>
      </c>
      <c r="F266" s="163"/>
    </row>
    <row r="267" spans="1:6" x14ac:dyDescent="0.3">
      <c r="A267" s="164" t="s">
        <v>2996</v>
      </c>
      <c r="B267" s="165" t="s">
        <v>456</v>
      </c>
      <c r="C267" s="160" t="s">
        <v>2828</v>
      </c>
      <c r="D267" s="160" t="s">
        <v>877</v>
      </c>
      <c r="E267" s="160" t="s">
        <v>2746</v>
      </c>
      <c r="F267" s="160"/>
    </row>
    <row r="268" spans="1:6" x14ac:dyDescent="0.3">
      <c r="A268" s="166" t="s">
        <v>2997</v>
      </c>
      <c r="B268" s="167" t="s">
        <v>456</v>
      </c>
      <c r="C268" s="163" t="s">
        <v>2828</v>
      </c>
      <c r="D268" s="163" t="s">
        <v>877</v>
      </c>
      <c r="E268" s="163" t="s">
        <v>2746</v>
      </c>
      <c r="F268" s="163"/>
    </row>
    <row r="269" spans="1:6" x14ac:dyDescent="0.3">
      <c r="A269" s="164" t="s">
        <v>2998</v>
      </c>
      <c r="B269" s="165" t="s">
        <v>456</v>
      </c>
      <c r="C269" s="160" t="s">
        <v>2828</v>
      </c>
      <c r="D269" s="160" t="s">
        <v>877</v>
      </c>
      <c r="E269" s="160" t="s">
        <v>2746</v>
      </c>
      <c r="F269" s="160"/>
    </row>
    <row r="270" spans="1:6" x14ac:dyDescent="0.3">
      <c r="A270" s="166" t="s">
        <v>2999</v>
      </c>
      <c r="B270" s="167" t="s">
        <v>456</v>
      </c>
      <c r="C270" s="163" t="s">
        <v>2828</v>
      </c>
      <c r="D270" s="163" t="s">
        <v>877</v>
      </c>
      <c r="E270" s="163" t="s">
        <v>2746</v>
      </c>
      <c r="F270" s="163"/>
    </row>
    <row r="271" spans="1:6" x14ac:dyDescent="0.3">
      <c r="A271" s="164" t="s">
        <v>3000</v>
      </c>
      <c r="B271" s="165" t="s">
        <v>456</v>
      </c>
      <c r="C271" s="160" t="s">
        <v>2828</v>
      </c>
      <c r="D271" s="160" t="s">
        <v>877</v>
      </c>
      <c r="E271" s="160" t="s">
        <v>2746</v>
      </c>
      <c r="F271" s="160"/>
    </row>
    <row r="272" spans="1:6" x14ac:dyDescent="0.3">
      <c r="A272" s="166" t="s">
        <v>3001</v>
      </c>
      <c r="B272" s="167" t="s">
        <v>456</v>
      </c>
      <c r="C272" s="163" t="s">
        <v>2828</v>
      </c>
      <c r="D272" s="163" t="s">
        <v>2976</v>
      </c>
      <c r="E272" s="163" t="s">
        <v>2746</v>
      </c>
      <c r="F272" s="163"/>
    </row>
    <row r="273" spans="1:6" x14ac:dyDescent="0.3">
      <c r="A273" s="164" t="s">
        <v>3002</v>
      </c>
      <c r="B273" s="165" t="s">
        <v>456</v>
      </c>
      <c r="C273" s="160" t="s">
        <v>2828</v>
      </c>
      <c r="D273" s="160" t="s">
        <v>2976</v>
      </c>
      <c r="E273" s="160" t="s">
        <v>2746</v>
      </c>
      <c r="F273" s="160"/>
    </row>
    <row r="274" spans="1:6" x14ac:dyDescent="0.3">
      <c r="A274" s="166" t="s">
        <v>3003</v>
      </c>
      <c r="B274" s="167" t="s">
        <v>456</v>
      </c>
      <c r="C274" s="163" t="s">
        <v>2828</v>
      </c>
      <c r="D274" s="163" t="s">
        <v>2976</v>
      </c>
      <c r="E274" s="163" t="s">
        <v>2746</v>
      </c>
      <c r="F274" s="163"/>
    </row>
    <row r="275" spans="1:6" x14ac:dyDescent="0.3">
      <c r="A275" s="164" t="s">
        <v>3004</v>
      </c>
      <c r="B275" s="165" t="s">
        <v>456</v>
      </c>
      <c r="C275" s="160" t="s">
        <v>2828</v>
      </c>
      <c r="D275" s="160" t="s">
        <v>2976</v>
      </c>
      <c r="E275" s="160" t="s">
        <v>2746</v>
      </c>
      <c r="F275" s="160"/>
    </row>
    <row r="276" spans="1:6" x14ac:dyDescent="0.3">
      <c r="A276" s="166" t="s">
        <v>3005</v>
      </c>
      <c r="B276" s="167" t="s">
        <v>456</v>
      </c>
      <c r="C276" s="163" t="s">
        <v>2828</v>
      </c>
      <c r="D276" s="163" t="s">
        <v>2976</v>
      </c>
      <c r="E276" s="163" t="s">
        <v>2746</v>
      </c>
      <c r="F276" s="163"/>
    </row>
    <row r="277" spans="1:6" x14ac:dyDescent="0.3">
      <c r="A277" s="164" t="s">
        <v>3006</v>
      </c>
      <c r="B277" s="165" t="s">
        <v>456</v>
      </c>
      <c r="C277" s="160" t="s">
        <v>2828</v>
      </c>
      <c r="D277" s="160" t="s">
        <v>2976</v>
      </c>
      <c r="E277" s="160" t="s">
        <v>2746</v>
      </c>
      <c r="F277" s="160"/>
    </row>
    <row r="278" spans="1:6" x14ac:dyDescent="0.3">
      <c r="A278" s="166" t="s">
        <v>3007</v>
      </c>
      <c r="B278" s="167" t="s">
        <v>456</v>
      </c>
      <c r="C278" s="163" t="s">
        <v>2828</v>
      </c>
      <c r="D278" s="163" t="s">
        <v>877</v>
      </c>
      <c r="E278" s="163" t="s">
        <v>2746</v>
      </c>
      <c r="F278" s="163"/>
    </row>
    <row r="279" spans="1:6" x14ac:dyDescent="0.3">
      <c r="A279" s="164" t="s">
        <v>3008</v>
      </c>
      <c r="B279" s="165" t="s">
        <v>456</v>
      </c>
      <c r="C279" s="160" t="s">
        <v>2828</v>
      </c>
      <c r="D279" s="160" t="s">
        <v>877</v>
      </c>
      <c r="E279" s="160" t="s">
        <v>2746</v>
      </c>
      <c r="F279" s="160"/>
    </row>
    <row r="280" spans="1:6" x14ac:dyDescent="0.3">
      <c r="A280" s="166" t="s">
        <v>3009</v>
      </c>
      <c r="B280" s="167" t="s">
        <v>456</v>
      </c>
      <c r="C280" s="163" t="s">
        <v>2828</v>
      </c>
      <c r="D280" s="163" t="s">
        <v>877</v>
      </c>
      <c r="E280" s="163" t="s">
        <v>2746</v>
      </c>
      <c r="F280" s="163"/>
    </row>
    <row r="281" spans="1:6" x14ac:dyDescent="0.3">
      <c r="A281" s="164" t="s">
        <v>3010</v>
      </c>
      <c r="B281" s="165" t="s">
        <v>456</v>
      </c>
      <c r="C281" s="160" t="s">
        <v>2828</v>
      </c>
      <c r="D281" s="160" t="s">
        <v>877</v>
      </c>
      <c r="E281" s="160" t="s">
        <v>2746</v>
      </c>
      <c r="F281" s="160"/>
    </row>
    <row r="282" spans="1:6" x14ac:dyDescent="0.3">
      <c r="A282" s="166" t="s">
        <v>3011</v>
      </c>
      <c r="B282" s="167" t="s">
        <v>456</v>
      </c>
      <c r="C282" s="163" t="s">
        <v>2828</v>
      </c>
      <c r="D282" s="163" t="s">
        <v>877</v>
      </c>
      <c r="E282" s="163" t="s">
        <v>2746</v>
      </c>
      <c r="F282" s="163"/>
    </row>
    <row r="283" spans="1:6" x14ac:dyDescent="0.3">
      <c r="A283" s="164" t="s">
        <v>3012</v>
      </c>
      <c r="B283" s="165" t="s">
        <v>456</v>
      </c>
      <c r="C283" s="160" t="s">
        <v>2828</v>
      </c>
      <c r="D283" s="160" t="s">
        <v>877</v>
      </c>
      <c r="E283" s="160" t="s">
        <v>2746</v>
      </c>
      <c r="F283" s="160"/>
    </row>
    <row r="284" spans="1:6" x14ac:dyDescent="0.3">
      <c r="A284" s="166" t="s">
        <v>3013</v>
      </c>
      <c r="B284" s="167" t="s">
        <v>456</v>
      </c>
      <c r="C284" s="163" t="s">
        <v>2828</v>
      </c>
      <c r="D284" s="163" t="s">
        <v>877</v>
      </c>
      <c r="E284" s="163" t="s">
        <v>2746</v>
      </c>
      <c r="F284" s="163"/>
    </row>
    <row r="285" spans="1:6" x14ac:dyDescent="0.3">
      <c r="A285" s="164" t="s">
        <v>3014</v>
      </c>
      <c r="B285" s="165" t="s">
        <v>456</v>
      </c>
      <c r="C285" s="160" t="s">
        <v>2828</v>
      </c>
      <c r="D285" s="160" t="s">
        <v>877</v>
      </c>
      <c r="E285" s="160" t="s">
        <v>2746</v>
      </c>
      <c r="F285" s="160"/>
    </row>
    <row r="286" spans="1:6" x14ac:dyDescent="0.3">
      <c r="A286" s="166" t="s">
        <v>3015</v>
      </c>
      <c r="B286" s="167" t="s">
        <v>456</v>
      </c>
      <c r="C286" s="163" t="s">
        <v>2828</v>
      </c>
      <c r="D286" s="163" t="s">
        <v>877</v>
      </c>
      <c r="E286" s="163" t="s">
        <v>2746</v>
      </c>
      <c r="F286" s="163"/>
    </row>
    <row r="287" spans="1:6" x14ac:dyDescent="0.3">
      <c r="A287" s="164" t="s">
        <v>3016</v>
      </c>
      <c r="B287" s="165" t="s">
        <v>456</v>
      </c>
      <c r="C287" s="160" t="s">
        <v>2828</v>
      </c>
      <c r="D287" s="160" t="s">
        <v>877</v>
      </c>
      <c r="E287" s="160" t="s">
        <v>2746</v>
      </c>
      <c r="F287" s="160"/>
    </row>
    <row r="288" spans="1:6" x14ac:dyDescent="0.3">
      <c r="A288" s="166" t="s">
        <v>3017</v>
      </c>
      <c r="B288" s="167" t="s">
        <v>456</v>
      </c>
      <c r="C288" s="163" t="s">
        <v>2828</v>
      </c>
      <c r="D288" s="163" t="s">
        <v>877</v>
      </c>
      <c r="E288" s="163" t="s">
        <v>2746</v>
      </c>
      <c r="F288" s="163"/>
    </row>
    <row r="289" spans="1:6" x14ac:dyDescent="0.3">
      <c r="A289" s="164" t="s">
        <v>3018</v>
      </c>
      <c r="B289" s="165" t="s">
        <v>456</v>
      </c>
      <c r="C289" s="160" t="s">
        <v>2828</v>
      </c>
      <c r="D289" s="160" t="s">
        <v>877</v>
      </c>
      <c r="E289" s="160" t="s">
        <v>2746</v>
      </c>
      <c r="F289" s="160"/>
    </row>
    <row r="290" spans="1:6" x14ac:dyDescent="0.3">
      <c r="A290" s="166" t="s">
        <v>3019</v>
      </c>
      <c r="B290" s="167" t="s">
        <v>456</v>
      </c>
      <c r="C290" s="163" t="s">
        <v>2828</v>
      </c>
      <c r="D290" s="163" t="s">
        <v>877</v>
      </c>
      <c r="E290" s="163" t="s">
        <v>2746</v>
      </c>
      <c r="F290" s="163"/>
    </row>
    <row r="291" spans="1:6" x14ac:dyDescent="0.3">
      <c r="A291" s="164" t="s">
        <v>3020</v>
      </c>
      <c r="B291" s="165" t="s">
        <v>456</v>
      </c>
      <c r="C291" s="160" t="s">
        <v>2854</v>
      </c>
      <c r="D291" s="160" t="s">
        <v>3021</v>
      </c>
      <c r="E291" s="160" t="s">
        <v>2746</v>
      </c>
      <c r="F291" s="160"/>
    </row>
    <row r="292" spans="1:6" x14ac:dyDescent="0.3">
      <c r="A292" s="166" t="s">
        <v>3022</v>
      </c>
      <c r="B292" s="167" t="s">
        <v>456</v>
      </c>
      <c r="C292" s="163" t="s">
        <v>2854</v>
      </c>
      <c r="D292" s="163" t="s">
        <v>3021</v>
      </c>
      <c r="E292" s="163" t="s">
        <v>2746</v>
      </c>
      <c r="F292" s="163"/>
    </row>
    <row r="293" spans="1:6" x14ac:dyDescent="0.3">
      <c r="A293" s="164" t="s">
        <v>3023</v>
      </c>
      <c r="B293" s="165" t="s">
        <v>456</v>
      </c>
      <c r="C293" s="160" t="s">
        <v>2854</v>
      </c>
      <c r="D293" s="160" t="s">
        <v>3021</v>
      </c>
      <c r="E293" s="160" t="s">
        <v>2746</v>
      </c>
      <c r="F293" s="160"/>
    </row>
    <row r="294" spans="1:6" x14ac:dyDescent="0.3">
      <c r="A294" s="166" t="s">
        <v>3024</v>
      </c>
      <c r="B294" s="167" t="s">
        <v>456</v>
      </c>
      <c r="C294" s="163" t="s">
        <v>2854</v>
      </c>
      <c r="D294" s="163" t="s">
        <v>3021</v>
      </c>
      <c r="E294" s="163" t="s">
        <v>2746</v>
      </c>
      <c r="F294" s="163"/>
    </row>
    <row r="295" spans="1:6" x14ac:dyDescent="0.3">
      <c r="A295" s="164" t="s">
        <v>3025</v>
      </c>
      <c r="B295" s="165" t="s">
        <v>456</v>
      </c>
      <c r="C295" s="160" t="s">
        <v>2854</v>
      </c>
      <c r="D295" s="160" t="s">
        <v>3021</v>
      </c>
      <c r="E295" s="160" t="s">
        <v>2746</v>
      </c>
      <c r="F295" s="160"/>
    </row>
    <row r="296" spans="1:6" x14ac:dyDescent="0.3">
      <c r="A296" s="166" t="s">
        <v>3026</v>
      </c>
      <c r="B296" s="167" t="s">
        <v>456</v>
      </c>
      <c r="C296" s="163" t="s">
        <v>2854</v>
      </c>
      <c r="D296" s="163" t="s">
        <v>3021</v>
      </c>
      <c r="E296" s="163" t="s">
        <v>2746</v>
      </c>
      <c r="F296" s="163"/>
    </row>
    <row r="297" spans="1:6" x14ac:dyDescent="0.3">
      <c r="A297" s="164" t="s">
        <v>3027</v>
      </c>
      <c r="B297" s="165" t="s">
        <v>456</v>
      </c>
      <c r="C297" s="160" t="s">
        <v>2854</v>
      </c>
      <c r="D297" s="160" t="s">
        <v>3021</v>
      </c>
      <c r="E297" s="160" t="s">
        <v>2746</v>
      </c>
      <c r="F297" s="160"/>
    </row>
    <row r="298" spans="1:6" x14ac:dyDescent="0.3">
      <c r="A298" s="166" t="s">
        <v>3028</v>
      </c>
      <c r="B298" s="167" t="s">
        <v>456</v>
      </c>
      <c r="C298" s="163" t="s">
        <v>2854</v>
      </c>
      <c r="D298" s="163" t="s">
        <v>3021</v>
      </c>
      <c r="E298" s="163" t="s">
        <v>2746</v>
      </c>
      <c r="F298" s="163"/>
    </row>
    <row r="299" spans="1:6" x14ac:dyDescent="0.3">
      <c r="A299" s="164" t="s">
        <v>3029</v>
      </c>
      <c r="B299" s="165" t="s">
        <v>456</v>
      </c>
      <c r="C299" s="160" t="s">
        <v>2854</v>
      </c>
      <c r="D299" s="160" t="s">
        <v>3021</v>
      </c>
      <c r="E299" s="160" t="s">
        <v>2746</v>
      </c>
      <c r="F299" s="160"/>
    </row>
    <row r="300" spans="1:6" x14ac:dyDescent="0.3">
      <c r="A300" s="166" t="s">
        <v>3030</v>
      </c>
      <c r="B300" s="167" t="s">
        <v>456</v>
      </c>
      <c r="C300" s="163" t="s">
        <v>2854</v>
      </c>
      <c r="D300" s="163" t="s">
        <v>3021</v>
      </c>
      <c r="E300" s="163" t="s">
        <v>2746</v>
      </c>
      <c r="F300" s="163"/>
    </row>
    <row r="301" spans="1:6" x14ac:dyDescent="0.3">
      <c r="A301" s="164" t="s">
        <v>1615</v>
      </c>
      <c r="B301" s="165" t="s">
        <v>456</v>
      </c>
      <c r="C301" s="160" t="s">
        <v>2854</v>
      </c>
      <c r="D301" s="160" t="s">
        <v>3021</v>
      </c>
      <c r="E301" s="160" t="s">
        <v>2746</v>
      </c>
      <c r="F301" s="160"/>
    </row>
    <row r="302" spans="1:6" x14ac:dyDescent="0.3">
      <c r="A302" s="166" t="s">
        <v>3031</v>
      </c>
      <c r="B302" s="167" t="s">
        <v>456</v>
      </c>
      <c r="C302" s="163" t="s">
        <v>2854</v>
      </c>
      <c r="D302" s="163" t="s">
        <v>3021</v>
      </c>
      <c r="E302" s="163" t="s">
        <v>2746</v>
      </c>
      <c r="F302" s="163"/>
    </row>
    <row r="303" spans="1:6" x14ac:dyDescent="0.3">
      <c r="A303" s="164" t="s">
        <v>3032</v>
      </c>
      <c r="B303" s="165" t="s">
        <v>456</v>
      </c>
      <c r="C303" s="160" t="s">
        <v>2854</v>
      </c>
      <c r="D303" s="160" t="s">
        <v>3021</v>
      </c>
      <c r="E303" s="160" t="s">
        <v>2746</v>
      </c>
      <c r="F303" s="160"/>
    </row>
    <row r="304" spans="1:6" x14ac:dyDescent="0.3">
      <c r="A304" s="166" t="s">
        <v>3033</v>
      </c>
      <c r="B304" s="167" t="s">
        <v>456</v>
      </c>
      <c r="C304" s="163" t="s">
        <v>2854</v>
      </c>
      <c r="D304" s="163" t="s">
        <v>3021</v>
      </c>
      <c r="E304" s="163" t="s">
        <v>2746</v>
      </c>
      <c r="F304" s="163"/>
    </row>
    <row r="305" spans="1:6" x14ac:dyDescent="0.3">
      <c r="A305" s="164" t="s">
        <v>3034</v>
      </c>
      <c r="B305" s="165" t="s">
        <v>456</v>
      </c>
      <c r="C305" s="160" t="s">
        <v>2854</v>
      </c>
      <c r="D305" s="160" t="s">
        <v>3021</v>
      </c>
      <c r="E305" s="160" t="s">
        <v>2746</v>
      </c>
      <c r="F305" s="160"/>
    </row>
    <row r="306" spans="1:6" x14ac:dyDescent="0.3">
      <c r="A306" s="166" t="s">
        <v>3035</v>
      </c>
      <c r="B306" s="167" t="s">
        <v>456</v>
      </c>
      <c r="C306" s="163" t="s">
        <v>2854</v>
      </c>
      <c r="D306" s="163" t="s">
        <v>3021</v>
      </c>
      <c r="E306" s="163" t="s">
        <v>2746</v>
      </c>
      <c r="F306" s="163"/>
    </row>
    <row r="307" spans="1:6" x14ac:dyDescent="0.3">
      <c r="A307" s="164" t="s">
        <v>3036</v>
      </c>
      <c r="B307" s="165" t="s">
        <v>456</v>
      </c>
      <c r="C307" s="160" t="s">
        <v>2854</v>
      </c>
      <c r="D307" s="160" t="s">
        <v>3021</v>
      </c>
      <c r="E307" s="160" t="s">
        <v>2746</v>
      </c>
      <c r="F307" s="160"/>
    </row>
    <row r="308" spans="1:6" x14ac:dyDescent="0.3">
      <c r="A308" s="166" t="s">
        <v>3037</v>
      </c>
      <c r="B308" s="167" t="s">
        <v>456</v>
      </c>
      <c r="C308" s="163" t="s">
        <v>2854</v>
      </c>
      <c r="D308" s="163" t="s">
        <v>3021</v>
      </c>
      <c r="E308" s="163" t="s">
        <v>2746</v>
      </c>
      <c r="F308" s="163"/>
    </row>
    <row r="309" spans="1:6" x14ac:dyDescent="0.3">
      <c r="A309" s="164">
        <v>12</v>
      </c>
      <c r="B309" s="165" t="s">
        <v>456</v>
      </c>
      <c r="C309" s="160" t="s">
        <v>2854</v>
      </c>
      <c r="D309" s="160" t="s">
        <v>3021</v>
      </c>
      <c r="E309" s="160" t="s">
        <v>2746</v>
      </c>
      <c r="F309" s="160"/>
    </row>
    <row r="310" spans="1:6" x14ac:dyDescent="0.3">
      <c r="A310" s="166" t="s">
        <v>3038</v>
      </c>
      <c r="B310" s="167" t="s">
        <v>456</v>
      </c>
      <c r="C310" s="163" t="s">
        <v>2854</v>
      </c>
      <c r="D310" s="163" t="s">
        <v>3021</v>
      </c>
      <c r="E310" s="163" t="s">
        <v>2746</v>
      </c>
      <c r="F310" s="163"/>
    </row>
    <row r="311" spans="1:6" x14ac:dyDescent="0.3">
      <c r="A311" s="164" t="s">
        <v>3039</v>
      </c>
      <c r="B311" s="165" t="s">
        <v>456</v>
      </c>
      <c r="C311" s="160" t="s">
        <v>2854</v>
      </c>
      <c r="D311" s="160" t="s">
        <v>3021</v>
      </c>
      <c r="E311" s="160" t="s">
        <v>2746</v>
      </c>
      <c r="F311" s="160"/>
    </row>
    <row r="312" spans="1:6" x14ac:dyDescent="0.3">
      <c r="A312" s="166" t="s">
        <v>3040</v>
      </c>
      <c r="B312" s="167" t="s">
        <v>456</v>
      </c>
      <c r="C312" s="163" t="s">
        <v>2854</v>
      </c>
      <c r="D312" s="163" t="s">
        <v>3021</v>
      </c>
      <c r="E312" s="163" t="s">
        <v>2746</v>
      </c>
      <c r="F312" s="163"/>
    </row>
    <row r="313" spans="1:6" x14ac:dyDescent="0.3">
      <c r="A313" s="164" t="s">
        <v>3041</v>
      </c>
      <c r="B313" s="165" t="s">
        <v>456</v>
      </c>
      <c r="C313" s="160" t="s">
        <v>2854</v>
      </c>
      <c r="D313" s="160" t="s">
        <v>3021</v>
      </c>
      <c r="E313" s="160" t="s">
        <v>2746</v>
      </c>
      <c r="F313" s="160"/>
    </row>
    <row r="314" spans="1:6" x14ac:dyDescent="0.3">
      <c r="A314" s="166" t="s">
        <v>3042</v>
      </c>
      <c r="B314" s="167" t="s">
        <v>456</v>
      </c>
      <c r="C314" s="163" t="s">
        <v>2854</v>
      </c>
      <c r="D314" s="163" t="s">
        <v>3021</v>
      </c>
      <c r="E314" s="163" t="s">
        <v>2746</v>
      </c>
      <c r="F314" s="163"/>
    </row>
    <row r="315" spans="1:6" x14ac:dyDescent="0.3">
      <c r="A315" s="164" t="s">
        <v>3043</v>
      </c>
      <c r="B315" s="165" t="s">
        <v>456</v>
      </c>
      <c r="C315" s="160" t="s">
        <v>2854</v>
      </c>
      <c r="D315" s="160" t="s">
        <v>3021</v>
      </c>
      <c r="E315" s="160" t="s">
        <v>2746</v>
      </c>
      <c r="F315" s="160"/>
    </row>
    <row r="316" spans="1:6" x14ac:dyDescent="0.3">
      <c r="A316" s="166" t="s">
        <v>3044</v>
      </c>
      <c r="B316" s="167" t="s">
        <v>456</v>
      </c>
      <c r="C316" s="163" t="s">
        <v>2854</v>
      </c>
      <c r="D316" s="163" t="s">
        <v>3021</v>
      </c>
      <c r="E316" s="163" t="s">
        <v>2746</v>
      </c>
      <c r="F316" s="163"/>
    </row>
    <row r="317" spans="1:6" x14ac:dyDescent="0.3">
      <c r="A317" s="164" t="s">
        <v>3045</v>
      </c>
      <c r="B317" s="165" t="s">
        <v>456</v>
      </c>
      <c r="C317" s="160" t="s">
        <v>2854</v>
      </c>
      <c r="D317" s="160" t="s">
        <v>3021</v>
      </c>
      <c r="E317" s="160" t="s">
        <v>2746</v>
      </c>
      <c r="F317" s="160"/>
    </row>
    <row r="318" spans="1:6" x14ac:dyDescent="0.3">
      <c r="A318" s="166" t="s">
        <v>3046</v>
      </c>
      <c r="B318" s="167" t="s">
        <v>456</v>
      </c>
      <c r="C318" s="163" t="s">
        <v>2854</v>
      </c>
      <c r="D318" s="163" t="s">
        <v>3021</v>
      </c>
      <c r="E318" s="163" t="s">
        <v>2746</v>
      </c>
      <c r="F318" s="163"/>
    </row>
    <row r="319" spans="1:6" x14ac:dyDescent="0.3">
      <c r="A319" s="164" t="s">
        <v>3047</v>
      </c>
      <c r="B319" s="165" t="s">
        <v>456</v>
      </c>
      <c r="C319" s="160" t="s">
        <v>2854</v>
      </c>
      <c r="D319" s="160" t="s">
        <v>3021</v>
      </c>
      <c r="E319" s="160" t="s">
        <v>2746</v>
      </c>
      <c r="F319" s="160"/>
    </row>
    <row r="320" spans="1:6" x14ac:dyDescent="0.3">
      <c r="A320" s="166" t="s">
        <v>3048</v>
      </c>
      <c r="B320" s="167" t="s">
        <v>456</v>
      </c>
      <c r="C320" s="163" t="s">
        <v>2854</v>
      </c>
      <c r="D320" s="163" t="s">
        <v>3021</v>
      </c>
      <c r="E320" s="163" t="s">
        <v>2746</v>
      </c>
      <c r="F320" s="163"/>
    </row>
    <row r="321" spans="1:6" x14ac:dyDescent="0.3">
      <c r="A321" s="164" t="s">
        <v>3049</v>
      </c>
      <c r="B321" s="165" t="s">
        <v>456</v>
      </c>
      <c r="C321" s="160" t="s">
        <v>2854</v>
      </c>
      <c r="D321" s="160" t="s">
        <v>3021</v>
      </c>
      <c r="E321" s="160" t="s">
        <v>2746</v>
      </c>
      <c r="F321" s="160"/>
    </row>
    <row r="322" spans="1:6" x14ac:dyDescent="0.3">
      <c r="A322" s="166" t="s">
        <v>3050</v>
      </c>
      <c r="B322" s="167" t="s">
        <v>456</v>
      </c>
      <c r="C322" s="163" t="s">
        <v>2854</v>
      </c>
      <c r="D322" s="163" t="s">
        <v>3021</v>
      </c>
      <c r="E322" s="163" t="s">
        <v>2746</v>
      </c>
      <c r="F322" s="163"/>
    </row>
    <row r="323" spans="1:6" x14ac:dyDescent="0.3">
      <c r="A323" s="164" t="s">
        <v>3051</v>
      </c>
      <c r="B323" s="165" t="s">
        <v>456</v>
      </c>
      <c r="C323" s="160" t="s">
        <v>2854</v>
      </c>
      <c r="D323" s="160" t="s">
        <v>3021</v>
      </c>
      <c r="E323" s="160" t="s">
        <v>2746</v>
      </c>
      <c r="F323" s="160"/>
    </row>
    <row r="324" spans="1:6" x14ac:dyDescent="0.3">
      <c r="A324" s="166" t="s">
        <v>3052</v>
      </c>
      <c r="B324" s="167" t="s">
        <v>456</v>
      </c>
      <c r="C324" s="163" t="s">
        <v>2854</v>
      </c>
      <c r="D324" s="163" t="s">
        <v>3021</v>
      </c>
      <c r="E324" s="163" t="s">
        <v>2746</v>
      </c>
      <c r="F324" s="163"/>
    </row>
    <row r="325" spans="1:6" x14ac:dyDescent="0.3">
      <c r="A325" s="168" t="s">
        <v>3053</v>
      </c>
      <c r="B325" s="169" t="s">
        <v>3054</v>
      </c>
      <c r="C325" s="160" t="s">
        <v>2744</v>
      </c>
      <c r="D325" s="160" t="s">
        <v>644</v>
      </c>
      <c r="E325" s="160" t="s">
        <v>2746</v>
      </c>
      <c r="F325" s="160" t="s">
        <v>3055</v>
      </c>
    </row>
    <row r="326" spans="1:6" x14ac:dyDescent="0.3">
      <c r="A326" s="170" t="s">
        <v>2850</v>
      </c>
      <c r="B326" s="171" t="s">
        <v>3054</v>
      </c>
      <c r="C326" s="163" t="s">
        <v>2744</v>
      </c>
      <c r="D326" s="163" t="s">
        <v>644</v>
      </c>
      <c r="E326" s="163" t="s">
        <v>2746</v>
      </c>
      <c r="F326" s="163" t="s">
        <v>3055</v>
      </c>
    </row>
    <row r="327" spans="1:6" x14ac:dyDescent="0.3">
      <c r="A327" s="168" t="s">
        <v>3056</v>
      </c>
      <c r="B327" s="169" t="s">
        <v>3054</v>
      </c>
      <c r="C327" s="160" t="s">
        <v>2744</v>
      </c>
      <c r="D327" s="160" t="s">
        <v>644</v>
      </c>
      <c r="E327" s="160" t="s">
        <v>2746</v>
      </c>
      <c r="F327" s="160" t="s">
        <v>3055</v>
      </c>
    </row>
    <row r="328" spans="1:6" x14ac:dyDescent="0.3">
      <c r="A328" s="170" t="s">
        <v>651</v>
      </c>
      <c r="B328" s="171" t="s">
        <v>3054</v>
      </c>
      <c r="C328" s="163" t="s">
        <v>2744</v>
      </c>
      <c r="D328" s="163" t="s">
        <v>644</v>
      </c>
      <c r="E328" s="163" t="s">
        <v>2746</v>
      </c>
      <c r="F328" s="163" t="s">
        <v>3055</v>
      </c>
    </row>
    <row r="329" spans="1:6" x14ac:dyDescent="0.3">
      <c r="A329" s="168" t="s">
        <v>3057</v>
      </c>
      <c r="B329" s="169" t="s">
        <v>3054</v>
      </c>
      <c r="C329" s="160" t="s">
        <v>2744</v>
      </c>
      <c r="D329" s="160" t="s">
        <v>644</v>
      </c>
      <c r="E329" s="160" t="s">
        <v>2746</v>
      </c>
      <c r="F329" s="160" t="s">
        <v>3055</v>
      </c>
    </row>
    <row r="330" spans="1:6" x14ac:dyDescent="0.3">
      <c r="A330" s="170" t="s">
        <v>3058</v>
      </c>
      <c r="B330" s="171" t="s">
        <v>3054</v>
      </c>
      <c r="C330" s="163" t="s">
        <v>2744</v>
      </c>
      <c r="D330" s="163" t="s">
        <v>644</v>
      </c>
      <c r="E330" s="163" t="s">
        <v>2746</v>
      </c>
      <c r="F330" s="163" t="s">
        <v>3055</v>
      </c>
    </row>
    <row r="331" spans="1:6" x14ac:dyDescent="0.3">
      <c r="A331" s="168" t="s">
        <v>3059</v>
      </c>
      <c r="B331" s="169" t="s">
        <v>3054</v>
      </c>
      <c r="C331" s="160" t="s">
        <v>2744</v>
      </c>
      <c r="D331" s="160" t="s">
        <v>644</v>
      </c>
      <c r="E331" s="160" t="s">
        <v>2746</v>
      </c>
      <c r="F331" s="160" t="s">
        <v>3055</v>
      </c>
    </row>
    <row r="332" spans="1:6" x14ac:dyDescent="0.3">
      <c r="A332" s="170" t="s">
        <v>2753</v>
      </c>
      <c r="B332" s="171" t="s">
        <v>3054</v>
      </c>
      <c r="C332" s="163" t="s">
        <v>2744</v>
      </c>
      <c r="D332" s="163" t="s">
        <v>644</v>
      </c>
      <c r="E332" s="163" t="s">
        <v>2746</v>
      </c>
      <c r="F332" s="163" t="s">
        <v>3055</v>
      </c>
    </row>
    <row r="333" spans="1:6" x14ac:dyDescent="0.3">
      <c r="A333" s="168" t="s">
        <v>3060</v>
      </c>
      <c r="B333" s="169" t="s">
        <v>3054</v>
      </c>
      <c r="C333" s="160" t="s">
        <v>2744</v>
      </c>
      <c r="D333" s="160" t="s">
        <v>644</v>
      </c>
      <c r="E333" s="160" t="s">
        <v>2746</v>
      </c>
      <c r="F333" s="160" t="s">
        <v>3055</v>
      </c>
    </row>
    <row r="334" spans="1:6" x14ac:dyDescent="0.3">
      <c r="A334" s="170" t="s">
        <v>3061</v>
      </c>
      <c r="B334" s="171" t="s">
        <v>3054</v>
      </c>
      <c r="C334" s="163" t="s">
        <v>2744</v>
      </c>
      <c r="D334" s="163" t="s">
        <v>644</v>
      </c>
      <c r="E334" s="163" t="s">
        <v>2746</v>
      </c>
      <c r="F334" s="163" t="s">
        <v>3055</v>
      </c>
    </row>
    <row r="335" spans="1:6" x14ac:dyDescent="0.3">
      <c r="A335" s="168" t="s">
        <v>644</v>
      </c>
      <c r="B335" s="169" t="s">
        <v>3054</v>
      </c>
      <c r="C335" s="160" t="s">
        <v>2744</v>
      </c>
      <c r="D335" s="160" t="s">
        <v>644</v>
      </c>
      <c r="E335" s="160" t="s">
        <v>2746</v>
      </c>
      <c r="F335" s="160" t="s">
        <v>3055</v>
      </c>
    </row>
    <row r="336" spans="1:6" x14ac:dyDescent="0.3">
      <c r="A336" s="170" t="s">
        <v>3062</v>
      </c>
      <c r="B336" s="171" t="s">
        <v>3054</v>
      </c>
      <c r="C336" s="163" t="s">
        <v>2744</v>
      </c>
      <c r="D336" s="163" t="s">
        <v>644</v>
      </c>
      <c r="E336" s="163" t="s">
        <v>2746</v>
      </c>
      <c r="F336" s="163" t="s">
        <v>3055</v>
      </c>
    </row>
    <row r="337" spans="1:6" x14ac:dyDescent="0.3">
      <c r="A337" s="168" t="s">
        <v>3063</v>
      </c>
      <c r="B337" s="169" t="s">
        <v>3054</v>
      </c>
      <c r="C337" s="160" t="s">
        <v>2744</v>
      </c>
      <c r="D337" s="160" t="s">
        <v>644</v>
      </c>
      <c r="E337" s="160" t="s">
        <v>2746</v>
      </c>
      <c r="F337" s="160" t="s">
        <v>3055</v>
      </c>
    </row>
    <row r="338" spans="1:6" x14ac:dyDescent="0.3">
      <c r="A338" s="170" t="s">
        <v>3064</v>
      </c>
      <c r="B338" s="171" t="s">
        <v>3054</v>
      </c>
      <c r="C338" s="163" t="s">
        <v>2744</v>
      </c>
      <c r="D338" s="163" t="s">
        <v>644</v>
      </c>
      <c r="E338" s="163" t="s">
        <v>2746</v>
      </c>
      <c r="F338" s="163" t="s">
        <v>3055</v>
      </c>
    </row>
    <row r="339" spans="1:6" x14ac:dyDescent="0.3">
      <c r="A339" s="168" t="s">
        <v>3065</v>
      </c>
      <c r="B339" s="169" t="s">
        <v>3054</v>
      </c>
      <c r="C339" s="160" t="s">
        <v>2744</v>
      </c>
      <c r="D339" s="160" t="s">
        <v>644</v>
      </c>
      <c r="E339" s="160" t="s">
        <v>2746</v>
      </c>
      <c r="F339" s="160" t="s">
        <v>3055</v>
      </c>
    </row>
    <row r="340" spans="1:6" x14ac:dyDescent="0.3">
      <c r="A340" s="170" t="s">
        <v>3066</v>
      </c>
      <c r="B340" s="171" t="s">
        <v>3054</v>
      </c>
      <c r="C340" s="163" t="s">
        <v>2744</v>
      </c>
      <c r="D340" s="163" t="s">
        <v>644</v>
      </c>
      <c r="E340" s="163" t="s">
        <v>2746</v>
      </c>
      <c r="F340" s="163" t="s">
        <v>3055</v>
      </c>
    </row>
    <row r="341" spans="1:6" x14ac:dyDescent="0.3">
      <c r="A341" s="168" t="s">
        <v>3067</v>
      </c>
      <c r="B341" s="169" t="s">
        <v>3054</v>
      </c>
      <c r="C341" s="160" t="s">
        <v>2744</v>
      </c>
      <c r="D341" s="160" t="s">
        <v>644</v>
      </c>
      <c r="E341" s="160" t="s">
        <v>2746</v>
      </c>
      <c r="F341" s="160" t="s">
        <v>3055</v>
      </c>
    </row>
    <row r="342" spans="1:6" x14ac:dyDescent="0.3">
      <c r="A342" s="170" t="s">
        <v>3068</v>
      </c>
      <c r="B342" s="171" t="s">
        <v>3054</v>
      </c>
      <c r="C342" s="163" t="s">
        <v>2744</v>
      </c>
      <c r="D342" s="163" t="s">
        <v>644</v>
      </c>
      <c r="E342" s="163" t="s">
        <v>2746</v>
      </c>
      <c r="F342" s="163" t="s">
        <v>3055</v>
      </c>
    </row>
    <row r="343" spans="1:6" x14ac:dyDescent="0.3">
      <c r="A343" s="168" t="s">
        <v>3069</v>
      </c>
      <c r="B343" s="169" t="s">
        <v>3054</v>
      </c>
      <c r="C343" s="160" t="s">
        <v>2744</v>
      </c>
      <c r="D343" s="160" t="s">
        <v>644</v>
      </c>
      <c r="E343" s="160" t="s">
        <v>2746</v>
      </c>
      <c r="F343" s="160" t="s">
        <v>3055</v>
      </c>
    </row>
    <row r="344" spans="1:6" x14ac:dyDescent="0.3">
      <c r="A344" s="170" t="s">
        <v>3070</v>
      </c>
      <c r="B344" s="171" t="s">
        <v>3054</v>
      </c>
      <c r="C344" s="163" t="s">
        <v>2744</v>
      </c>
      <c r="D344" s="163" t="s">
        <v>644</v>
      </c>
      <c r="E344" s="163" t="s">
        <v>2746</v>
      </c>
      <c r="F344" s="163" t="s">
        <v>3055</v>
      </c>
    </row>
    <row r="345" spans="1:6" x14ac:dyDescent="0.3">
      <c r="A345" s="168" t="s">
        <v>3071</v>
      </c>
      <c r="B345" s="169" t="s">
        <v>3054</v>
      </c>
      <c r="C345" s="160" t="s">
        <v>2744</v>
      </c>
      <c r="D345" s="160" t="s">
        <v>644</v>
      </c>
      <c r="E345" s="160" t="s">
        <v>2746</v>
      </c>
      <c r="F345" s="160" t="s">
        <v>3055</v>
      </c>
    </row>
    <row r="346" spans="1:6" x14ac:dyDescent="0.3">
      <c r="A346" s="170" t="s">
        <v>1079</v>
      </c>
      <c r="B346" s="171" t="s">
        <v>3054</v>
      </c>
      <c r="C346" s="163" t="s">
        <v>2744</v>
      </c>
      <c r="D346" s="163" t="s">
        <v>644</v>
      </c>
      <c r="E346" s="163" t="s">
        <v>2746</v>
      </c>
      <c r="F346" s="163" t="s">
        <v>3055</v>
      </c>
    </row>
    <row r="347" spans="1:6" x14ac:dyDescent="0.3">
      <c r="A347" s="168" t="s">
        <v>3072</v>
      </c>
      <c r="B347" s="169" t="s">
        <v>3054</v>
      </c>
      <c r="C347" s="160" t="s">
        <v>2744</v>
      </c>
      <c r="D347" s="160" t="s">
        <v>644</v>
      </c>
      <c r="E347" s="160" t="s">
        <v>2746</v>
      </c>
      <c r="F347" s="160" t="s">
        <v>3055</v>
      </c>
    </row>
    <row r="348" spans="1:6" x14ac:dyDescent="0.3">
      <c r="A348" s="170" t="s">
        <v>3073</v>
      </c>
      <c r="B348" s="171" t="s">
        <v>3054</v>
      </c>
      <c r="C348" s="163" t="s">
        <v>2744</v>
      </c>
      <c r="D348" s="163" t="s">
        <v>644</v>
      </c>
      <c r="E348" s="163" t="s">
        <v>2746</v>
      </c>
      <c r="F348" s="163" t="s">
        <v>3055</v>
      </c>
    </row>
    <row r="349" spans="1:6" x14ac:dyDescent="0.3">
      <c r="A349" s="168" t="s">
        <v>2836</v>
      </c>
      <c r="B349" s="169" t="s">
        <v>3054</v>
      </c>
      <c r="C349" s="160" t="s">
        <v>2744</v>
      </c>
      <c r="D349" s="160" t="s">
        <v>644</v>
      </c>
      <c r="E349" s="160" t="s">
        <v>2746</v>
      </c>
      <c r="F349" s="160" t="s">
        <v>3055</v>
      </c>
    </row>
    <row r="350" spans="1:6" x14ac:dyDescent="0.3">
      <c r="A350" s="170" t="s">
        <v>3074</v>
      </c>
      <c r="B350" s="171" t="s">
        <v>3054</v>
      </c>
      <c r="C350" s="163" t="s">
        <v>2744</v>
      </c>
      <c r="D350" s="163" t="s">
        <v>644</v>
      </c>
      <c r="E350" s="163" t="s">
        <v>2746</v>
      </c>
      <c r="F350" s="163" t="s">
        <v>3055</v>
      </c>
    </row>
    <row r="351" spans="1:6" x14ac:dyDescent="0.3">
      <c r="A351" s="168" t="s">
        <v>2835</v>
      </c>
      <c r="B351" s="169" t="s">
        <v>3054</v>
      </c>
      <c r="C351" s="160" t="s">
        <v>2744</v>
      </c>
      <c r="D351" s="160" t="s">
        <v>644</v>
      </c>
      <c r="E351" s="160" t="s">
        <v>2746</v>
      </c>
      <c r="F351" s="160" t="s">
        <v>3055</v>
      </c>
    </row>
    <row r="352" spans="1:6" x14ac:dyDescent="0.3">
      <c r="A352" s="170" t="s">
        <v>3075</v>
      </c>
      <c r="B352" s="171" t="s">
        <v>3054</v>
      </c>
      <c r="C352" s="163" t="s">
        <v>2744</v>
      </c>
      <c r="D352" s="163" t="s">
        <v>644</v>
      </c>
      <c r="E352" s="163" t="s">
        <v>2746</v>
      </c>
      <c r="F352" s="163" t="s">
        <v>3055</v>
      </c>
    </row>
    <row r="353" spans="1:6" x14ac:dyDescent="0.3">
      <c r="A353" s="168" t="s">
        <v>3076</v>
      </c>
      <c r="B353" s="169" t="s">
        <v>3054</v>
      </c>
      <c r="C353" s="160" t="s">
        <v>2744</v>
      </c>
      <c r="D353" s="160" t="s">
        <v>644</v>
      </c>
      <c r="E353" s="160" t="s">
        <v>2746</v>
      </c>
      <c r="F353" s="160" t="s">
        <v>3055</v>
      </c>
    </row>
    <row r="354" spans="1:6" x14ac:dyDescent="0.3">
      <c r="A354" s="170" t="s">
        <v>2840</v>
      </c>
      <c r="B354" s="171" t="s">
        <v>3054</v>
      </c>
      <c r="C354" s="163" t="s">
        <v>2744</v>
      </c>
      <c r="D354" s="163" t="s">
        <v>644</v>
      </c>
      <c r="E354" s="163" t="s">
        <v>2746</v>
      </c>
      <c r="F354" s="163" t="s">
        <v>3055</v>
      </c>
    </row>
    <row r="355" spans="1:6" x14ac:dyDescent="0.3">
      <c r="A355" s="168" t="s">
        <v>811</v>
      </c>
      <c r="B355" s="169" t="s">
        <v>3054</v>
      </c>
      <c r="C355" s="160" t="s">
        <v>2744</v>
      </c>
      <c r="D355" s="160" t="s">
        <v>644</v>
      </c>
      <c r="E355" s="160" t="s">
        <v>2746</v>
      </c>
      <c r="F355" s="160" t="s">
        <v>3055</v>
      </c>
    </row>
    <row r="356" spans="1:6" x14ac:dyDescent="0.3">
      <c r="A356" s="170" t="s">
        <v>3077</v>
      </c>
      <c r="B356" s="171" t="s">
        <v>3054</v>
      </c>
      <c r="C356" s="163" t="s">
        <v>2744</v>
      </c>
      <c r="D356" s="163" t="s">
        <v>644</v>
      </c>
      <c r="E356" s="163" t="s">
        <v>2746</v>
      </c>
      <c r="F356" s="163" t="s">
        <v>3055</v>
      </c>
    </row>
    <row r="357" spans="1:6" x14ac:dyDescent="0.3">
      <c r="A357" s="168" t="s">
        <v>3078</v>
      </c>
      <c r="B357" s="169" t="s">
        <v>3054</v>
      </c>
      <c r="C357" s="160" t="s">
        <v>2744</v>
      </c>
      <c r="D357" s="160" t="s">
        <v>644</v>
      </c>
      <c r="E357" s="160" t="s">
        <v>2746</v>
      </c>
      <c r="F357" s="160" t="s">
        <v>3055</v>
      </c>
    </row>
    <row r="358" spans="1:6" x14ac:dyDescent="0.3">
      <c r="A358" s="170" t="s">
        <v>3079</v>
      </c>
      <c r="B358" s="171" t="s">
        <v>3054</v>
      </c>
      <c r="C358" s="163" t="s">
        <v>2744</v>
      </c>
      <c r="D358" s="163" t="s">
        <v>644</v>
      </c>
      <c r="E358" s="163" t="s">
        <v>2746</v>
      </c>
      <c r="F358" s="163" t="s">
        <v>3055</v>
      </c>
    </row>
    <row r="359" spans="1:6" x14ac:dyDescent="0.3">
      <c r="A359" s="168" t="s">
        <v>3080</v>
      </c>
      <c r="B359" s="169" t="s">
        <v>3054</v>
      </c>
      <c r="C359" s="160" t="s">
        <v>2744</v>
      </c>
      <c r="D359" s="160" t="s">
        <v>644</v>
      </c>
      <c r="E359" s="160" t="s">
        <v>2746</v>
      </c>
      <c r="F359" s="160" t="s">
        <v>3055</v>
      </c>
    </row>
    <row r="360" spans="1:6" x14ac:dyDescent="0.3">
      <c r="A360" s="170" t="s">
        <v>3081</v>
      </c>
      <c r="B360" s="171" t="s">
        <v>3054</v>
      </c>
      <c r="C360" s="163" t="s">
        <v>2744</v>
      </c>
      <c r="D360" s="163" t="s">
        <v>644</v>
      </c>
      <c r="E360" s="163" t="s">
        <v>2746</v>
      </c>
      <c r="F360" s="163" t="s">
        <v>3055</v>
      </c>
    </row>
    <row r="361" spans="1:6" x14ac:dyDescent="0.3">
      <c r="A361" s="168" t="s">
        <v>3082</v>
      </c>
      <c r="B361" s="169" t="s">
        <v>3054</v>
      </c>
      <c r="C361" s="160" t="s">
        <v>2744</v>
      </c>
      <c r="D361" s="160" t="s">
        <v>644</v>
      </c>
      <c r="E361" s="160" t="s">
        <v>2746</v>
      </c>
      <c r="F361" s="160" t="s">
        <v>3055</v>
      </c>
    </row>
    <row r="362" spans="1:6" x14ac:dyDescent="0.3">
      <c r="A362" s="170" t="s">
        <v>3083</v>
      </c>
      <c r="B362" s="171" t="s">
        <v>3054</v>
      </c>
      <c r="C362" s="163" t="s">
        <v>2744</v>
      </c>
      <c r="D362" s="163" t="s">
        <v>644</v>
      </c>
      <c r="E362" s="163" t="s">
        <v>2746</v>
      </c>
      <c r="F362" s="163" t="s">
        <v>3055</v>
      </c>
    </row>
    <row r="363" spans="1:6" x14ac:dyDescent="0.3">
      <c r="A363" s="168" t="s">
        <v>3084</v>
      </c>
      <c r="B363" s="169" t="s">
        <v>3054</v>
      </c>
      <c r="C363" s="160" t="s">
        <v>2744</v>
      </c>
      <c r="D363" s="160" t="s">
        <v>644</v>
      </c>
      <c r="E363" s="160" t="s">
        <v>2746</v>
      </c>
      <c r="F363" s="160" t="s">
        <v>3055</v>
      </c>
    </row>
    <row r="364" spans="1:6" x14ac:dyDescent="0.3">
      <c r="A364" s="170" t="s">
        <v>3085</v>
      </c>
      <c r="B364" s="171" t="s">
        <v>3054</v>
      </c>
      <c r="C364" s="163" t="s">
        <v>2744</v>
      </c>
      <c r="D364" s="163" t="s">
        <v>644</v>
      </c>
      <c r="E364" s="163" t="s">
        <v>2746</v>
      </c>
      <c r="F364" s="163" t="s">
        <v>3055</v>
      </c>
    </row>
    <row r="365" spans="1:6" x14ac:dyDescent="0.3">
      <c r="A365" s="168" t="s">
        <v>3086</v>
      </c>
      <c r="B365" s="169" t="s">
        <v>3054</v>
      </c>
      <c r="C365" s="160" t="s">
        <v>2744</v>
      </c>
      <c r="D365" s="160" t="s">
        <v>644</v>
      </c>
      <c r="E365" s="160" t="s">
        <v>2746</v>
      </c>
      <c r="F365" s="160" t="s">
        <v>3055</v>
      </c>
    </row>
    <row r="366" spans="1:6" x14ac:dyDescent="0.3">
      <c r="A366" s="170" t="s">
        <v>3087</v>
      </c>
      <c r="B366" s="171" t="s">
        <v>3054</v>
      </c>
      <c r="C366" s="163" t="s">
        <v>2744</v>
      </c>
      <c r="D366" s="163" t="s">
        <v>644</v>
      </c>
      <c r="E366" s="163" t="s">
        <v>2746</v>
      </c>
      <c r="F366" s="163" t="s">
        <v>3055</v>
      </c>
    </row>
    <row r="367" spans="1:6" x14ac:dyDescent="0.3">
      <c r="A367" s="168" t="s">
        <v>3088</v>
      </c>
      <c r="B367" s="169" t="s">
        <v>3054</v>
      </c>
      <c r="C367" s="160" t="s">
        <v>2744</v>
      </c>
      <c r="D367" s="160" t="s">
        <v>644</v>
      </c>
      <c r="E367" s="160" t="s">
        <v>2746</v>
      </c>
      <c r="F367" s="160" t="s">
        <v>3055</v>
      </c>
    </row>
    <row r="368" spans="1:6" x14ac:dyDescent="0.3">
      <c r="A368" s="170" t="s">
        <v>3089</v>
      </c>
      <c r="B368" s="171" t="s">
        <v>3054</v>
      </c>
      <c r="C368" s="163" t="s">
        <v>2744</v>
      </c>
      <c r="D368" s="163" t="s">
        <v>644</v>
      </c>
      <c r="E368" s="163" t="s">
        <v>2746</v>
      </c>
      <c r="F368" s="163" t="s">
        <v>3055</v>
      </c>
    </row>
    <row r="369" spans="1:6" x14ac:dyDescent="0.3">
      <c r="A369" s="168" t="s">
        <v>3090</v>
      </c>
      <c r="B369" s="169" t="s">
        <v>3054</v>
      </c>
      <c r="C369" s="160" t="s">
        <v>2744</v>
      </c>
      <c r="D369" s="160" t="s">
        <v>644</v>
      </c>
      <c r="E369" s="160" t="s">
        <v>2746</v>
      </c>
      <c r="F369" s="160" t="s">
        <v>3055</v>
      </c>
    </row>
    <row r="370" spans="1:6" x14ac:dyDescent="0.3">
      <c r="A370" s="170" t="s">
        <v>3091</v>
      </c>
      <c r="B370" s="171" t="s">
        <v>3054</v>
      </c>
      <c r="C370" s="163" t="s">
        <v>2744</v>
      </c>
      <c r="D370" s="163" t="s">
        <v>644</v>
      </c>
      <c r="E370" s="163" t="s">
        <v>2746</v>
      </c>
      <c r="F370" s="163" t="s">
        <v>3055</v>
      </c>
    </row>
    <row r="371" spans="1:6" x14ac:dyDescent="0.3">
      <c r="A371" s="168" t="s">
        <v>3092</v>
      </c>
      <c r="B371" s="169" t="s">
        <v>3054</v>
      </c>
      <c r="C371" s="160" t="s">
        <v>2744</v>
      </c>
      <c r="D371" s="160" t="s">
        <v>644</v>
      </c>
      <c r="E371" s="160" t="s">
        <v>2746</v>
      </c>
      <c r="F371" s="160" t="s">
        <v>3055</v>
      </c>
    </row>
    <row r="372" spans="1:6" x14ac:dyDescent="0.3">
      <c r="A372" s="170" t="s">
        <v>3093</v>
      </c>
      <c r="B372" s="171" t="s">
        <v>3054</v>
      </c>
      <c r="C372" s="163" t="s">
        <v>2796</v>
      </c>
      <c r="D372" s="163" t="s">
        <v>3094</v>
      </c>
      <c r="E372" s="163" t="s">
        <v>2746</v>
      </c>
      <c r="F372" s="163"/>
    </row>
    <row r="373" spans="1:6" x14ac:dyDescent="0.3">
      <c r="A373" s="168" t="s">
        <v>3095</v>
      </c>
      <c r="B373" s="169" t="s">
        <v>3054</v>
      </c>
      <c r="C373" s="160" t="s">
        <v>2796</v>
      </c>
      <c r="D373" s="160" t="s">
        <v>3094</v>
      </c>
      <c r="E373" s="160" t="s">
        <v>2746</v>
      </c>
      <c r="F373" s="160"/>
    </row>
    <row r="374" spans="1:6" x14ac:dyDescent="0.3">
      <c r="A374" s="170" t="s">
        <v>3096</v>
      </c>
      <c r="B374" s="171" t="s">
        <v>3054</v>
      </c>
      <c r="C374" s="163" t="s">
        <v>2796</v>
      </c>
      <c r="D374" s="163" t="s">
        <v>3094</v>
      </c>
      <c r="E374" s="163" t="s">
        <v>2746</v>
      </c>
      <c r="F374" s="163"/>
    </row>
    <row r="375" spans="1:6" x14ac:dyDescent="0.3">
      <c r="A375" s="168" t="s">
        <v>3097</v>
      </c>
      <c r="B375" s="169" t="s">
        <v>3054</v>
      </c>
      <c r="C375" s="160" t="s">
        <v>2796</v>
      </c>
      <c r="D375" s="160" t="s">
        <v>3094</v>
      </c>
      <c r="E375" s="160" t="s">
        <v>2746</v>
      </c>
      <c r="F375" s="160"/>
    </row>
    <row r="376" spans="1:6" x14ac:dyDescent="0.3">
      <c r="A376" s="170" t="s">
        <v>3098</v>
      </c>
      <c r="B376" s="171" t="s">
        <v>3054</v>
      </c>
      <c r="C376" s="163" t="s">
        <v>2796</v>
      </c>
      <c r="D376" s="163" t="s">
        <v>3094</v>
      </c>
      <c r="E376" s="163" t="s">
        <v>2746</v>
      </c>
      <c r="F376" s="163"/>
    </row>
    <row r="377" spans="1:6" x14ac:dyDescent="0.3">
      <c r="A377" s="168" t="s">
        <v>3099</v>
      </c>
      <c r="B377" s="169" t="s">
        <v>3054</v>
      </c>
      <c r="C377" s="160" t="s">
        <v>2796</v>
      </c>
      <c r="D377" s="160" t="s">
        <v>3094</v>
      </c>
      <c r="E377" s="160" t="s">
        <v>2746</v>
      </c>
      <c r="F377" s="160"/>
    </row>
    <row r="378" spans="1:6" x14ac:dyDescent="0.3">
      <c r="A378" s="170" t="s">
        <v>3100</v>
      </c>
      <c r="B378" s="171" t="s">
        <v>3054</v>
      </c>
      <c r="C378" s="163" t="s">
        <v>2796</v>
      </c>
      <c r="D378" s="163" t="s">
        <v>3094</v>
      </c>
      <c r="E378" s="163" t="s">
        <v>2746</v>
      </c>
      <c r="F378" s="163"/>
    </row>
    <row r="379" spans="1:6" x14ac:dyDescent="0.3">
      <c r="A379" s="168" t="s">
        <v>3101</v>
      </c>
      <c r="B379" s="169" t="s">
        <v>3054</v>
      </c>
      <c r="C379" s="160" t="s">
        <v>2796</v>
      </c>
      <c r="D379" s="160" t="s">
        <v>3094</v>
      </c>
      <c r="E379" s="160" t="s">
        <v>2746</v>
      </c>
      <c r="F379" s="160"/>
    </row>
    <row r="380" spans="1:6" x14ac:dyDescent="0.3">
      <c r="A380" s="170" t="s">
        <v>3102</v>
      </c>
      <c r="B380" s="171" t="s">
        <v>3054</v>
      </c>
      <c r="C380" s="163" t="s">
        <v>2796</v>
      </c>
      <c r="D380" s="163" t="s">
        <v>3094</v>
      </c>
      <c r="E380" s="163" t="s">
        <v>2746</v>
      </c>
      <c r="F380" s="163"/>
    </row>
    <row r="381" spans="1:6" x14ac:dyDescent="0.3">
      <c r="A381" s="168" t="s">
        <v>3103</v>
      </c>
      <c r="B381" s="169" t="s">
        <v>3054</v>
      </c>
      <c r="C381" s="160" t="s">
        <v>2796</v>
      </c>
      <c r="D381" s="160" t="s">
        <v>3094</v>
      </c>
      <c r="E381" s="160" t="s">
        <v>2746</v>
      </c>
      <c r="F381" s="160"/>
    </row>
    <row r="382" spans="1:6" x14ac:dyDescent="0.3">
      <c r="A382" s="170" t="s">
        <v>3104</v>
      </c>
      <c r="B382" s="171" t="s">
        <v>3054</v>
      </c>
      <c r="C382" s="163" t="s">
        <v>2796</v>
      </c>
      <c r="D382" s="163" t="s">
        <v>3094</v>
      </c>
      <c r="E382" s="163" t="s">
        <v>2746</v>
      </c>
      <c r="F382" s="163"/>
    </row>
    <row r="383" spans="1:6" x14ac:dyDescent="0.3">
      <c r="A383" s="168" t="s">
        <v>3105</v>
      </c>
      <c r="B383" s="169" t="s">
        <v>3054</v>
      </c>
      <c r="C383" s="160" t="s">
        <v>2796</v>
      </c>
      <c r="D383" s="160" t="s">
        <v>3094</v>
      </c>
      <c r="E383" s="160" t="s">
        <v>2746</v>
      </c>
      <c r="F383" s="160"/>
    </row>
    <row r="384" spans="1:6" x14ac:dyDescent="0.3">
      <c r="A384" s="170" t="s">
        <v>3106</v>
      </c>
      <c r="B384" s="171" t="s">
        <v>3054</v>
      </c>
      <c r="C384" s="163" t="s">
        <v>2796</v>
      </c>
      <c r="D384" s="163" t="s">
        <v>3094</v>
      </c>
      <c r="E384" s="163" t="s">
        <v>2746</v>
      </c>
      <c r="F384" s="163"/>
    </row>
    <row r="385" spans="1:6" x14ac:dyDescent="0.3">
      <c r="A385" s="168" t="s">
        <v>3107</v>
      </c>
      <c r="B385" s="169" t="s">
        <v>3054</v>
      </c>
      <c r="C385" s="160" t="s">
        <v>2796</v>
      </c>
      <c r="D385" s="160" t="s">
        <v>3094</v>
      </c>
      <c r="E385" s="160" t="s">
        <v>2746</v>
      </c>
      <c r="F385" s="160"/>
    </row>
    <row r="386" spans="1:6" x14ac:dyDescent="0.3">
      <c r="A386" s="170" t="s">
        <v>3108</v>
      </c>
      <c r="B386" s="171" t="s">
        <v>3054</v>
      </c>
      <c r="C386" s="163" t="s">
        <v>2796</v>
      </c>
      <c r="D386" s="163" t="s">
        <v>3094</v>
      </c>
      <c r="E386" s="163" t="s">
        <v>2746</v>
      </c>
      <c r="F386" s="163"/>
    </row>
    <row r="387" spans="1:6" x14ac:dyDescent="0.3">
      <c r="A387" s="168" t="s">
        <v>3109</v>
      </c>
      <c r="B387" s="169" t="s">
        <v>3054</v>
      </c>
      <c r="C387" s="160" t="s">
        <v>2796</v>
      </c>
      <c r="D387" s="160" t="s">
        <v>3110</v>
      </c>
      <c r="E387" s="160" t="s">
        <v>2746</v>
      </c>
      <c r="F387" s="160"/>
    </row>
    <row r="388" spans="1:6" x14ac:dyDescent="0.3">
      <c r="A388" s="170" t="s">
        <v>3111</v>
      </c>
      <c r="B388" s="171" t="s">
        <v>3054</v>
      </c>
      <c r="C388" s="163" t="s">
        <v>2796</v>
      </c>
      <c r="D388" s="163" t="s">
        <v>3110</v>
      </c>
      <c r="E388" s="163" t="s">
        <v>2746</v>
      </c>
      <c r="F388" s="163"/>
    </row>
    <row r="389" spans="1:6" x14ac:dyDescent="0.3">
      <c r="A389" s="168" t="s">
        <v>3112</v>
      </c>
      <c r="B389" s="169" t="s">
        <v>3054</v>
      </c>
      <c r="C389" s="160" t="s">
        <v>2796</v>
      </c>
      <c r="D389" s="160" t="s">
        <v>3110</v>
      </c>
      <c r="E389" s="160" t="s">
        <v>2746</v>
      </c>
      <c r="F389" s="160"/>
    </row>
    <row r="390" spans="1:6" x14ac:dyDescent="0.3">
      <c r="A390" s="170" t="s">
        <v>3113</v>
      </c>
      <c r="B390" s="171" t="s">
        <v>3054</v>
      </c>
      <c r="C390" s="163" t="s">
        <v>2796</v>
      </c>
      <c r="D390" s="163" t="s">
        <v>3110</v>
      </c>
      <c r="E390" s="163" t="s">
        <v>2746</v>
      </c>
      <c r="F390" s="163"/>
    </row>
    <row r="391" spans="1:6" x14ac:dyDescent="0.3">
      <c r="A391" s="168" t="s">
        <v>3114</v>
      </c>
      <c r="B391" s="169" t="s">
        <v>3054</v>
      </c>
      <c r="C391" s="160" t="s">
        <v>2796</v>
      </c>
      <c r="D391" s="160" t="s">
        <v>3110</v>
      </c>
      <c r="E391" s="160" t="s">
        <v>2746</v>
      </c>
      <c r="F391" s="160"/>
    </row>
    <row r="392" spans="1:6" x14ac:dyDescent="0.3">
      <c r="A392" s="170" t="s">
        <v>3115</v>
      </c>
      <c r="B392" s="171" t="s">
        <v>3054</v>
      </c>
      <c r="C392" s="163" t="s">
        <v>2796</v>
      </c>
      <c r="D392" s="163" t="s">
        <v>3110</v>
      </c>
      <c r="E392" s="163" t="s">
        <v>2746</v>
      </c>
      <c r="F392" s="163"/>
    </row>
    <row r="393" spans="1:6" x14ac:dyDescent="0.3">
      <c r="A393" s="168" t="s">
        <v>3116</v>
      </c>
      <c r="B393" s="169" t="s">
        <v>3054</v>
      </c>
      <c r="C393" s="160" t="s">
        <v>2796</v>
      </c>
      <c r="D393" s="160" t="s">
        <v>3110</v>
      </c>
      <c r="E393" s="160" t="s">
        <v>2746</v>
      </c>
      <c r="F393" s="160"/>
    </row>
    <row r="394" spans="1:6" x14ac:dyDescent="0.3">
      <c r="A394" s="170" t="s">
        <v>3117</v>
      </c>
      <c r="B394" s="171" t="s">
        <v>3054</v>
      </c>
      <c r="C394" s="163" t="s">
        <v>2796</v>
      </c>
      <c r="D394" s="163" t="s">
        <v>3110</v>
      </c>
      <c r="E394" s="163" t="s">
        <v>2746</v>
      </c>
      <c r="F394" s="163"/>
    </row>
    <row r="395" spans="1:6" x14ac:dyDescent="0.3">
      <c r="A395" s="168" t="s">
        <v>3118</v>
      </c>
      <c r="B395" s="169" t="s">
        <v>3054</v>
      </c>
      <c r="C395" s="160" t="s">
        <v>2796</v>
      </c>
      <c r="D395" s="160" t="s">
        <v>3110</v>
      </c>
      <c r="E395" s="160" t="s">
        <v>2746</v>
      </c>
      <c r="F395" s="160"/>
    </row>
    <row r="396" spans="1:6" x14ac:dyDescent="0.3">
      <c r="A396" s="170" t="s">
        <v>3119</v>
      </c>
      <c r="B396" s="171" t="s">
        <v>3054</v>
      </c>
      <c r="C396" s="163" t="s">
        <v>2796</v>
      </c>
      <c r="D396" s="163" t="s">
        <v>3110</v>
      </c>
      <c r="E396" s="163" t="s">
        <v>2746</v>
      </c>
      <c r="F396" s="163"/>
    </row>
    <row r="397" spans="1:6" x14ac:dyDescent="0.3">
      <c r="A397" s="168" t="s">
        <v>3120</v>
      </c>
      <c r="B397" s="169" t="s">
        <v>3054</v>
      </c>
      <c r="C397" s="160" t="s">
        <v>2796</v>
      </c>
      <c r="D397" s="160" t="s">
        <v>3110</v>
      </c>
      <c r="E397" s="160" t="s">
        <v>2746</v>
      </c>
      <c r="F397" s="160"/>
    </row>
    <row r="398" spans="1:6" x14ac:dyDescent="0.3">
      <c r="A398" s="170" t="s">
        <v>3121</v>
      </c>
      <c r="B398" s="171" t="s">
        <v>3054</v>
      </c>
      <c r="C398" s="163" t="s">
        <v>2796</v>
      </c>
      <c r="D398" s="163" t="s">
        <v>3110</v>
      </c>
      <c r="E398" s="163" t="s">
        <v>2746</v>
      </c>
      <c r="F398" s="163"/>
    </row>
    <row r="399" spans="1:6" x14ac:dyDescent="0.3">
      <c r="A399" s="168" t="s">
        <v>3122</v>
      </c>
      <c r="B399" s="169" t="s">
        <v>3054</v>
      </c>
      <c r="C399" s="160" t="s">
        <v>2796</v>
      </c>
      <c r="D399" s="160" t="s">
        <v>3094</v>
      </c>
      <c r="E399" s="160" t="s">
        <v>2746</v>
      </c>
      <c r="F399" s="160"/>
    </row>
    <row r="400" spans="1:6" x14ac:dyDescent="0.3">
      <c r="A400" s="170" t="s">
        <v>3123</v>
      </c>
      <c r="B400" s="171" t="s">
        <v>3054</v>
      </c>
      <c r="C400" s="163" t="s">
        <v>2796</v>
      </c>
      <c r="D400" s="163" t="s">
        <v>3094</v>
      </c>
      <c r="E400" s="163" t="s">
        <v>2746</v>
      </c>
      <c r="F400" s="163"/>
    </row>
    <row r="401" spans="1:6" x14ac:dyDescent="0.3">
      <c r="A401" s="168" t="s">
        <v>3124</v>
      </c>
      <c r="B401" s="169" t="s">
        <v>3054</v>
      </c>
      <c r="C401" s="160" t="s">
        <v>2796</v>
      </c>
      <c r="D401" s="160" t="s">
        <v>3094</v>
      </c>
      <c r="E401" s="160" t="s">
        <v>2746</v>
      </c>
      <c r="F401" s="160"/>
    </row>
    <row r="402" spans="1:6" x14ac:dyDescent="0.3">
      <c r="A402" s="170" t="s">
        <v>3125</v>
      </c>
      <c r="B402" s="171" t="s">
        <v>3054</v>
      </c>
      <c r="C402" s="163" t="s">
        <v>2796</v>
      </c>
      <c r="D402" s="163" t="s">
        <v>3094</v>
      </c>
      <c r="E402" s="163" t="s">
        <v>2746</v>
      </c>
      <c r="F402" s="163"/>
    </row>
    <row r="403" spans="1:6" x14ac:dyDescent="0.3">
      <c r="A403" s="168" t="s">
        <v>3126</v>
      </c>
      <c r="B403" s="169" t="s">
        <v>3054</v>
      </c>
      <c r="C403" s="160" t="s">
        <v>2796</v>
      </c>
      <c r="D403" s="160" t="s">
        <v>3094</v>
      </c>
      <c r="E403" s="160" t="s">
        <v>2746</v>
      </c>
      <c r="F403" s="160"/>
    </row>
    <row r="404" spans="1:6" x14ac:dyDescent="0.3">
      <c r="A404" s="170" t="s">
        <v>3127</v>
      </c>
      <c r="B404" s="171" t="s">
        <v>3054</v>
      </c>
      <c r="C404" s="163" t="s">
        <v>2828</v>
      </c>
      <c r="D404" s="163" t="s">
        <v>3128</v>
      </c>
      <c r="E404" s="163" t="s">
        <v>2746</v>
      </c>
      <c r="F404" s="163"/>
    </row>
    <row r="405" spans="1:6" x14ac:dyDescent="0.3">
      <c r="A405" s="168" t="s">
        <v>3129</v>
      </c>
      <c r="B405" s="169" t="s">
        <v>3054</v>
      </c>
      <c r="C405" s="160" t="s">
        <v>2828</v>
      </c>
      <c r="D405" s="160" t="s">
        <v>3128</v>
      </c>
      <c r="E405" s="160" t="s">
        <v>2746</v>
      </c>
      <c r="F405" s="160"/>
    </row>
    <row r="406" spans="1:6" x14ac:dyDescent="0.3">
      <c r="A406" s="170" t="s">
        <v>3130</v>
      </c>
      <c r="B406" s="171" t="s">
        <v>3054</v>
      </c>
      <c r="C406" s="163" t="s">
        <v>2828</v>
      </c>
      <c r="D406" s="163" t="s">
        <v>3128</v>
      </c>
      <c r="E406" s="163" t="s">
        <v>2746</v>
      </c>
      <c r="F406" s="163"/>
    </row>
    <row r="407" spans="1:6" x14ac:dyDescent="0.3">
      <c r="A407" s="168" t="s">
        <v>3131</v>
      </c>
      <c r="B407" s="169" t="s">
        <v>3054</v>
      </c>
      <c r="C407" s="160" t="s">
        <v>2828</v>
      </c>
      <c r="D407" s="160" t="s">
        <v>3128</v>
      </c>
      <c r="E407" s="160" t="s">
        <v>2746</v>
      </c>
      <c r="F407" s="160"/>
    </row>
    <row r="408" spans="1:6" x14ac:dyDescent="0.3">
      <c r="A408" s="170" t="s">
        <v>3132</v>
      </c>
      <c r="B408" s="171" t="s">
        <v>3054</v>
      </c>
      <c r="C408" s="163" t="s">
        <v>2828</v>
      </c>
      <c r="D408" s="163" t="s">
        <v>3128</v>
      </c>
      <c r="E408" s="163" t="s">
        <v>2746</v>
      </c>
      <c r="F408" s="163"/>
    </row>
    <row r="409" spans="1:6" x14ac:dyDescent="0.3">
      <c r="A409" s="168" t="s">
        <v>3133</v>
      </c>
      <c r="B409" s="169" t="s">
        <v>3054</v>
      </c>
      <c r="C409" s="160" t="s">
        <v>2828</v>
      </c>
      <c r="D409" s="160" t="s">
        <v>3128</v>
      </c>
      <c r="E409" s="160" t="s">
        <v>2746</v>
      </c>
      <c r="F409" s="160"/>
    </row>
    <row r="410" spans="1:6" x14ac:dyDescent="0.3">
      <c r="A410" s="170" t="s">
        <v>3134</v>
      </c>
      <c r="B410" s="171" t="s">
        <v>3054</v>
      </c>
      <c r="C410" s="163" t="s">
        <v>2828</v>
      </c>
      <c r="D410" s="163" t="s">
        <v>3128</v>
      </c>
      <c r="E410" s="163" t="s">
        <v>2746</v>
      </c>
      <c r="F410" s="163"/>
    </row>
    <row r="411" spans="1:6" x14ac:dyDescent="0.3">
      <c r="A411" s="168" t="s">
        <v>3135</v>
      </c>
      <c r="B411" s="169" t="s">
        <v>3054</v>
      </c>
      <c r="C411" s="160" t="s">
        <v>2828</v>
      </c>
      <c r="D411" s="160" t="s">
        <v>3128</v>
      </c>
      <c r="E411" s="160" t="s">
        <v>2746</v>
      </c>
      <c r="F411" s="160"/>
    </row>
    <row r="412" spans="1:6" x14ac:dyDescent="0.3">
      <c r="A412" s="170" t="s">
        <v>3136</v>
      </c>
      <c r="B412" s="171" t="s">
        <v>3054</v>
      </c>
      <c r="C412" s="163" t="s">
        <v>2828</v>
      </c>
      <c r="D412" s="163" t="s">
        <v>3128</v>
      </c>
      <c r="E412" s="163" t="s">
        <v>2746</v>
      </c>
      <c r="F412" s="163"/>
    </row>
    <row r="413" spans="1:6" x14ac:dyDescent="0.3">
      <c r="A413" s="168" t="s">
        <v>3137</v>
      </c>
      <c r="B413" s="169" t="s">
        <v>3054</v>
      </c>
      <c r="C413" s="160" t="s">
        <v>2828</v>
      </c>
      <c r="D413" s="160" t="s">
        <v>3128</v>
      </c>
      <c r="E413" s="160" t="s">
        <v>2746</v>
      </c>
      <c r="F413" s="160"/>
    </row>
    <row r="414" spans="1:6" x14ac:dyDescent="0.3">
      <c r="A414" s="170" t="s">
        <v>3138</v>
      </c>
      <c r="B414" s="171" t="s">
        <v>3054</v>
      </c>
      <c r="C414" s="163" t="s">
        <v>2828</v>
      </c>
      <c r="D414" s="163" t="s">
        <v>3128</v>
      </c>
      <c r="E414" s="163" t="s">
        <v>2746</v>
      </c>
      <c r="F414" s="163"/>
    </row>
    <row r="415" spans="1:6" x14ac:dyDescent="0.3">
      <c r="A415" s="168" t="s">
        <v>3139</v>
      </c>
      <c r="B415" s="169" t="s">
        <v>3054</v>
      </c>
      <c r="C415" s="160" t="s">
        <v>2828</v>
      </c>
      <c r="D415" s="160" t="s">
        <v>3128</v>
      </c>
      <c r="E415" s="160" t="s">
        <v>2746</v>
      </c>
      <c r="F415" s="160"/>
    </row>
    <row r="416" spans="1:6" x14ac:dyDescent="0.3">
      <c r="A416" s="170" t="s">
        <v>3140</v>
      </c>
      <c r="B416" s="171" t="s">
        <v>3054</v>
      </c>
      <c r="C416" s="163" t="s">
        <v>2828</v>
      </c>
      <c r="D416" s="163" t="s">
        <v>3128</v>
      </c>
      <c r="E416" s="163" t="s">
        <v>2746</v>
      </c>
      <c r="F416" s="163"/>
    </row>
    <row r="417" spans="1:6" x14ac:dyDescent="0.3">
      <c r="A417" s="168" t="s">
        <v>3141</v>
      </c>
      <c r="B417" s="169" t="s">
        <v>3054</v>
      </c>
      <c r="C417" s="160" t="s">
        <v>2828</v>
      </c>
      <c r="D417" s="160" t="s">
        <v>3128</v>
      </c>
      <c r="E417" s="160" t="s">
        <v>2746</v>
      </c>
      <c r="F417" s="160"/>
    </row>
    <row r="418" spans="1:6" x14ac:dyDescent="0.3">
      <c r="A418" s="170" t="s">
        <v>3142</v>
      </c>
      <c r="B418" s="171" t="s">
        <v>3054</v>
      </c>
      <c r="C418" s="163" t="s">
        <v>2828</v>
      </c>
      <c r="D418" s="163" t="s">
        <v>3128</v>
      </c>
      <c r="E418" s="163" t="s">
        <v>2746</v>
      </c>
      <c r="F418" s="163"/>
    </row>
    <row r="419" spans="1:6" x14ac:dyDescent="0.3">
      <c r="A419" s="168" t="s">
        <v>3143</v>
      </c>
      <c r="B419" s="169" t="s">
        <v>3054</v>
      </c>
      <c r="C419" s="160" t="s">
        <v>2828</v>
      </c>
      <c r="D419" s="160" t="s">
        <v>3128</v>
      </c>
      <c r="E419" s="160" t="s">
        <v>2746</v>
      </c>
      <c r="F419" s="160"/>
    </row>
    <row r="420" spans="1:6" x14ac:dyDescent="0.3">
      <c r="A420" s="170" t="s">
        <v>3144</v>
      </c>
      <c r="B420" s="171" t="s">
        <v>3054</v>
      </c>
      <c r="C420" s="163" t="s">
        <v>2828</v>
      </c>
      <c r="D420" s="163" t="s">
        <v>3128</v>
      </c>
      <c r="E420" s="163" t="s">
        <v>2746</v>
      </c>
      <c r="F420" s="163"/>
    </row>
    <row r="421" spans="1:6" x14ac:dyDescent="0.3">
      <c r="A421" s="168" t="s">
        <v>3145</v>
      </c>
      <c r="B421" s="169" t="s">
        <v>3054</v>
      </c>
      <c r="C421" s="160" t="s">
        <v>2828</v>
      </c>
      <c r="D421" s="160" t="s">
        <v>3128</v>
      </c>
      <c r="E421" s="160" t="s">
        <v>2746</v>
      </c>
      <c r="F421" s="160"/>
    </row>
    <row r="422" spans="1:6" x14ac:dyDescent="0.3">
      <c r="A422" s="170" t="s">
        <v>3146</v>
      </c>
      <c r="B422" s="171" t="s">
        <v>3054</v>
      </c>
      <c r="C422" s="163" t="s">
        <v>2828</v>
      </c>
      <c r="D422" s="163" t="s">
        <v>3128</v>
      </c>
      <c r="E422" s="163" t="s">
        <v>2746</v>
      </c>
      <c r="F422" s="163"/>
    </row>
    <row r="423" spans="1:6" x14ac:dyDescent="0.3">
      <c r="A423" s="168" t="s">
        <v>3147</v>
      </c>
      <c r="B423" s="169" t="s">
        <v>3054</v>
      </c>
      <c r="C423" s="160" t="s">
        <v>2828</v>
      </c>
      <c r="D423" s="160" t="s">
        <v>3128</v>
      </c>
      <c r="E423" s="160" t="s">
        <v>2746</v>
      </c>
      <c r="F423" s="160"/>
    </row>
    <row r="424" spans="1:6" x14ac:dyDescent="0.3">
      <c r="A424" s="170" t="s">
        <v>3148</v>
      </c>
      <c r="B424" s="171" t="s">
        <v>3054</v>
      </c>
      <c r="C424" s="163" t="s">
        <v>2828</v>
      </c>
      <c r="D424" s="163" t="s">
        <v>3128</v>
      </c>
      <c r="E424" s="163" t="s">
        <v>2746</v>
      </c>
      <c r="F424" s="163"/>
    </row>
    <row r="425" spans="1:6" x14ac:dyDescent="0.3">
      <c r="A425" s="168" t="s">
        <v>3149</v>
      </c>
      <c r="B425" s="169" t="s">
        <v>3054</v>
      </c>
      <c r="C425" s="160" t="s">
        <v>2828</v>
      </c>
      <c r="D425" s="160" t="s">
        <v>3128</v>
      </c>
      <c r="E425" s="160" t="s">
        <v>2746</v>
      </c>
      <c r="F425" s="160"/>
    </row>
    <row r="426" spans="1:6" x14ac:dyDescent="0.3">
      <c r="A426" s="170" t="s">
        <v>3150</v>
      </c>
      <c r="B426" s="171" t="s">
        <v>3054</v>
      </c>
      <c r="C426" s="163" t="s">
        <v>2828</v>
      </c>
      <c r="D426" s="163" t="s">
        <v>3128</v>
      </c>
      <c r="E426" s="163" t="s">
        <v>2746</v>
      </c>
      <c r="F426" s="163"/>
    </row>
    <row r="427" spans="1:6" x14ac:dyDescent="0.3">
      <c r="A427" s="168" t="s">
        <v>3151</v>
      </c>
      <c r="B427" s="169" t="s">
        <v>3054</v>
      </c>
      <c r="C427" s="160" t="s">
        <v>2828</v>
      </c>
      <c r="D427" s="160" t="s">
        <v>3128</v>
      </c>
      <c r="E427" s="160" t="s">
        <v>2746</v>
      </c>
      <c r="F427" s="160"/>
    </row>
    <row r="428" spans="1:6" x14ac:dyDescent="0.3">
      <c r="A428" s="170" t="s">
        <v>3152</v>
      </c>
      <c r="B428" s="171" t="s">
        <v>3054</v>
      </c>
      <c r="C428" s="163" t="s">
        <v>2828</v>
      </c>
      <c r="D428" s="163" t="s">
        <v>3128</v>
      </c>
      <c r="E428" s="163" t="s">
        <v>2746</v>
      </c>
      <c r="F428" s="163"/>
    </row>
    <row r="429" spans="1:6" x14ac:dyDescent="0.3">
      <c r="A429" s="168" t="s">
        <v>3153</v>
      </c>
      <c r="B429" s="169" t="s">
        <v>3054</v>
      </c>
      <c r="C429" s="160" t="s">
        <v>2828</v>
      </c>
      <c r="D429" s="160" t="s">
        <v>3128</v>
      </c>
      <c r="E429" s="160" t="s">
        <v>2746</v>
      </c>
      <c r="F429" s="160"/>
    </row>
    <row r="430" spans="1:6" x14ac:dyDescent="0.3">
      <c r="A430" s="170" t="s">
        <v>3154</v>
      </c>
      <c r="B430" s="171" t="s">
        <v>3054</v>
      </c>
      <c r="C430" s="163" t="s">
        <v>2828</v>
      </c>
      <c r="D430" s="163" t="s">
        <v>3128</v>
      </c>
      <c r="E430" s="163" t="s">
        <v>2746</v>
      </c>
      <c r="F430" s="163"/>
    </row>
    <row r="431" spans="1:6" x14ac:dyDescent="0.3">
      <c r="A431" s="168" t="s">
        <v>3155</v>
      </c>
      <c r="B431" s="169" t="s">
        <v>3054</v>
      </c>
      <c r="C431" s="160" t="s">
        <v>2828</v>
      </c>
      <c r="D431" s="160" t="s">
        <v>3128</v>
      </c>
      <c r="E431" s="160" t="s">
        <v>2746</v>
      </c>
      <c r="F431" s="160"/>
    </row>
    <row r="432" spans="1:6" x14ac:dyDescent="0.3">
      <c r="A432" s="170" t="s">
        <v>3156</v>
      </c>
      <c r="B432" s="171" t="s">
        <v>3054</v>
      </c>
      <c r="C432" s="163" t="s">
        <v>2828</v>
      </c>
      <c r="D432" s="163" t="s">
        <v>3128</v>
      </c>
      <c r="E432" s="163" t="s">
        <v>2746</v>
      </c>
      <c r="F432" s="163"/>
    </row>
    <row r="433" spans="1:6" x14ac:dyDescent="0.3">
      <c r="A433" s="172" t="s">
        <v>3157</v>
      </c>
      <c r="B433" s="173" t="s">
        <v>3158</v>
      </c>
      <c r="C433" s="160" t="s">
        <v>2744</v>
      </c>
      <c r="D433" s="160" t="s">
        <v>3159</v>
      </c>
      <c r="E433" s="160" t="s">
        <v>2746</v>
      </c>
      <c r="F433" s="160"/>
    </row>
    <row r="434" spans="1:6" x14ac:dyDescent="0.3">
      <c r="A434" s="174" t="s">
        <v>3160</v>
      </c>
      <c r="B434" s="175" t="s">
        <v>3158</v>
      </c>
      <c r="C434" s="163" t="s">
        <v>2744</v>
      </c>
      <c r="D434" s="163" t="s">
        <v>3159</v>
      </c>
      <c r="E434" s="163" t="s">
        <v>2746</v>
      </c>
      <c r="F434" s="163"/>
    </row>
    <row r="435" spans="1:6" x14ac:dyDescent="0.3">
      <c r="A435" s="172" t="s">
        <v>3161</v>
      </c>
      <c r="B435" s="173" t="s">
        <v>3158</v>
      </c>
      <c r="C435" s="160" t="s">
        <v>2744</v>
      </c>
      <c r="D435" s="160" t="s">
        <v>3159</v>
      </c>
      <c r="E435" s="160" t="s">
        <v>2746</v>
      </c>
      <c r="F435" s="160"/>
    </row>
    <row r="436" spans="1:6" x14ac:dyDescent="0.3">
      <c r="A436" s="174" t="s">
        <v>3162</v>
      </c>
      <c r="B436" s="175" t="s">
        <v>3158</v>
      </c>
      <c r="C436" s="163" t="s">
        <v>2744</v>
      </c>
      <c r="D436" s="163" t="s">
        <v>3159</v>
      </c>
      <c r="E436" s="163" t="s">
        <v>2746</v>
      </c>
      <c r="F436" s="163"/>
    </row>
    <row r="437" spans="1:6" x14ac:dyDescent="0.3">
      <c r="A437" s="172" t="s">
        <v>3163</v>
      </c>
      <c r="B437" s="173" t="s">
        <v>3158</v>
      </c>
      <c r="C437" s="160" t="s">
        <v>2744</v>
      </c>
      <c r="D437" s="160" t="s">
        <v>3159</v>
      </c>
      <c r="E437" s="160" t="s">
        <v>2746</v>
      </c>
      <c r="F437" s="160"/>
    </row>
    <row r="438" spans="1:6" x14ac:dyDescent="0.3">
      <c r="A438" s="174" t="s">
        <v>3164</v>
      </c>
      <c r="B438" s="175" t="s">
        <v>3158</v>
      </c>
      <c r="C438" s="163" t="s">
        <v>2744</v>
      </c>
      <c r="D438" s="163" t="s">
        <v>3159</v>
      </c>
      <c r="E438" s="163" t="s">
        <v>2746</v>
      </c>
      <c r="F438" s="163"/>
    </row>
    <row r="439" spans="1:6" x14ac:dyDescent="0.3">
      <c r="A439" s="172" t="s">
        <v>3165</v>
      </c>
      <c r="B439" s="173" t="s">
        <v>3158</v>
      </c>
      <c r="C439" s="160" t="s">
        <v>2744</v>
      </c>
      <c r="D439" s="160" t="s">
        <v>3159</v>
      </c>
      <c r="E439" s="160" t="s">
        <v>2746</v>
      </c>
      <c r="F439" s="160"/>
    </row>
    <row r="440" spans="1:6" x14ac:dyDescent="0.3">
      <c r="A440" s="174" t="s">
        <v>3166</v>
      </c>
      <c r="B440" s="175" t="s">
        <v>3158</v>
      </c>
      <c r="C440" s="163" t="s">
        <v>2744</v>
      </c>
      <c r="D440" s="163" t="s">
        <v>3159</v>
      </c>
      <c r="E440" s="163" t="s">
        <v>2746</v>
      </c>
      <c r="F440" s="163"/>
    </row>
    <row r="441" spans="1:6" x14ac:dyDescent="0.3">
      <c r="A441" s="172" t="s">
        <v>3167</v>
      </c>
      <c r="B441" s="173" t="s">
        <v>3158</v>
      </c>
      <c r="C441" s="160" t="s">
        <v>2744</v>
      </c>
      <c r="D441" s="160" t="s">
        <v>3159</v>
      </c>
      <c r="E441" s="160" t="s">
        <v>2746</v>
      </c>
      <c r="F441" s="160"/>
    </row>
    <row r="442" spans="1:6" x14ac:dyDescent="0.3">
      <c r="A442" s="174" t="s">
        <v>3168</v>
      </c>
      <c r="B442" s="175" t="s">
        <v>3158</v>
      </c>
      <c r="C442" s="163" t="s">
        <v>2744</v>
      </c>
      <c r="D442" s="163" t="s">
        <v>3159</v>
      </c>
      <c r="E442" s="163" t="s">
        <v>2746</v>
      </c>
      <c r="F442" s="163"/>
    </row>
    <row r="443" spans="1:6" x14ac:dyDescent="0.3">
      <c r="A443" s="172" t="s">
        <v>3169</v>
      </c>
      <c r="B443" s="173" t="s">
        <v>3158</v>
      </c>
      <c r="C443" s="160" t="s">
        <v>2744</v>
      </c>
      <c r="D443" s="160" t="s">
        <v>3159</v>
      </c>
      <c r="E443" s="160" t="s">
        <v>2746</v>
      </c>
      <c r="F443" s="160"/>
    </row>
    <row r="444" spans="1:6" x14ac:dyDescent="0.3">
      <c r="A444" s="174" t="s">
        <v>3170</v>
      </c>
      <c r="B444" s="175" t="s">
        <v>3158</v>
      </c>
      <c r="C444" s="163" t="s">
        <v>2744</v>
      </c>
      <c r="D444" s="163" t="s">
        <v>3159</v>
      </c>
      <c r="E444" s="163" t="s">
        <v>2746</v>
      </c>
      <c r="F444" s="163"/>
    </row>
    <row r="445" spans="1:6" x14ac:dyDescent="0.3">
      <c r="A445" s="172" t="s">
        <v>3171</v>
      </c>
      <c r="B445" s="173" t="s">
        <v>3158</v>
      </c>
      <c r="C445" s="160" t="s">
        <v>2744</v>
      </c>
      <c r="D445" s="160" t="s">
        <v>3159</v>
      </c>
      <c r="E445" s="160" t="s">
        <v>2746</v>
      </c>
      <c r="F445" s="160"/>
    </row>
    <row r="446" spans="1:6" x14ac:dyDescent="0.3">
      <c r="A446" s="174" t="s">
        <v>3172</v>
      </c>
      <c r="B446" s="175" t="s">
        <v>3158</v>
      </c>
      <c r="C446" s="163" t="s">
        <v>2744</v>
      </c>
      <c r="D446" s="163" t="s">
        <v>3159</v>
      </c>
      <c r="E446" s="163" t="s">
        <v>2746</v>
      </c>
      <c r="F446" s="163"/>
    </row>
    <row r="447" spans="1:6" x14ac:dyDescent="0.3">
      <c r="A447" s="172" t="s">
        <v>3173</v>
      </c>
      <c r="B447" s="173" t="s">
        <v>3158</v>
      </c>
      <c r="C447" s="160" t="s">
        <v>2744</v>
      </c>
      <c r="D447" s="160" t="s">
        <v>3159</v>
      </c>
      <c r="E447" s="160" t="s">
        <v>2746</v>
      </c>
      <c r="F447" s="160"/>
    </row>
    <row r="448" spans="1:6" x14ac:dyDescent="0.3">
      <c r="A448" s="174" t="s">
        <v>3174</v>
      </c>
      <c r="B448" s="175" t="s">
        <v>3158</v>
      </c>
      <c r="C448" s="163" t="s">
        <v>2744</v>
      </c>
      <c r="D448" s="163" t="s">
        <v>3159</v>
      </c>
      <c r="E448" s="163" t="s">
        <v>2746</v>
      </c>
      <c r="F448" s="163"/>
    </row>
    <row r="449" spans="1:6" x14ac:dyDescent="0.3">
      <c r="A449" s="172" t="s">
        <v>3175</v>
      </c>
      <c r="B449" s="173" t="s">
        <v>3158</v>
      </c>
      <c r="C449" s="160" t="s">
        <v>2744</v>
      </c>
      <c r="D449" s="160" t="s">
        <v>3176</v>
      </c>
      <c r="E449" s="160" t="s">
        <v>2746</v>
      </c>
      <c r="F449" s="160"/>
    </row>
    <row r="450" spans="1:6" x14ac:dyDescent="0.3">
      <c r="A450" s="174" t="s">
        <v>3177</v>
      </c>
      <c r="B450" s="175" t="s">
        <v>3158</v>
      </c>
      <c r="C450" s="163" t="s">
        <v>2744</v>
      </c>
      <c r="D450" s="163" t="s">
        <v>3176</v>
      </c>
      <c r="E450" s="163" t="s">
        <v>2746</v>
      </c>
      <c r="F450" s="163"/>
    </row>
    <row r="451" spans="1:6" x14ac:dyDescent="0.3">
      <c r="A451" s="172" t="s">
        <v>3178</v>
      </c>
      <c r="B451" s="173" t="s">
        <v>3158</v>
      </c>
      <c r="C451" s="160" t="s">
        <v>2744</v>
      </c>
      <c r="D451" s="160" t="s">
        <v>3176</v>
      </c>
      <c r="E451" s="160" t="s">
        <v>2746</v>
      </c>
      <c r="F451" s="160"/>
    </row>
    <row r="452" spans="1:6" x14ac:dyDescent="0.3">
      <c r="A452" s="174" t="s">
        <v>3179</v>
      </c>
      <c r="B452" s="175" t="s">
        <v>3158</v>
      </c>
      <c r="C452" s="163" t="s">
        <v>2744</v>
      </c>
      <c r="D452" s="163" t="s">
        <v>3176</v>
      </c>
      <c r="E452" s="163" t="s">
        <v>2746</v>
      </c>
      <c r="F452" s="163"/>
    </row>
    <row r="453" spans="1:6" x14ac:dyDescent="0.3">
      <c r="A453" s="172" t="s">
        <v>3180</v>
      </c>
      <c r="B453" s="173" t="s">
        <v>3158</v>
      </c>
      <c r="C453" s="160" t="s">
        <v>2744</v>
      </c>
      <c r="D453" s="160" t="s">
        <v>3176</v>
      </c>
      <c r="E453" s="160" t="s">
        <v>2746</v>
      </c>
      <c r="F453" s="160"/>
    </row>
    <row r="454" spans="1:6" x14ac:dyDescent="0.3">
      <c r="A454" s="174" t="s">
        <v>3181</v>
      </c>
      <c r="B454" s="175" t="s">
        <v>3158</v>
      </c>
      <c r="C454" s="163" t="s">
        <v>2744</v>
      </c>
      <c r="D454" s="163" t="s">
        <v>3176</v>
      </c>
      <c r="E454" s="163" t="s">
        <v>2746</v>
      </c>
      <c r="F454" s="163"/>
    </row>
    <row r="455" spans="1:6" x14ac:dyDescent="0.3">
      <c r="A455" s="172" t="s">
        <v>3182</v>
      </c>
      <c r="B455" s="173" t="s">
        <v>3158</v>
      </c>
      <c r="C455" s="160" t="s">
        <v>2744</v>
      </c>
      <c r="D455" s="160" t="s">
        <v>3159</v>
      </c>
      <c r="E455" s="160" t="s">
        <v>2746</v>
      </c>
      <c r="F455" s="160"/>
    </row>
    <row r="456" spans="1:6" x14ac:dyDescent="0.3">
      <c r="A456" s="174" t="s">
        <v>3183</v>
      </c>
      <c r="B456" s="175" t="s">
        <v>3158</v>
      </c>
      <c r="C456" s="163" t="s">
        <v>2744</v>
      </c>
      <c r="D456" s="163" t="s">
        <v>3159</v>
      </c>
      <c r="E456" s="163" t="s">
        <v>2746</v>
      </c>
      <c r="F456" s="163"/>
    </row>
    <row r="457" spans="1:6" x14ac:dyDescent="0.3">
      <c r="A457" s="172" t="s">
        <v>3184</v>
      </c>
      <c r="B457" s="173" t="s">
        <v>3158</v>
      </c>
      <c r="C457" s="160" t="s">
        <v>2744</v>
      </c>
      <c r="D457" s="160" t="s">
        <v>3159</v>
      </c>
      <c r="E457" s="160" t="s">
        <v>2746</v>
      </c>
      <c r="F457" s="160"/>
    </row>
    <row r="458" spans="1:6" x14ac:dyDescent="0.3">
      <c r="A458" s="174" t="s">
        <v>3185</v>
      </c>
      <c r="B458" s="175" t="s">
        <v>3158</v>
      </c>
      <c r="C458" s="163" t="s">
        <v>2744</v>
      </c>
      <c r="D458" s="163" t="s">
        <v>3159</v>
      </c>
      <c r="E458" s="163" t="s">
        <v>2746</v>
      </c>
      <c r="F458" s="163"/>
    </row>
    <row r="459" spans="1:6" x14ac:dyDescent="0.3">
      <c r="A459" s="172" t="s">
        <v>3186</v>
      </c>
      <c r="B459" s="173" t="s">
        <v>3158</v>
      </c>
      <c r="C459" s="160" t="s">
        <v>2744</v>
      </c>
      <c r="D459" s="160" t="s">
        <v>3159</v>
      </c>
      <c r="E459" s="160" t="s">
        <v>2746</v>
      </c>
      <c r="F459" s="160"/>
    </row>
    <row r="460" spans="1:6" x14ac:dyDescent="0.3">
      <c r="A460" s="174" t="s">
        <v>3187</v>
      </c>
      <c r="B460" s="175" t="s">
        <v>3158</v>
      </c>
      <c r="C460" s="163" t="s">
        <v>2744</v>
      </c>
      <c r="D460" s="163" t="s">
        <v>3159</v>
      </c>
      <c r="E460" s="163" t="s">
        <v>2746</v>
      </c>
      <c r="F460" s="163"/>
    </row>
    <row r="461" spans="1:6" x14ac:dyDescent="0.3">
      <c r="A461" s="172" t="s">
        <v>3188</v>
      </c>
      <c r="B461" s="173" t="s">
        <v>3158</v>
      </c>
      <c r="C461" s="160" t="s">
        <v>2744</v>
      </c>
      <c r="D461" s="160" t="s">
        <v>3159</v>
      </c>
      <c r="E461" s="160" t="s">
        <v>2746</v>
      </c>
      <c r="F461" s="160"/>
    </row>
    <row r="462" spans="1:6" x14ac:dyDescent="0.3">
      <c r="A462" s="174" t="s">
        <v>3189</v>
      </c>
      <c r="B462" s="175" t="s">
        <v>3158</v>
      </c>
      <c r="C462" s="163" t="s">
        <v>2744</v>
      </c>
      <c r="D462" s="163" t="s">
        <v>3159</v>
      </c>
      <c r="E462" s="163" t="s">
        <v>2746</v>
      </c>
      <c r="F462" s="163"/>
    </row>
    <row r="463" spans="1:6" x14ac:dyDescent="0.3">
      <c r="A463" s="172" t="s">
        <v>3190</v>
      </c>
      <c r="B463" s="173" t="s">
        <v>3158</v>
      </c>
      <c r="C463" s="160" t="s">
        <v>2744</v>
      </c>
      <c r="D463" s="160" t="s">
        <v>3159</v>
      </c>
      <c r="E463" s="160" t="s">
        <v>2746</v>
      </c>
      <c r="F463" s="160"/>
    </row>
    <row r="464" spans="1:6" x14ac:dyDescent="0.3">
      <c r="A464" s="174" t="s">
        <v>3191</v>
      </c>
      <c r="B464" s="175" t="s">
        <v>3158</v>
      </c>
      <c r="C464" s="163" t="s">
        <v>2744</v>
      </c>
      <c r="D464" s="163" t="s">
        <v>3159</v>
      </c>
      <c r="E464" s="163" t="s">
        <v>2746</v>
      </c>
      <c r="F464" s="163"/>
    </row>
    <row r="465" spans="1:6" x14ac:dyDescent="0.3">
      <c r="A465" s="172" t="s">
        <v>3192</v>
      </c>
      <c r="B465" s="173" t="s">
        <v>3158</v>
      </c>
      <c r="C465" s="160" t="s">
        <v>2744</v>
      </c>
      <c r="D465" s="160" t="s">
        <v>3159</v>
      </c>
      <c r="E465" s="160" t="s">
        <v>2746</v>
      </c>
      <c r="F465" s="160"/>
    </row>
    <row r="466" spans="1:6" x14ac:dyDescent="0.3">
      <c r="A466" s="174" t="s">
        <v>3193</v>
      </c>
      <c r="B466" s="175" t="s">
        <v>3158</v>
      </c>
      <c r="C466" s="163" t="s">
        <v>2744</v>
      </c>
      <c r="D466" s="163" t="s">
        <v>3159</v>
      </c>
      <c r="E466" s="163" t="s">
        <v>2746</v>
      </c>
      <c r="F466" s="163"/>
    </row>
    <row r="467" spans="1:6" x14ac:dyDescent="0.3">
      <c r="A467" s="172" t="s">
        <v>3194</v>
      </c>
      <c r="B467" s="173" t="s">
        <v>3158</v>
      </c>
      <c r="C467" s="160" t="s">
        <v>2744</v>
      </c>
      <c r="D467" s="160" t="s">
        <v>3159</v>
      </c>
      <c r="E467" s="160" t="s">
        <v>2746</v>
      </c>
      <c r="F467" s="160"/>
    </row>
    <row r="468" spans="1:6" x14ac:dyDescent="0.3">
      <c r="A468" s="174" t="s">
        <v>3195</v>
      </c>
      <c r="B468" s="175" t="s">
        <v>3158</v>
      </c>
      <c r="C468" s="163" t="s">
        <v>2744</v>
      </c>
      <c r="D468" s="163" t="s">
        <v>3159</v>
      </c>
      <c r="E468" s="163" t="s">
        <v>2746</v>
      </c>
      <c r="F468" s="163"/>
    </row>
    <row r="469" spans="1:6" x14ac:dyDescent="0.3">
      <c r="A469" s="172" t="s">
        <v>3196</v>
      </c>
      <c r="B469" s="173" t="s">
        <v>3158</v>
      </c>
      <c r="C469" s="160" t="s">
        <v>2744</v>
      </c>
      <c r="D469" s="160" t="s">
        <v>3159</v>
      </c>
      <c r="E469" s="160" t="s">
        <v>2746</v>
      </c>
      <c r="F469" s="160"/>
    </row>
    <row r="470" spans="1:6" x14ac:dyDescent="0.3">
      <c r="A470" s="174" t="s">
        <v>3197</v>
      </c>
      <c r="B470" s="175" t="s">
        <v>3158</v>
      </c>
      <c r="C470" s="163" t="s">
        <v>2796</v>
      </c>
      <c r="D470" s="163" t="s">
        <v>3198</v>
      </c>
      <c r="E470" s="163" t="s">
        <v>2746</v>
      </c>
      <c r="F470" s="163"/>
    </row>
    <row r="471" spans="1:6" x14ac:dyDescent="0.3">
      <c r="A471" s="172" t="s">
        <v>3199</v>
      </c>
      <c r="B471" s="173" t="s">
        <v>3158</v>
      </c>
      <c r="C471" s="160" t="s">
        <v>2796</v>
      </c>
      <c r="D471" s="160" t="s">
        <v>3198</v>
      </c>
      <c r="E471" s="160" t="s">
        <v>2746</v>
      </c>
      <c r="F471" s="160"/>
    </row>
    <row r="472" spans="1:6" x14ac:dyDescent="0.3">
      <c r="A472" s="174" t="s">
        <v>3200</v>
      </c>
      <c r="B472" s="175" t="s">
        <v>3158</v>
      </c>
      <c r="C472" s="163" t="s">
        <v>2796</v>
      </c>
      <c r="D472" s="163" t="s">
        <v>3198</v>
      </c>
      <c r="E472" s="163" t="s">
        <v>2746</v>
      </c>
      <c r="F472" s="163"/>
    </row>
    <row r="473" spans="1:6" x14ac:dyDescent="0.3">
      <c r="A473" s="172" t="s">
        <v>3201</v>
      </c>
      <c r="B473" s="173" t="s">
        <v>3158</v>
      </c>
      <c r="C473" s="160" t="s">
        <v>2796</v>
      </c>
      <c r="D473" s="160" t="s">
        <v>3198</v>
      </c>
      <c r="E473" s="160" t="s">
        <v>2746</v>
      </c>
      <c r="F473" s="160"/>
    </row>
    <row r="474" spans="1:6" x14ac:dyDescent="0.3">
      <c r="A474" s="174" t="s">
        <v>3202</v>
      </c>
      <c r="B474" s="175" t="s">
        <v>3158</v>
      </c>
      <c r="C474" s="163" t="s">
        <v>2796</v>
      </c>
      <c r="D474" s="163" t="s">
        <v>3198</v>
      </c>
      <c r="E474" s="163" t="s">
        <v>2746</v>
      </c>
      <c r="F474" s="163"/>
    </row>
    <row r="475" spans="1:6" x14ac:dyDescent="0.3">
      <c r="A475" s="172" t="s">
        <v>3203</v>
      </c>
      <c r="B475" s="173" t="s">
        <v>3158</v>
      </c>
      <c r="C475" s="160" t="s">
        <v>2796</v>
      </c>
      <c r="D475" s="160" t="s">
        <v>3198</v>
      </c>
      <c r="E475" s="160" t="s">
        <v>2746</v>
      </c>
      <c r="F475" s="160"/>
    </row>
    <row r="476" spans="1:6" x14ac:dyDescent="0.3">
      <c r="A476" s="174" t="s">
        <v>2916</v>
      </c>
      <c r="B476" s="175" t="s">
        <v>3158</v>
      </c>
      <c r="C476" s="163" t="s">
        <v>2796</v>
      </c>
      <c r="D476" s="163" t="s">
        <v>3198</v>
      </c>
      <c r="E476" s="163" t="s">
        <v>2746</v>
      </c>
      <c r="F476" s="163"/>
    </row>
    <row r="477" spans="1:6" x14ac:dyDescent="0.3">
      <c r="A477" s="172" t="s">
        <v>3204</v>
      </c>
      <c r="B477" s="173" t="s">
        <v>3158</v>
      </c>
      <c r="C477" s="160" t="s">
        <v>2796</v>
      </c>
      <c r="D477" s="160" t="s">
        <v>3198</v>
      </c>
      <c r="E477" s="160" t="s">
        <v>2746</v>
      </c>
      <c r="F477" s="160"/>
    </row>
    <row r="478" spans="1:6" x14ac:dyDescent="0.3">
      <c r="A478" s="174" t="s">
        <v>3205</v>
      </c>
      <c r="B478" s="175" t="s">
        <v>3158</v>
      </c>
      <c r="C478" s="163" t="s">
        <v>2796</v>
      </c>
      <c r="D478" s="163" t="s">
        <v>3198</v>
      </c>
      <c r="E478" s="163" t="s">
        <v>2746</v>
      </c>
      <c r="F478" s="163"/>
    </row>
    <row r="479" spans="1:6" x14ac:dyDescent="0.3">
      <c r="A479" s="172" t="s">
        <v>3206</v>
      </c>
      <c r="B479" s="173" t="s">
        <v>3158</v>
      </c>
      <c r="C479" s="160" t="s">
        <v>2796</v>
      </c>
      <c r="D479" s="160" t="s">
        <v>3198</v>
      </c>
      <c r="E479" s="160" t="s">
        <v>2746</v>
      </c>
      <c r="F479" s="160"/>
    </row>
    <row r="480" spans="1:6" x14ac:dyDescent="0.3">
      <c r="A480" s="174" t="s">
        <v>3207</v>
      </c>
      <c r="B480" s="175" t="s">
        <v>3158</v>
      </c>
      <c r="C480" s="163" t="s">
        <v>2796</v>
      </c>
      <c r="D480" s="163" t="s">
        <v>3198</v>
      </c>
      <c r="E480" s="163" t="s">
        <v>2746</v>
      </c>
      <c r="F480" s="163"/>
    </row>
    <row r="481" spans="1:6" x14ac:dyDescent="0.3">
      <c r="A481" s="172" t="s">
        <v>3208</v>
      </c>
      <c r="B481" s="173" t="s">
        <v>3158</v>
      </c>
      <c r="C481" s="160" t="s">
        <v>2796</v>
      </c>
      <c r="D481" s="160" t="s">
        <v>3198</v>
      </c>
      <c r="E481" s="160" t="s">
        <v>2746</v>
      </c>
      <c r="F481" s="160"/>
    </row>
    <row r="482" spans="1:6" x14ac:dyDescent="0.3">
      <c r="A482" s="174" t="s">
        <v>3209</v>
      </c>
      <c r="B482" s="175" t="s">
        <v>3158</v>
      </c>
      <c r="C482" s="163" t="s">
        <v>2796</v>
      </c>
      <c r="D482" s="163" t="s">
        <v>3198</v>
      </c>
      <c r="E482" s="163" t="s">
        <v>2746</v>
      </c>
      <c r="F482" s="163"/>
    </row>
    <row r="483" spans="1:6" x14ac:dyDescent="0.3">
      <c r="A483" s="172" t="s">
        <v>3210</v>
      </c>
      <c r="B483" s="173" t="s">
        <v>3158</v>
      </c>
      <c r="C483" s="160" t="s">
        <v>2796</v>
      </c>
      <c r="D483" s="160" t="s">
        <v>3198</v>
      </c>
      <c r="E483" s="160" t="s">
        <v>2746</v>
      </c>
      <c r="F483" s="160"/>
    </row>
    <row r="484" spans="1:6" x14ac:dyDescent="0.3">
      <c r="A484" s="174" t="s">
        <v>3211</v>
      </c>
      <c r="B484" s="175" t="s">
        <v>3158</v>
      </c>
      <c r="C484" s="163" t="s">
        <v>2796</v>
      </c>
      <c r="D484" s="163" t="s">
        <v>3198</v>
      </c>
      <c r="E484" s="163" t="s">
        <v>2746</v>
      </c>
      <c r="F484" s="163"/>
    </row>
    <row r="485" spans="1:6" x14ac:dyDescent="0.3">
      <c r="A485" s="172" t="s">
        <v>3212</v>
      </c>
      <c r="B485" s="173" t="s">
        <v>3158</v>
      </c>
      <c r="C485" s="160" t="s">
        <v>2796</v>
      </c>
      <c r="D485" s="160" t="s">
        <v>3198</v>
      </c>
      <c r="E485" s="160" t="s">
        <v>2746</v>
      </c>
      <c r="F485" s="160"/>
    </row>
    <row r="486" spans="1:6" x14ac:dyDescent="0.3">
      <c r="A486" s="174" t="s">
        <v>3213</v>
      </c>
      <c r="B486" s="175" t="s">
        <v>3158</v>
      </c>
      <c r="C486" s="163" t="s">
        <v>2796</v>
      </c>
      <c r="D486" s="163" t="s">
        <v>3198</v>
      </c>
      <c r="E486" s="163" t="s">
        <v>2746</v>
      </c>
      <c r="F486" s="163"/>
    </row>
    <row r="487" spans="1:6" x14ac:dyDescent="0.3">
      <c r="A487" s="172" t="s">
        <v>3214</v>
      </c>
      <c r="B487" s="173" t="s">
        <v>3158</v>
      </c>
      <c r="C487" s="160" t="s">
        <v>2828</v>
      </c>
      <c r="D487" s="160" t="s">
        <v>3215</v>
      </c>
      <c r="E487" s="160" t="s">
        <v>2746</v>
      </c>
      <c r="F487" s="160"/>
    </row>
    <row r="488" spans="1:6" x14ac:dyDescent="0.3">
      <c r="A488" s="174" t="s">
        <v>3216</v>
      </c>
      <c r="B488" s="175" t="s">
        <v>3158</v>
      </c>
      <c r="C488" s="163" t="s">
        <v>2828</v>
      </c>
      <c r="D488" s="163" t="s">
        <v>3215</v>
      </c>
      <c r="E488" s="163" t="s">
        <v>2746</v>
      </c>
      <c r="F488" s="163"/>
    </row>
    <row r="489" spans="1:6" x14ac:dyDescent="0.3">
      <c r="A489" s="172" t="s">
        <v>3217</v>
      </c>
      <c r="B489" s="173" t="s">
        <v>3158</v>
      </c>
      <c r="C489" s="160" t="s">
        <v>2828</v>
      </c>
      <c r="D489" s="160" t="s">
        <v>3215</v>
      </c>
      <c r="E489" s="160" t="s">
        <v>2746</v>
      </c>
      <c r="F489" s="160"/>
    </row>
    <row r="490" spans="1:6" x14ac:dyDescent="0.3">
      <c r="A490" s="174" t="s">
        <v>3218</v>
      </c>
      <c r="B490" s="175" t="s">
        <v>3158</v>
      </c>
      <c r="C490" s="163" t="s">
        <v>2828</v>
      </c>
      <c r="D490" s="163" t="s">
        <v>3215</v>
      </c>
      <c r="E490" s="163" t="s">
        <v>2746</v>
      </c>
      <c r="F490" s="163"/>
    </row>
    <row r="491" spans="1:6" x14ac:dyDescent="0.3">
      <c r="A491" s="172" t="s">
        <v>3219</v>
      </c>
      <c r="B491" s="173" t="s">
        <v>3158</v>
      </c>
      <c r="C491" s="160" t="s">
        <v>2828</v>
      </c>
      <c r="D491" s="160" t="s">
        <v>3215</v>
      </c>
      <c r="E491" s="160" t="s">
        <v>2746</v>
      </c>
      <c r="F491" s="160"/>
    </row>
    <row r="492" spans="1:6" x14ac:dyDescent="0.3">
      <c r="A492" s="174" t="s">
        <v>3220</v>
      </c>
      <c r="B492" s="175" t="s">
        <v>3158</v>
      </c>
      <c r="C492" s="163" t="s">
        <v>2828</v>
      </c>
      <c r="D492" s="163" t="s">
        <v>3215</v>
      </c>
      <c r="E492" s="163" t="s">
        <v>2746</v>
      </c>
      <c r="F492" s="163"/>
    </row>
    <row r="493" spans="1:6" x14ac:dyDescent="0.3">
      <c r="A493" s="172" t="s">
        <v>3221</v>
      </c>
      <c r="B493" s="173" t="s">
        <v>3158</v>
      </c>
      <c r="C493" s="160" t="s">
        <v>2828</v>
      </c>
      <c r="D493" s="160" t="s">
        <v>3215</v>
      </c>
      <c r="E493" s="160" t="s">
        <v>2746</v>
      </c>
      <c r="F493" s="160"/>
    </row>
    <row r="494" spans="1:6" x14ac:dyDescent="0.3">
      <c r="A494" s="174" t="s">
        <v>3222</v>
      </c>
      <c r="B494" s="175" t="s">
        <v>3158</v>
      </c>
      <c r="C494" s="163" t="s">
        <v>2828</v>
      </c>
      <c r="D494" s="163" t="s">
        <v>3215</v>
      </c>
      <c r="E494" s="163" t="s">
        <v>2746</v>
      </c>
      <c r="F494" s="163"/>
    </row>
    <row r="495" spans="1:6" x14ac:dyDescent="0.3">
      <c r="A495" s="172" t="s">
        <v>3223</v>
      </c>
      <c r="B495" s="173" t="s">
        <v>3158</v>
      </c>
      <c r="C495" s="160" t="s">
        <v>2828</v>
      </c>
      <c r="D495" s="160" t="s">
        <v>3215</v>
      </c>
      <c r="E495" s="160" t="s">
        <v>2746</v>
      </c>
      <c r="F495" s="160"/>
    </row>
    <row r="496" spans="1:6" x14ac:dyDescent="0.3">
      <c r="A496" s="174" t="s">
        <v>1106</v>
      </c>
      <c r="B496" s="175" t="s">
        <v>3158</v>
      </c>
      <c r="C496" s="163" t="s">
        <v>2828</v>
      </c>
      <c r="D496" s="163" t="s">
        <v>3215</v>
      </c>
      <c r="E496" s="163" t="s">
        <v>2746</v>
      </c>
      <c r="F496" s="163"/>
    </row>
    <row r="497" spans="1:6" x14ac:dyDescent="0.3">
      <c r="A497" s="172" t="s">
        <v>3224</v>
      </c>
      <c r="B497" s="173" t="s">
        <v>3158</v>
      </c>
      <c r="C497" s="160" t="s">
        <v>2828</v>
      </c>
      <c r="D497" s="160" t="s">
        <v>3215</v>
      </c>
      <c r="E497" s="160" t="s">
        <v>2746</v>
      </c>
      <c r="F497" s="160"/>
    </row>
    <row r="498" spans="1:6" x14ac:dyDescent="0.3">
      <c r="A498" s="174" t="s">
        <v>3225</v>
      </c>
      <c r="B498" s="175" t="s">
        <v>3158</v>
      </c>
      <c r="C498" s="163" t="s">
        <v>2828</v>
      </c>
      <c r="D498" s="163" t="s">
        <v>3215</v>
      </c>
      <c r="E498" s="163" t="s">
        <v>2746</v>
      </c>
      <c r="F498" s="163"/>
    </row>
    <row r="499" spans="1:6" x14ac:dyDescent="0.3">
      <c r="A499" s="172" t="s">
        <v>3226</v>
      </c>
      <c r="B499" s="173" t="s">
        <v>3158</v>
      </c>
      <c r="C499" s="160" t="s">
        <v>2828</v>
      </c>
      <c r="D499" s="160" t="s">
        <v>3215</v>
      </c>
      <c r="E499" s="160" t="s">
        <v>2746</v>
      </c>
      <c r="F499" s="160"/>
    </row>
    <row r="500" spans="1:6" x14ac:dyDescent="0.3">
      <c r="A500" s="174" t="s">
        <v>3227</v>
      </c>
      <c r="B500" s="175" t="s">
        <v>3158</v>
      </c>
      <c r="C500" s="163" t="s">
        <v>2828</v>
      </c>
      <c r="D500" s="163" t="s">
        <v>3215</v>
      </c>
      <c r="E500" s="163" t="s">
        <v>2746</v>
      </c>
      <c r="F500" s="163"/>
    </row>
    <row r="501" spans="1:6" x14ac:dyDescent="0.3">
      <c r="A501" s="172" t="s">
        <v>3228</v>
      </c>
      <c r="B501" s="173" t="s">
        <v>3158</v>
      </c>
      <c r="C501" s="160" t="s">
        <v>2828</v>
      </c>
      <c r="D501" s="160" t="s">
        <v>3215</v>
      </c>
      <c r="E501" s="160" t="s">
        <v>2746</v>
      </c>
      <c r="F501" s="160"/>
    </row>
    <row r="502" spans="1:6" x14ac:dyDescent="0.3">
      <c r="A502" s="174" t="s">
        <v>3229</v>
      </c>
      <c r="B502" s="175" t="s">
        <v>3158</v>
      </c>
      <c r="C502" s="163" t="s">
        <v>2828</v>
      </c>
      <c r="D502" s="163" t="s">
        <v>3215</v>
      </c>
      <c r="E502" s="163" t="s">
        <v>2746</v>
      </c>
      <c r="F502" s="163"/>
    </row>
    <row r="503" spans="1:6" x14ac:dyDescent="0.3">
      <c r="A503" s="172" t="s">
        <v>3230</v>
      </c>
      <c r="B503" s="173" t="s">
        <v>3158</v>
      </c>
      <c r="C503" s="160" t="s">
        <v>2828</v>
      </c>
      <c r="D503" s="160" t="s">
        <v>3215</v>
      </c>
      <c r="E503" s="160" t="s">
        <v>2746</v>
      </c>
      <c r="F503" s="160"/>
    </row>
    <row r="504" spans="1:6" x14ac:dyDescent="0.3">
      <c r="A504" s="174" t="s">
        <v>3231</v>
      </c>
      <c r="B504" s="175" t="s">
        <v>3158</v>
      </c>
      <c r="C504" s="163" t="s">
        <v>2828</v>
      </c>
      <c r="D504" s="163" t="s">
        <v>3215</v>
      </c>
      <c r="E504" s="163" t="s">
        <v>2746</v>
      </c>
      <c r="F504" s="163"/>
    </row>
    <row r="505" spans="1:6" x14ac:dyDescent="0.3">
      <c r="A505" s="172" t="s">
        <v>3232</v>
      </c>
      <c r="B505" s="173" t="s">
        <v>3158</v>
      </c>
      <c r="C505" s="160" t="s">
        <v>2828</v>
      </c>
      <c r="D505" s="160" t="s">
        <v>3215</v>
      </c>
      <c r="E505" s="160" t="s">
        <v>2746</v>
      </c>
      <c r="F505" s="160"/>
    </row>
    <row r="506" spans="1:6" x14ac:dyDescent="0.3">
      <c r="A506" s="174" t="s">
        <v>3233</v>
      </c>
      <c r="B506" s="175" t="s">
        <v>3158</v>
      </c>
      <c r="C506" s="163" t="s">
        <v>2828</v>
      </c>
      <c r="D506" s="163" t="s">
        <v>3215</v>
      </c>
      <c r="E506" s="163" t="s">
        <v>2746</v>
      </c>
      <c r="F506" s="163"/>
    </row>
    <row r="507" spans="1:6" x14ac:dyDescent="0.3">
      <c r="A507" s="172" t="s">
        <v>3234</v>
      </c>
      <c r="B507" s="173" t="s">
        <v>3158</v>
      </c>
      <c r="C507" s="160" t="s">
        <v>2828</v>
      </c>
      <c r="D507" s="160" t="s">
        <v>3215</v>
      </c>
      <c r="E507" s="160" t="s">
        <v>2746</v>
      </c>
      <c r="F507" s="160"/>
    </row>
    <row r="508" spans="1:6" x14ac:dyDescent="0.3">
      <c r="A508" s="174" t="s">
        <v>3235</v>
      </c>
      <c r="B508" s="175" t="s">
        <v>3158</v>
      </c>
      <c r="C508" s="163" t="s">
        <v>2828</v>
      </c>
      <c r="D508" s="163" t="s">
        <v>3215</v>
      </c>
      <c r="E508" s="163" t="s">
        <v>2746</v>
      </c>
      <c r="F508" s="163"/>
    </row>
    <row r="509" spans="1:6" x14ac:dyDescent="0.3">
      <c r="A509" s="172" t="s">
        <v>3236</v>
      </c>
      <c r="B509" s="173" t="s">
        <v>3158</v>
      </c>
      <c r="C509" s="160" t="s">
        <v>2828</v>
      </c>
      <c r="D509" s="160" t="s">
        <v>3215</v>
      </c>
      <c r="E509" s="160" t="s">
        <v>2746</v>
      </c>
      <c r="F509" s="160"/>
    </row>
    <row r="510" spans="1:6" x14ac:dyDescent="0.3">
      <c r="A510" s="174" t="s">
        <v>3237</v>
      </c>
      <c r="B510" s="175" t="s">
        <v>3158</v>
      </c>
      <c r="C510" s="163" t="s">
        <v>2828</v>
      </c>
      <c r="D510" s="163" t="s">
        <v>3215</v>
      </c>
      <c r="E510" s="163" t="s">
        <v>2746</v>
      </c>
      <c r="F510" s="163"/>
    </row>
    <row r="511" spans="1:6" x14ac:dyDescent="0.3">
      <c r="A511" s="172" t="s">
        <v>3238</v>
      </c>
      <c r="B511" s="173" t="s">
        <v>3158</v>
      </c>
      <c r="C511" s="160" t="s">
        <v>2828</v>
      </c>
      <c r="D511" s="160" t="s">
        <v>3215</v>
      </c>
      <c r="E511" s="160" t="s">
        <v>2746</v>
      </c>
      <c r="F511" s="160"/>
    </row>
    <row r="512" spans="1:6" x14ac:dyDescent="0.3">
      <c r="A512" s="174" t="s">
        <v>3239</v>
      </c>
      <c r="B512" s="175" t="s">
        <v>3158</v>
      </c>
      <c r="C512" s="163" t="s">
        <v>2828</v>
      </c>
      <c r="D512" s="163" t="s">
        <v>3215</v>
      </c>
      <c r="E512" s="163" t="s">
        <v>2746</v>
      </c>
      <c r="F512" s="163"/>
    </row>
    <row r="513" spans="1:6" x14ac:dyDescent="0.3">
      <c r="A513" s="172" t="s">
        <v>3240</v>
      </c>
      <c r="B513" s="173" t="s">
        <v>3158</v>
      </c>
      <c r="C513" s="160" t="s">
        <v>2828</v>
      </c>
      <c r="D513" s="160" t="s">
        <v>3215</v>
      </c>
      <c r="E513" s="160" t="s">
        <v>2746</v>
      </c>
      <c r="F513" s="160"/>
    </row>
    <row r="514" spans="1:6" x14ac:dyDescent="0.3">
      <c r="A514" s="174" t="s">
        <v>3241</v>
      </c>
      <c r="B514" s="175" t="s">
        <v>3158</v>
      </c>
      <c r="C514" s="163" t="s">
        <v>2828</v>
      </c>
      <c r="D514" s="163" t="s">
        <v>3215</v>
      </c>
      <c r="E514" s="163" t="s">
        <v>2746</v>
      </c>
      <c r="F514" s="163"/>
    </row>
    <row r="515" spans="1:6" x14ac:dyDescent="0.3">
      <c r="A515" s="172" t="s">
        <v>3242</v>
      </c>
      <c r="B515" s="173" t="s">
        <v>3158</v>
      </c>
      <c r="C515" s="160" t="s">
        <v>2828</v>
      </c>
      <c r="D515" s="160" t="s">
        <v>3215</v>
      </c>
      <c r="E515" s="160" t="s">
        <v>2746</v>
      </c>
      <c r="F515" s="160"/>
    </row>
    <row r="516" spans="1:6" x14ac:dyDescent="0.3">
      <c r="A516" s="176" t="s">
        <v>3243</v>
      </c>
      <c r="B516" s="177" t="s">
        <v>3244</v>
      </c>
      <c r="C516" s="163" t="s">
        <v>2744</v>
      </c>
      <c r="D516" s="163" t="s">
        <v>2704</v>
      </c>
      <c r="E516" s="163" t="s">
        <v>2746</v>
      </c>
      <c r="F516" s="163"/>
    </row>
    <row r="517" spans="1:6" x14ac:dyDescent="0.3">
      <c r="A517" s="178" t="s">
        <v>3245</v>
      </c>
      <c r="B517" s="179" t="s">
        <v>3244</v>
      </c>
      <c r="C517" s="160" t="s">
        <v>2744</v>
      </c>
      <c r="D517" s="160" t="s">
        <v>2704</v>
      </c>
      <c r="E517" s="160" t="s">
        <v>2746</v>
      </c>
      <c r="F517" s="160"/>
    </row>
    <row r="518" spans="1:6" x14ac:dyDescent="0.3">
      <c r="A518" s="176" t="s">
        <v>3246</v>
      </c>
      <c r="B518" s="177" t="s">
        <v>3244</v>
      </c>
      <c r="C518" s="163" t="s">
        <v>2744</v>
      </c>
      <c r="D518" s="163" t="s">
        <v>2704</v>
      </c>
      <c r="E518" s="163" t="s">
        <v>2746</v>
      </c>
      <c r="F518" s="163"/>
    </row>
    <row r="519" spans="1:6" x14ac:dyDescent="0.3">
      <c r="A519" s="178" t="s">
        <v>3247</v>
      </c>
      <c r="B519" s="179" t="s">
        <v>3244</v>
      </c>
      <c r="C519" s="160" t="s">
        <v>2744</v>
      </c>
      <c r="D519" s="160" t="s">
        <v>2704</v>
      </c>
      <c r="E519" s="160" t="s">
        <v>2746</v>
      </c>
      <c r="F519" s="160"/>
    </row>
    <row r="520" spans="1:6" x14ac:dyDescent="0.3">
      <c r="A520" s="176" t="s">
        <v>3248</v>
      </c>
      <c r="B520" s="177" t="s">
        <v>3244</v>
      </c>
      <c r="C520" s="163" t="s">
        <v>2744</v>
      </c>
      <c r="D520" s="163" t="s">
        <v>2704</v>
      </c>
      <c r="E520" s="163" t="s">
        <v>2746</v>
      </c>
      <c r="F520" s="163"/>
    </row>
    <row r="521" spans="1:6" x14ac:dyDescent="0.3">
      <c r="A521" s="178" t="s">
        <v>3249</v>
      </c>
      <c r="B521" s="179" t="s">
        <v>3244</v>
      </c>
      <c r="C521" s="160" t="s">
        <v>2744</v>
      </c>
      <c r="D521" s="160" t="s">
        <v>2704</v>
      </c>
      <c r="E521" s="160" t="s">
        <v>2746</v>
      </c>
      <c r="F521" s="160"/>
    </row>
    <row r="522" spans="1:6" x14ac:dyDescent="0.3">
      <c r="A522" s="176" t="s">
        <v>3250</v>
      </c>
      <c r="B522" s="177" t="s">
        <v>3244</v>
      </c>
      <c r="C522" s="163" t="s">
        <v>2744</v>
      </c>
      <c r="D522" s="163" t="s">
        <v>2704</v>
      </c>
      <c r="E522" s="163" t="s">
        <v>2746</v>
      </c>
      <c r="F522" s="163"/>
    </row>
    <row r="523" spans="1:6" x14ac:dyDescent="0.3">
      <c r="A523" s="178" t="s">
        <v>3251</v>
      </c>
      <c r="B523" s="179" t="s">
        <v>3244</v>
      </c>
      <c r="C523" s="160" t="s">
        <v>2744</v>
      </c>
      <c r="D523" s="160" t="s">
        <v>2704</v>
      </c>
      <c r="E523" s="160" t="s">
        <v>2746</v>
      </c>
      <c r="F523" s="160"/>
    </row>
    <row r="524" spans="1:6" x14ac:dyDescent="0.3">
      <c r="A524" s="176" t="s">
        <v>2706</v>
      </c>
      <c r="B524" s="177" t="s">
        <v>3244</v>
      </c>
      <c r="C524" s="163" t="s">
        <v>2744</v>
      </c>
      <c r="D524" s="163" t="s">
        <v>2704</v>
      </c>
      <c r="E524" s="163" t="s">
        <v>2746</v>
      </c>
      <c r="F524" s="163"/>
    </row>
    <row r="525" spans="1:6" x14ac:dyDescent="0.3">
      <c r="A525" s="178" t="s">
        <v>3252</v>
      </c>
      <c r="B525" s="179" t="s">
        <v>3244</v>
      </c>
      <c r="C525" s="160" t="s">
        <v>2744</v>
      </c>
      <c r="D525" s="160" t="s">
        <v>2704</v>
      </c>
      <c r="E525" s="160" t="s">
        <v>2746</v>
      </c>
      <c r="F525" s="160"/>
    </row>
    <row r="526" spans="1:6" x14ac:dyDescent="0.3">
      <c r="A526" s="176" t="s">
        <v>3253</v>
      </c>
      <c r="B526" s="177" t="s">
        <v>3244</v>
      </c>
      <c r="C526" s="163" t="s">
        <v>2744</v>
      </c>
      <c r="D526" s="163" t="s">
        <v>2704</v>
      </c>
      <c r="E526" s="163" t="s">
        <v>2746</v>
      </c>
      <c r="F526" s="163"/>
    </row>
    <row r="527" spans="1:6" x14ac:dyDescent="0.3">
      <c r="A527" s="178" t="s">
        <v>3254</v>
      </c>
      <c r="B527" s="179" t="s">
        <v>3244</v>
      </c>
      <c r="C527" s="160" t="s">
        <v>2744</v>
      </c>
      <c r="D527" s="160" t="s">
        <v>2704</v>
      </c>
      <c r="E527" s="160" t="s">
        <v>2746</v>
      </c>
      <c r="F527" s="160"/>
    </row>
    <row r="528" spans="1:6" x14ac:dyDescent="0.3">
      <c r="A528" s="176" t="s">
        <v>3255</v>
      </c>
      <c r="B528" s="177" t="s">
        <v>3244</v>
      </c>
      <c r="C528" s="163" t="s">
        <v>2744</v>
      </c>
      <c r="D528" s="163" t="s">
        <v>2704</v>
      </c>
      <c r="E528" s="163" t="s">
        <v>2746</v>
      </c>
      <c r="F528" s="163"/>
    </row>
    <row r="529" spans="1:6" x14ac:dyDescent="0.3">
      <c r="A529" s="178" t="s">
        <v>3256</v>
      </c>
      <c r="B529" s="179" t="s">
        <v>3244</v>
      </c>
      <c r="C529" s="160" t="s">
        <v>2744</v>
      </c>
      <c r="D529" s="160" t="s">
        <v>2704</v>
      </c>
      <c r="E529" s="160" t="s">
        <v>2746</v>
      </c>
      <c r="F529" s="160"/>
    </row>
    <row r="530" spans="1:6" x14ac:dyDescent="0.3">
      <c r="A530" s="176" t="s">
        <v>3257</v>
      </c>
      <c r="B530" s="177" t="s">
        <v>3244</v>
      </c>
      <c r="C530" s="163" t="s">
        <v>2744</v>
      </c>
      <c r="D530" s="163" t="s">
        <v>2704</v>
      </c>
      <c r="E530" s="163" t="s">
        <v>2746</v>
      </c>
      <c r="F530" s="163"/>
    </row>
    <row r="531" spans="1:6" x14ac:dyDescent="0.3">
      <c r="A531" s="178" t="s">
        <v>1078</v>
      </c>
      <c r="B531" s="179" t="s">
        <v>3244</v>
      </c>
      <c r="C531" s="160" t="s">
        <v>2744</v>
      </c>
      <c r="D531" s="160" t="s">
        <v>2704</v>
      </c>
      <c r="E531" s="160" t="s">
        <v>2746</v>
      </c>
      <c r="F531" s="160"/>
    </row>
    <row r="532" spans="1:6" x14ac:dyDescent="0.3">
      <c r="A532" s="176" t="s">
        <v>3258</v>
      </c>
      <c r="B532" s="177" t="s">
        <v>3244</v>
      </c>
      <c r="C532" s="163" t="s">
        <v>2744</v>
      </c>
      <c r="D532" s="163" t="s">
        <v>2704</v>
      </c>
      <c r="E532" s="163" t="s">
        <v>2746</v>
      </c>
      <c r="F532" s="163"/>
    </row>
    <row r="533" spans="1:6" x14ac:dyDescent="0.3">
      <c r="A533" s="178" t="s">
        <v>3259</v>
      </c>
      <c r="B533" s="179" t="s">
        <v>3244</v>
      </c>
      <c r="C533" s="160" t="s">
        <v>2744</v>
      </c>
      <c r="D533" s="160" t="s">
        <v>2704</v>
      </c>
      <c r="E533" s="160" t="s">
        <v>2746</v>
      </c>
      <c r="F533" s="160"/>
    </row>
    <row r="534" spans="1:6" x14ac:dyDescent="0.3">
      <c r="A534" s="176" t="s">
        <v>3260</v>
      </c>
      <c r="B534" s="177" t="s">
        <v>3244</v>
      </c>
      <c r="C534" s="163" t="s">
        <v>2744</v>
      </c>
      <c r="D534" s="163" t="s">
        <v>2704</v>
      </c>
      <c r="E534" s="163" t="s">
        <v>2746</v>
      </c>
      <c r="F534" s="163"/>
    </row>
    <row r="535" spans="1:6" x14ac:dyDescent="0.3">
      <c r="A535" s="178" t="s">
        <v>3261</v>
      </c>
      <c r="B535" s="179" t="s">
        <v>3244</v>
      </c>
      <c r="C535" s="160" t="s">
        <v>2744</v>
      </c>
      <c r="D535" s="160" t="s">
        <v>2704</v>
      </c>
      <c r="E535" s="160" t="s">
        <v>2746</v>
      </c>
      <c r="F535" s="160"/>
    </row>
    <row r="536" spans="1:6" x14ac:dyDescent="0.3">
      <c r="A536" s="176" t="s">
        <v>3262</v>
      </c>
      <c r="B536" s="177" t="s">
        <v>3244</v>
      </c>
      <c r="C536" s="163" t="s">
        <v>2744</v>
      </c>
      <c r="D536" s="163" t="s">
        <v>2704</v>
      </c>
      <c r="E536" s="163" t="s">
        <v>2746</v>
      </c>
      <c r="F536" s="163"/>
    </row>
    <row r="537" spans="1:6" x14ac:dyDescent="0.3">
      <c r="A537" s="178" t="s">
        <v>3263</v>
      </c>
      <c r="B537" s="179" t="s">
        <v>3244</v>
      </c>
      <c r="C537" s="160" t="s">
        <v>2744</v>
      </c>
      <c r="D537" s="160" t="s">
        <v>2704</v>
      </c>
      <c r="E537" s="160" t="s">
        <v>2746</v>
      </c>
      <c r="F537" s="160"/>
    </row>
    <row r="538" spans="1:6" x14ac:dyDescent="0.3">
      <c r="A538" s="176" t="s">
        <v>3264</v>
      </c>
      <c r="B538" s="177" t="s">
        <v>3244</v>
      </c>
      <c r="C538" s="163" t="s">
        <v>2744</v>
      </c>
      <c r="D538" s="163" t="s">
        <v>2704</v>
      </c>
      <c r="E538" s="163" t="s">
        <v>2746</v>
      </c>
      <c r="F538" s="163"/>
    </row>
    <row r="539" spans="1:6" x14ac:dyDescent="0.3">
      <c r="A539" s="178" t="s">
        <v>3265</v>
      </c>
      <c r="B539" s="179" t="s">
        <v>3244</v>
      </c>
      <c r="C539" s="160" t="s">
        <v>2744</v>
      </c>
      <c r="D539" s="160" t="s">
        <v>2704</v>
      </c>
      <c r="E539" s="160" t="s">
        <v>2746</v>
      </c>
      <c r="F539" s="160"/>
    </row>
    <row r="540" spans="1:6" x14ac:dyDescent="0.3">
      <c r="A540" s="176" t="s">
        <v>3266</v>
      </c>
      <c r="B540" s="177" t="s">
        <v>3244</v>
      </c>
      <c r="C540" s="163" t="s">
        <v>2744</v>
      </c>
      <c r="D540" s="163" t="s">
        <v>2704</v>
      </c>
      <c r="E540" s="163" t="s">
        <v>2746</v>
      </c>
      <c r="F540" s="163"/>
    </row>
    <row r="541" spans="1:6" x14ac:dyDescent="0.3">
      <c r="A541" s="178" t="s">
        <v>3267</v>
      </c>
      <c r="B541" s="179" t="s">
        <v>3244</v>
      </c>
      <c r="C541" s="160" t="s">
        <v>2744</v>
      </c>
      <c r="D541" s="160" t="s">
        <v>2704</v>
      </c>
      <c r="E541" s="160" t="s">
        <v>2746</v>
      </c>
      <c r="F541" s="160"/>
    </row>
    <row r="542" spans="1:6" x14ac:dyDescent="0.3">
      <c r="A542" s="176" t="s">
        <v>3268</v>
      </c>
      <c r="B542" s="177" t="s">
        <v>3244</v>
      </c>
      <c r="C542" s="163" t="s">
        <v>2744</v>
      </c>
      <c r="D542" s="163" t="s">
        <v>2704</v>
      </c>
      <c r="E542" s="163" t="s">
        <v>2746</v>
      </c>
      <c r="F542" s="163"/>
    </row>
    <row r="543" spans="1:6" x14ac:dyDescent="0.3">
      <c r="A543" s="178" t="s">
        <v>3269</v>
      </c>
      <c r="B543" s="179" t="s">
        <v>3244</v>
      </c>
      <c r="C543" s="160" t="s">
        <v>2744</v>
      </c>
      <c r="D543" s="160" t="s">
        <v>2704</v>
      </c>
      <c r="E543" s="160" t="s">
        <v>2746</v>
      </c>
      <c r="F543" s="160"/>
    </row>
    <row r="544" spans="1:6" x14ac:dyDescent="0.3">
      <c r="A544" s="176" t="s">
        <v>3270</v>
      </c>
      <c r="B544" s="177" t="s">
        <v>3244</v>
      </c>
      <c r="C544" s="163" t="s">
        <v>2744</v>
      </c>
      <c r="D544" s="163" t="s">
        <v>2704</v>
      </c>
      <c r="E544" s="163" t="s">
        <v>2746</v>
      </c>
      <c r="F544" s="163"/>
    </row>
    <row r="545" spans="1:6" x14ac:dyDescent="0.3">
      <c r="A545" s="178" t="s">
        <v>3271</v>
      </c>
      <c r="B545" s="179" t="s">
        <v>3244</v>
      </c>
      <c r="C545" s="160" t="s">
        <v>2744</v>
      </c>
      <c r="D545" s="160" t="s">
        <v>2704</v>
      </c>
      <c r="E545" s="160" t="s">
        <v>2746</v>
      </c>
      <c r="F545" s="160"/>
    </row>
    <row r="546" spans="1:6" x14ac:dyDescent="0.3">
      <c r="A546" s="176" t="s">
        <v>2704</v>
      </c>
      <c r="B546" s="177" t="s">
        <v>3244</v>
      </c>
      <c r="C546" s="163" t="s">
        <v>2744</v>
      </c>
      <c r="D546" s="163" t="s">
        <v>2704</v>
      </c>
      <c r="E546" s="163" t="s">
        <v>2746</v>
      </c>
      <c r="F546" s="163"/>
    </row>
    <row r="547" spans="1:6" x14ac:dyDescent="0.3">
      <c r="A547" s="178" t="s">
        <v>3272</v>
      </c>
      <c r="B547" s="179" t="s">
        <v>3244</v>
      </c>
      <c r="C547" s="160" t="s">
        <v>2744</v>
      </c>
      <c r="D547" s="160" t="s">
        <v>2704</v>
      </c>
      <c r="E547" s="160" t="s">
        <v>2746</v>
      </c>
      <c r="F547" s="160"/>
    </row>
    <row r="548" spans="1:6" x14ac:dyDescent="0.3">
      <c r="A548" s="176" t="s">
        <v>3273</v>
      </c>
      <c r="B548" s="177" t="s">
        <v>3244</v>
      </c>
      <c r="C548" s="163" t="s">
        <v>2744</v>
      </c>
      <c r="D548" s="163" t="s">
        <v>2704</v>
      </c>
      <c r="E548" s="163" t="s">
        <v>2746</v>
      </c>
      <c r="F548" s="163"/>
    </row>
    <row r="549" spans="1:6" x14ac:dyDescent="0.3">
      <c r="A549" s="178" t="s">
        <v>3274</v>
      </c>
      <c r="B549" s="179" t="s">
        <v>3244</v>
      </c>
      <c r="C549" s="160" t="s">
        <v>2796</v>
      </c>
      <c r="D549" s="160" t="s">
        <v>3275</v>
      </c>
      <c r="E549" s="160" t="s">
        <v>2746</v>
      </c>
      <c r="F549" s="160"/>
    </row>
    <row r="550" spans="1:6" x14ac:dyDescent="0.3">
      <c r="A550" s="176" t="s">
        <v>3276</v>
      </c>
      <c r="B550" s="177" t="s">
        <v>3244</v>
      </c>
      <c r="C550" s="163" t="s">
        <v>2796</v>
      </c>
      <c r="D550" s="163" t="s">
        <v>3275</v>
      </c>
      <c r="E550" s="163" t="s">
        <v>2746</v>
      </c>
      <c r="F550" s="163"/>
    </row>
    <row r="551" spans="1:6" x14ac:dyDescent="0.3">
      <c r="A551" s="178" t="s">
        <v>3277</v>
      </c>
      <c r="B551" s="179" t="s">
        <v>3244</v>
      </c>
      <c r="C551" s="160" t="s">
        <v>2796</v>
      </c>
      <c r="D551" s="160" t="s">
        <v>3275</v>
      </c>
      <c r="E551" s="160" t="s">
        <v>2746</v>
      </c>
      <c r="F551" s="160"/>
    </row>
    <row r="552" spans="1:6" x14ac:dyDescent="0.3">
      <c r="A552" s="176" t="s">
        <v>3278</v>
      </c>
      <c r="B552" s="177" t="s">
        <v>3244</v>
      </c>
      <c r="C552" s="163" t="s">
        <v>2796</v>
      </c>
      <c r="D552" s="163" t="s">
        <v>3275</v>
      </c>
      <c r="E552" s="163" t="s">
        <v>2746</v>
      </c>
      <c r="F552" s="163"/>
    </row>
    <row r="553" spans="1:6" x14ac:dyDescent="0.3">
      <c r="A553" s="178" t="s">
        <v>3279</v>
      </c>
      <c r="B553" s="179" t="s">
        <v>3244</v>
      </c>
      <c r="C553" s="160" t="s">
        <v>2796</v>
      </c>
      <c r="D553" s="160" t="s">
        <v>3275</v>
      </c>
      <c r="E553" s="160" t="s">
        <v>2746</v>
      </c>
      <c r="F553" s="160"/>
    </row>
    <row r="554" spans="1:6" x14ac:dyDescent="0.3">
      <c r="A554" s="176" t="s">
        <v>3280</v>
      </c>
      <c r="B554" s="177" t="s">
        <v>3244</v>
      </c>
      <c r="C554" s="163" t="s">
        <v>2796</v>
      </c>
      <c r="D554" s="163" t="s">
        <v>3275</v>
      </c>
      <c r="E554" s="163" t="s">
        <v>2746</v>
      </c>
      <c r="F554" s="163"/>
    </row>
    <row r="555" spans="1:6" x14ac:dyDescent="0.3">
      <c r="A555" s="178" t="s">
        <v>3281</v>
      </c>
      <c r="B555" s="179" t="s">
        <v>3244</v>
      </c>
      <c r="C555" s="160" t="s">
        <v>2796</v>
      </c>
      <c r="D555" s="160" t="s">
        <v>3275</v>
      </c>
      <c r="E555" s="160" t="s">
        <v>2746</v>
      </c>
      <c r="F555" s="160"/>
    </row>
    <row r="556" spans="1:6" x14ac:dyDescent="0.3">
      <c r="A556" s="176" t="s">
        <v>3282</v>
      </c>
      <c r="B556" s="177" t="s">
        <v>3244</v>
      </c>
      <c r="C556" s="163" t="s">
        <v>2796</v>
      </c>
      <c r="D556" s="163" t="s">
        <v>3275</v>
      </c>
      <c r="E556" s="163" t="s">
        <v>2746</v>
      </c>
      <c r="F556" s="163"/>
    </row>
    <row r="557" spans="1:6" x14ac:dyDescent="0.3">
      <c r="A557" s="178" t="s">
        <v>3283</v>
      </c>
      <c r="B557" s="179" t="s">
        <v>3244</v>
      </c>
      <c r="C557" s="160" t="s">
        <v>2796</v>
      </c>
      <c r="D557" s="160" t="s">
        <v>3275</v>
      </c>
      <c r="E557" s="160" t="s">
        <v>2746</v>
      </c>
      <c r="F557" s="160"/>
    </row>
    <row r="558" spans="1:6" x14ac:dyDescent="0.3">
      <c r="A558" s="176" t="s">
        <v>3284</v>
      </c>
      <c r="B558" s="177" t="s">
        <v>3244</v>
      </c>
      <c r="C558" s="163" t="s">
        <v>2796</v>
      </c>
      <c r="D558" s="163" t="s">
        <v>3275</v>
      </c>
      <c r="E558" s="163" t="s">
        <v>2746</v>
      </c>
      <c r="F558" s="163"/>
    </row>
    <row r="559" spans="1:6" x14ac:dyDescent="0.3">
      <c r="A559" s="178" t="s">
        <v>3285</v>
      </c>
      <c r="B559" s="179" t="s">
        <v>3244</v>
      </c>
      <c r="C559" s="160" t="s">
        <v>2796</v>
      </c>
      <c r="D559" s="160" t="s">
        <v>3275</v>
      </c>
      <c r="E559" s="160" t="s">
        <v>2746</v>
      </c>
      <c r="F559" s="160"/>
    </row>
    <row r="560" spans="1:6" x14ac:dyDescent="0.3">
      <c r="A560" s="176" t="s">
        <v>3286</v>
      </c>
      <c r="B560" s="177" t="s">
        <v>3244</v>
      </c>
      <c r="C560" s="163" t="s">
        <v>2796</v>
      </c>
      <c r="D560" s="163" t="s">
        <v>3275</v>
      </c>
      <c r="E560" s="163" t="s">
        <v>2746</v>
      </c>
      <c r="F560" s="163"/>
    </row>
    <row r="561" spans="1:6" x14ac:dyDescent="0.3">
      <c r="A561" s="178" t="s">
        <v>3287</v>
      </c>
      <c r="B561" s="179" t="s">
        <v>3244</v>
      </c>
      <c r="C561" s="160" t="s">
        <v>2796</v>
      </c>
      <c r="D561" s="160" t="s">
        <v>3275</v>
      </c>
      <c r="E561" s="160" t="s">
        <v>2746</v>
      </c>
      <c r="F561" s="160"/>
    </row>
    <row r="562" spans="1:6" x14ac:dyDescent="0.3">
      <c r="A562" s="176" t="s">
        <v>3288</v>
      </c>
      <c r="B562" s="177" t="s">
        <v>3244</v>
      </c>
      <c r="C562" s="163" t="s">
        <v>2796</v>
      </c>
      <c r="D562" s="163" t="s">
        <v>3275</v>
      </c>
      <c r="E562" s="163" t="s">
        <v>2746</v>
      </c>
      <c r="F562" s="163"/>
    </row>
    <row r="563" spans="1:6" x14ac:dyDescent="0.3">
      <c r="A563" s="178" t="s">
        <v>3289</v>
      </c>
      <c r="B563" s="179" t="s">
        <v>3244</v>
      </c>
      <c r="C563" s="160" t="s">
        <v>2796</v>
      </c>
      <c r="D563" s="160" t="s">
        <v>3275</v>
      </c>
      <c r="E563" s="160" t="s">
        <v>2746</v>
      </c>
      <c r="F563" s="160"/>
    </row>
    <row r="564" spans="1:6" x14ac:dyDescent="0.3">
      <c r="A564" s="176" t="s">
        <v>3290</v>
      </c>
      <c r="B564" s="177" t="s">
        <v>3244</v>
      </c>
      <c r="C564" s="163" t="s">
        <v>2796</v>
      </c>
      <c r="D564" s="163" t="s">
        <v>3275</v>
      </c>
      <c r="E564" s="163" t="s">
        <v>2746</v>
      </c>
      <c r="F564" s="163"/>
    </row>
    <row r="565" spans="1:6" x14ac:dyDescent="0.3">
      <c r="A565" s="178" t="s">
        <v>3291</v>
      </c>
      <c r="B565" s="179" t="s">
        <v>3244</v>
      </c>
      <c r="C565" s="160" t="s">
        <v>2796</v>
      </c>
      <c r="D565" s="160" t="s">
        <v>3275</v>
      </c>
      <c r="E565" s="160" t="s">
        <v>2746</v>
      </c>
      <c r="F565" s="160"/>
    </row>
    <row r="566" spans="1:6" x14ac:dyDescent="0.3">
      <c r="A566" s="176" t="s">
        <v>3292</v>
      </c>
      <c r="B566" s="177" t="s">
        <v>3244</v>
      </c>
      <c r="C566" s="163" t="s">
        <v>2796</v>
      </c>
      <c r="D566" s="163" t="s">
        <v>3275</v>
      </c>
      <c r="E566" s="163" t="s">
        <v>2746</v>
      </c>
      <c r="F566" s="163"/>
    </row>
    <row r="567" spans="1:6" x14ac:dyDescent="0.3">
      <c r="A567" s="178" t="s">
        <v>3293</v>
      </c>
      <c r="B567" s="179" t="s">
        <v>3244</v>
      </c>
      <c r="C567" s="160" t="s">
        <v>2796</v>
      </c>
      <c r="D567" s="160" t="s">
        <v>3275</v>
      </c>
      <c r="E567" s="160" t="s">
        <v>2746</v>
      </c>
      <c r="F567" s="160"/>
    </row>
    <row r="568" spans="1:6" x14ac:dyDescent="0.3">
      <c r="A568" s="176" t="s">
        <v>3294</v>
      </c>
      <c r="B568" s="177" t="s">
        <v>3244</v>
      </c>
      <c r="C568" s="163" t="s">
        <v>2796</v>
      </c>
      <c r="D568" s="163" t="s">
        <v>3275</v>
      </c>
      <c r="E568" s="163" t="s">
        <v>2746</v>
      </c>
      <c r="F568" s="163"/>
    </row>
    <row r="569" spans="1:6" x14ac:dyDescent="0.3">
      <c r="A569" s="178" t="s">
        <v>3295</v>
      </c>
      <c r="B569" s="179" t="s">
        <v>3244</v>
      </c>
      <c r="C569" s="160" t="s">
        <v>2796</v>
      </c>
      <c r="D569" s="160" t="s">
        <v>3275</v>
      </c>
      <c r="E569" s="160" t="s">
        <v>2746</v>
      </c>
      <c r="F569" s="160"/>
    </row>
    <row r="570" spans="1:6" x14ac:dyDescent="0.3">
      <c r="A570" s="176" t="s">
        <v>3296</v>
      </c>
      <c r="B570" s="177" t="s">
        <v>3244</v>
      </c>
      <c r="C570" s="163" t="s">
        <v>2796</v>
      </c>
      <c r="D570" s="163" t="s">
        <v>3275</v>
      </c>
      <c r="E570" s="163" t="s">
        <v>2746</v>
      </c>
      <c r="F570" s="163"/>
    </row>
    <row r="571" spans="1:6" x14ac:dyDescent="0.3">
      <c r="A571" s="178" t="s">
        <v>3297</v>
      </c>
      <c r="B571" s="179" t="s">
        <v>3244</v>
      </c>
      <c r="C571" s="160" t="s">
        <v>2796</v>
      </c>
      <c r="D571" s="160" t="s">
        <v>3275</v>
      </c>
      <c r="E571" s="160" t="s">
        <v>2746</v>
      </c>
      <c r="F571" s="160"/>
    </row>
    <row r="572" spans="1:6" x14ac:dyDescent="0.3">
      <c r="A572" s="176" t="s">
        <v>3298</v>
      </c>
      <c r="B572" s="177" t="s">
        <v>3244</v>
      </c>
      <c r="C572" s="163" t="s">
        <v>2796</v>
      </c>
      <c r="D572" s="163" t="s">
        <v>3275</v>
      </c>
      <c r="E572" s="163" t="s">
        <v>2746</v>
      </c>
      <c r="F572" s="163"/>
    </row>
    <row r="573" spans="1:6" x14ac:dyDescent="0.3">
      <c r="A573" s="178" t="s">
        <v>3299</v>
      </c>
      <c r="B573" s="179" t="s">
        <v>3244</v>
      </c>
      <c r="C573" s="160" t="s">
        <v>2796</v>
      </c>
      <c r="D573" s="160" t="s">
        <v>3275</v>
      </c>
      <c r="E573" s="160" t="s">
        <v>2746</v>
      </c>
      <c r="F573" s="160"/>
    </row>
    <row r="574" spans="1:6" x14ac:dyDescent="0.3">
      <c r="A574" s="176" t="s">
        <v>3300</v>
      </c>
      <c r="B574" s="177" t="s">
        <v>3244</v>
      </c>
      <c r="C574" s="163" t="s">
        <v>2796</v>
      </c>
      <c r="D574" s="163" t="s">
        <v>3275</v>
      </c>
      <c r="E574" s="163" t="s">
        <v>2746</v>
      </c>
      <c r="F574" s="163"/>
    </row>
    <row r="575" spans="1:6" x14ac:dyDescent="0.3">
      <c r="A575" s="178" t="s">
        <v>3301</v>
      </c>
      <c r="B575" s="179" t="s">
        <v>3244</v>
      </c>
      <c r="C575" s="160" t="s">
        <v>2796</v>
      </c>
      <c r="D575" s="160" t="s">
        <v>3275</v>
      </c>
      <c r="E575" s="160" t="s">
        <v>2746</v>
      </c>
      <c r="F575" s="160"/>
    </row>
    <row r="576" spans="1:6" x14ac:dyDescent="0.3">
      <c r="A576" s="163"/>
      <c r="B576" s="163"/>
      <c r="C576" s="163"/>
      <c r="D576" s="163"/>
      <c r="E576" s="163"/>
      <c r="F576" s="163"/>
    </row>
    <row r="577" spans="1:6" x14ac:dyDescent="0.3">
      <c r="A577" s="180" t="s">
        <v>3302</v>
      </c>
      <c r="B577" s="160"/>
      <c r="C577" s="160"/>
      <c r="D577" s="160"/>
      <c r="E577" s="160"/>
      <c r="F577" s="160"/>
    </row>
    <row r="578" spans="1:6" x14ac:dyDescent="0.3">
      <c r="A578" s="181" t="s">
        <v>3303</v>
      </c>
      <c r="B578" s="182" t="s">
        <v>3304</v>
      </c>
      <c r="C578" s="163"/>
      <c r="D578" s="163" t="s">
        <v>3305</v>
      </c>
      <c r="E578" s="163" t="s">
        <v>2746</v>
      </c>
      <c r="F578" s="163" t="s">
        <v>3306</v>
      </c>
    </row>
    <row r="579" spans="1:6" x14ac:dyDescent="0.3">
      <c r="A579" s="183" t="s">
        <v>2891</v>
      </c>
      <c r="B579" s="184" t="s">
        <v>3304</v>
      </c>
      <c r="C579" s="160"/>
      <c r="D579" s="160" t="s">
        <v>3305</v>
      </c>
      <c r="E579" s="160" t="s">
        <v>2746</v>
      </c>
      <c r="F579" s="160" t="s">
        <v>3306</v>
      </c>
    </row>
    <row r="580" spans="1:6" x14ac:dyDescent="0.3">
      <c r="A580" s="181" t="s">
        <v>2887</v>
      </c>
      <c r="B580" s="182" t="s">
        <v>3304</v>
      </c>
      <c r="C580" s="163"/>
      <c r="D580" s="163" t="s">
        <v>3305</v>
      </c>
      <c r="E580" s="163" t="s">
        <v>2746</v>
      </c>
      <c r="F580" s="163" t="s">
        <v>3306</v>
      </c>
    </row>
    <row r="581" spans="1:6" x14ac:dyDescent="0.3">
      <c r="A581" s="183" t="s">
        <v>2902</v>
      </c>
      <c r="B581" s="184" t="s">
        <v>3304</v>
      </c>
      <c r="C581" s="160"/>
      <c r="D581" s="160" t="s">
        <v>3305</v>
      </c>
      <c r="E581" s="160" t="s">
        <v>2746</v>
      </c>
      <c r="F581" s="160" t="s">
        <v>3306</v>
      </c>
    </row>
    <row r="582" spans="1:6" x14ac:dyDescent="0.3">
      <c r="A582" s="181" t="s">
        <v>2987</v>
      </c>
      <c r="B582" s="182" t="s">
        <v>3304</v>
      </c>
      <c r="C582" s="163"/>
      <c r="D582" s="163" t="s">
        <v>3305</v>
      </c>
      <c r="E582" s="163" t="s">
        <v>2746</v>
      </c>
      <c r="F582" s="163" t="s">
        <v>3306</v>
      </c>
    </row>
    <row r="583" spans="1:6" x14ac:dyDescent="0.3">
      <c r="A583" s="183" t="s">
        <v>2983</v>
      </c>
      <c r="B583" s="184" t="s">
        <v>3304</v>
      </c>
      <c r="C583" s="160"/>
      <c r="D583" s="160" t="s">
        <v>3305</v>
      </c>
      <c r="E583" s="160" t="s">
        <v>2746</v>
      </c>
      <c r="F583" s="160" t="s">
        <v>3306</v>
      </c>
    </row>
    <row r="584" spans="1:6" x14ac:dyDescent="0.3">
      <c r="A584" s="181" t="s">
        <v>3307</v>
      </c>
      <c r="B584" s="182" t="s">
        <v>3304</v>
      </c>
      <c r="C584" s="163"/>
      <c r="D584" s="163" t="s">
        <v>3308</v>
      </c>
      <c r="E584" s="163" t="s">
        <v>2746</v>
      </c>
      <c r="F584" s="163" t="s">
        <v>3306</v>
      </c>
    </row>
    <row r="585" spans="1:6" x14ac:dyDescent="0.3">
      <c r="A585" s="183" t="s">
        <v>3309</v>
      </c>
      <c r="B585" s="184" t="s">
        <v>3304</v>
      </c>
      <c r="C585" s="160"/>
      <c r="D585" s="160" t="s">
        <v>3308</v>
      </c>
      <c r="E585" s="160" t="s">
        <v>2746</v>
      </c>
      <c r="F585" s="160" t="s">
        <v>3306</v>
      </c>
    </row>
    <row r="586" spans="1:6" x14ac:dyDescent="0.3">
      <c r="A586" s="181" t="s">
        <v>3310</v>
      </c>
      <c r="B586" s="182" t="s">
        <v>3304</v>
      </c>
      <c r="C586" s="163"/>
      <c r="D586" s="163" t="s">
        <v>3308</v>
      </c>
      <c r="E586" s="163" t="s">
        <v>2746</v>
      </c>
      <c r="F586" s="163" t="s">
        <v>3306</v>
      </c>
    </row>
    <row r="587" spans="1:6" x14ac:dyDescent="0.3">
      <c r="A587" s="183" t="s">
        <v>3311</v>
      </c>
      <c r="B587" s="184" t="s">
        <v>3304</v>
      </c>
      <c r="C587" s="160"/>
      <c r="D587" s="160" t="s">
        <v>3308</v>
      </c>
      <c r="E587" s="160" t="s">
        <v>2746</v>
      </c>
      <c r="F587" s="160" t="s">
        <v>3306</v>
      </c>
    </row>
    <row r="588" spans="1:6" x14ac:dyDescent="0.3">
      <c r="A588" s="181" t="s">
        <v>3312</v>
      </c>
      <c r="B588" s="182" t="s">
        <v>3304</v>
      </c>
      <c r="C588" s="163"/>
      <c r="D588" s="163" t="s">
        <v>3308</v>
      </c>
      <c r="E588" s="163" t="s">
        <v>2746</v>
      </c>
      <c r="F588" s="163" t="s">
        <v>3306</v>
      </c>
    </row>
    <row r="589" spans="1:6" x14ac:dyDescent="0.3">
      <c r="A589" s="183" t="s">
        <v>3313</v>
      </c>
      <c r="B589" s="184" t="s">
        <v>3304</v>
      </c>
      <c r="C589" s="160"/>
      <c r="D589" s="160" t="s">
        <v>3308</v>
      </c>
      <c r="E589" s="160" t="s">
        <v>2746</v>
      </c>
      <c r="F589" s="160" t="s">
        <v>3306</v>
      </c>
    </row>
    <row r="590" spans="1:6" x14ac:dyDescent="0.3">
      <c r="A590" s="181" t="s">
        <v>3314</v>
      </c>
      <c r="B590" s="182" t="s">
        <v>3304</v>
      </c>
      <c r="C590" s="163"/>
      <c r="D590" s="163" t="s">
        <v>3308</v>
      </c>
      <c r="E590" s="163" t="s">
        <v>2746</v>
      </c>
      <c r="F590" s="163" t="s">
        <v>3306</v>
      </c>
    </row>
    <row r="591" spans="1:6" x14ac:dyDescent="0.3">
      <c r="A591" s="183" t="s">
        <v>3315</v>
      </c>
      <c r="B591" s="184" t="s">
        <v>3304</v>
      </c>
      <c r="C591" s="160"/>
      <c r="D591" s="160" t="s">
        <v>3308</v>
      </c>
      <c r="E591" s="160" t="s">
        <v>2746</v>
      </c>
      <c r="F591" s="160" t="s">
        <v>3306</v>
      </c>
    </row>
    <row r="592" spans="1:6" x14ac:dyDescent="0.3">
      <c r="A592" s="181" t="s">
        <v>3316</v>
      </c>
      <c r="B592" s="182" t="s">
        <v>3304</v>
      </c>
      <c r="C592" s="163"/>
      <c r="D592" s="163" t="s">
        <v>3317</v>
      </c>
      <c r="E592" s="163" t="s">
        <v>2746</v>
      </c>
      <c r="F592" s="163" t="s">
        <v>3306</v>
      </c>
    </row>
    <row r="593" spans="1:6" x14ac:dyDescent="0.3">
      <c r="A593" s="183" t="s">
        <v>3318</v>
      </c>
      <c r="B593" s="184" t="s">
        <v>3304</v>
      </c>
      <c r="C593" s="160"/>
      <c r="D593" s="160" t="s">
        <v>3319</v>
      </c>
      <c r="E593" s="160" t="s">
        <v>2746</v>
      </c>
      <c r="F593" s="160" t="s">
        <v>3306</v>
      </c>
    </row>
    <row r="594" spans="1:6" x14ac:dyDescent="0.3">
      <c r="A594" s="181" t="s">
        <v>3320</v>
      </c>
      <c r="B594" s="182" t="s">
        <v>3304</v>
      </c>
      <c r="C594" s="163"/>
      <c r="D594" s="163" t="s">
        <v>3319</v>
      </c>
      <c r="E594" s="163" t="s">
        <v>2746</v>
      </c>
      <c r="F594" s="163" t="s">
        <v>3306</v>
      </c>
    </row>
    <row r="595" spans="1:6" x14ac:dyDescent="0.3">
      <c r="A595" s="183" t="s">
        <v>3321</v>
      </c>
      <c r="B595" s="184" t="s">
        <v>3304</v>
      </c>
      <c r="C595" s="160"/>
      <c r="D595" s="160" t="s">
        <v>3322</v>
      </c>
      <c r="E595" s="160" t="s">
        <v>2746</v>
      </c>
      <c r="F595" s="160" t="s">
        <v>3306</v>
      </c>
    </row>
    <row r="596" spans="1:6" x14ac:dyDescent="0.3">
      <c r="A596" s="181" t="s">
        <v>3323</v>
      </c>
      <c r="B596" s="182" t="s">
        <v>3304</v>
      </c>
      <c r="C596" s="163"/>
      <c r="D596" s="163" t="s">
        <v>3322</v>
      </c>
      <c r="E596" s="163" t="s">
        <v>2746</v>
      </c>
      <c r="F596" s="163" t="s">
        <v>3306</v>
      </c>
    </row>
    <row r="597" spans="1:6" x14ac:dyDescent="0.3">
      <c r="A597" s="183" t="s">
        <v>3324</v>
      </c>
      <c r="B597" s="184" t="s">
        <v>3304</v>
      </c>
      <c r="C597" s="160"/>
      <c r="D597" s="160" t="s">
        <v>3322</v>
      </c>
      <c r="E597" s="160" t="s">
        <v>2746</v>
      </c>
      <c r="F597" s="160" t="s">
        <v>3306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workbookViewId="0"/>
  </sheetViews>
  <sheetFormatPr defaultRowHeight="14.4" x14ac:dyDescent="0.3"/>
  <cols>
    <col min="1" max="1" width="29" customWidth="1"/>
    <col min="2" max="2" width="13" customWidth="1"/>
    <col min="3" max="3" width="48" customWidth="1"/>
  </cols>
  <sheetData>
    <row r="1" spans="1:3" x14ac:dyDescent="0.3">
      <c r="A1" t="s">
        <v>1657</v>
      </c>
      <c r="B1" t="s">
        <v>1</v>
      </c>
      <c r="C1" t="s">
        <v>2</v>
      </c>
    </row>
    <row r="2" spans="1:3" x14ac:dyDescent="0.3">
      <c r="A2" t="s">
        <v>3</v>
      </c>
      <c r="B2" t="s">
        <v>4</v>
      </c>
      <c r="C2" t="s">
        <v>5</v>
      </c>
    </row>
    <row r="3" spans="1:3" x14ac:dyDescent="0.3">
      <c r="A3" t="s">
        <v>6</v>
      </c>
      <c r="B3" t="s">
        <v>7</v>
      </c>
      <c r="C3" t="s">
        <v>8</v>
      </c>
    </row>
    <row r="4" spans="1:3" x14ac:dyDescent="0.3">
      <c r="A4" t="s">
        <v>9</v>
      </c>
      <c r="B4" t="s">
        <v>7</v>
      </c>
      <c r="C4" t="s">
        <v>8</v>
      </c>
    </row>
    <row r="5" spans="1:3" x14ac:dyDescent="0.3">
      <c r="A5" t="s">
        <v>10</v>
      </c>
      <c r="B5" t="s">
        <v>11</v>
      </c>
      <c r="C5" t="s">
        <v>8</v>
      </c>
    </row>
    <row r="6" spans="1:3" x14ac:dyDescent="0.3">
      <c r="A6" t="s">
        <v>12</v>
      </c>
      <c r="B6" t="s">
        <v>11</v>
      </c>
      <c r="C6" t="s">
        <v>8</v>
      </c>
    </row>
    <row r="7" spans="1:3" x14ac:dyDescent="0.3">
      <c r="A7" t="s">
        <v>13</v>
      </c>
      <c r="B7" t="s">
        <v>11</v>
      </c>
      <c r="C7" t="s">
        <v>8</v>
      </c>
    </row>
    <row r="8" spans="1:3" x14ac:dyDescent="0.3">
      <c r="A8" t="s">
        <v>14</v>
      </c>
      <c r="B8" t="s">
        <v>11</v>
      </c>
      <c r="C8" t="s">
        <v>8</v>
      </c>
    </row>
    <row r="9" spans="1:3" x14ac:dyDescent="0.3">
      <c r="A9" t="s">
        <v>15</v>
      </c>
      <c r="B9" t="s">
        <v>7</v>
      </c>
      <c r="C9" t="s">
        <v>8</v>
      </c>
    </row>
    <row r="10" spans="1:3" x14ac:dyDescent="0.3">
      <c r="A10" t="s">
        <v>16</v>
      </c>
      <c r="B10" t="s">
        <v>11</v>
      </c>
      <c r="C10" t="s">
        <v>8</v>
      </c>
    </row>
    <row r="11" spans="1:3" x14ac:dyDescent="0.3">
      <c r="A11" t="s">
        <v>17</v>
      </c>
      <c r="B11" t="s">
        <v>11</v>
      </c>
      <c r="C11" t="s">
        <v>8</v>
      </c>
    </row>
    <row r="12" spans="1:3" x14ac:dyDescent="0.3">
      <c r="A12" t="s">
        <v>18</v>
      </c>
      <c r="B12" t="s">
        <v>11</v>
      </c>
      <c r="C12" t="s">
        <v>8</v>
      </c>
    </row>
    <row r="13" spans="1:3" x14ac:dyDescent="0.3">
      <c r="A13" t="s">
        <v>19</v>
      </c>
      <c r="B13" t="s">
        <v>11</v>
      </c>
      <c r="C13" t="s">
        <v>8</v>
      </c>
    </row>
    <row r="14" spans="1:3" x14ac:dyDescent="0.3">
      <c r="A14" t="s">
        <v>20</v>
      </c>
      <c r="B14" t="s">
        <v>11</v>
      </c>
      <c r="C14" t="s">
        <v>8</v>
      </c>
    </row>
    <row r="15" spans="1:3" x14ac:dyDescent="0.3">
      <c r="A15" t="s">
        <v>21</v>
      </c>
      <c r="B15" t="s">
        <v>11</v>
      </c>
      <c r="C15" t="s">
        <v>8</v>
      </c>
    </row>
    <row r="16" spans="1:3" x14ac:dyDescent="0.3">
      <c r="A16" t="s">
        <v>22</v>
      </c>
      <c r="B16" t="s">
        <v>11</v>
      </c>
      <c r="C16" t="s">
        <v>8</v>
      </c>
    </row>
    <row r="17" spans="1:3" x14ac:dyDescent="0.3">
      <c r="A17" t="s">
        <v>23</v>
      </c>
      <c r="B17" t="s">
        <v>11</v>
      </c>
      <c r="C17" t="s">
        <v>8</v>
      </c>
    </row>
    <row r="18" spans="1:3" x14ac:dyDescent="0.3">
      <c r="A18" t="s">
        <v>24</v>
      </c>
      <c r="B18" t="s">
        <v>11</v>
      </c>
      <c r="C18" t="s">
        <v>8</v>
      </c>
    </row>
    <row r="19" spans="1:3" x14ac:dyDescent="0.3">
      <c r="A19" t="s">
        <v>25</v>
      </c>
      <c r="B19" t="s">
        <v>11</v>
      </c>
      <c r="C19" t="s">
        <v>8</v>
      </c>
    </row>
    <row r="20" spans="1:3" x14ac:dyDescent="0.3">
      <c r="A20" t="s">
        <v>26</v>
      </c>
      <c r="B20" t="s">
        <v>11</v>
      </c>
      <c r="C20" t="s">
        <v>8</v>
      </c>
    </row>
    <row r="21" spans="1:3" x14ac:dyDescent="0.3">
      <c r="A21" t="s">
        <v>27</v>
      </c>
      <c r="B21" t="s">
        <v>11</v>
      </c>
      <c r="C21" t="s">
        <v>8</v>
      </c>
    </row>
    <row r="22" spans="1:3" x14ac:dyDescent="0.3">
      <c r="A22" t="s">
        <v>28</v>
      </c>
      <c r="B22" t="s">
        <v>11</v>
      </c>
      <c r="C22" t="s">
        <v>8</v>
      </c>
    </row>
    <row r="23" spans="1:3" x14ac:dyDescent="0.3">
      <c r="A23" t="s">
        <v>29</v>
      </c>
      <c r="B23" t="s">
        <v>11</v>
      </c>
      <c r="C23" t="s">
        <v>8</v>
      </c>
    </row>
    <row r="24" spans="1:3" x14ac:dyDescent="0.3">
      <c r="A24" t="s">
        <v>30</v>
      </c>
      <c r="B24" t="s">
        <v>11</v>
      </c>
      <c r="C24"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29D7F-8C3D-4342-BC7A-6C2900575466}">
  <dimension ref="A1:H230"/>
  <sheetViews>
    <sheetView tabSelected="1" workbookViewId="0">
      <pane ySplit="13" topLeftCell="A14" activePane="bottomLeft" state="frozen"/>
      <selection pane="bottomLeft"/>
    </sheetView>
  </sheetViews>
  <sheetFormatPr defaultRowHeight="14.4" x14ac:dyDescent="0.3"/>
  <cols>
    <col min="1" max="1" width="5.5546875" customWidth="1"/>
    <col min="2" max="2" width="59.21875" customWidth="1"/>
    <col min="3" max="3" width="8.33203125" customWidth="1"/>
    <col min="4" max="4" width="10.21875" customWidth="1"/>
    <col min="5" max="5" width="9.21875" customWidth="1"/>
    <col min="6" max="6" width="27.77734375" customWidth="1"/>
    <col min="7" max="7" width="10.21875" customWidth="1"/>
    <col min="8" max="8" width="48.109375" customWidth="1"/>
  </cols>
  <sheetData>
    <row r="1" spans="1:8" ht="18" x14ac:dyDescent="0.35">
      <c r="A1" s="111" t="s">
        <v>3420</v>
      </c>
    </row>
    <row r="2" spans="1:8" x14ac:dyDescent="0.3">
      <c r="A2" s="197" t="s">
        <v>3421</v>
      </c>
    </row>
    <row r="4" spans="1:8" x14ac:dyDescent="0.3">
      <c r="A4" s="198" t="s">
        <v>3422</v>
      </c>
      <c r="E4" s="198" t="s">
        <v>3445</v>
      </c>
    </row>
    <row r="5" spans="1:8" x14ac:dyDescent="0.3">
      <c r="A5" t="s">
        <v>3423</v>
      </c>
      <c r="B5" s="199" t="s">
        <v>1630</v>
      </c>
      <c r="C5" t="s">
        <v>3424</v>
      </c>
      <c r="E5" t="s">
        <v>3446</v>
      </c>
      <c r="F5" s="112">
        <f>COUNT(A14:A213)</f>
        <v>0</v>
      </c>
    </row>
    <row r="6" spans="1:8" x14ac:dyDescent="0.3">
      <c r="A6" t="s">
        <v>3425</v>
      </c>
      <c r="B6" s="199" t="s">
        <v>3426</v>
      </c>
      <c r="C6" t="s">
        <v>3442</v>
      </c>
      <c r="E6" t="s">
        <v>3447</v>
      </c>
      <c r="F6" s="201">
        <f>SUM(E14:E213)</f>
        <v>0</v>
      </c>
    </row>
    <row r="7" spans="1:8" x14ac:dyDescent="0.3">
      <c r="A7" t="s">
        <v>3427</v>
      </c>
      <c r="B7" s="199" t="s">
        <v>3428</v>
      </c>
      <c r="C7" t="s">
        <v>3443</v>
      </c>
      <c r="E7" t="s">
        <v>3448</v>
      </c>
      <c r="F7" s="202">
        <f>IFERROR(F6/F5,0)</f>
        <v>0</v>
      </c>
    </row>
    <row r="8" spans="1:8" x14ac:dyDescent="0.3">
      <c r="A8" t="s">
        <v>3429</v>
      </c>
      <c r="B8" s="199" t="s">
        <v>3430</v>
      </c>
      <c r="C8" t="s">
        <v>3444</v>
      </c>
      <c r="E8" t="s">
        <v>3449</v>
      </c>
      <c r="F8" s="112" t="str">
        <f>COUNTIF(G14:G213,"PASS")&amp;" / "&amp;COUNTIF(G14:G213,"WARN")&amp;" / "&amp;COUNTIF(G14:G213,"FAIL")</f>
        <v>0 / 0 / 0</v>
      </c>
    </row>
    <row r="9" spans="1:8" x14ac:dyDescent="0.3">
      <c r="A9" t="s">
        <v>3431</v>
      </c>
      <c r="B9" s="200">
        <v>3</v>
      </c>
      <c r="C9" t="s">
        <v>3432</v>
      </c>
      <c r="E9" t="s">
        <v>3433</v>
      </c>
      <c r="F9" s="200">
        <v>6</v>
      </c>
    </row>
    <row r="10" spans="1:8" x14ac:dyDescent="0.3">
      <c r="A10" s="112" t="s">
        <v>3434</v>
      </c>
      <c r="B10" s="123"/>
    </row>
    <row r="12" spans="1:8" x14ac:dyDescent="0.3">
      <c r="A12" s="198" t="s">
        <v>3435</v>
      </c>
    </row>
    <row r="13" spans="1:8" x14ac:dyDescent="0.3">
      <c r="A13" s="126" t="s">
        <v>38</v>
      </c>
      <c r="B13" s="126" t="s">
        <v>3436</v>
      </c>
      <c r="C13" s="126" t="s">
        <v>3437</v>
      </c>
      <c r="D13" s="126" t="s">
        <v>3438</v>
      </c>
      <c r="E13" s="126" t="s">
        <v>597</v>
      </c>
      <c r="F13" s="126" t="s">
        <v>3439</v>
      </c>
      <c r="G13" s="126" t="s">
        <v>3440</v>
      </c>
      <c r="H13" s="126" t="s">
        <v>3441</v>
      </c>
    </row>
    <row r="14" spans="1:8" x14ac:dyDescent="0.3">
      <c r="A14" t="str">
        <f>IF(B14="","",ROW()-13)</f>
        <v/>
      </c>
      <c r="B14" t="str" cm="1">
        <f t="array" ref="B14">IFERROR(_xlfn.LET(_xlpm.s,$B$10,_xlpm.norm,SUBSTITUTE(SUBSTITUTE(_xlpm.s,"!","."),"?","."),_xlpm.parts,_xlfn.TEXTSPLIT(_xlpm.norm,,".",TRUE),TRIM(INDEX(_xlpm.parts,ROW()-13))),"")</f>
        <v/>
      </c>
      <c r="C14" t="str">
        <f>IF(B14="","",IF(TRIM(B14)="",0,LEN(TRIM(B14))-LEN(SUBSTITUTE(TRIM(B14)," ",""))+1))</f>
        <v/>
      </c>
      <c r="D14" t="str" cm="1">
        <f t="array" ref="D14">IF(B14="","",SUMPRODUCT(--ISNUMBER(SEARCH(" "&amp;SEMANTIC_BUCKETS!$A$2:$A$348&amp;" "," "&amp;B14&amp;" "))))</f>
        <v/>
      </c>
      <c r="E14" t="str" cm="1">
        <f t="array" ref="E14">IF(B14="","",SUMPRODUCT(--ISNUMBER(SEARCH(" "&amp;SEMANTIC_BUCKETS!$A$2:$A$348&amp;" "," "&amp;B14&amp;" ")),SEMANTIC_BUCKETS!$E$2:$E$348))</f>
        <v/>
      </c>
      <c r="F14" t="str" cm="1">
        <f t="array" ref="F14">IF(OR(B14="",D14=0),"",INDEX(SEMANTIC_BUCKETS!$B$2:$B$348,MATCH(TRUE,ISNUMBER(SEARCH(" "&amp;SEMANTIC_BUCKETS!$A$2:$A$348&amp;" "," "&amp;B14&amp;" ")),0)))</f>
        <v/>
      </c>
      <c r="G14" t="str">
        <f>IF(B14="","",IF(E14&gt;=$F$9,"FAIL",IF(E14&gt;=$B$9,"WARN","PASS")))</f>
        <v/>
      </c>
      <c r="H14" t="str" cm="1">
        <f t="array" ref="H14">IF(OR(B14="",D14=0),"",_xlfn.TEXTJOIN(", ",TRUE,IF(ISNUMBER(SEARCH(" "&amp;SEMANTIC_BUCKETS!$A$2:$A$348&amp;" "," "&amp;B14&amp;" ")),SEMANTIC_BUCKETS!$A$2:$A$348,"")))</f>
        <v/>
      </c>
    </row>
    <row r="15" spans="1:8" x14ac:dyDescent="0.3">
      <c r="A15" t="str">
        <f t="shared" ref="A15:A78" si="0">IF(B15="","",ROW()-13)</f>
        <v/>
      </c>
      <c r="B15" t="str" cm="1">
        <f t="array" ref="B15">IFERROR(_xlfn.LET(_xlpm.s,$B$10,_xlpm.norm,SUBSTITUTE(SUBSTITUTE(_xlpm.s,"!","."),"?","."),_xlpm.parts,_xlfn.TEXTSPLIT(_xlpm.norm,,".",TRUE),TRIM(INDEX(_xlpm.parts,ROW()-13))),"")</f>
        <v/>
      </c>
      <c r="C15" t="str">
        <f t="shared" ref="C15:C78" si="1">IF(B15="","",IF(TRIM(B15)="",0,LEN(TRIM(B15))-LEN(SUBSTITUTE(TRIM(B15)," ",""))+1))</f>
        <v/>
      </c>
      <c r="D15" t="str" cm="1">
        <f t="array" ref="D15">IF(B15="","",SUMPRODUCT(--ISNUMBER(SEARCH(" "&amp;SEMANTIC_BUCKETS!$A$2:$A$348&amp;" "," "&amp;B15&amp;" "))))</f>
        <v/>
      </c>
      <c r="E15" t="str" cm="1">
        <f t="array" ref="E15">IF(B15="","",SUMPRODUCT(--ISNUMBER(SEARCH(" "&amp;SEMANTIC_BUCKETS!$A$2:$A$348&amp;" "," "&amp;B15&amp;" ")),SEMANTIC_BUCKETS!$E$2:$E$348))</f>
        <v/>
      </c>
      <c r="F15" t="str" cm="1">
        <f t="array" ref="F15">IF(OR(B15="",D15=0),"",INDEX(SEMANTIC_BUCKETS!$B$2:$B$348,MATCH(TRUE,ISNUMBER(SEARCH(" "&amp;SEMANTIC_BUCKETS!$A$2:$A$348&amp;" "," "&amp;B15&amp;" ")),0)))</f>
        <v/>
      </c>
      <c r="G15" t="str">
        <f t="shared" ref="G15:G78" si="2">IF(B15="","",IF(E15&gt;=$F$9,"FAIL",IF(E15&gt;=$B$9,"WARN","PASS")))</f>
        <v/>
      </c>
      <c r="H15" t="str" cm="1">
        <f t="array" ref="H15">IF(OR(B15="",D15=0),"",_xlfn.TEXTJOIN(", ",TRUE,IF(ISNUMBER(SEARCH(" "&amp;SEMANTIC_BUCKETS!$A$2:$A$348&amp;" "," "&amp;B15&amp;" ")),SEMANTIC_BUCKETS!$A$2:$A$348,"")))</f>
        <v/>
      </c>
    </row>
    <row r="16" spans="1:8" x14ac:dyDescent="0.3">
      <c r="A16" t="str">
        <f t="shared" si="0"/>
        <v/>
      </c>
      <c r="B16" t="str" cm="1">
        <f t="array" ref="B16">IFERROR(_xlfn.LET(_xlpm.s,$B$10,_xlpm.norm,SUBSTITUTE(SUBSTITUTE(_xlpm.s,"!","."),"?","."),_xlpm.parts,_xlfn.TEXTSPLIT(_xlpm.norm,,".",TRUE),TRIM(INDEX(_xlpm.parts,ROW()-13))),"")</f>
        <v/>
      </c>
      <c r="C16" t="str">
        <f t="shared" si="1"/>
        <v/>
      </c>
      <c r="D16" t="str" cm="1">
        <f t="array" ref="D16">IF(B16="","",SUMPRODUCT(--ISNUMBER(SEARCH(" "&amp;SEMANTIC_BUCKETS!$A$2:$A$348&amp;" "," "&amp;B16&amp;" "))))</f>
        <v/>
      </c>
      <c r="E16" t="str" cm="1">
        <f t="array" ref="E16">IF(B16="","",SUMPRODUCT(--ISNUMBER(SEARCH(" "&amp;SEMANTIC_BUCKETS!$A$2:$A$348&amp;" "," "&amp;B16&amp;" ")),SEMANTIC_BUCKETS!$E$2:$E$348))</f>
        <v/>
      </c>
      <c r="F16" t="str" cm="1">
        <f t="array" ref="F16">IF(OR(B16="",D16=0),"",INDEX(SEMANTIC_BUCKETS!$B$2:$B$348,MATCH(TRUE,ISNUMBER(SEARCH(" "&amp;SEMANTIC_BUCKETS!$A$2:$A$348&amp;" "," "&amp;B16&amp;" ")),0)))</f>
        <v/>
      </c>
      <c r="G16" t="str">
        <f t="shared" si="2"/>
        <v/>
      </c>
      <c r="H16" t="str" cm="1">
        <f t="array" ref="H16">IF(OR(B16="",D16=0),"",_xlfn.TEXTJOIN(", ",TRUE,IF(ISNUMBER(SEARCH(" "&amp;SEMANTIC_BUCKETS!$A$2:$A$348&amp;" "," "&amp;B16&amp;" ")),SEMANTIC_BUCKETS!$A$2:$A$348,"")))</f>
        <v/>
      </c>
    </row>
    <row r="17" spans="1:8" x14ac:dyDescent="0.3">
      <c r="A17" t="str">
        <f t="shared" si="0"/>
        <v/>
      </c>
      <c r="B17" t="str" cm="1">
        <f t="array" ref="B17">IFERROR(_xlfn.LET(_xlpm.s,$B$10,_xlpm.norm,SUBSTITUTE(SUBSTITUTE(_xlpm.s,"!","."),"?","."),_xlpm.parts,_xlfn.TEXTSPLIT(_xlpm.norm,,".",TRUE),TRIM(INDEX(_xlpm.parts,ROW()-13))),"")</f>
        <v/>
      </c>
      <c r="C17" t="str">
        <f t="shared" si="1"/>
        <v/>
      </c>
      <c r="D17" t="str" cm="1">
        <f t="array" ref="D17">IF(B17="","",SUMPRODUCT(--ISNUMBER(SEARCH(" "&amp;SEMANTIC_BUCKETS!$A$2:$A$348&amp;" "," "&amp;B17&amp;" "))))</f>
        <v/>
      </c>
      <c r="E17" t="str" cm="1">
        <f t="array" ref="E17">IF(B17="","",SUMPRODUCT(--ISNUMBER(SEARCH(" "&amp;SEMANTIC_BUCKETS!$A$2:$A$348&amp;" "," "&amp;B17&amp;" ")),SEMANTIC_BUCKETS!$E$2:$E$348))</f>
        <v/>
      </c>
      <c r="F17" t="str" cm="1">
        <f t="array" ref="F17">IF(OR(B17="",D17=0),"",INDEX(SEMANTIC_BUCKETS!$B$2:$B$348,MATCH(TRUE,ISNUMBER(SEARCH(" "&amp;SEMANTIC_BUCKETS!$A$2:$A$348&amp;" "," "&amp;B17&amp;" ")),0)))</f>
        <v/>
      </c>
      <c r="G17" t="str">
        <f t="shared" si="2"/>
        <v/>
      </c>
      <c r="H17" t="str" cm="1">
        <f t="array" ref="H17">IF(OR(B17="",D17=0),"",_xlfn.TEXTJOIN(", ",TRUE,IF(ISNUMBER(SEARCH(" "&amp;SEMANTIC_BUCKETS!$A$2:$A$348&amp;" "," "&amp;B17&amp;" ")),SEMANTIC_BUCKETS!$A$2:$A$348,"")))</f>
        <v/>
      </c>
    </row>
    <row r="18" spans="1:8" x14ac:dyDescent="0.3">
      <c r="A18" t="str">
        <f t="shared" si="0"/>
        <v/>
      </c>
      <c r="B18" t="str" cm="1">
        <f t="array" ref="B18">IFERROR(_xlfn.LET(_xlpm.s,$B$10,_xlpm.norm,SUBSTITUTE(SUBSTITUTE(_xlpm.s,"!","."),"?","."),_xlpm.parts,_xlfn.TEXTSPLIT(_xlpm.norm,,".",TRUE),TRIM(INDEX(_xlpm.parts,ROW()-13))),"")</f>
        <v/>
      </c>
      <c r="C18" t="str">
        <f t="shared" si="1"/>
        <v/>
      </c>
      <c r="D18" t="str" cm="1">
        <f t="array" ref="D18">IF(B18="","",SUMPRODUCT(--ISNUMBER(SEARCH(" "&amp;SEMANTIC_BUCKETS!$A$2:$A$348&amp;" "," "&amp;B18&amp;" "))))</f>
        <v/>
      </c>
      <c r="E18" t="str" cm="1">
        <f t="array" ref="E18">IF(B18="","",SUMPRODUCT(--ISNUMBER(SEARCH(" "&amp;SEMANTIC_BUCKETS!$A$2:$A$348&amp;" "," "&amp;B18&amp;" ")),SEMANTIC_BUCKETS!$E$2:$E$348))</f>
        <v/>
      </c>
      <c r="F18" t="str" cm="1">
        <f t="array" ref="F18">IF(OR(B18="",D18=0),"",INDEX(SEMANTIC_BUCKETS!$B$2:$B$348,MATCH(TRUE,ISNUMBER(SEARCH(" "&amp;SEMANTIC_BUCKETS!$A$2:$A$348&amp;" "," "&amp;B18&amp;" ")),0)))</f>
        <v/>
      </c>
      <c r="G18" t="str">
        <f t="shared" si="2"/>
        <v/>
      </c>
      <c r="H18" t="str" cm="1">
        <f t="array" ref="H18">IF(OR(B18="",D18=0),"",_xlfn.TEXTJOIN(", ",TRUE,IF(ISNUMBER(SEARCH(" "&amp;SEMANTIC_BUCKETS!$A$2:$A$348&amp;" "," "&amp;B18&amp;" ")),SEMANTIC_BUCKETS!$A$2:$A$348,"")))</f>
        <v/>
      </c>
    </row>
    <row r="19" spans="1:8" x14ac:dyDescent="0.3">
      <c r="A19" t="str">
        <f t="shared" si="0"/>
        <v/>
      </c>
      <c r="B19" t="str" cm="1">
        <f t="array" ref="B19">IFERROR(_xlfn.LET(_xlpm.s,$B$10,_xlpm.norm,SUBSTITUTE(SUBSTITUTE(_xlpm.s,"!","."),"?","."),_xlpm.parts,_xlfn.TEXTSPLIT(_xlpm.norm,,".",TRUE),TRIM(INDEX(_xlpm.parts,ROW()-13))),"")</f>
        <v/>
      </c>
      <c r="C19" t="str">
        <f t="shared" si="1"/>
        <v/>
      </c>
      <c r="D19" t="str" cm="1">
        <f t="array" ref="D19">IF(B19="","",SUMPRODUCT(--ISNUMBER(SEARCH(" "&amp;SEMANTIC_BUCKETS!$A$2:$A$348&amp;" "," "&amp;B19&amp;" "))))</f>
        <v/>
      </c>
      <c r="E19" t="str" cm="1">
        <f t="array" ref="E19">IF(B19="","",SUMPRODUCT(--ISNUMBER(SEARCH(" "&amp;SEMANTIC_BUCKETS!$A$2:$A$348&amp;" "," "&amp;B19&amp;" ")),SEMANTIC_BUCKETS!$E$2:$E$348))</f>
        <v/>
      </c>
      <c r="F19" t="str" cm="1">
        <f t="array" ref="F19">IF(OR(B19="",D19=0),"",INDEX(SEMANTIC_BUCKETS!$B$2:$B$348,MATCH(TRUE,ISNUMBER(SEARCH(" "&amp;SEMANTIC_BUCKETS!$A$2:$A$348&amp;" "," "&amp;B19&amp;" ")),0)))</f>
        <v/>
      </c>
      <c r="G19" t="str">
        <f t="shared" si="2"/>
        <v/>
      </c>
      <c r="H19" t="str" cm="1">
        <f t="array" ref="H19">IF(OR(B19="",D19=0),"",_xlfn.TEXTJOIN(", ",TRUE,IF(ISNUMBER(SEARCH(" "&amp;SEMANTIC_BUCKETS!$A$2:$A$348&amp;" "," "&amp;B19&amp;" ")),SEMANTIC_BUCKETS!$A$2:$A$348,"")))</f>
        <v/>
      </c>
    </row>
    <row r="20" spans="1:8" x14ac:dyDescent="0.3">
      <c r="A20" t="str">
        <f t="shared" si="0"/>
        <v/>
      </c>
      <c r="B20" t="str" cm="1">
        <f t="array" ref="B20">IFERROR(_xlfn.LET(_xlpm.s,$B$10,_xlpm.norm,SUBSTITUTE(SUBSTITUTE(_xlpm.s,"!","."),"?","."),_xlpm.parts,_xlfn.TEXTSPLIT(_xlpm.norm,,".",TRUE),TRIM(INDEX(_xlpm.parts,ROW()-13))),"")</f>
        <v/>
      </c>
      <c r="C20" t="str">
        <f t="shared" si="1"/>
        <v/>
      </c>
      <c r="D20" t="str" cm="1">
        <f t="array" ref="D20">IF(B20="","",SUMPRODUCT(--ISNUMBER(SEARCH(" "&amp;SEMANTIC_BUCKETS!$A$2:$A$348&amp;" "," "&amp;B20&amp;" "))))</f>
        <v/>
      </c>
      <c r="E20" t="str" cm="1">
        <f t="array" ref="E20">IF(B20="","",SUMPRODUCT(--ISNUMBER(SEARCH(" "&amp;SEMANTIC_BUCKETS!$A$2:$A$348&amp;" "," "&amp;B20&amp;" ")),SEMANTIC_BUCKETS!$E$2:$E$348))</f>
        <v/>
      </c>
      <c r="F20" t="str" cm="1">
        <f t="array" ref="F20">IF(OR(B20="",D20=0),"",INDEX(SEMANTIC_BUCKETS!$B$2:$B$348,MATCH(TRUE,ISNUMBER(SEARCH(" "&amp;SEMANTIC_BUCKETS!$A$2:$A$348&amp;" "," "&amp;B20&amp;" ")),0)))</f>
        <v/>
      </c>
      <c r="G20" t="str">
        <f t="shared" si="2"/>
        <v/>
      </c>
      <c r="H20" t="str" cm="1">
        <f t="array" ref="H20">IF(OR(B20="",D20=0),"",_xlfn.TEXTJOIN(", ",TRUE,IF(ISNUMBER(SEARCH(" "&amp;SEMANTIC_BUCKETS!$A$2:$A$348&amp;" "," "&amp;B20&amp;" ")),SEMANTIC_BUCKETS!$A$2:$A$348,"")))</f>
        <v/>
      </c>
    </row>
    <row r="21" spans="1:8" x14ac:dyDescent="0.3">
      <c r="A21" t="str">
        <f t="shared" si="0"/>
        <v/>
      </c>
      <c r="B21" t="str" cm="1">
        <f t="array" ref="B21">IFERROR(_xlfn.LET(_xlpm.s,$B$10,_xlpm.norm,SUBSTITUTE(SUBSTITUTE(_xlpm.s,"!","."),"?","."),_xlpm.parts,_xlfn.TEXTSPLIT(_xlpm.norm,,".",TRUE),TRIM(INDEX(_xlpm.parts,ROW()-13))),"")</f>
        <v/>
      </c>
      <c r="C21" t="str">
        <f t="shared" si="1"/>
        <v/>
      </c>
      <c r="D21" t="str" cm="1">
        <f t="array" ref="D21">IF(B21="","",SUMPRODUCT(--ISNUMBER(SEARCH(" "&amp;SEMANTIC_BUCKETS!$A$2:$A$348&amp;" "," "&amp;B21&amp;" "))))</f>
        <v/>
      </c>
      <c r="E21" t="str" cm="1">
        <f t="array" ref="E21">IF(B21="","",SUMPRODUCT(--ISNUMBER(SEARCH(" "&amp;SEMANTIC_BUCKETS!$A$2:$A$348&amp;" "," "&amp;B21&amp;" ")),SEMANTIC_BUCKETS!$E$2:$E$348))</f>
        <v/>
      </c>
      <c r="F21" t="str" cm="1">
        <f t="array" ref="F21">IF(OR(B21="",D21=0),"",INDEX(SEMANTIC_BUCKETS!$B$2:$B$348,MATCH(TRUE,ISNUMBER(SEARCH(" "&amp;SEMANTIC_BUCKETS!$A$2:$A$348&amp;" "," "&amp;B21&amp;" ")),0)))</f>
        <v/>
      </c>
      <c r="G21" t="str">
        <f t="shared" si="2"/>
        <v/>
      </c>
      <c r="H21" t="str" cm="1">
        <f t="array" ref="H21">IF(OR(B21="",D21=0),"",_xlfn.TEXTJOIN(", ",TRUE,IF(ISNUMBER(SEARCH(" "&amp;SEMANTIC_BUCKETS!$A$2:$A$348&amp;" "," "&amp;B21&amp;" ")),SEMANTIC_BUCKETS!$A$2:$A$348,"")))</f>
        <v/>
      </c>
    </row>
    <row r="22" spans="1:8" x14ac:dyDescent="0.3">
      <c r="A22" t="str">
        <f t="shared" si="0"/>
        <v/>
      </c>
      <c r="B22" t="str" cm="1">
        <f t="array" ref="B22">IFERROR(_xlfn.LET(_xlpm.s,$B$10,_xlpm.norm,SUBSTITUTE(SUBSTITUTE(_xlpm.s,"!","."),"?","."),_xlpm.parts,_xlfn.TEXTSPLIT(_xlpm.norm,,".",TRUE),TRIM(INDEX(_xlpm.parts,ROW()-13))),"")</f>
        <v/>
      </c>
      <c r="C22" t="str">
        <f t="shared" si="1"/>
        <v/>
      </c>
      <c r="D22" t="str" cm="1">
        <f t="array" ref="D22">IF(B22="","",SUMPRODUCT(--ISNUMBER(SEARCH(" "&amp;SEMANTIC_BUCKETS!$A$2:$A$348&amp;" "," "&amp;B22&amp;" "))))</f>
        <v/>
      </c>
      <c r="E22" t="str" cm="1">
        <f t="array" ref="E22">IF(B22="","",SUMPRODUCT(--ISNUMBER(SEARCH(" "&amp;SEMANTIC_BUCKETS!$A$2:$A$348&amp;" "," "&amp;B22&amp;" ")),SEMANTIC_BUCKETS!$E$2:$E$348))</f>
        <v/>
      </c>
      <c r="F22" t="str" cm="1">
        <f t="array" ref="F22">IF(OR(B22="",D22=0),"",INDEX(SEMANTIC_BUCKETS!$B$2:$B$348,MATCH(TRUE,ISNUMBER(SEARCH(" "&amp;SEMANTIC_BUCKETS!$A$2:$A$348&amp;" "," "&amp;B22&amp;" ")),0)))</f>
        <v/>
      </c>
      <c r="G22" t="str">
        <f t="shared" si="2"/>
        <v/>
      </c>
      <c r="H22" t="str" cm="1">
        <f t="array" ref="H22">IF(OR(B22="",D22=0),"",_xlfn.TEXTJOIN(", ",TRUE,IF(ISNUMBER(SEARCH(" "&amp;SEMANTIC_BUCKETS!$A$2:$A$348&amp;" "," "&amp;B22&amp;" ")),SEMANTIC_BUCKETS!$A$2:$A$348,"")))</f>
        <v/>
      </c>
    </row>
    <row r="23" spans="1:8" x14ac:dyDescent="0.3">
      <c r="A23" t="str">
        <f t="shared" si="0"/>
        <v/>
      </c>
      <c r="B23" t="str" cm="1">
        <f t="array" ref="B23">IFERROR(_xlfn.LET(_xlpm.s,$B$10,_xlpm.norm,SUBSTITUTE(SUBSTITUTE(_xlpm.s,"!","."),"?","."),_xlpm.parts,_xlfn.TEXTSPLIT(_xlpm.norm,,".",TRUE),TRIM(INDEX(_xlpm.parts,ROW()-13))),"")</f>
        <v/>
      </c>
      <c r="C23" t="str">
        <f t="shared" si="1"/>
        <v/>
      </c>
      <c r="D23" t="str" cm="1">
        <f t="array" ref="D23">IF(B23="","",SUMPRODUCT(--ISNUMBER(SEARCH(" "&amp;SEMANTIC_BUCKETS!$A$2:$A$348&amp;" "," "&amp;B23&amp;" "))))</f>
        <v/>
      </c>
      <c r="E23" t="str" cm="1">
        <f t="array" ref="E23">IF(B23="","",SUMPRODUCT(--ISNUMBER(SEARCH(" "&amp;SEMANTIC_BUCKETS!$A$2:$A$348&amp;" "," "&amp;B23&amp;" ")),SEMANTIC_BUCKETS!$E$2:$E$348))</f>
        <v/>
      </c>
      <c r="F23" t="str" cm="1">
        <f t="array" ref="F23">IF(OR(B23="",D23=0),"",INDEX(SEMANTIC_BUCKETS!$B$2:$B$348,MATCH(TRUE,ISNUMBER(SEARCH(" "&amp;SEMANTIC_BUCKETS!$A$2:$A$348&amp;" "," "&amp;B23&amp;" ")),0)))</f>
        <v/>
      </c>
      <c r="G23" t="str">
        <f t="shared" si="2"/>
        <v/>
      </c>
      <c r="H23" t="str" cm="1">
        <f t="array" ref="H23">IF(OR(B23="",D23=0),"",_xlfn.TEXTJOIN(", ",TRUE,IF(ISNUMBER(SEARCH(" "&amp;SEMANTIC_BUCKETS!$A$2:$A$348&amp;" "," "&amp;B23&amp;" ")),SEMANTIC_BUCKETS!$A$2:$A$348,"")))</f>
        <v/>
      </c>
    </row>
    <row r="24" spans="1:8" x14ac:dyDescent="0.3">
      <c r="A24" t="str">
        <f t="shared" si="0"/>
        <v/>
      </c>
      <c r="B24" t="str" cm="1">
        <f t="array" ref="B24">IFERROR(_xlfn.LET(_xlpm.s,$B$10,_xlpm.norm,SUBSTITUTE(SUBSTITUTE(_xlpm.s,"!","."),"?","."),_xlpm.parts,_xlfn.TEXTSPLIT(_xlpm.norm,,".",TRUE),TRIM(INDEX(_xlpm.parts,ROW()-13))),"")</f>
        <v/>
      </c>
      <c r="C24" t="str">
        <f t="shared" si="1"/>
        <v/>
      </c>
      <c r="D24" t="str" cm="1">
        <f t="array" ref="D24">IF(B24="","",SUMPRODUCT(--ISNUMBER(SEARCH(" "&amp;SEMANTIC_BUCKETS!$A$2:$A$348&amp;" "," "&amp;B24&amp;" "))))</f>
        <v/>
      </c>
      <c r="E24" t="str" cm="1">
        <f t="array" ref="E24">IF(B24="","",SUMPRODUCT(--ISNUMBER(SEARCH(" "&amp;SEMANTIC_BUCKETS!$A$2:$A$348&amp;" "," "&amp;B24&amp;" ")),SEMANTIC_BUCKETS!$E$2:$E$348))</f>
        <v/>
      </c>
      <c r="F24" t="str" cm="1">
        <f t="array" ref="F24">IF(OR(B24="",D24=0),"",INDEX(SEMANTIC_BUCKETS!$B$2:$B$348,MATCH(TRUE,ISNUMBER(SEARCH(" "&amp;SEMANTIC_BUCKETS!$A$2:$A$348&amp;" "," "&amp;B24&amp;" ")),0)))</f>
        <v/>
      </c>
      <c r="G24" t="str">
        <f t="shared" si="2"/>
        <v/>
      </c>
      <c r="H24" t="str" cm="1">
        <f t="array" ref="H24">IF(OR(B24="",D24=0),"",_xlfn.TEXTJOIN(", ",TRUE,IF(ISNUMBER(SEARCH(" "&amp;SEMANTIC_BUCKETS!$A$2:$A$348&amp;" "," "&amp;B24&amp;" ")),SEMANTIC_BUCKETS!$A$2:$A$348,"")))</f>
        <v/>
      </c>
    </row>
    <row r="25" spans="1:8" x14ac:dyDescent="0.3">
      <c r="A25" t="str">
        <f t="shared" si="0"/>
        <v/>
      </c>
      <c r="B25" t="str" cm="1">
        <f t="array" ref="B25">IFERROR(_xlfn.LET(_xlpm.s,$B$10,_xlpm.norm,SUBSTITUTE(SUBSTITUTE(_xlpm.s,"!","."),"?","."),_xlpm.parts,_xlfn.TEXTSPLIT(_xlpm.norm,,".",TRUE),TRIM(INDEX(_xlpm.parts,ROW()-13))),"")</f>
        <v/>
      </c>
      <c r="C25" t="str">
        <f t="shared" si="1"/>
        <v/>
      </c>
      <c r="D25" t="str" cm="1">
        <f t="array" ref="D25">IF(B25="","",SUMPRODUCT(--ISNUMBER(SEARCH(" "&amp;SEMANTIC_BUCKETS!$A$2:$A$348&amp;" "," "&amp;B25&amp;" "))))</f>
        <v/>
      </c>
      <c r="E25" t="str" cm="1">
        <f t="array" ref="E25">IF(B25="","",SUMPRODUCT(--ISNUMBER(SEARCH(" "&amp;SEMANTIC_BUCKETS!$A$2:$A$348&amp;" "," "&amp;B25&amp;" ")),SEMANTIC_BUCKETS!$E$2:$E$348))</f>
        <v/>
      </c>
      <c r="F25" t="str" cm="1">
        <f t="array" ref="F25">IF(OR(B25="",D25=0),"",INDEX(SEMANTIC_BUCKETS!$B$2:$B$348,MATCH(TRUE,ISNUMBER(SEARCH(" "&amp;SEMANTIC_BUCKETS!$A$2:$A$348&amp;" "," "&amp;B25&amp;" ")),0)))</f>
        <v/>
      </c>
      <c r="G25" t="str">
        <f t="shared" si="2"/>
        <v/>
      </c>
      <c r="H25" t="str" cm="1">
        <f t="array" ref="H25">IF(OR(B25="",D25=0),"",_xlfn.TEXTJOIN(", ",TRUE,IF(ISNUMBER(SEARCH(" "&amp;SEMANTIC_BUCKETS!$A$2:$A$348&amp;" "," "&amp;B25&amp;" ")),SEMANTIC_BUCKETS!$A$2:$A$348,"")))</f>
        <v/>
      </c>
    </row>
    <row r="26" spans="1:8" x14ac:dyDescent="0.3">
      <c r="A26" t="str">
        <f t="shared" si="0"/>
        <v/>
      </c>
      <c r="B26" t="str" cm="1">
        <f t="array" ref="B26">IFERROR(_xlfn.LET(_xlpm.s,$B$10,_xlpm.norm,SUBSTITUTE(SUBSTITUTE(_xlpm.s,"!","."),"?","."),_xlpm.parts,_xlfn.TEXTSPLIT(_xlpm.norm,,".",TRUE),TRIM(INDEX(_xlpm.parts,ROW()-13))),"")</f>
        <v/>
      </c>
      <c r="C26" t="str">
        <f t="shared" si="1"/>
        <v/>
      </c>
      <c r="D26" t="str" cm="1">
        <f t="array" ref="D26">IF(B26="","",SUMPRODUCT(--ISNUMBER(SEARCH(" "&amp;SEMANTIC_BUCKETS!$A$2:$A$348&amp;" "," "&amp;B26&amp;" "))))</f>
        <v/>
      </c>
      <c r="E26" t="str" cm="1">
        <f t="array" ref="E26">IF(B26="","",SUMPRODUCT(--ISNUMBER(SEARCH(" "&amp;SEMANTIC_BUCKETS!$A$2:$A$348&amp;" "," "&amp;B26&amp;" ")),SEMANTIC_BUCKETS!$E$2:$E$348))</f>
        <v/>
      </c>
      <c r="F26" t="str" cm="1">
        <f t="array" ref="F26">IF(OR(B26="",D26=0),"",INDEX(SEMANTIC_BUCKETS!$B$2:$B$348,MATCH(TRUE,ISNUMBER(SEARCH(" "&amp;SEMANTIC_BUCKETS!$A$2:$A$348&amp;" "," "&amp;B26&amp;" ")),0)))</f>
        <v/>
      </c>
      <c r="G26" t="str">
        <f t="shared" si="2"/>
        <v/>
      </c>
      <c r="H26" t="str" cm="1">
        <f t="array" ref="H26">IF(OR(B26="",D26=0),"",_xlfn.TEXTJOIN(", ",TRUE,IF(ISNUMBER(SEARCH(" "&amp;SEMANTIC_BUCKETS!$A$2:$A$348&amp;" "," "&amp;B26&amp;" ")),SEMANTIC_BUCKETS!$A$2:$A$348,"")))</f>
        <v/>
      </c>
    </row>
    <row r="27" spans="1:8" x14ac:dyDescent="0.3">
      <c r="A27" t="str">
        <f t="shared" si="0"/>
        <v/>
      </c>
      <c r="B27" t="str" cm="1">
        <f t="array" ref="B27">IFERROR(_xlfn.LET(_xlpm.s,$B$10,_xlpm.norm,SUBSTITUTE(SUBSTITUTE(_xlpm.s,"!","."),"?","."),_xlpm.parts,_xlfn.TEXTSPLIT(_xlpm.norm,,".",TRUE),TRIM(INDEX(_xlpm.parts,ROW()-13))),"")</f>
        <v/>
      </c>
      <c r="C27" t="str">
        <f t="shared" si="1"/>
        <v/>
      </c>
      <c r="D27" t="str" cm="1">
        <f t="array" ref="D27">IF(B27="","",SUMPRODUCT(--ISNUMBER(SEARCH(" "&amp;SEMANTIC_BUCKETS!$A$2:$A$348&amp;" "," "&amp;B27&amp;" "))))</f>
        <v/>
      </c>
      <c r="E27" t="str" cm="1">
        <f t="array" ref="E27">IF(B27="","",SUMPRODUCT(--ISNUMBER(SEARCH(" "&amp;SEMANTIC_BUCKETS!$A$2:$A$348&amp;" "," "&amp;B27&amp;" ")),SEMANTIC_BUCKETS!$E$2:$E$348))</f>
        <v/>
      </c>
      <c r="F27" t="str" cm="1">
        <f t="array" ref="F27">IF(OR(B27="",D27=0),"",INDEX(SEMANTIC_BUCKETS!$B$2:$B$348,MATCH(TRUE,ISNUMBER(SEARCH(" "&amp;SEMANTIC_BUCKETS!$A$2:$A$348&amp;" "," "&amp;B27&amp;" ")),0)))</f>
        <v/>
      </c>
      <c r="G27" t="str">
        <f t="shared" si="2"/>
        <v/>
      </c>
      <c r="H27" t="str" cm="1">
        <f t="array" ref="H27">IF(OR(B27="",D27=0),"",_xlfn.TEXTJOIN(", ",TRUE,IF(ISNUMBER(SEARCH(" "&amp;SEMANTIC_BUCKETS!$A$2:$A$348&amp;" "," "&amp;B27&amp;" ")),SEMANTIC_BUCKETS!$A$2:$A$348,"")))</f>
        <v/>
      </c>
    </row>
    <row r="28" spans="1:8" x14ac:dyDescent="0.3">
      <c r="A28" t="str">
        <f t="shared" si="0"/>
        <v/>
      </c>
      <c r="B28" t="str" cm="1">
        <f t="array" ref="B28">IFERROR(_xlfn.LET(_xlpm.s,$B$10,_xlpm.norm,SUBSTITUTE(SUBSTITUTE(_xlpm.s,"!","."),"?","."),_xlpm.parts,_xlfn.TEXTSPLIT(_xlpm.norm,,".",TRUE),TRIM(INDEX(_xlpm.parts,ROW()-13))),"")</f>
        <v/>
      </c>
      <c r="C28" t="str">
        <f t="shared" si="1"/>
        <v/>
      </c>
      <c r="D28" t="str" cm="1">
        <f t="array" ref="D28">IF(B28="","",SUMPRODUCT(--ISNUMBER(SEARCH(" "&amp;SEMANTIC_BUCKETS!$A$2:$A$348&amp;" "," "&amp;B28&amp;" "))))</f>
        <v/>
      </c>
      <c r="E28" t="str" cm="1">
        <f t="array" ref="E28">IF(B28="","",SUMPRODUCT(--ISNUMBER(SEARCH(" "&amp;SEMANTIC_BUCKETS!$A$2:$A$348&amp;" "," "&amp;B28&amp;" ")),SEMANTIC_BUCKETS!$E$2:$E$348))</f>
        <v/>
      </c>
      <c r="F28" t="str" cm="1">
        <f t="array" ref="F28">IF(OR(B28="",D28=0),"",INDEX(SEMANTIC_BUCKETS!$B$2:$B$348,MATCH(TRUE,ISNUMBER(SEARCH(" "&amp;SEMANTIC_BUCKETS!$A$2:$A$348&amp;" "," "&amp;B28&amp;" ")),0)))</f>
        <v/>
      </c>
      <c r="G28" t="str">
        <f t="shared" si="2"/>
        <v/>
      </c>
      <c r="H28" t="str" cm="1">
        <f t="array" ref="H28">IF(OR(B28="",D28=0),"",_xlfn.TEXTJOIN(", ",TRUE,IF(ISNUMBER(SEARCH(" "&amp;SEMANTIC_BUCKETS!$A$2:$A$348&amp;" "," "&amp;B28&amp;" ")),SEMANTIC_BUCKETS!$A$2:$A$348,"")))</f>
        <v/>
      </c>
    </row>
    <row r="29" spans="1:8" x14ac:dyDescent="0.3">
      <c r="A29" t="str">
        <f t="shared" si="0"/>
        <v/>
      </c>
      <c r="B29" t="str" cm="1">
        <f t="array" ref="B29">IFERROR(_xlfn.LET(_xlpm.s,$B$10,_xlpm.norm,SUBSTITUTE(SUBSTITUTE(_xlpm.s,"!","."),"?","."),_xlpm.parts,_xlfn.TEXTSPLIT(_xlpm.norm,,".",TRUE),TRIM(INDEX(_xlpm.parts,ROW()-13))),"")</f>
        <v/>
      </c>
      <c r="C29" t="str">
        <f t="shared" si="1"/>
        <v/>
      </c>
      <c r="D29" t="str" cm="1">
        <f t="array" ref="D29">IF(B29="","",SUMPRODUCT(--ISNUMBER(SEARCH(" "&amp;SEMANTIC_BUCKETS!$A$2:$A$348&amp;" "," "&amp;B29&amp;" "))))</f>
        <v/>
      </c>
      <c r="E29" t="str" cm="1">
        <f t="array" ref="E29">IF(B29="","",SUMPRODUCT(--ISNUMBER(SEARCH(" "&amp;SEMANTIC_BUCKETS!$A$2:$A$348&amp;" "," "&amp;B29&amp;" ")),SEMANTIC_BUCKETS!$E$2:$E$348))</f>
        <v/>
      </c>
      <c r="F29" t="str" cm="1">
        <f t="array" ref="F29">IF(OR(B29="",D29=0),"",INDEX(SEMANTIC_BUCKETS!$B$2:$B$348,MATCH(TRUE,ISNUMBER(SEARCH(" "&amp;SEMANTIC_BUCKETS!$A$2:$A$348&amp;" "," "&amp;B29&amp;" ")),0)))</f>
        <v/>
      </c>
      <c r="G29" t="str">
        <f t="shared" si="2"/>
        <v/>
      </c>
      <c r="H29" t="str" cm="1">
        <f t="array" ref="H29">IF(OR(B29="",D29=0),"",_xlfn.TEXTJOIN(", ",TRUE,IF(ISNUMBER(SEARCH(" "&amp;SEMANTIC_BUCKETS!$A$2:$A$348&amp;" "," "&amp;B29&amp;" ")),SEMANTIC_BUCKETS!$A$2:$A$348,"")))</f>
        <v/>
      </c>
    </row>
    <row r="30" spans="1:8" x14ac:dyDescent="0.3">
      <c r="A30" t="str">
        <f t="shared" si="0"/>
        <v/>
      </c>
      <c r="B30" t="str" cm="1">
        <f t="array" ref="B30">IFERROR(_xlfn.LET(_xlpm.s,$B$10,_xlpm.norm,SUBSTITUTE(SUBSTITUTE(_xlpm.s,"!","."),"?","."),_xlpm.parts,_xlfn.TEXTSPLIT(_xlpm.norm,,".",TRUE),TRIM(INDEX(_xlpm.parts,ROW()-13))),"")</f>
        <v/>
      </c>
      <c r="C30" t="str">
        <f t="shared" si="1"/>
        <v/>
      </c>
      <c r="D30" t="str" cm="1">
        <f t="array" ref="D30">IF(B30="","",SUMPRODUCT(--ISNUMBER(SEARCH(" "&amp;SEMANTIC_BUCKETS!$A$2:$A$348&amp;" "," "&amp;B30&amp;" "))))</f>
        <v/>
      </c>
      <c r="E30" t="str" cm="1">
        <f t="array" ref="E30">IF(B30="","",SUMPRODUCT(--ISNUMBER(SEARCH(" "&amp;SEMANTIC_BUCKETS!$A$2:$A$348&amp;" "," "&amp;B30&amp;" ")),SEMANTIC_BUCKETS!$E$2:$E$348))</f>
        <v/>
      </c>
      <c r="F30" t="str" cm="1">
        <f t="array" ref="F30">IF(OR(B30="",D30=0),"",INDEX(SEMANTIC_BUCKETS!$B$2:$B$348,MATCH(TRUE,ISNUMBER(SEARCH(" "&amp;SEMANTIC_BUCKETS!$A$2:$A$348&amp;" "," "&amp;B30&amp;" ")),0)))</f>
        <v/>
      </c>
      <c r="G30" t="str">
        <f t="shared" si="2"/>
        <v/>
      </c>
      <c r="H30" t="str" cm="1">
        <f t="array" ref="H30">IF(OR(B30="",D30=0),"",_xlfn.TEXTJOIN(", ",TRUE,IF(ISNUMBER(SEARCH(" "&amp;SEMANTIC_BUCKETS!$A$2:$A$348&amp;" "," "&amp;B30&amp;" ")),SEMANTIC_BUCKETS!$A$2:$A$348,"")))</f>
        <v/>
      </c>
    </row>
    <row r="31" spans="1:8" x14ac:dyDescent="0.3">
      <c r="A31" t="str">
        <f t="shared" si="0"/>
        <v/>
      </c>
      <c r="B31" t="str" cm="1">
        <f t="array" ref="B31">IFERROR(_xlfn.LET(_xlpm.s,$B$10,_xlpm.norm,SUBSTITUTE(SUBSTITUTE(_xlpm.s,"!","."),"?","."),_xlpm.parts,_xlfn.TEXTSPLIT(_xlpm.norm,,".",TRUE),TRIM(INDEX(_xlpm.parts,ROW()-13))),"")</f>
        <v/>
      </c>
      <c r="C31" t="str">
        <f t="shared" si="1"/>
        <v/>
      </c>
      <c r="D31" t="str" cm="1">
        <f t="array" ref="D31">IF(B31="","",SUMPRODUCT(--ISNUMBER(SEARCH(" "&amp;SEMANTIC_BUCKETS!$A$2:$A$348&amp;" "," "&amp;B31&amp;" "))))</f>
        <v/>
      </c>
      <c r="E31" t="str" cm="1">
        <f t="array" ref="E31">IF(B31="","",SUMPRODUCT(--ISNUMBER(SEARCH(" "&amp;SEMANTIC_BUCKETS!$A$2:$A$348&amp;" "," "&amp;B31&amp;" ")),SEMANTIC_BUCKETS!$E$2:$E$348))</f>
        <v/>
      </c>
      <c r="F31" t="str" cm="1">
        <f t="array" ref="F31">IF(OR(B31="",D31=0),"",INDEX(SEMANTIC_BUCKETS!$B$2:$B$348,MATCH(TRUE,ISNUMBER(SEARCH(" "&amp;SEMANTIC_BUCKETS!$A$2:$A$348&amp;" "," "&amp;B31&amp;" ")),0)))</f>
        <v/>
      </c>
      <c r="G31" t="str">
        <f t="shared" si="2"/>
        <v/>
      </c>
      <c r="H31" t="str" cm="1">
        <f t="array" ref="H31">IF(OR(B31="",D31=0),"",_xlfn.TEXTJOIN(", ",TRUE,IF(ISNUMBER(SEARCH(" "&amp;SEMANTIC_BUCKETS!$A$2:$A$348&amp;" "," "&amp;B31&amp;" ")),SEMANTIC_BUCKETS!$A$2:$A$348,"")))</f>
        <v/>
      </c>
    </row>
    <row r="32" spans="1:8" x14ac:dyDescent="0.3">
      <c r="A32" t="str">
        <f t="shared" si="0"/>
        <v/>
      </c>
      <c r="B32" t="str" cm="1">
        <f t="array" ref="B32">IFERROR(_xlfn.LET(_xlpm.s,$B$10,_xlpm.norm,SUBSTITUTE(SUBSTITUTE(_xlpm.s,"!","."),"?","."),_xlpm.parts,_xlfn.TEXTSPLIT(_xlpm.norm,,".",TRUE),TRIM(INDEX(_xlpm.parts,ROW()-13))),"")</f>
        <v/>
      </c>
      <c r="C32" t="str">
        <f t="shared" si="1"/>
        <v/>
      </c>
      <c r="D32" t="str" cm="1">
        <f t="array" ref="D32">IF(B32="","",SUMPRODUCT(--ISNUMBER(SEARCH(" "&amp;SEMANTIC_BUCKETS!$A$2:$A$348&amp;" "," "&amp;B32&amp;" "))))</f>
        <v/>
      </c>
      <c r="E32" t="str" cm="1">
        <f t="array" ref="E32">IF(B32="","",SUMPRODUCT(--ISNUMBER(SEARCH(" "&amp;SEMANTIC_BUCKETS!$A$2:$A$348&amp;" "," "&amp;B32&amp;" ")),SEMANTIC_BUCKETS!$E$2:$E$348))</f>
        <v/>
      </c>
      <c r="F32" t="str" cm="1">
        <f t="array" ref="F32">IF(OR(B32="",D32=0),"",INDEX(SEMANTIC_BUCKETS!$B$2:$B$348,MATCH(TRUE,ISNUMBER(SEARCH(" "&amp;SEMANTIC_BUCKETS!$A$2:$A$348&amp;" "," "&amp;B32&amp;" ")),0)))</f>
        <v/>
      </c>
      <c r="G32" t="str">
        <f t="shared" si="2"/>
        <v/>
      </c>
      <c r="H32" t="str" cm="1">
        <f t="array" ref="H32">IF(OR(B32="",D32=0),"",_xlfn.TEXTJOIN(", ",TRUE,IF(ISNUMBER(SEARCH(" "&amp;SEMANTIC_BUCKETS!$A$2:$A$348&amp;" "," "&amp;B32&amp;" ")),SEMANTIC_BUCKETS!$A$2:$A$348,"")))</f>
        <v/>
      </c>
    </row>
    <row r="33" spans="1:8" x14ac:dyDescent="0.3">
      <c r="A33" t="str">
        <f t="shared" si="0"/>
        <v/>
      </c>
      <c r="B33" t="str" cm="1">
        <f t="array" ref="B33">IFERROR(_xlfn.LET(_xlpm.s,$B$10,_xlpm.norm,SUBSTITUTE(SUBSTITUTE(_xlpm.s,"!","."),"?","."),_xlpm.parts,_xlfn.TEXTSPLIT(_xlpm.norm,,".",TRUE),TRIM(INDEX(_xlpm.parts,ROW()-13))),"")</f>
        <v/>
      </c>
      <c r="C33" t="str">
        <f t="shared" si="1"/>
        <v/>
      </c>
      <c r="D33" t="str" cm="1">
        <f t="array" ref="D33">IF(B33="","",SUMPRODUCT(--ISNUMBER(SEARCH(" "&amp;SEMANTIC_BUCKETS!$A$2:$A$348&amp;" "," "&amp;B33&amp;" "))))</f>
        <v/>
      </c>
      <c r="E33" t="str" cm="1">
        <f t="array" ref="E33">IF(B33="","",SUMPRODUCT(--ISNUMBER(SEARCH(" "&amp;SEMANTIC_BUCKETS!$A$2:$A$348&amp;" "," "&amp;B33&amp;" ")),SEMANTIC_BUCKETS!$E$2:$E$348))</f>
        <v/>
      </c>
      <c r="F33" t="str" cm="1">
        <f t="array" ref="F33">IF(OR(B33="",D33=0),"",INDEX(SEMANTIC_BUCKETS!$B$2:$B$348,MATCH(TRUE,ISNUMBER(SEARCH(" "&amp;SEMANTIC_BUCKETS!$A$2:$A$348&amp;" "," "&amp;B33&amp;" ")),0)))</f>
        <v/>
      </c>
      <c r="G33" t="str">
        <f t="shared" si="2"/>
        <v/>
      </c>
      <c r="H33" t="str" cm="1">
        <f t="array" ref="H33">IF(OR(B33="",D33=0),"",_xlfn.TEXTJOIN(", ",TRUE,IF(ISNUMBER(SEARCH(" "&amp;SEMANTIC_BUCKETS!$A$2:$A$348&amp;" "," "&amp;B33&amp;" ")),SEMANTIC_BUCKETS!$A$2:$A$348,"")))</f>
        <v/>
      </c>
    </row>
    <row r="34" spans="1:8" x14ac:dyDescent="0.3">
      <c r="A34" t="str">
        <f t="shared" si="0"/>
        <v/>
      </c>
      <c r="B34" t="str" cm="1">
        <f t="array" ref="B34">IFERROR(_xlfn.LET(_xlpm.s,$B$10,_xlpm.norm,SUBSTITUTE(SUBSTITUTE(_xlpm.s,"!","."),"?","."),_xlpm.parts,_xlfn.TEXTSPLIT(_xlpm.norm,,".",TRUE),TRIM(INDEX(_xlpm.parts,ROW()-13))),"")</f>
        <v/>
      </c>
      <c r="C34" t="str">
        <f t="shared" si="1"/>
        <v/>
      </c>
      <c r="D34" t="str" cm="1">
        <f t="array" ref="D34">IF(B34="","",SUMPRODUCT(--ISNUMBER(SEARCH(" "&amp;SEMANTIC_BUCKETS!$A$2:$A$348&amp;" "," "&amp;B34&amp;" "))))</f>
        <v/>
      </c>
      <c r="E34" t="str" cm="1">
        <f t="array" ref="E34">IF(B34="","",SUMPRODUCT(--ISNUMBER(SEARCH(" "&amp;SEMANTIC_BUCKETS!$A$2:$A$348&amp;" "," "&amp;B34&amp;" ")),SEMANTIC_BUCKETS!$E$2:$E$348))</f>
        <v/>
      </c>
      <c r="F34" t="str" cm="1">
        <f t="array" ref="F34">IF(OR(B34="",D34=0),"",INDEX(SEMANTIC_BUCKETS!$B$2:$B$348,MATCH(TRUE,ISNUMBER(SEARCH(" "&amp;SEMANTIC_BUCKETS!$A$2:$A$348&amp;" "," "&amp;B34&amp;" ")),0)))</f>
        <v/>
      </c>
      <c r="G34" t="str">
        <f t="shared" si="2"/>
        <v/>
      </c>
      <c r="H34" t="str" cm="1">
        <f t="array" ref="H34">IF(OR(B34="",D34=0),"",_xlfn.TEXTJOIN(", ",TRUE,IF(ISNUMBER(SEARCH(" "&amp;SEMANTIC_BUCKETS!$A$2:$A$348&amp;" "," "&amp;B34&amp;" ")),SEMANTIC_BUCKETS!$A$2:$A$348,"")))</f>
        <v/>
      </c>
    </row>
    <row r="35" spans="1:8" x14ac:dyDescent="0.3">
      <c r="A35" t="str">
        <f t="shared" si="0"/>
        <v/>
      </c>
      <c r="B35" t="str" cm="1">
        <f t="array" ref="B35">IFERROR(_xlfn.LET(_xlpm.s,$B$10,_xlpm.norm,SUBSTITUTE(SUBSTITUTE(_xlpm.s,"!","."),"?","."),_xlpm.parts,_xlfn.TEXTSPLIT(_xlpm.norm,,".",TRUE),TRIM(INDEX(_xlpm.parts,ROW()-13))),"")</f>
        <v/>
      </c>
      <c r="C35" t="str">
        <f t="shared" si="1"/>
        <v/>
      </c>
      <c r="D35" t="str" cm="1">
        <f t="array" ref="D35">IF(B35="","",SUMPRODUCT(--ISNUMBER(SEARCH(" "&amp;SEMANTIC_BUCKETS!$A$2:$A$348&amp;" "," "&amp;B35&amp;" "))))</f>
        <v/>
      </c>
      <c r="E35" t="str" cm="1">
        <f t="array" ref="E35">IF(B35="","",SUMPRODUCT(--ISNUMBER(SEARCH(" "&amp;SEMANTIC_BUCKETS!$A$2:$A$348&amp;" "," "&amp;B35&amp;" ")),SEMANTIC_BUCKETS!$E$2:$E$348))</f>
        <v/>
      </c>
      <c r="F35" t="str" cm="1">
        <f t="array" ref="F35">IF(OR(B35="",D35=0),"",INDEX(SEMANTIC_BUCKETS!$B$2:$B$348,MATCH(TRUE,ISNUMBER(SEARCH(" "&amp;SEMANTIC_BUCKETS!$A$2:$A$348&amp;" "," "&amp;B35&amp;" ")),0)))</f>
        <v/>
      </c>
      <c r="G35" t="str">
        <f t="shared" si="2"/>
        <v/>
      </c>
      <c r="H35" t="str" cm="1">
        <f t="array" ref="H35">IF(OR(B35="",D35=0),"",_xlfn.TEXTJOIN(", ",TRUE,IF(ISNUMBER(SEARCH(" "&amp;SEMANTIC_BUCKETS!$A$2:$A$348&amp;" "," "&amp;B35&amp;" ")),SEMANTIC_BUCKETS!$A$2:$A$348,"")))</f>
        <v/>
      </c>
    </row>
    <row r="36" spans="1:8" x14ac:dyDescent="0.3">
      <c r="A36" t="str">
        <f t="shared" si="0"/>
        <v/>
      </c>
      <c r="B36" t="str" cm="1">
        <f t="array" ref="B36">IFERROR(_xlfn.LET(_xlpm.s,$B$10,_xlpm.norm,SUBSTITUTE(SUBSTITUTE(_xlpm.s,"!","."),"?","."),_xlpm.parts,_xlfn.TEXTSPLIT(_xlpm.norm,,".",TRUE),TRIM(INDEX(_xlpm.parts,ROW()-13))),"")</f>
        <v/>
      </c>
      <c r="C36" t="str">
        <f t="shared" si="1"/>
        <v/>
      </c>
      <c r="D36" t="str" cm="1">
        <f t="array" ref="D36">IF(B36="","",SUMPRODUCT(--ISNUMBER(SEARCH(" "&amp;SEMANTIC_BUCKETS!$A$2:$A$348&amp;" "," "&amp;B36&amp;" "))))</f>
        <v/>
      </c>
      <c r="E36" t="str" cm="1">
        <f t="array" ref="E36">IF(B36="","",SUMPRODUCT(--ISNUMBER(SEARCH(" "&amp;SEMANTIC_BUCKETS!$A$2:$A$348&amp;" "," "&amp;B36&amp;" ")),SEMANTIC_BUCKETS!$E$2:$E$348))</f>
        <v/>
      </c>
      <c r="F36" t="str" cm="1">
        <f t="array" ref="F36">IF(OR(B36="",D36=0),"",INDEX(SEMANTIC_BUCKETS!$B$2:$B$348,MATCH(TRUE,ISNUMBER(SEARCH(" "&amp;SEMANTIC_BUCKETS!$A$2:$A$348&amp;" "," "&amp;B36&amp;" ")),0)))</f>
        <v/>
      </c>
      <c r="G36" t="str">
        <f t="shared" si="2"/>
        <v/>
      </c>
      <c r="H36" t="str" cm="1">
        <f t="array" ref="H36">IF(OR(B36="",D36=0),"",_xlfn.TEXTJOIN(", ",TRUE,IF(ISNUMBER(SEARCH(" "&amp;SEMANTIC_BUCKETS!$A$2:$A$348&amp;" "," "&amp;B36&amp;" ")),SEMANTIC_BUCKETS!$A$2:$A$348,"")))</f>
        <v/>
      </c>
    </row>
    <row r="37" spans="1:8" x14ac:dyDescent="0.3">
      <c r="A37" t="str">
        <f t="shared" si="0"/>
        <v/>
      </c>
      <c r="B37" t="str" cm="1">
        <f t="array" ref="B37">IFERROR(_xlfn.LET(_xlpm.s,$B$10,_xlpm.norm,SUBSTITUTE(SUBSTITUTE(_xlpm.s,"!","."),"?","."),_xlpm.parts,_xlfn.TEXTSPLIT(_xlpm.norm,,".",TRUE),TRIM(INDEX(_xlpm.parts,ROW()-13))),"")</f>
        <v/>
      </c>
      <c r="C37" t="str">
        <f t="shared" si="1"/>
        <v/>
      </c>
      <c r="D37" t="str" cm="1">
        <f t="array" ref="D37">IF(B37="","",SUMPRODUCT(--ISNUMBER(SEARCH(" "&amp;SEMANTIC_BUCKETS!$A$2:$A$348&amp;" "," "&amp;B37&amp;" "))))</f>
        <v/>
      </c>
      <c r="E37" t="str" cm="1">
        <f t="array" ref="E37">IF(B37="","",SUMPRODUCT(--ISNUMBER(SEARCH(" "&amp;SEMANTIC_BUCKETS!$A$2:$A$348&amp;" "," "&amp;B37&amp;" ")),SEMANTIC_BUCKETS!$E$2:$E$348))</f>
        <v/>
      </c>
      <c r="F37" t="str" cm="1">
        <f t="array" ref="F37">IF(OR(B37="",D37=0),"",INDEX(SEMANTIC_BUCKETS!$B$2:$B$348,MATCH(TRUE,ISNUMBER(SEARCH(" "&amp;SEMANTIC_BUCKETS!$A$2:$A$348&amp;" "," "&amp;B37&amp;" ")),0)))</f>
        <v/>
      </c>
      <c r="G37" t="str">
        <f t="shared" si="2"/>
        <v/>
      </c>
      <c r="H37" t="str" cm="1">
        <f t="array" ref="H37">IF(OR(B37="",D37=0),"",_xlfn.TEXTJOIN(", ",TRUE,IF(ISNUMBER(SEARCH(" "&amp;SEMANTIC_BUCKETS!$A$2:$A$348&amp;" "," "&amp;B37&amp;" ")),SEMANTIC_BUCKETS!$A$2:$A$348,"")))</f>
        <v/>
      </c>
    </row>
    <row r="38" spans="1:8" x14ac:dyDescent="0.3">
      <c r="A38" t="str">
        <f t="shared" si="0"/>
        <v/>
      </c>
      <c r="B38" t="str" cm="1">
        <f t="array" ref="B38">IFERROR(_xlfn.LET(_xlpm.s,$B$10,_xlpm.norm,SUBSTITUTE(SUBSTITUTE(_xlpm.s,"!","."),"?","."),_xlpm.parts,_xlfn.TEXTSPLIT(_xlpm.norm,,".",TRUE),TRIM(INDEX(_xlpm.parts,ROW()-13))),"")</f>
        <v/>
      </c>
      <c r="C38" t="str">
        <f t="shared" si="1"/>
        <v/>
      </c>
      <c r="D38" t="str" cm="1">
        <f t="array" ref="D38">IF(B38="","",SUMPRODUCT(--ISNUMBER(SEARCH(" "&amp;SEMANTIC_BUCKETS!$A$2:$A$348&amp;" "," "&amp;B38&amp;" "))))</f>
        <v/>
      </c>
      <c r="E38" t="str" cm="1">
        <f t="array" ref="E38">IF(B38="","",SUMPRODUCT(--ISNUMBER(SEARCH(" "&amp;SEMANTIC_BUCKETS!$A$2:$A$348&amp;" "," "&amp;B38&amp;" ")),SEMANTIC_BUCKETS!$E$2:$E$348))</f>
        <v/>
      </c>
      <c r="F38" t="str" cm="1">
        <f t="array" ref="F38">IF(OR(B38="",D38=0),"",INDEX(SEMANTIC_BUCKETS!$B$2:$B$348,MATCH(TRUE,ISNUMBER(SEARCH(" "&amp;SEMANTIC_BUCKETS!$A$2:$A$348&amp;" "," "&amp;B38&amp;" ")),0)))</f>
        <v/>
      </c>
      <c r="G38" t="str">
        <f t="shared" si="2"/>
        <v/>
      </c>
      <c r="H38" t="str" cm="1">
        <f t="array" ref="H38">IF(OR(B38="",D38=0),"",_xlfn.TEXTJOIN(", ",TRUE,IF(ISNUMBER(SEARCH(" "&amp;SEMANTIC_BUCKETS!$A$2:$A$348&amp;" "," "&amp;B38&amp;" ")),SEMANTIC_BUCKETS!$A$2:$A$348,"")))</f>
        <v/>
      </c>
    </row>
    <row r="39" spans="1:8" x14ac:dyDescent="0.3">
      <c r="A39" t="str">
        <f t="shared" si="0"/>
        <v/>
      </c>
      <c r="B39" t="str" cm="1">
        <f t="array" ref="B39">IFERROR(_xlfn.LET(_xlpm.s,$B$10,_xlpm.norm,SUBSTITUTE(SUBSTITUTE(_xlpm.s,"!","."),"?","."),_xlpm.parts,_xlfn.TEXTSPLIT(_xlpm.norm,,".",TRUE),TRIM(INDEX(_xlpm.parts,ROW()-13))),"")</f>
        <v/>
      </c>
      <c r="C39" t="str">
        <f t="shared" si="1"/>
        <v/>
      </c>
      <c r="D39" t="str" cm="1">
        <f t="array" ref="D39">IF(B39="","",SUMPRODUCT(--ISNUMBER(SEARCH(" "&amp;SEMANTIC_BUCKETS!$A$2:$A$348&amp;" "," "&amp;B39&amp;" "))))</f>
        <v/>
      </c>
      <c r="E39" t="str" cm="1">
        <f t="array" ref="E39">IF(B39="","",SUMPRODUCT(--ISNUMBER(SEARCH(" "&amp;SEMANTIC_BUCKETS!$A$2:$A$348&amp;" "," "&amp;B39&amp;" ")),SEMANTIC_BUCKETS!$E$2:$E$348))</f>
        <v/>
      </c>
      <c r="F39" t="str" cm="1">
        <f t="array" ref="F39">IF(OR(B39="",D39=0),"",INDEX(SEMANTIC_BUCKETS!$B$2:$B$348,MATCH(TRUE,ISNUMBER(SEARCH(" "&amp;SEMANTIC_BUCKETS!$A$2:$A$348&amp;" "," "&amp;B39&amp;" ")),0)))</f>
        <v/>
      </c>
      <c r="G39" t="str">
        <f t="shared" si="2"/>
        <v/>
      </c>
      <c r="H39" t="str" cm="1">
        <f t="array" ref="H39">IF(OR(B39="",D39=0),"",_xlfn.TEXTJOIN(", ",TRUE,IF(ISNUMBER(SEARCH(" "&amp;SEMANTIC_BUCKETS!$A$2:$A$348&amp;" "," "&amp;B39&amp;" ")),SEMANTIC_BUCKETS!$A$2:$A$348,"")))</f>
        <v/>
      </c>
    </row>
    <row r="40" spans="1:8" x14ac:dyDescent="0.3">
      <c r="A40" t="str">
        <f t="shared" si="0"/>
        <v/>
      </c>
      <c r="B40" t="str" cm="1">
        <f t="array" ref="B40">IFERROR(_xlfn.LET(_xlpm.s,$B$10,_xlpm.norm,SUBSTITUTE(SUBSTITUTE(_xlpm.s,"!","."),"?","."),_xlpm.parts,_xlfn.TEXTSPLIT(_xlpm.norm,,".",TRUE),TRIM(INDEX(_xlpm.parts,ROW()-13))),"")</f>
        <v/>
      </c>
      <c r="C40" t="str">
        <f t="shared" si="1"/>
        <v/>
      </c>
      <c r="D40" t="str" cm="1">
        <f t="array" ref="D40">IF(B40="","",SUMPRODUCT(--ISNUMBER(SEARCH(" "&amp;SEMANTIC_BUCKETS!$A$2:$A$348&amp;" "," "&amp;B40&amp;" "))))</f>
        <v/>
      </c>
      <c r="E40" t="str" cm="1">
        <f t="array" ref="E40">IF(B40="","",SUMPRODUCT(--ISNUMBER(SEARCH(" "&amp;SEMANTIC_BUCKETS!$A$2:$A$348&amp;" "," "&amp;B40&amp;" ")),SEMANTIC_BUCKETS!$E$2:$E$348))</f>
        <v/>
      </c>
      <c r="F40" t="str" cm="1">
        <f t="array" ref="F40">IF(OR(B40="",D40=0),"",INDEX(SEMANTIC_BUCKETS!$B$2:$B$348,MATCH(TRUE,ISNUMBER(SEARCH(" "&amp;SEMANTIC_BUCKETS!$A$2:$A$348&amp;" "," "&amp;B40&amp;" ")),0)))</f>
        <v/>
      </c>
      <c r="G40" t="str">
        <f t="shared" si="2"/>
        <v/>
      </c>
      <c r="H40" t="str" cm="1">
        <f t="array" ref="H40">IF(OR(B40="",D40=0),"",_xlfn.TEXTJOIN(", ",TRUE,IF(ISNUMBER(SEARCH(" "&amp;SEMANTIC_BUCKETS!$A$2:$A$348&amp;" "," "&amp;B40&amp;" ")),SEMANTIC_BUCKETS!$A$2:$A$348,"")))</f>
        <v/>
      </c>
    </row>
    <row r="41" spans="1:8" x14ac:dyDescent="0.3">
      <c r="A41" t="str">
        <f t="shared" si="0"/>
        <v/>
      </c>
      <c r="B41" t="str" cm="1">
        <f t="array" ref="B41">IFERROR(_xlfn.LET(_xlpm.s,$B$10,_xlpm.norm,SUBSTITUTE(SUBSTITUTE(_xlpm.s,"!","."),"?","."),_xlpm.parts,_xlfn.TEXTSPLIT(_xlpm.norm,,".",TRUE),TRIM(INDEX(_xlpm.parts,ROW()-13))),"")</f>
        <v/>
      </c>
      <c r="C41" t="str">
        <f t="shared" si="1"/>
        <v/>
      </c>
      <c r="D41" t="str" cm="1">
        <f t="array" ref="D41">IF(B41="","",SUMPRODUCT(--ISNUMBER(SEARCH(" "&amp;SEMANTIC_BUCKETS!$A$2:$A$348&amp;" "," "&amp;B41&amp;" "))))</f>
        <v/>
      </c>
      <c r="E41" t="str" cm="1">
        <f t="array" ref="E41">IF(B41="","",SUMPRODUCT(--ISNUMBER(SEARCH(" "&amp;SEMANTIC_BUCKETS!$A$2:$A$348&amp;" "," "&amp;B41&amp;" ")),SEMANTIC_BUCKETS!$E$2:$E$348))</f>
        <v/>
      </c>
      <c r="F41" t="str" cm="1">
        <f t="array" ref="F41">IF(OR(B41="",D41=0),"",INDEX(SEMANTIC_BUCKETS!$B$2:$B$348,MATCH(TRUE,ISNUMBER(SEARCH(" "&amp;SEMANTIC_BUCKETS!$A$2:$A$348&amp;" "," "&amp;B41&amp;" ")),0)))</f>
        <v/>
      </c>
      <c r="G41" t="str">
        <f t="shared" si="2"/>
        <v/>
      </c>
      <c r="H41" t="str" cm="1">
        <f t="array" ref="H41">IF(OR(B41="",D41=0),"",_xlfn.TEXTJOIN(", ",TRUE,IF(ISNUMBER(SEARCH(" "&amp;SEMANTIC_BUCKETS!$A$2:$A$348&amp;" "," "&amp;B41&amp;" ")),SEMANTIC_BUCKETS!$A$2:$A$348,"")))</f>
        <v/>
      </c>
    </row>
    <row r="42" spans="1:8" x14ac:dyDescent="0.3">
      <c r="A42" t="str">
        <f t="shared" si="0"/>
        <v/>
      </c>
      <c r="B42" t="str" cm="1">
        <f t="array" ref="B42">IFERROR(_xlfn.LET(_xlpm.s,$B$10,_xlpm.norm,SUBSTITUTE(SUBSTITUTE(_xlpm.s,"!","."),"?","."),_xlpm.parts,_xlfn.TEXTSPLIT(_xlpm.norm,,".",TRUE),TRIM(INDEX(_xlpm.parts,ROW()-13))),"")</f>
        <v/>
      </c>
      <c r="C42" t="str">
        <f t="shared" si="1"/>
        <v/>
      </c>
      <c r="D42" t="str" cm="1">
        <f t="array" ref="D42">IF(B42="","",SUMPRODUCT(--ISNUMBER(SEARCH(" "&amp;SEMANTIC_BUCKETS!$A$2:$A$348&amp;" "," "&amp;B42&amp;" "))))</f>
        <v/>
      </c>
      <c r="E42" t="str" cm="1">
        <f t="array" ref="E42">IF(B42="","",SUMPRODUCT(--ISNUMBER(SEARCH(" "&amp;SEMANTIC_BUCKETS!$A$2:$A$348&amp;" "," "&amp;B42&amp;" ")),SEMANTIC_BUCKETS!$E$2:$E$348))</f>
        <v/>
      </c>
      <c r="F42" t="str" cm="1">
        <f t="array" ref="F42">IF(OR(B42="",D42=0),"",INDEX(SEMANTIC_BUCKETS!$B$2:$B$348,MATCH(TRUE,ISNUMBER(SEARCH(" "&amp;SEMANTIC_BUCKETS!$A$2:$A$348&amp;" "," "&amp;B42&amp;" ")),0)))</f>
        <v/>
      </c>
      <c r="G42" t="str">
        <f t="shared" si="2"/>
        <v/>
      </c>
      <c r="H42" t="str" cm="1">
        <f t="array" ref="H42">IF(OR(B42="",D42=0),"",_xlfn.TEXTJOIN(", ",TRUE,IF(ISNUMBER(SEARCH(" "&amp;SEMANTIC_BUCKETS!$A$2:$A$348&amp;" "," "&amp;B42&amp;" ")),SEMANTIC_BUCKETS!$A$2:$A$348,"")))</f>
        <v/>
      </c>
    </row>
    <row r="43" spans="1:8" x14ac:dyDescent="0.3">
      <c r="A43" t="str">
        <f t="shared" si="0"/>
        <v/>
      </c>
      <c r="B43" t="str" cm="1">
        <f t="array" ref="B43">IFERROR(_xlfn.LET(_xlpm.s,$B$10,_xlpm.norm,SUBSTITUTE(SUBSTITUTE(_xlpm.s,"!","."),"?","."),_xlpm.parts,_xlfn.TEXTSPLIT(_xlpm.norm,,".",TRUE),TRIM(INDEX(_xlpm.parts,ROW()-13))),"")</f>
        <v/>
      </c>
      <c r="C43" t="str">
        <f t="shared" si="1"/>
        <v/>
      </c>
      <c r="D43" t="str" cm="1">
        <f t="array" ref="D43">IF(B43="","",SUMPRODUCT(--ISNUMBER(SEARCH(" "&amp;SEMANTIC_BUCKETS!$A$2:$A$348&amp;" "," "&amp;B43&amp;" "))))</f>
        <v/>
      </c>
      <c r="E43" t="str" cm="1">
        <f t="array" ref="E43">IF(B43="","",SUMPRODUCT(--ISNUMBER(SEARCH(" "&amp;SEMANTIC_BUCKETS!$A$2:$A$348&amp;" "," "&amp;B43&amp;" ")),SEMANTIC_BUCKETS!$E$2:$E$348))</f>
        <v/>
      </c>
      <c r="F43" t="str" cm="1">
        <f t="array" ref="F43">IF(OR(B43="",D43=0),"",INDEX(SEMANTIC_BUCKETS!$B$2:$B$348,MATCH(TRUE,ISNUMBER(SEARCH(" "&amp;SEMANTIC_BUCKETS!$A$2:$A$348&amp;" "," "&amp;B43&amp;" ")),0)))</f>
        <v/>
      </c>
      <c r="G43" t="str">
        <f t="shared" si="2"/>
        <v/>
      </c>
      <c r="H43" t="str" cm="1">
        <f t="array" ref="H43">IF(OR(B43="",D43=0),"",_xlfn.TEXTJOIN(", ",TRUE,IF(ISNUMBER(SEARCH(" "&amp;SEMANTIC_BUCKETS!$A$2:$A$348&amp;" "," "&amp;B43&amp;" ")),SEMANTIC_BUCKETS!$A$2:$A$348,"")))</f>
        <v/>
      </c>
    </row>
    <row r="44" spans="1:8" x14ac:dyDescent="0.3">
      <c r="A44" t="str">
        <f t="shared" si="0"/>
        <v/>
      </c>
      <c r="B44" t="str" cm="1">
        <f t="array" ref="B44">IFERROR(_xlfn.LET(_xlpm.s,$B$10,_xlpm.norm,SUBSTITUTE(SUBSTITUTE(_xlpm.s,"!","."),"?","."),_xlpm.parts,_xlfn.TEXTSPLIT(_xlpm.norm,,".",TRUE),TRIM(INDEX(_xlpm.parts,ROW()-13))),"")</f>
        <v/>
      </c>
      <c r="C44" t="str">
        <f t="shared" si="1"/>
        <v/>
      </c>
      <c r="D44" t="str" cm="1">
        <f t="array" ref="D44">IF(B44="","",SUMPRODUCT(--ISNUMBER(SEARCH(" "&amp;SEMANTIC_BUCKETS!$A$2:$A$348&amp;" "," "&amp;B44&amp;" "))))</f>
        <v/>
      </c>
      <c r="E44" t="str" cm="1">
        <f t="array" ref="E44">IF(B44="","",SUMPRODUCT(--ISNUMBER(SEARCH(" "&amp;SEMANTIC_BUCKETS!$A$2:$A$348&amp;" "," "&amp;B44&amp;" ")),SEMANTIC_BUCKETS!$E$2:$E$348))</f>
        <v/>
      </c>
      <c r="F44" t="str" cm="1">
        <f t="array" ref="F44">IF(OR(B44="",D44=0),"",INDEX(SEMANTIC_BUCKETS!$B$2:$B$348,MATCH(TRUE,ISNUMBER(SEARCH(" "&amp;SEMANTIC_BUCKETS!$A$2:$A$348&amp;" "," "&amp;B44&amp;" ")),0)))</f>
        <v/>
      </c>
      <c r="G44" t="str">
        <f t="shared" si="2"/>
        <v/>
      </c>
      <c r="H44" t="str" cm="1">
        <f t="array" ref="H44">IF(OR(B44="",D44=0),"",_xlfn.TEXTJOIN(", ",TRUE,IF(ISNUMBER(SEARCH(" "&amp;SEMANTIC_BUCKETS!$A$2:$A$348&amp;" "," "&amp;B44&amp;" ")),SEMANTIC_BUCKETS!$A$2:$A$348,"")))</f>
        <v/>
      </c>
    </row>
    <row r="45" spans="1:8" x14ac:dyDescent="0.3">
      <c r="A45" t="str">
        <f t="shared" si="0"/>
        <v/>
      </c>
      <c r="B45" t="str" cm="1">
        <f t="array" ref="B45">IFERROR(_xlfn.LET(_xlpm.s,$B$10,_xlpm.norm,SUBSTITUTE(SUBSTITUTE(_xlpm.s,"!","."),"?","."),_xlpm.parts,_xlfn.TEXTSPLIT(_xlpm.norm,,".",TRUE),TRIM(INDEX(_xlpm.parts,ROW()-13))),"")</f>
        <v/>
      </c>
      <c r="C45" t="str">
        <f t="shared" si="1"/>
        <v/>
      </c>
      <c r="D45" t="str" cm="1">
        <f t="array" ref="D45">IF(B45="","",SUMPRODUCT(--ISNUMBER(SEARCH(" "&amp;SEMANTIC_BUCKETS!$A$2:$A$348&amp;" "," "&amp;B45&amp;" "))))</f>
        <v/>
      </c>
      <c r="E45" t="str" cm="1">
        <f t="array" ref="E45">IF(B45="","",SUMPRODUCT(--ISNUMBER(SEARCH(" "&amp;SEMANTIC_BUCKETS!$A$2:$A$348&amp;" "," "&amp;B45&amp;" ")),SEMANTIC_BUCKETS!$E$2:$E$348))</f>
        <v/>
      </c>
      <c r="F45" t="str" cm="1">
        <f t="array" ref="F45">IF(OR(B45="",D45=0),"",INDEX(SEMANTIC_BUCKETS!$B$2:$B$348,MATCH(TRUE,ISNUMBER(SEARCH(" "&amp;SEMANTIC_BUCKETS!$A$2:$A$348&amp;" "," "&amp;B45&amp;" ")),0)))</f>
        <v/>
      </c>
      <c r="G45" t="str">
        <f t="shared" si="2"/>
        <v/>
      </c>
      <c r="H45" t="str" cm="1">
        <f t="array" ref="H45">IF(OR(B45="",D45=0),"",_xlfn.TEXTJOIN(", ",TRUE,IF(ISNUMBER(SEARCH(" "&amp;SEMANTIC_BUCKETS!$A$2:$A$348&amp;" "," "&amp;B45&amp;" ")),SEMANTIC_BUCKETS!$A$2:$A$348,"")))</f>
        <v/>
      </c>
    </row>
    <row r="46" spans="1:8" x14ac:dyDescent="0.3">
      <c r="A46" t="str">
        <f t="shared" si="0"/>
        <v/>
      </c>
      <c r="B46" t="str" cm="1">
        <f t="array" ref="B46">IFERROR(_xlfn.LET(_xlpm.s,$B$10,_xlpm.norm,SUBSTITUTE(SUBSTITUTE(_xlpm.s,"!","."),"?","."),_xlpm.parts,_xlfn.TEXTSPLIT(_xlpm.norm,,".",TRUE),TRIM(INDEX(_xlpm.parts,ROW()-13))),"")</f>
        <v/>
      </c>
      <c r="C46" t="str">
        <f t="shared" si="1"/>
        <v/>
      </c>
      <c r="D46" t="str" cm="1">
        <f t="array" ref="D46">IF(B46="","",SUMPRODUCT(--ISNUMBER(SEARCH(" "&amp;SEMANTIC_BUCKETS!$A$2:$A$348&amp;" "," "&amp;B46&amp;" "))))</f>
        <v/>
      </c>
      <c r="E46" t="str" cm="1">
        <f t="array" ref="E46">IF(B46="","",SUMPRODUCT(--ISNUMBER(SEARCH(" "&amp;SEMANTIC_BUCKETS!$A$2:$A$348&amp;" "," "&amp;B46&amp;" ")),SEMANTIC_BUCKETS!$E$2:$E$348))</f>
        <v/>
      </c>
      <c r="F46" t="str" cm="1">
        <f t="array" ref="F46">IF(OR(B46="",D46=0),"",INDEX(SEMANTIC_BUCKETS!$B$2:$B$348,MATCH(TRUE,ISNUMBER(SEARCH(" "&amp;SEMANTIC_BUCKETS!$A$2:$A$348&amp;" "," "&amp;B46&amp;" ")),0)))</f>
        <v/>
      </c>
      <c r="G46" t="str">
        <f t="shared" si="2"/>
        <v/>
      </c>
      <c r="H46" t="str" cm="1">
        <f t="array" ref="H46">IF(OR(B46="",D46=0),"",_xlfn.TEXTJOIN(", ",TRUE,IF(ISNUMBER(SEARCH(" "&amp;SEMANTIC_BUCKETS!$A$2:$A$348&amp;" "," "&amp;B46&amp;" ")),SEMANTIC_BUCKETS!$A$2:$A$348,"")))</f>
        <v/>
      </c>
    </row>
    <row r="47" spans="1:8" x14ac:dyDescent="0.3">
      <c r="A47" t="str">
        <f t="shared" si="0"/>
        <v/>
      </c>
      <c r="B47" t="str" cm="1">
        <f t="array" ref="B47">IFERROR(_xlfn.LET(_xlpm.s,$B$10,_xlpm.norm,SUBSTITUTE(SUBSTITUTE(_xlpm.s,"!","."),"?","."),_xlpm.parts,_xlfn.TEXTSPLIT(_xlpm.norm,,".",TRUE),TRIM(INDEX(_xlpm.parts,ROW()-13))),"")</f>
        <v/>
      </c>
      <c r="C47" t="str">
        <f t="shared" si="1"/>
        <v/>
      </c>
      <c r="D47" t="str" cm="1">
        <f t="array" ref="D47">IF(B47="","",SUMPRODUCT(--ISNUMBER(SEARCH(" "&amp;SEMANTIC_BUCKETS!$A$2:$A$348&amp;" "," "&amp;B47&amp;" "))))</f>
        <v/>
      </c>
      <c r="E47" t="str" cm="1">
        <f t="array" ref="E47">IF(B47="","",SUMPRODUCT(--ISNUMBER(SEARCH(" "&amp;SEMANTIC_BUCKETS!$A$2:$A$348&amp;" "," "&amp;B47&amp;" ")),SEMANTIC_BUCKETS!$E$2:$E$348))</f>
        <v/>
      </c>
      <c r="F47" t="str" cm="1">
        <f t="array" ref="F47">IF(OR(B47="",D47=0),"",INDEX(SEMANTIC_BUCKETS!$B$2:$B$348,MATCH(TRUE,ISNUMBER(SEARCH(" "&amp;SEMANTIC_BUCKETS!$A$2:$A$348&amp;" "," "&amp;B47&amp;" ")),0)))</f>
        <v/>
      </c>
      <c r="G47" t="str">
        <f t="shared" si="2"/>
        <v/>
      </c>
      <c r="H47" t="str" cm="1">
        <f t="array" ref="H47">IF(OR(B47="",D47=0),"",_xlfn.TEXTJOIN(", ",TRUE,IF(ISNUMBER(SEARCH(" "&amp;SEMANTIC_BUCKETS!$A$2:$A$348&amp;" "," "&amp;B47&amp;" ")),SEMANTIC_BUCKETS!$A$2:$A$348,"")))</f>
        <v/>
      </c>
    </row>
    <row r="48" spans="1:8" x14ac:dyDescent="0.3">
      <c r="A48" t="str">
        <f t="shared" si="0"/>
        <v/>
      </c>
      <c r="B48" t="str" cm="1">
        <f t="array" ref="B48">IFERROR(_xlfn.LET(_xlpm.s,$B$10,_xlpm.norm,SUBSTITUTE(SUBSTITUTE(_xlpm.s,"!","."),"?","."),_xlpm.parts,_xlfn.TEXTSPLIT(_xlpm.norm,,".",TRUE),TRIM(INDEX(_xlpm.parts,ROW()-13))),"")</f>
        <v/>
      </c>
      <c r="C48" t="str">
        <f t="shared" si="1"/>
        <v/>
      </c>
      <c r="D48" t="str" cm="1">
        <f t="array" ref="D48">IF(B48="","",SUMPRODUCT(--ISNUMBER(SEARCH(" "&amp;SEMANTIC_BUCKETS!$A$2:$A$348&amp;" "," "&amp;B48&amp;" "))))</f>
        <v/>
      </c>
      <c r="E48" t="str" cm="1">
        <f t="array" ref="E48">IF(B48="","",SUMPRODUCT(--ISNUMBER(SEARCH(" "&amp;SEMANTIC_BUCKETS!$A$2:$A$348&amp;" "," "&amp;B48&amp;" ")),SEMANTIC_BUCKETS!$E$2:$E$348))</f>
        <v/>
      </c>
      <c r="F48" t="str" cm="1">
        <f t="array" ref="F48">IF(OR(B48="",D48=0),"",INDEX(SEMANTIC_BUCKETS!$B$2:$B$348,MATCH(TRUE,ISNUMBER(SEARCH(" "&amp;SEMANTIC_BUCKETS!$A$2:$A$348&amp;" "," "&amp;B48&amp;" ")),0)))</f>
        <v/>
      </c>
      <c r="G48" t="str">
        <f t="shared" si="2"/>
        <v/>
      </c>
      <c r="H48" t="str" cm="1">
        <f t="array" ref="H48">IF(OR(B48="",D48=0),"",_xlfn.TEXTJOIN(", ",TRUE,IF(ISNUMBER(SEARCH(" "&amp;SEMANTIC_BUCKETS!$A$2:$A$348&amp;" "," "&amp;B48&amp;" ")),SEMANTIC_BUCKETS!$A$2:$A$348,"")))</f>
        <v/>
      </c>
    </row>
    <row r="49" spans="1:8" x14ac:dyDescent="0.3">
      <c r="A49" t="str">
        <f t="shared" si="0"/>
        <v/>
      </c>
      <c r="B49" t="str" cm="1">
        <f t="array" ref="B49">IFERROR(_xlfn.LET(_xlpm.s,$B$10,_xlpm.norm,SUBSTITUTE(SUBSTITUTE(_xlpm.s,"!","."),"?","."),_xlpm.parts,_xlfn.TEXTSPLIT(_xlpm.norm,,".",TRUE),TRIM(INDEX(_xlpm.parts,ROW()-13))),"")</f>
        <v/>
      </c>
      <c r="C49" t="str">
        <f t="shared" si="1"/>
        <v/>
      </c>
      <c r="D49" t="str" cm="1">
        <f t="array" ref="D49">IF(B49="","",SUMPRODUCT(--ISNUMBER(SEARCH(" "&amp;SEMANTIC_BUCKETS!$A$2:$A$348&amp;" "," "&amp;B49&amp;" "))))</f>
        <v/>
      </c>
      <c r="E49" t="str" cm="1">
        <f t="array" ref="E49">IF(B49="","",SUMPRODUCT(--ISNUMBER(SEARCH(" "&amp;SEMANTIC_BUCKETS!$A$2:$A$348&amp;" "," "&amp;B49&amp;" ")),SEMANTIC_BUCKETS!$E$2:$E$348))</f>
        <v/>
      </c>
      <c r="F49" t="str" cm="1">
        <f t="array" ref="F49">IF(OR(B49="",D49=0),"",INDEX(SEMANTIC_BUCKETS!$B$2:$B$348,MATCH(TRUE,ISNUMBER(SEARCH(" "&amp;SEMANTIC_BUCKETS!$A$2:$A$348&amp;" "," "&amp;B49&amp;" ")),0)))</f>
        <v/>
      </c>
      <c r="G49" t="str">
        <f t="shared" si="2"/>
        <v/>
      </c>
      <c r="H49" t="str" cm="1">
        <f t="array" ref="H49">IF(OR(B49="",D49=0),"",_xlfn.TEXTJOIN(", ",TRUE,IF(ISNUMBER(SEARCH(" "&amp;SEMANTIC_BUCKETS!$A$2:$A$348&amp;" "," "&amp;B49&amp;" ")),SEMANTIC_BUCKETS!$A$2:$A$348,"")))</f>
        <v/>
      </c>
    </row>
    <row r="50" spans="1:8" x14ac:dyDescent="0.3">
      <c r="A50" t="str">
        <f t="shared" si="0"/>
        <v/>
      </c>
      <c r="B50" t="str" cm="1">
        <f t="array" ref="B50">IFERROR(_xlfn.LET(_xlpm.s,$B$10,_xlpm.norm,SUBSTITUTE(SUBSTITUTE(_xlpm.s,"!","."),"?","."),_xlpm.parts,_xlfn.TEXTSPLIT(_xlpm.norm,,".",TRUE),TRIM(INDEX(_xlpm.parts,ROW()-13))),"")</f>
        <v/>
      </c>
      <c r="C50" t="str">
        <f t="shared" si="1"/>
        <v/>
      </c>
      <c r="D50" t="str" cm="1">
        <f t="array" ref="D50">IF(B50="","",SUMPRODUCT(--ISNUMBER(SEARCH(" "&amp;SEMANTIC_BUCKETS!$A$2:$A$348&amp;" "," "&amp;B50&amp;" "))))</f>
        <v/>
      </c>
      <c r="E50" t="str" cm="1">
        <f t="array" ref="E50">IF(B50="","",SUMPRODUCT(--ISNUMBER(SEARCH(" "&amp;SEMANTIC_BUCKETS!$A$2:$A$348&amp;" "," "&amp;B50&amp;" ")),SEMANTIC_BUCKETS!$E$2:$E$348))</f>
        <v/>
      </c>
      <c r="F50" t="str" cm="1">
        <f t="array" ref="F50">IF(OR(B50="",D50=0),"",INDEX(SEMANTIC_BUCKETS!$B$2:$B$348,MATCH(TRUE,ISNUMBER(SEARCH(" "&amp;SEMANTIC_BUCKETS!$A$2:$A$348&amp;" "," "&amp;B50&amp;" ")),0)))</f>
        <v/>
      </c>
      <c r="G50" t="str">
        <f t="shared" si="2"/>
        <v/>
      </c>
      <c r="H50" t="str" cm="1">
        <f t="array" ref="H50">IF(OR(B50="",D50=0),"",_xlfn.TEXTJOIN(", ",TRUE,IF(ISNUMBER(SEARCH(" "&amp;SEMANTIC_BUCKETS!$A$2:$A$348&amp;" "," "&amp;B50&amp;" ")),SEMANTIC_BUCKETS!$A$2:$A$348,"")))</f>
        <v/>
      </c>
    </row>
    <row r="51" spans="1:8" x14ac:dyDescent="0.3">
      <c r="A51" t="str">
        <f t="shared" si="0"/>
        <v/>
      </c>
      <c r="B51" t="str" cm="1">
        <f t="array" ref="B51">IFERROR(_xlfn.LET(_xlpm.s,$B$10,_xlpm.norm,SUBSTITUTE(SUBSTITUTE(_xlpm.s,"!","."),"?","."),_xlpm.parts,_xlfn.TEXTSPLIT(_xlpm.norm,,".",TRUE),TRIM(INDEX(_xlpm.parts,ROW()-13))),"")</f>
        <v/>
      </c>
      <c r="C51" t="str">
        <f t="shared" si="1"/>
        <v/>
      </c>
      <c r="D51" t="str" cm="1">
        <f t="array" ref="D51">IF(B51="","",SUMPRODUCT(--ISNUMBER(SEARCH(" "&amp;SEMANTIC_BUCKETS!$A$2:$A$348&amp;" "," "&amp;B51&amp;" "))))</f>
        <v/>
      </c>
      <c r="E51" t="str" cm="1">
        <f t="array" ref="E51">IF(B51="","",SUMPRODUCT(--ISNUMBER(SEARCH(" "&amp;SEMANTIC_BUCKETS!$A$2:$A$348&amp;" "," "&amp;B51&amp;" ")),SEMANTIC_BUCKETS!$E$2:$E$348))</f>
        <v/>
      </c>
      <c r="F51" t="str" cm="1">
        <f t="array" ref="F51">IF(OR(B51="",D51=0),"",INDEX(SEMANTIC_BUCKETS!$B$2:$B$348,MATCH(TRUE,ISNUMBER(SEARCH(" "&amp;SEMANTIC_BUCKETS!$A$2:$A$348&amp;" "," "&amp;B51&amp;" ")),0)))</f>
        <v/>
      </c>
      <c r="G51" t="str">
        <f t="shared" si="2"/>
        <v/>
      </c>
      <c r="H51" t="str" cm="1">
        <f t="array" ref="H51">IF(OR(B51="",D51=0),"",_xlfn.TEXTJOIN(", ",TRUE,IF(ISNUMBER(SEARCH(" "&amp;SEMANTIC_BUCKETS!$A$2:$A$348&amp;" "," "&amp;B51&amp;" ")),SEMANTIC_BUCKETS!$A$2:$A$348,"")))</f>
        <v/>
      </c>
    </row>
    <row r="52" spans="1:8" x14ac:dyDescent="0.3">
      <c r="A52" t="str">
        <f t="shared" si="0"/>
        <v/>
      </c>
      <c r="B52" t="str" cm="1">
        <f t="array" ref="B52">IFERROR(_xlfn.LET(_xlpm.s,$B$10,_xlpm.norm,SUBSTITUTE(SUBSTITUTE(_xlpm.s,"!","."),"?","."),_xlpm.parts,_xlfn.TEXTSPLIT(_xlpm.norm,,".",TRUE),TRIM(INDEX(_xlpm.parts,ROW()-13))),"")</f>
        <v/>
      </c>
      <c r="C52" t="str">
        <f t="shared" si="1"/>
        <v/>
      </c>
      <c r="D52" t="str" cm="1">
        <f t="array" ref="D52">IF(B52="","",SUMPRODUCT(--ISNUMBER(SEARCH(" "&amp;SEMANTIC_BUCKETS!$A$2:$A$348&amp;" "," "&amp;B52&amp;" "))))</f>
        <v/>
      </c>
      <c r="E52" t="str" cm="1">
        <f t="array" ref="E52">IF(B52="","",SUMPRODUCT(--ISNUMBER(SEARCH(" "&amp;SEMANTIC_BUCKETS!$A$2:$A$348&amp;" "," "&amp;B52&amp;" ")),SEMANTIC_BUCKETS!$E$2:$E$348))</f>
        <v/>
      </c>
      <c r="F52" t="str" cm="1">
        <f t="array" ref="F52">IF(OR(B52="",D52=0),"",INDEX(SEMANTIC_BUCKETS!$B$2:$B$348,MATCH(TRUE,ISNUMBER(SEARCH(" "&amp;SEMANTIC_BUCKETS!$A$2:$A$348&amp;" "," "&amp;B52&amp;" ")),0)))</f>
        <v/>
      </c>
      <c r="G52" t="str">
        <f t="shared" si="2"/>
        <v/>
      </c>
      <c r="H52" t="str" cm="1">
        <f t="array" ref="H52">IF(OR(B52="",D52=0),"",_xlfn.TEXTJOIN(", ",TRUE,IF(ISNUMBER(SEARCH(" "&amp;SEMANTIC_BUCKETS!$A$2:$A$348&amp;" "," "&amp;B52&amp;" ")),SEMANTIC_BUCKETS!$A$2:$A$348,"")))</f>
        <v/>
      </c>
    </row>
    <row r="53" spans="1:8" x14ac:dyDescent="0.3">
      <c r="A53" t="str">
        <f t="shared" si="0"/>
        <v/>
      </c>
      <c r="B53" t="str" cm="1">
        <f t="array" ref="B53">IFERROR(_xlfn.LET(_xlpm.s,$B$10,_xlpm.norm,SUBSTITUTE(SUBSTITUTE(_xlpm.s,"!","."),"?","."),_xlpm.parts,_xlfn.TEXTSPLIT(_xlpm.norm,,".",TRUE),TRIM(INDEX(_xlpm.parts,ROW()-13))),"")</f>
        <v/>
      </c>
      <c r="C53" t="str">
        <f t="shared" si="1"/>
        <v/>
      </c>
      <c r="D53" t="str" cm="1">
        <f t="array" ref="D53">IF(B53="","",SUMPRODUCT(--ISNUMBER(SEARCH(" "&amp;SEMANTIC_BUCKETS!$A$2:$A$348&amp;" "," "&amp;B53&amp;" "))))</f>
        <v/>
      </c>
      <c r="E53" t="str" cm="1">
        <f t="array" ref="E53">IF(B53="","",SUMPRODUCT(--ISNUMBER(SEARCH(" "&amp;SEMANTIC_BUCKETS!$A$2:$A$348&amp;" "," "&amp;B53&amp;" ")),SEMANTIC_BUCKETS!$E$2:$E$348))</f>
        <v/>
      </c>
      <c r="F53" t="str" cm="1">
        <f t="array" ref="F53">IF(OR(B53="",D53=0),"",INDEX(SEMANTIC_BUCKETS!$B$2:$B$348,MATCH(TRUE,ISNUMBER(SEARCH(" "&amp;SEMANTIC_BUCKETS!$A$2:$A$348&amp;" "," "&amp;B53&amp;" ")),0)))</f>
        <v/>
      </c>
      <c r="G53" t="str">
        <f t="shared" si="2"/>
        <v/>
      </c>
      <c r="H53" t="str" cm="1">
        <f t="array" ref="H53">IF(OR(B53="",D53=0),"",_xlfn.TEXTJOIN(", ",TRUE,IF(ISNUMBER(SEARCH(" "&amp;SEMANTIC_BUCKETS!$A$2:$A$348&amp;" "," "&amp;B53&amp;" ")),SEMANTIC_BUCKETS!$A$2:$A$348,"")))</f>
        <v/>
      </c>
    </row>
    <row r="54" spans="1:8" x14ac:dyDescent="0.3">
      <c r="A54" t="str">
        <f t="shared" si="0"/>
        <v/>
      </c>
      <c r="B54" t="str" cm="1">
        <f t="array" ref="B54">IFERROR(_xlfn.LET(_xlpm.s,$B$10,_xlpm.norm,SUBSTITUTE(SUBSTITUTE(_xlpm.s,"!","."),"?","."),_xlpm.parts,_xlfn.TEXTSPLIT(_xlpm.norm,,".",TRUE),TRIM(INDEX(_xlpm.parts,ROW()-13))),"")</f>
        <v/>
      </c>
      <c r="C54" t="str">
        <f t="shared" si="1"/>
        <v/>
      </c>
      <c r="D54" t="str" cm="1">
        <f t="array" ref="D54">IF(B54="","",SUMPRODUCT(--ISNUMBER(SEARCH(" "&amp;SEMANTIC_BUCKETS!$A$2:$A$348&amp;" "," "&amp;B54&amp;" "))))</f>
        <v/>
      </c>
      <c r="E54" t="str" cm="1">
        <f t="array" ref="E54">IF(B54="","",SUMPRODUCT(--ISNUMBER(SEARCH(" "&amp;SEMANTIC_BUCKETS!$A$2:$A$348&amp;" "," "&amp;B54&amp;" ")),SEMANTIC_BUCKETS!$E$2:$E$348))</f>
        <v/>
      </c>
      <c r="F54" t="str" cm="1">
        <f t="array" ref="F54">IF(OR(B54="",D54=0),"",INDEX(SEMANTIC_BUCKETS!$B$2:$B$348,MATCH(TRUE,ISNUMBER(SEARCH(" "&amp;SEMANTIC_BUCKETS!$A$2:$A$348&amp;" "," "&amp;B54&amp;" ")),0)))</f>
        <v/>
      </c>
      <c r="G54" t="str">
        <f t="shared" si="2"/>
        <v/>
      </c>
      <c r="H54" t="str" cm="1">
        <f t="array" ref="H54">IF(OR(B54="",D54=0),"",_xlfn.TEXTJOIN(", ",TRUE,IF(ISNUMBER(SEARCH(" "&amp;SEMANTIC_BUCKETS!$A$2:$A$348&amp;" "," "&amp;B54&amp;" ")),SEMANTIC_BUCKETS!$A$2:$A$348,"")))</f>
        <v/>
      </c>
    </row>
    <row r="55" spans="1:8" x14ac:dyDescent="0.3">
      <c r="A55" t="str">
        <f t="shared" si="0"/>
        <v/>
      </c>
      <c r="B55" t="str" cm="1">
        <f t="array" ref="B55">IFERROR(_xlfn.LET(_xlpm.s,$B$10,_xlpm.norm,SUBSTITUTE(SUBSTITUTE(_xlpm.s,"!","."),"?","."),_xlpm.parts,_xlfn.TEXTSPLIT(_xlpm.norm,,".",TRUE),TRIM(INDEX(_xlpm.parts,ROW()-13))),"")</f>
        <v/>
      </c>
      <c r="C55" t="str">
        <f t="shared" si="1"/>
        <v/>
      </c>
      <c r="D55" t="str" cm="1">
        <f t="array" ref="D55">IF(B55="","",SUMPRODUCT(--ISNUMBER(SEARCH(" "&amp;SEMANTIC_BUCKETS!$A$2:$A$348&amp;" "," "&amp;B55&amp;" "))))</f>
        <v/>
      </c>
      <c r="E55" t="str" cm="1">
        <f t="array" ref="E55">IF(B55="","",SUMPRODUCT(--ISNUMBER(SEARCH(" "&amp;SEMANTIC_BUCKETS!$A$2:$A$348&amp;" "," "&amp;B55&amp;" ")),SEMANTIC_BUCKETS!$E$2:$E$348))</f>
        <v/>
      </c>
      <c r="F55" t="str" cm="1">
        <f t="array" ref="F55">IF(OR(B55="",D55=0),"",INDEX(SEMANTIC_BUCKETS!$B$2:$B$348,MATCH(TRUE,ISNUMBER(SEARCH(" "&amp;SEMANTIC_BUCKETS!$A$2:$A$348&amp;" "," "&amp;B55&amp;" ")),0)))</f>
        <v/>
      </c>
      <c r="G55" t="str">
        <f t="shared" si="2"/>
        <v/>
      </c>
      <c r="H55" t="str" cm="1">
        <f t="array" ref="H55">IF(OR(B55="",D55=0),"",_xlfn.TEXTJOIN(", ",TRUE,IF(ISNUMBER(SEARCH(" "&amp;SEMANTIC_BUCKETS!$A$2:$A$348&amp;" "," "&amp;B55&amp;" ")),SEMANTIC_BUCKETS!$A$2:$A$348,"")))</f>
        <v/>
      </c>
    </row>
    <row r="56" spans="1:8" x14ac:dyDescent="0.3">
      <c r="A56" t="str">
        <f t="shared" si="0"/>
        <v/>
      </c>
      <c r="B56" t="str" cm="1">
        <f t="array" ref="B56">IFERROR(_xlfn.LET(_xlpm.s,$B$10,_xlpm.norm,SUBSTITUTE(SUBSTITUTE(_xlpm.s,"!","."),"?","."),_xlpm.parts,_xlfn.TEXTSPLIT(_xlpm.norm,,".",TRUE),TRIM(INDEX(_xlpm.parts,ROW()-13))),"")</f>
        <v/>
      </c>
      <c r="C56" t="str">
        <f t="shared" si="1"/>
        <v/>
      </c>
      <c r="D56" t="str" cm="1">
        <f t="array" ref="D56">IF(B56="","",SUMPRODUCT(--ISNUMBER(SEARCH(" "&amp;SEMANTIC_BUCKETS!$A$2:$A$348&amp;" "," "&amp;B56&amp;" "))))</f>
        <v/>
      </c>
      <c r="E56" t="str" cm="1">
        <f t="array" ref="E56">IF(B56="","",SUMPRODUCT(--ISNUMBER(SEARCH(" "&amp;SEMANTIC_BUCKETS!$A$2:$A$348&amp;" "," "&amp;B56&amp;" ")),SEMANTIC_BUCKETS!$E$2:$E$348))</f>
        <v/>
      </c>
      <c r="F56" t="str" cm="1">
        <f t="array" ref="F56">IF(OR(B56="",D56=0),"",INDEX(SEMANTIC_BUCKETS!$B$2:$B$348,MATCH(TRUE,ISNUMBER(SEARCH(" "&amp;SEMANTIC_BUCKETS!$A$2:$A$348&amp;" "," "&amp;B56&amp;" ")),0)))</f>
        <v/>
      </c>
      <c r="G56" t="str">
        <f t="shared" si="2"/>
        <v/>
      </c>
      <c r="H56" t="str" cm="1">
        <f t="array" ref="H56">IF(OR(B56="",D56=0),"",_xlfn.TEXTJOIN(", ",TRUE,IF(ISNUMBER(SEARCH(" "&amp;SEMANTIC_BUCKETS!$A$2:$A$348&amp;" "," "&amp;B56&amp;" ")),SEMANTIC_BUCKETS!$A$2:$A$348,"")))</f>
        <v/>
      </c>
    </row>
    <row r="57" spans="1:8" x14ac:dyDescent="0.3">
      <c r="A57" t="str">
        <f t="shared" si="0"/>
        <v/>
      </c>
      <c r="B57" t="str" cm="1">
        <f t="array" ref="B57">IFERROR(_xlfn.LET(_xlpm.s,$B$10,_xlpm.norm,SUBSTITUTE(SUBSTITUTE(_xlpm.s,"!","."),"?","."),_xlpm.parts,_xlfn.TEXTSPLIT(_xlpm.norm,,".",TRUE),TRIM(INDEX(_xlpm.parts,ROW()-13))),"")</f>
        <v/>
      </c>
      <c r="C57" t="str">
        <f t="shared" si="1"/>
        <v/>
      </c>
      <c r="D57" t="str" cm="1">
        <f t="array" ref="D57">IF(B57="","",SUMPRODUCT(--ISNUMBER(SEARCH(" "&amp;SEMANTIC_BUCKETS!$A$2:$A$348&amp;" "," "&amp;B57&amp;" "))))</f>
        <v/>
      </c>
      <c r="E57" t="str" cm="1">
        <f t="array" ref="E57">IF(B57="","",SUMPRODUCT(--ISNUMBER(SEARCH(" "&amp;SEMANTIC_BUCKETS!$A$2:$A$348&amp;" "," "&amp;B57&amp;" ")),SEMANTIC_BUCKETS!$E$2:$E$348))</f>
        <v/>
      </c>
      <c r="F57" t="str" cm="1">
        <f t="array" ref="F57">IF(OR(B57="",D57=0),"",INDEX(SEMANTIC_BUCKETS!$B$2:$B$348,MATCH(TRUE,ISNUMBER(SEARCH(" "&amp;SEMANTIC_BUCKETS!$A$2:$A$348&amp;" "," "&amp;B57&amp;" ")),0)))</f>
        <v/>
      </c>
      <c r="G57" t="str">
        <f t="shared" si="2"/>
        <v/>
      </c>
      <c r="H57" t="str" cm="1">
        <f t="array" ref="H57">IF(OR(B57="",D57=0),"",_xlfn.TEXTJOIN(", ",TRUE,IF(ISNUMBER(SEARCH(" "&amp;SEMANTIC_BUCKETS!$A$2:$A$348&amp;" "," "&amp;B57&amp;" ")),SEMANTIC_BUCKETS!$A$2:$A$348,"")))</f>
        <v/>
      </c>
    </row>
    <row r="58" spans="1:8" x14ac:dyDescent="0.3">
      <c r="A58" t="str">
        <f t="shared" si="0"/>
        <v/>
      </c>
      <c r="B58" t="str" cm="1">
        <f t="array" ref="B58">IFERROR(_xlfn.LET(_xlpm.s,$B$10,_xlpm.norm,SUBSTITUTE(SUBSTITUTE(_xlpm.s,"!","."),"?","."),_xlpm.parts,_xlfn.TEXTSPLIT(_xlpm.norm,,".",TRUE),TRIM(INDEX(_xlpm.parts,ROW()-13))),"")</f>
        <v/>
      </c>
      <c r="C58" t="str">
        <f t="shared" si="1"/>
        <v/>
      </c>
      <c r="D58" t="str" cm="1">
        <f t="array" ref="D58">IF(B58="","",SUMPRODUCT(--ISNUMBER(SEARCH(" "&amp;SEMANTIC_BUCKETS!$A$2:$A$348&amp;" "," "&amp;B58&amp;" "))))</f>
        <v/>
      </c>
      <c r="E58" t="str" cm="1">
        <f t="array" ref="E58">IF(B58="","",SUMPRODUCT(--ISNUMBER(SEARCH(" "&amp;SEMANTIC_BUCKETS!$A$2:$A$348&amp;" "," "&amp;B58&amp;" ")),SEMANTIC_BUCKETS!$E$2:$E$348))</f>
        <v/>
      </c>
      <c r="F58" t="str" cm="1">
        <f t="array" ref="F58">IF(OR(B58="",D58=0),"",INDEX(SEMANTIC_BUCKETS!$B$2:$B$348,MATCH(TRUE,ISNUMBER(SEARCH(" "&amp;SEMANTIC_BUCKETS!$A$2:$A$348&amp;" "," "&amp;B58&amp;" ")),0)))</f>
        <v/>
      </c>
      <c r="G58" t="str">
        <f t="shared" si="2"/>
        <v/>
      </c>
      <c r="H58" t="str" cm="1">
        <f t="array" ref="H58">IF(OR(B58="",D58=0),"",_xlfn.TEXTJOIN(", ",TRUE,IF(ISNUMBER(SEARCH(" "&amp;SEMANTIC_BUCKETS!$A$2:$A$348&amp;" "," "&amp;B58&amp;" ")),SEMANTIC_BUCKETS!$A$2:$A$348,"")))</f>
        <v/>
      </c>
    </row>
    <row r="59" spans="1:8" x14ac:dyDescent="0.3">
      <c r="A59" t="str">
        <f t="shared" si="0"/>
        <v/>
      </c>
      <c r="B59" t="str" cm="1">
        <f t="array" ref="B59">IFERROR(_xlfn.LET(_xlpm.s,$B$10,_xlpm.norm,SUBSTITUTE(SUBSTITUTE(_xlpm.s,"!","."),"?","."),_xlpm.parts,_xlfn.TEXTSPLIT(_xlpm.norm,,".",TRUE),TRIM(INDEX(_xlpm.parts,ROW()-13))),"")</f>
        <v/>
      </c>
      <c r="C59" t="str">
        <f t="shared" si="1"/>
        <v/>
      </c>
      <c r="D59" t="str" cm="1">
        <f t="array" ref="D59">IF(B59="","",SUMPRODUCT(--ISNUMBER(SEARCH(" "&amp;SEMANTIC_BUCKETS!$A$2:$A$348&amp;" "," "&amp;B59&amp;" "))))</f>
        <v/>
      </c>
      <c r="E59" t="str" cm="1">
        <f t="array" ref="E59">IF(B59="","",SUMPRODUCT(--ISNUMBER(SEARCH(" "&amp;SEMANTIC_BUCKETS!$A$2:$A$348&amp;" "," "&amp;B59&amp;" ")),SEMANTIC_BUCKETS!$E$2:$E$348))</f>
        <v/>
      </c>
      <c r="F59" t="str" cm="1">
        <f t="array" ref="F59">IF(OR(B59="",D59=0),"",INDEX(SEMANTIC_BUCKETS!$B$2:$B$348,MATCH(TRUE,ISNUMBER(SEARCH(" "&amp;SEMANTIC_BUCKETS!$A$2:$A$348&amp;" "," "&amp;B59&amp;" ")),0)))</f>
        <v/>
      </c>
      <c r="G59" t="str">
        <f t="shared" si="2"/>
        <v/>
      </c>
      <c r="H59" t="str" cm="1">
        <f t="array" ref="H59">IF(OR(B59="",D59=0),"",_xlfn.TEXTJOIN(", ",TRUE,IF(ISNUMBER(SEARCH(" "&amp;SEMANTIC_BUCKETS!$A$2:$A$348&amp;" "," "&amp;B59&amp;" ")),SEMANTIC_BUCKETS!$A$2:$A$348,"")))</f>
        <v/>
      </c>
    </row>
    <row r="60" spans="1:8" x14ac:dyDescent="0.3">
      <c r="A60" t="str">
        <f t="shared" si="0"/>
        <v/>
      </c>
      <c r="B60" t="str" cm="1">
        <f t="array" ref="B60">IFERROR(_xlfn.LET(_xlpm.s,$B$10,_xlpm.norm,SUBSTITUTE(SUBSTITUTE(_xlpm.s,"!","."),"?","."),_xlpm.parts,_xlfn.TEXTSPLIT(_xlpm.norm,,".",TRUE),TRIM(INDEX(_xlpm.parts,ROW()-13))),"")</f>
        <v/>
      </c>
      <c r="C60" t="str">
        <f t="shared" si="1"/>
        <v/>
      </c>
      <c r="D60" t="str" cm="1">
        <f t="array" ref="D60">IF(B60="","",SUMPRODUCT(--ISNUMBER(SEARCH(" "&amp;SEMANTIC_BUCKETS!$A$2:$A$348&amp;" "," "&amp;B60&amp;" "))))</f>
        <v/>
      </c>
      <c r="E60" t="str" cm="1">
        <f t="array" ref="E60">IF(B60="","",SUMPRODUCT(--ISNUMBER(SEARCH(" "&amp;SEMANTIC_BUCKETS!$A$2:$A$348&amp;" "," "&amp;B60&amp;" ")),SEMANTIC_BUCKETS!$E$2:$E$348))</f>
        <v/>
      </c>
      <c r="F60" t="str" cm="1">
        <f t="array" ref="F60">IF(OR(B60="",D60=0),"",INDEX(SEMANTIC_BUCKETS!$B$2:$B$348,MATCH(TRUE,ISNUMBER(SEARCH(" "&amp;SEMANTIC_BUCKETS!$A$2:$A$348&amp;" "," "&amp;B60&amp;" ")),0)))</f>
        <v/>
      </c>
      <c r="G60" t="str">
        <f t="shared" si="2"/>
        <v/>
      </c>
      <c r="H60" t="str" cm="1">
        <f t="array" ref="H60">IF(OR(B60="",D60=0),"",_xlfn.TEXTJOIN(", ",TRUE,IF(ISNUMBER(SEARCH(" "&amp;SEMANTIC_BUCKETS!$A$2:$A$348&amp;" "," "&amp;B60&amp;" ")),SEMANTIC_BUCKETS!$A$2:$A$348,"")))</f>
        <v/>
      </c>
    </row>
    <row r="61" spans="1:8" x14ac:dyDescent="0.3">
      <c r="A61" t="str">
        <f t="shared" si="0"/>
        <v/>
      </c>
      <c r="B61" t="str" cm="1">
        <f t="array" ref="B61">IFERROR(_xlfn.LET(_xlpm.s,$B$10,_xlpm.norm,SUBSTITUTE(SUBSTITUTE(_xlpm.s,"!","."),"?","."),_xlpm.parts,_xlfn.TEXTSPLIT(_xlpm.norm,,".",TRUE),TRIM(INDEX(_xlpm.parts,ROW()-13))),"")</f>
        <v/>
      </c>
      <c r="C61" t="str">
        <f t="shared" si="1"/>
        <v/>
      </c>
      <c r="D61" t="str" cm="1">
        <f t="array" ref="D61">IF(B61="","",SUMPRODUCT(--ISNUMBER(SEARCH(" "&amp;SEMANTIC_BUCKETS!$A$2:$A$348&amp;" "," "&amp;B61&amp;" "))))</f>
        <v/>
      </c>
      <c r="E61" t="str" cm="1">
        <f t="array" ref="E61">IF(B61="","",SUMPRODUCT(--ISNUMBER(SEARCH(" "&amp;SEMANTIC_BUCKETS!$A$2:$A$348&amp;" "," "&amp;B61&amp;" ")),SEMANTIC_BUCKETS!$E$2:$E$348))</f>
        <v/>
      </c>
      <c r="F61" t="str" cm="1">
        <f t="array" ref="F61">IF(OR(B61="",D61=0),"",INDEX(SEMANTIC_BUCKETS!$B$2:$B$348,MATCH(TRUE,ISNUMBER(SEARCH(" "&amp;SEMANTIC_BUCKETS!$A$2:$A$348&amp;" "," "&amp;B61&amp;" ")),0)))</f>
        <v/>
      </c>
      <c r="G61" t="str">
        <f t="shared" si="2"/>
        <v/>
      </c>
      <c r="H61" t="str" cm="1">
        <f t="array" ref="H61">IF(OR(B61="",D61=0),"",_xlfn.TEXTJOIN(", ",TRUE,IF(ISNUMBER(SEARCH(" "&amp;SEMANTIC_BUCKETS!$A$2:$A$348&amp;" "," "&amp;B61&amp;" ")),SEMANTIC_BUCKETS!$A$2:$A$348,"")))</f>
        <v/>
      </c>
    </row>
    <row r="62" spans="1:8" x14ac:dyDescent="0.3">
      <c r="A62" t="str">
        <f t="shared" si="0"/>
        <v/>
      </c>
      <c r="B62" t="str" cm="1">
        <f t="array" ref="B62">IFERROR(_xlfn.LET(_xlpm.s,$B$10,_xlpm.norm,SUBSTITUTE(SUBSTITUTE(_xlpm.s,"!","."),"?","."),_xlpm.parts,_xlfn.TEXTSPLIT(_xlpm.norm,,".",TRUE),TRIM(INDEX(_xlpm.parts,ROW()-13))),"")</f>
        <v/>
      </c>
      <c r="C62" t="str">
        <f t="shared" si="1"/>
        <v/>
      </c>
      <c r="D62" t="str" cm="1">
        <f t="array" ref="D62">IF(B62="","",SUMPRODUCT(--ISNUMBER(SEARCH(" "&amp;SEMANTIC_BUCKETS!$A$2:$A$348&amp;" "," "&amp;B62&amp;" "))))</f>
        <v/>
      </c>
      <c r="E62" t="str" cm="1">
        <f t="array" ref="E62">IF(B62="","",SUMPRODUCT(--ISNUMBER(SEARCH(" "&amp;SEMANTIC_BUCKETS!$A$2:$A$348&amp;" "," "&amp;B62&amp;" ")),SEMANTIC_BUCKETS!$E$2:$E$348))</f>
        <v/>
      </c>
      <c r="F62" t="str" cm="1">
        <f t="array" ref="F62">IF(OR(B62="",D62=0),"",INDEX(SEMANTIC_BUCKETS!$B$2:$B$348,MATCH(TRUE,ISNUMBER(SEARCH(" "&amp;SEMANTIC_BUCKETS!$A$2:$A$348&amp;" "," "&amp;B62&amp;" ")),0)))</f>
        <v/>
      </c>
      <c r="G62" t="str">
        <f t="shared" si="2"/>
        <v/>
      </c>
      <c r="H62" t="str" cm="1">
        <f t="array" ref="H62">IF(OR(B62="",D62=0),"",_xlfn.TEXTJOIN(", ",TRUE,IF(ISNUMBER(SEARCH(" "&amp;SEMANTIC_BUCKETS!$A$2:$A$348&amp;" "," "&amp;B62&amp;" ")),SEMANTIC_BUCKETS!$A$2:$A$348,"")))</f>
        <v/>
      </c>
    </row>
    <row r="63" spans="1:8" x14ac:dyDescent="0.3">
      <c r="A63" t="str">
        <f t="shared" si="0"/>
        <v/>
      </c>
      <c r="B63" t="str" cm="1">
        <f t="array" ref="B63">IFERROR(_xlfn.LET(_xlpm.s,$B$10,_xlpm.norm,SUBSTITUTE(SUBSTITUTE(_xlpm.s,"!","."),"?","."),_xlpm.parts,_xlfn.TEXTSPLIT(_xlpm.norm,,".",TRUE),TRIM(INDEX(_xlpm.parts,ROW()-13))),"")</f>
        <v/>
      </c>
      <c r="C63" t="str">
        <f t="shared" si="1"/>
        <v/>
      </c>
      <c r="D63" t="str" cm="1">
        <f t="array" ref="D63">IF(B63="","",SUMPRODUCT(--ISNUMBER(SEARCH(" "&amp;SEMANTIC_BUCKETS!$A$2:$A$348&amp;" "," "&amp;B63&amp;" "))))</f>
        <v/>
      </c>
      <c r="E63" t="str" cm="1">
        <f t="array" ref="E63">IF(B63="","",SUMPRODUCT(--ISNUMBER(SEARCH(" "&amp;SEMANTIC_BUCKETS!$A$2:$A$348&amp;" "," "&amp;B63&amp;" ")),SEMANTIC_BUCKETS!$E$2:$E$348))</f>
        <v/>
      </c>
      <c r="F63" t="str" cm="1">
        <f t="array" ref="F63">IF(OR(B63="",D63=0),"",INDEX(SEMANTIC_BUCKETS!$B$2:$B$348,MATCH(TRUE,ISNUMBER(SEARCH(" "&amp;SEMANTIC_BUCKETS!$A$2:$A$348&amp;" "," "&amp;B63&amp;" ")),0)))</f>
        <v/>
      </c>
      <c r="G63" t="str">
        <f t="shared" si="2"/>
        <v/>
      </c>
      <c r="H63" t="str" cm="1">
        <f t="array" ref="H63">IF(OR(B63="",D63=0),"",_xlfn.TEXTJOIN(", ",TRUE,IF(ISNUMBER(SEARCH(" "&amp;SEMANTIC_BUCKETS!$A$2:$A$348&amp;" "," "&amp;B63&amp;" ")),SEMANTIC_BUCKETS!$A$2:$A$348,"")))</f>
        <v/>
      </c>
    </row>
    <row r="64" spans="1:8" x14ac:dyDescent="0.3">
      <c r="A64" t="str">
        <f t="shared" si="0"/>
        <v/>
      </c>
      <c r="B64" t="str" cm="1">
        <f t="array" ref="B64">IFERROR(_xlfn.LET(_xlpm.s,$B$10,_xlpm.norm,SUBSTITUTE(SUBSTITUTE(_xlpm.s,"!","."),"?","."),_xlpm.parts,_xlfn.TEXTSPLIT(_xlpm.norm,,".",TRUE),TRIM(INDEX(_xlpm.parts,ROW()-13))),"")</f>
        <v/>
      </c>
      <c r="C64" t="str">
        <f t="shared" si="1"/>
        <v/>
      </c>
      <c r="D64" t="str" cm="1">
        <f t="array" ref="D64">IF(B64="","",SUMPRODUCT(--ISNUMBER(SEARCH(" "&amp;SEMANTIC_BUCKETS!$A$2:$A$348&amp;" "," "&amp;B64&amp;" "))))</f>
        <v/>
      </c>
      <c r="E64" t="str" cm="1">
        <f t="array" ref="E64">IF(B64="","",SUMPRODUCT(--ISNUMBER(SEARCH(" "&amp;SEMANTIC_BUCKETS!$A$2:$A$348&amp;" "," "&amp;B64&amp;" ")),SEMANTIC_BUCKETS!$E$2:$E$348))</f>
        <v/>
      </c>
      <c r="F64" t="str" cm="1">
        <f t="array" ref="F64">IF(OR(B64="",D64=0),"",INDEX(SEMANTIC_BUCKETS!$B$2:$B$348,MATCH(TRUE,ISNUMBER(SEARCH(" "&amp;SEMANTIC_BUCKETS!$A$2:$A$348&amp;" "," "&amp;B64&amp;" ")),0)))</f>
        <v/>
      </c>
      <c r="G64" t="str">
        <f t="shared" si="2"/>
        <v/>
      </c>
      <c r="H64" t="str" cm="1">
        <f t="array" ref="H64">IF(OR(B64="",D64=0),"",_xlfn.TEXTJOIN(", ",TRUE,IF(ISNUMBER(SEARCH(" "&amp;SEMANTIC_BUCKETS!$A$2:$A$348&amp;" "," "&amp;B64&amp;" ")),SEMANTIC_BUCKETS!$A$2:$A$348,"")))</f>
        <v/>
      </c>
    </row>
    <row r="65" spans="1:8" x14ac:dyDescent="0.3">
      <c r="A65" t="str">
        <f t="shared" si="0"/>
        <v/>
      </c>
      <c r="B65" t="str" cm="1">
        <f t="array" ref="B65">IFERROR(_xlfn.LET(_xlpm.s,$B$10,_xlpm.norm,SUBSTITUTE(SUBSTITUTE(_xlpm.s,"!","."),"?","."),_xlpm.parts,_xlfn.TEXTSPLIT(_xlpm.norm,,".",TRUE),TRIM(INDEX(_xlpm.parts,ROW()-13))),"")</f>
        <v/>
      </c>
      <c r="C65" t="str">
        <f t="shared" si="1"/>
        <v/>
      </c>
      <c r="D65" t="str" cm="1">
        <f t="array" ref="D65">IF(B65="","",SUMPRODUCT(--ISNUMBER(SEARCH(" "&amp;SEMANTIC_BUCKETS!$A$2:$A$348&amp;" "," "&amp;B65&amp;" "))))</f>
        <v/>
      </c>
      <c r="E65" t="str" cm="1">
        <f t="array" ref="E65">IF(B65="","",SUMPRODUCT(--ISNUMBER(SEARCH(" "&amp;SEMANTIC_BUCKETS!$A$2:$A$348&amp;" "," "&amp;B65&amp;" ")),SEMANTIC_BUCKETS!$E$2:$E$348))</f>
        <v/>
      </c>
      <c r="F65" t="str" cm="1">
        <f t="array" ref="F65">IF(OR(B65="",D65=0),"",INDEX(SEMANTIC_BUCKETS!$B$2:$B$348,MATCH(TRUE,ISNUMBER(SEARCH(" "&amp;SEMANTIC_BUCKETS!$A$2:$A$348&amp;" "," "&amp;B65&amp;" ")),0)))</f>
        <v/>
      </c>
      <c r="G65" t="str">
        <f t="shared" si="2"/>
        <v/>
      </c>
      <c r="H65" t="str" cm="1">
        <f t="array" ref="H65">IF(OR(B65="",D65=0),"",_xlfn.TEXTJOIN(", ",TRUE,IF(ISNUMBER(SEARCH(" "&amp;SEMANTIC_BUCKETS!$A$2:$A$348&amp;" "," "&amp;B65&amp;" ")),SEMANTIC_BUCKETS!$A$2:$A$348,"")))</f>
        <v/>
      </c>
    </row>
    <row r="66" spans="1:8" x14ac:dyDescent="0.3">
      <c r="A66" t="str">
        <f t="shared" si="0"/>
        <v/>
      </c>
      <c r="B66" t="str" cm="1">
        <f t="array" ref="B66">IFERROR(_xlfn.LET(_xlpm.s,$B$10,_xlpm.norm,SUBSTITUTE(SUBSTITUTE(_xlpm.s,"!","."),"?","."),_xlpm.parts,_xlfn.TEXTSPLIT(_xlpm.norm,,".",TRUE),TRIM(INDEX(_xlpm.parts,ROW()-13))),"")</f>
        <v/>
      </c>
      <c r="C66" t="str">
        <f t="shared" si="1"/>
        <v/>
      </c>
      <c r="D66" t="str" cm="1">
        <f t="array" ref="D66">IF(B66="","",SUMPRODUCT(--ISNUMBER(SEARCH(" "&amp;SEMANTIC_BUCKETS!$A$2:$A$348&amp;" "," "&amp;B66&amp;" "))))</f>
        <v/>
      </c>
      <c r="E66" t="str" cm="1">
        <f t="array" ref="E66">IF(B66="","",SUMPRODUCT(--ISNUMBER(SEARCH(" "&amp;SEMANTIC_BUCKETS!$A$2:$A$348&amp;" "," "&amp;B66&amp;" ")),SEMANTIC_BUCKETS!$E$2:$E$348))</f>
        <v/>
      </c>
      <c r="F66" t="str" cm="1">
        <f t="array" ref="F66">IF(OR(B66="",D66=0),"",INDEX(SEMANTIC_BUCKETS!$B$2:$B$348,MATCH(TRUE,ISNUMBER(SEARCH(" "&amp;SEMANTIC_BUCKETS!$A$2:$A$348&amp;" "," "&amp;B66&amp;" ")),0)))</f>
        <v/>
      </c>
      <c r="G66" t="str">
        <f t="shared" si="2"/>
        <v/>
      </c>
      <c r="H66" t="str" cm="1">
        <f t="array" ref="H66">IF(OR(B66="",D66=0),"",_xlfn.TEXTJOIN(", ",TRUE,IF(ISNUMBER(SEARCH(" "&amp;SEMANTIC_BUCKETS!$A$2:$A$348&amp;" "," "&amp;B66&amp;" ")),SEMANTIC_BUCKETS!$A$2:$A$348,"")))</f>
        <v/>
      </c>
    </row>
    <row r="67" spans="1:8" x14ac:dyDescent="0.3">
      <c r="A67" t="str">
        <f t="shared" si="0"/>
        <v/>
      </c>
      <c r="B67" t="str" cm="1">
        <f t="array" ref="B67">IFERROR(_xlfn.LET(_xlpm.s,$B$10,_xlpm.norm,SUBSTITUTE(SUBSTITUTE(_xlpm.s,"!","."),"?","."),_xlpm.parts,_xlfn.TEXTSPLIT(_xlpm.norm,,".",TRUE),TRIM(INDEX(_xlpm.parts,ROW()-13))),"")</f>
        <v/>
      </c>
      <c r="C67" t="str">
        <f t="shared" si="1"/>
        <v/>
      </c>
      <c r="D67" t="str" cm="1">
        <f t="array" ref="D67">IF(B67="","",SUMPRODUCT(--ISNUMBER(SEARCH(" "&amp;SEMANTIC_BUCKETS!$A$2:$A$348&amp;" "," "&amp;B67&amp;" "))))</f>
        <v/>
      </c>
      <c r="E67" t="str" cm="1">
        <f t="array" ref="E67">IF(B67="","",SUMPRODUCT(--ISNUMBER(SEARCH(" "&amp;SEMANTIC_BUCKETS!$A$2:$A$348&amp;" "," "&amp;B67&amp;" ")),SEMANTIC_BUCKETS!$E$2:$E$348))</f>
        <v/>
      </c>
      <c r="F67" t="str" cm="1">
        <f t="array" ref="F67">IF(OR(B67="",D67=0),"",INDEX(SEMANTIC_BUCKETS!$B$2:$B$348,MATCH(TRUE,ISNUMBER(SEARCH(" "&amp;SEMANTIC_BUCKETS!$A$2:$A$348&amp;" "," "&amp;B67&amp;" ")),0)))</f>
        <v/>
      </c>
      <c r="G67" t="str">
        <f t="shared" si="2"/>
        <v/>
      </c>
      <c r="H67" t="str" cm="1">
        <f t="array" ref="H67">IF(OR(B67="",D67=0),"",_xlfn.TEXTJOIN(", ",TRUE,IF(ISNUMBER(SEARCH(" "&amp;SEMANTIC_BUCKETS!$A$2:$A$348&amp;" "," "&amp;B67&amp;" ")),SEMANTIC_BUCKETS!$A$2:$A$348,"")))</f>
        <v/>
      </c>
    </row>
    <row r="68" spans="1:8" x14ac:dyDescent="0.3">
      <c r="A68" t="str">
        <f t="shared" si="0"/>
        <v/>
      </c>
      <c r="B68" t="str" cm="1">
        <f t="array" ref="B68">IFERROR(_xlfn.LET(_xlpm.s,$B$10,_xlpm.norm,SUBSTITUTE(SUBSTITUTE(_xlpm.s,"!","."),"?","."),_xlpm.parts,_xlfn.TEXTSPLIT(_xlpm.norm,,".",TRUE),TRIM(INDEX(_xlpm.parts,ROW()-13))),"")</f>
        <v/>
      </c>
      <c r="C68" t="str">
        <f t="shared" si="1"/>
        <v/>
      </c>
      <c r="D68" t="str" cm="1">
        <f t="array" ref="D68">IF(B68="","",SUMPRODUCT(--ISNUMBER(SEARCH(" "&amp;SEMANTIC_BUCKETS!$A$2:$A$348&amp;" "," "&amp;B68&amp;" "))))</f>
        <v/>
      </c>
      <c r="E68" t="str" cm="1">
        <f t="array" ref="E68">IF(B68="","",SUMPRODUCT(--ISNUMBER(SEARCH(" "&amp;SEMANTIC_BUCKETS!$A$2:$A$348&amp;" "," "&amp;B68&amp;" ")),SEMANTIC_BUCKETS!$E$2:$E$348))</f>
        <v/>
      </c>
      <c r="F68" t="str" cm="1">
        <f t="array" ref="F68">IF(OR(B68="",D68=0),"",INDEX(SEMANTIC_BUCKETS!$B$2:$B$348,MATCH(TRUE,ISNUMBER(SEARCH(" "&amp;SEMANTIC_BUCKETS!$A$2:$A$348&amp;" "," "&amp;B68&amp;" ")),0)))</f>
        <v/>
      </c>
      <c r="G68" t="str">
        <f t="shared" si="2"/>
        <v/>
      </c>
      <c r="H68" t="str" cm="1">
        <f t="array" ref="H68">IF(OR(B68="",D68=0),"",_xlfn.TEXTJOIN(", ",TRUE,IF(ISNUMBER(SEARCH(" "&amp;SEMANTIC_BUCKETS!$A$2:$A$348&amp;" "," "&amp;B68&amp;" ")),SEMANTIC_BUCKETS!$A$2:$A$348,"")))</f>
        <v/>
      </c>
    </row>
    <row r="69" spans="1:8" x14ac:dyDescent="0.3">
      <c r="A69" t="str">
        <f t="shared" si="0"/>
        <v/>
      </c>
      <c r="B69" t="str" cm="1">
        <f t="array" ref="B69">IFERROR(_xlfn.LET(_xlpm.s,$B$10,_xlpm.norm,SUBSTITUTE(SUBSTITUTE(_xlpm.s,"!","."),"?","."),_xlpm.parts,_xlfn.TEXTSPLIT(_xlpm.norm,,".",TRUE),TRIM(INDEX(_xlpm.parts,ROW()-13))),"")</f>
        <v/>
      </c>
      <c r="C69" t="str">
        <f t="shared" si="1"/>
        <v/>
      </c>
      <c r="D69" t="str" cm="1">
        <f t="array" ref="D69">IF(B69="","",SUMPRODUCT(--ISNUMBER(SEARCH(" "&amp;SEMANTIC_BUCKETS!$A$2:$A$348&amp;" "," "&amp;B69&amp;" "))))</f>
        <v/>
      </c>
      <c r="E69" t="str" cm="1">
        <f t="array" ref="E69">IF(B69="","",SUMPRODUCT(--ISNUMBER(SEARCH(" "&amp;SEMANTIC_BUCKETS!$A$2:$A$348&amp;" "," "&amp;B69&amp;" ")),SEMANTIC_BUCKETS!$E$2:$E$348))</f>
        <v/>
      </c>
      <c r="F69" t="str" cm="1">
        <f t="array" ref="F69">IF(OR(B69="",D69=0),"",INDEX(SEMANTIC_BUCKETS!$B$2:$B$348,MATCH(TRUE,ISNUMBER(SEARCH(" "&amp;SEMANTIC_BUCKETS!$A$2:$A$348&amp;" "," "&amp;B69&amp;" ")),0)))</f>
        <v/>
      </c>
      <c r="G69" t="str">
        <f t="shared" si="2"/>
        <v/>
      </c>
      <c r="H69" t="str" cm="1">
        <f t="array" ref="H69">IF(OR(B69="",D69=0),"",_xlfn.TEXTJOIN(", ",TRUE,IF(ISNUMBER(SEARCH(" "&amp;SEMANTIC_BUCKETS!$A$2:$A$348&amp;" "," "&amp;B69&amp;" ")),SEMANTIC_BUCKETS!$A$2:$A$348,"")))</f>
        <v/>
      </c>
    </row>
    <row r="70" spans="1:8" x14ac:dyDescent="0.3">
      <c r="A70" t="str">
        <f t="shared" si="0"/>
        <v/>
      </c>
      <c r="B70" t="str" cm="1">
        <f t="array" ref="B70">IFERROR(_xlfn.LET(_xlpm.s,$B$10,_xlpm.norm,SUBSTITUTE(SUBSTITUTE(_xlpm.s,"!","."),"?","."),_xlpm.parts,_xlfn.TEXTSPLIT(_xlpm.norm,,".",TRUE),TRIM(INDEX(_xlpm.parts,ROW()-13))),"")</f>
        <v/>
      </c>
      <c r="C70" t="str">
        <f t="shared" si="1"/>
        <v/>
      </c>
      <c r="D70" t="str" cm="1">
        <f t="array" ref="D70">IF(B70="","",SUMPRODUCT(--ISNUMBER(SEARCH(" "&amp;SEMANTIC_BUCKETS!$A$2:$A$348&amp;" "," "&amp;B70&amp;" "))))</f>
        <v/>
      </c>
      <c r="E70" t="str" cm="1">
        <f t="array" ref="E70">IF(B70="","",SUMPRODUCT(--ISNUMBER(SEARCH(" "&amp;SEMANTIC_BUCKETS!$A$2:$A$348&amp;" "," "&amp;B70&amp;" ")),SEMANTIC_BUCKETS!$E$2:$E$348))</f>
        <v/>
      </c>
      <c r="F70" t="str" cm="1">
        <f t="array" ref="F70">IF(OR(B70="",D70=0),"",INDEX(SEMANTIC_BUCKETS!$B$2:$B$348,MATCH(TRUE,ISNUMBER(SEARCH(" "&amp;SEMANTIC_BUCKETS!$A$2:$A$348&amp;" "," "&amp;B70&amp;" ")),0)))</f>
        <v/>
      </c>
      <c r="G70" t="str">
        <f t="shared" si="2"/>
        <v/>
      </c>
      <c r="H70" t="str" cm="1">
        <f t="array" ref="H70">IF(OR(B70="",D70=0),"",_xlfn.TEXTJOIN(", ",TRUE,IF(ISNUMBER(SEARCH(" "&amp;SEMANTIC_BUCKETS!$A$2:$A$348&amp;" "," "&amp;B70&amp;" ")),SEMANTIC_BUCKETS!$A$2:$A$348,"")))</f>
        <v/>
      </c>
    </row>
    <row r="71" spans="1:8" x14ac:dyDescent="0.3">
      <c r="A71" t="str">
        <f t="shared" si="0"/>
        <v/>
      </c>
      <c r="B71" t="str" cm="1">
        <f t="array" ref="B71">IFERROR(_xlfn.LET(_xlpm.s,$B$10,_xlpm.norm,SUBSTITUTE(SUBSTITUTE(_xlpm.s,"!","."),"?","."),_xlpm.parts,_xlfn.TEXTSPLIT(_xlpm.norm,,".",TRUE),TRIM(INDEX(_xlpm.parts,ROW()-13))),"")</f>
        <v/>
      </c>
      <c r="C71" t="str">
        <f t="shared" si="1"/>
        <v/>
      </c>
      <c r="D71" t="str" cm="1">
        <f t="array" ref="D71">IF(B71="","",SUMPRODUCT(--ISNUMBER(SEARCH(" "&amp;SEMANTIC_BUCKETS!$A$2:$A$348&amp;" "," "&amp;B71&amp;" "))))</f>
        <v/>
      </c>
      <c r="E71" t="str" cm="1">
        <f t="array" ref="E71">IF(B71="","",SUMPRODUCT(--ISNUMBER(SEARCH(" "&amp;SEMANTIC_BUCKETS!$A$2:$A$348&amp;" "," "&amp;B71&amp;" ")),SEMANTIC_BUCKETS!$E$2:$E$348))</f>
        <v/>
      </c>
      <c r="F71" t="str" cm="1">
        <f t="array" ref="F71">IF(OR(B71="",D71=0),"",INDEX(SEMANTIC_BUCKETS!$B$2:$B$348,MATCH(TRUE,ISNUMBER(SEARCH(" "&amp;SEMANTIC_BUCKETS!$A$2:$A$348&amp;" "," "&amp;B71&amp;" ")),0)))</f>
        <v/>
      </c>
      <c r="G71" t="str">
        <f t="shared" si="2"/>
        <v/>
      </c>
      <c r="H71" t="str" cm="1">
        <f t="array" ref="H71">IF(OR(B71="",D71=0),"",_xlfn.TEXTJOIN(", ",TRUE,IF(ISNUMBER(SEARCH(" "&amp;SEMANTIC_BUCKETS!$A$2:$A$348&amp;" "," "&amp;B71&amp;" ")),SEMANTIC_BUCKETS!$A$2:$A$348,"")))</f>
        <v/>
      </c>
    </row>
    <row r="72" spans="1:8" x14ac:dyDescent="0.3">
      <c r="A72" t="str">
        <f t="shared" si="0"/>
        <v/>
      </c>
      <c r="B72" t="str" cm="1">
        <f t="array" ref="B72">IFERROR(_xlfn.LET(_xlpm.s,$B$10,_xlpm.norm,SUBSTITUTE(SUBSTITUTE(_xlpm.s,"!","."),"?","."),_xlpm.parts,_xlfn.TEXTSPLIT(_xlpm.norm,,".",TRUE),TRIM(INDEX(_xlpm.parts,ROW()-13))),"")</f>
        <v/>
      </c>
      <c r="C72" t="str">
        <f t="shared" si="1"/>
        <v/>
      </c>
      <c r="D72" t="str" cm="1">
        <f t="array" ref="D72">IF(B72="","",SUMPRODUCT(--ISNUMBER(SEARCH(" "&amp;SEMANTIC_BUCKETS!$A$2:$A$348&amp;" "," "&amp;B72&amp;" "))))</f>
        <v/>
      </c>
      <c r="E72" t="str" cm="1">
        <f t="array" ref="E72">IF(B72="","",SUMPRODUCT(--ISNUMBER(SEARCH(" "&amp;SEMANTIC_BUCKETS!$A$2:$A$348&amp;" "," "&amp;B72&amp;" ")),SEMANTIC_BUCKETS!$E$2:$E$348))</f>
        <v/>
      </c>
      <c r="F72" t="str" cm="1">
        <f t="array" ref="F72">IF(OR(B72="",D72=0),"",INDEX(SEMANTIC_BUCKETS!$B$2:$B$348,MATCH(TRUE,ISNUMBER(SEARCH(" "&amp;SEMANTIC_BUCKETS!$A$2:$A$348&amp;" "," "&amp;B72&amp;" ")),0)))</f>
        <v/>
      </c>
      <c r="G72" t="str">
        <f t="shared" si="2"/>
        <v/>
      </c>
      <c r="H72" t="str" cm="1">
        <f t="array" ref="H72">IF(OR(B72="",D72=0),"",_xlfn.TEXTJOIN(", ",TRUE,IF(ISNUMBER(SEARCH(" "&amp;SEMANTIC_BUCKETS!$A$2:$A$348&amp;" "," "&amp;B72&amp;" ")),SEMANTIC_BUCKETS!$A$2:$A$348,"")))</f>
        <v/>
      </c>
    </row>
    <row r="73" spans="1:8" x14ac:dyDescent="0.3">
      <c r="A73" t="str">
        <f t="shared" si="0"/>
        <v/>
      </c>
      <c r="B73" t="str" cm="1">
        <f t="array" ref="B73">IFERROR(_xlfn.LET(_xlpm.s,$B$10,_xlpm.norm,SUBSTITUTE(SUBSTITUTE(_xlpm.s,"!","."),"?","."),_xlpm.parts,_xlfn.TEXTSPLIT(_xlpm.norm,,".",TRUE),TRIM(INDEX(_xlpm.parts,ROW()-13))),"")</f>
        <v/>
      </c>
      <c r="C73" t="str">
        <f t="shared" si="1"/>
        <v/>
      </c>
      <c r="D73" t="str" cm="1">
        <f t="array" ref="D73">IF(B73="","",SUMPRODUCT(--ISNUMBER(SEARCH(" "&amp;SEMANTIC_BUCKETS!$A$2:$A$348&amp;" "," "&amp;B73&amp;" "))))</f>
        <v/>
      </c>
      <c r="E73" t="str" cm="1">
        <f t="array" ref="E73">IF(B73="","",SUMPRODUCT(--ISNUMBER(SEARCH(" "&amp;SEMANTIC_BUCKETS!$A$2:$A$348&amp;" "," "&amp;B73&amp;" ")),SEMANTIC_BUCKETS!$E$2:$E$348))</f>
        <v/>
      </c>
      <c r="F73" t="str" cm="1">
        <f t="array" ref="F73">IF(OR(B73="",D73=0),"",INDEX(SEMANTIC_BUCKETS!$B$2:$B$348,MATCH(TRUE,ISNUMBER(SEARCH(" "&amp;SEMANTIC_BUCKETS!$A$2:$A$348&amp;" "," "&amp;B73&amp;" ")),0)))</f>
        <v/>
      </c>
      <c r="G73" t="str">
        <f t="shared" si="2"/>
        <v/>
      </c>
      <c r="H73" t="str" cm="1">
        <f t="array" ref="H73">IF(OR(B73="",D73=0),"",_xlfn.TEXTJOIN(", ",TRUE,IF(ISNUMBER(SEARCH(" "&amp;SEMANTIC_BUCKETS!$A$2:$A$348&amp;" "," "&amp;B73&amp;" ")),SEMANTIC_BUCKETS!$A$2:$A$348,"")))</f>
        <v/>
      </c>
    </row>
    <row r="74" spans="1:8" x14ac:dyDescent="0.3">
      <c r="A74" t="str">
        <f t="shared" si="0"/>
        <v/>
      </c>
      <c r="B74" t="str" cm="1">
        <f t="array" ref="B74">IFERROR(_xlfn.LET(_xlpm.s,$B$10,_xlpm.norm,SUBSTITUTE(SUBSTITUTE(_xlpm.s,"!","."),"?","."),_xlpm.parts,_xlfn.TEXTSPLIT(_xlpm.norm,,".",TRUE),TRIM(INDEX(_xlpm.parts,ROW()-13))),"")</f>
        <v/>
      </c>
      <c r="C74" t="str">
        <f t="shared" si="1"/>
        <v/>
      </c>
      <c r="D74" t="str" cm="1">
        <f t="array" ref="D74">IF(B74="","",SUMPRODUCT(--ISNUMBER(SEARCH(" "&amp;SEMANTIC_BUCKETS!$A$2:$A$348&amp;" "," "&amp;B74&amp;" "))))</f>
        <v/>
      </c>
      <c r="E74" t="str" cm="1">
        <f t="array" ref="E74">IF(B74="","",SUMPRODUCT(--ISNUMBER(SEARCH(" "&amp;SEMANTIC_BUCKETS!$A$2:$A$348&amp;" "," "&amp;B74&amp;" ")),SEMANTIC_BUCKETS!$E$2:$E$348))</f>
        <v/>
      </c>
      <c r="F74" t="str" cm="1">
        <f t="array" ref="F74">IF(OR(B74="",D74=0),"",INDEX(SEMANTIC_BUCKETS!$B$2:$B$348,MATCH(TRUE,ISNUMBER(SEARCH(" "&amp;SEMANTIC_BUCKETS!$A$2:$A$348&amp;" "," "&amp;B74&amp;" ")),0)))</f>
        <v/>
      </c>
      <c r="G74" t="str">
        <f t="shared" si="2"/>
        <v/>
      </c>
      <c r="H74" t="str" cm="1">
        <f t="array" ref="H74">IF(OR(B74="",D74=0),"",_xlfn.TEXTJOIN(", ",TRUE,IF(ISNUMBER(SEARCH(" "&amp;SEMANTIC_BUCKETS!$A$2:$A$348&amp;" "," "&amp;B74&amp;" ")),SEMANTIC_BUCKETS!$A$2:$A$348,"")))</f>
        <v/>
      </c>
    </row>
    <row r="75" spans="1:8" x14ac:dyDescent="0.3">
      <c r="A75" t="str">
        <f t="shared" si="0"/>
        <v/>
      </c>
      <c r="B75" t="str" cm="1">
        <f t="array" ref="B75">IFERROR(_xlfn.LET(_xlpm.s,$B$10,_xlpm.norm,SUBSTITUTE(SUBSTITUTE(_xlpm.s,"!","."),"?","."),_xlpm.parts,_xlfn.TEXTSPLIT(_xlpm.norm,,".",TRUE),TRIM(INDEX(_xlpm.parts,ROW()-13))),"")</f>
        <v/>
      </c>
      <c r="C75" t="str">
        <f t="shared" si="1"/>
        <v/>
      </c>
      <c r="D75" t="str" cm="1">
        <f t="array" ref="D75">IF(B75="","",SUMPRODUCT(--ISNUMBER(SEARCH(" "&amp;SEMANTIC_BUCKETS!$A$2:$A$348&amp;" "," "&amp;B75&amp;" "))))</f>
        <v/>
      </c>
      <c r="E75" t="str" cm="1">
        <f t="array" ref="E75">IF(B75="","",SUMPRODUCT(--ISNUMBER(SEARCH(" "&amp;SEMANTIC_BUCKETS!$A$2:$A$348&amp;" "," "&amp;B75&amp;" ")),SEMANTIC_BUCKETS!$E$2:$E$348))</f>
        <v/>
      </c>
      <c r="F75" t="str" cm="1">
        <f t="array" ref="F75">IF(OR(B75="",D75=0),"",INDEX(SEMANTIC_BUCKETS!$B$2:$B$348,MATCH(TRUE,ISNUMBER(SEARCH(" "&amp;SEMANTIC_BUCKETS!$A$2:$A$348&amp;" "," "&amp;B75&amp;" ")),0)))</f>
        <v/>
      </c>
      <c r="G75" t="str">
        <f t="shared" si="2"/>
        <v/>
      </c>
      <c r="H75" t="str" cm="1">
        <f t="array" ref="H75">IF(OR(B75="",D75=0),"",_xlfn.TEXTJOIN(", ",TRUE,IF(ISNUMBER(SEARCH(" "&amp;SEMANTIC_BUCKETS!$A$2:$A$348&amp;" "," "&amp;B75&amp;" ")),SEMANTIC_BUCKETS!$A$2:$A$348,"")))</f>
        <v/>
      </c>
    </row>
    <row r="76" spans="1:8" x14ac:dyDescent="0.3">
      <c r="A76" t="str">
        <f t="shared" si="0"/>
        <v/>
      </c>
      <c r="B76" t="str" cm="1">
        <f t="array" ref="B76">IFERROR(_xlfn.LET(_xlpm.s,$B$10,_xlpm.norm,SUBSTITUTE(SUBSTITUTE(_xlpm.s,"!","."),"?","."),_xlpm.parts,_xlfn.TEXTSPLIT(_xlpm.norm,,".",TRUE),TRIM(INDEX(_xlpm.parts,ROW()-13))),"")</f>
        <v/>
      </c>
      <c r="C76" t="str">
        <f t="shared" si="1"/>
        <v/>
      </c>
      <c r="D76" t="str" cm="1">
        <f t="array" ref="D76">IF(B76="","",SUMPRODUCT(--ISNUMBER(SEARCH(" "&amp;SEMANTIC_BUCKETS!$A$2:$A$348&amp;" "," "&amp;B76&amp;" "))))</f>
        <v/>
      </c>
      <c r="E76" t="str" cm="1">
        <f t="array" ref="E76">IF(B76="","",SUMPRODUCT(--ISNUMBER(SEARCH(" "&amp;SEMANTIC_BUCKETS!$A$2:$A$348&amp;" "," "&amp;B76&amp;" ")),SEMANTIC_BUCKETS!$E$2:$E$348))</f>
        <v/>
      </c>
      <c r="F76" t="str" cm="1">
        <f t="array" ref="F76">IF(OR(B76="",D76=0),"",INDEX(SEMANTIC_BUCKETS!$B$2:$B$348,MATCH(TRUE,ISNUMBER(SEARCH(" "&amp;SEMANTIC_BUCKETS!$A$2:$A$348&amp;" "," "&amp;B76&amp;" ")),0)))</f>
        <v/>
      </c>
      <c r="G76" t="str">
        <f t="shared" si="2"/>
        <v/>
      </c>
      <c r="H76" t="str" cm="1">
        <f t="array" ref="H76">IF(OR(B76="",D76=0),"",_xlfn.TEXTJOIN(", ",TRUE,IF(ISNUMBER(SEARCH(" "&amp;SEMANTIC_BUCKETS!$A$2:$A$348&amp;" "," "&amp;B76&amp;" ")),SEMANTIC_BUCKETS!$A$2:$A$348,"")))</f>
        <v/>
      </c>
    </row>
    <row r="77" spans="1:8" x14ac:dyDescent="0.3">
      <c r="A77" t="str">
        <f t="shared" si="0"/>
        <v/>
      </c>
      <c r="B77" t="str" cm="1">
        <f t="array" ref="B77">IFERROR(_xlfn.LET(_xlpm.s,$B$10,_xlpm.norm,SUBSTITUTE(SUBSTITUTE(_xlpm.s,"!","."),"?","."),_xlpm.parts,_xlfn.TEXTSPLIT(_xlpm.norm,,".",TRUE),TRIM(INDEX(_xlpm.parts,ROW()-13))),"")</f>
        <v/>
      </c>
      <c r="C77" t="str">
        <f t="shared" si="1"/>
        <v/>
      </c>
      <c r="D77" t="str" cm="1">
        <f t="array" ref="D77">IF(B77="","",SUMPRODUCT(--ISNUMBER(SEARCH(" "&amp;SEMANTIC_BUCKETS!$A$2:$A$348&amp;" "," "&amp;B77&amp;" "))))</f>
        <v/>
      </c>
      <c r="E77" t="str" cm="1">
        <f t="array" ref="E77">IF(B77="","",SUMPRODUCT(--ISNUMBER(SEARCH(" "&amp;SEMANTIC_BUCKETS!$A$2:$A$348&amp;" "," "&amp;B77&amp;" ")),SEMANTIC_BUCKETS!$E$2:$E$348))</f>
        <v/>
      </c>
      <c r="F77" t="str" cm="1">
        <f t="array" ref="F77">IF(OR(B77="",D77=0),"",INDEX(SEMANTIC_BUCKETS!$B$2:$B$348,MATCH(TRUE,ISNUMBER(SEARCH(" "&amp;SEMANTIC_BUCKETS!$A$2:$A$348&amp;" "," "&amp;B77&amp;" ")),0)))</f>
        <v/>
      </c>
      <c r="G77" t="str">
        <f t="shared" si="2"/>
        <v/>
      </c>
      <c r="H77" t="str" cm="1">
        <f t="array" ref="H77">IF(OR(B77="",D77=0),"",_xlfn.TEXTJOIN(", ",TRUE,IF(ISNUMBER(SEARCH(" "&amp;SEMANTIC_BUCKETS!$A$2:$A$348&amp;" "," "&amp;B77&amp;" ")),SEMANTIC_BUCKETS!$A$2:$A$348,"")))</f>
        <v/>
      </c>
    </row>
    <row r="78" spans="1:8" x14ac:dyDescent="0.3">
      <c r="A78" t="str">
        <f t="shared" si="0"/>
        <v/>
      </c>
      <c r="B78" t="str" cm="1">
        <f t="array" ref="B78">IFERROR(_xlfn.LET(_xlpm.s,$B$10,_xlpm.norm,SUBSTITUTE(SUBSTITUTE(_xlpm.s,"!","."),"?","."),_xlpm.parts,_xlfn.TEXTSPLIT(_xlpm.norm,,".",TRUE),TRIM(INDEX(_xlpm.parts,ROW()-13))),"")</f>
        <v/>
      </c>
      <c r="C78" t="str">
        <f t="shared" si="1"/>
        <v/>
      </c>
      <c r="D78" t="str" cm="1">
        <f t="array" ref="D78">IF(B78="","",SUMPRODUCT(--ISNUMBER(SEARCH(" "&amp;SEMANTIC_BUCKETS!$A$2:$A$348&amp;" "," "&amp;B78&amp;" "))))</f>
        <v/>
      </c>
      <c r="E78" t="str" cm="1">
        <f t="array" ref="E78">IF(B78="","",SUMPRODUCT(--ISNUMBER(SEARCH(" "&amp;SEMANTIC_BUCKETS!$A$2:$A$348&amp;" "," "&amp;B78&amp;" ")),SEMANTIC_BUCKETS!$E$2:$E$348))</f>
        <v/>
      </c>
      <c r="F78" t="str" cm="1">
        <f t="array" ref="F78">IF(OR(B78="",D78=0),"",INDEX(SEMANTIC_BUCKETS!$B$2:$B$348,MATCH(TRUE,ISNUMBER(SEARCH(" "&amp;SEMANTIC_BUCKETS!$A$2:$A$348&amp;" "," "&amp;B78&amp;" ")),0)))</f>
        <v/>
      </c>
      <c r="G78" t="str">
        <f t="shared" si="2"/>
        <v/>
      </c>
      <c r="H78" t="str" cm="1">
        <f t="array" ref="H78">IF(OR(B78="",D78=0),"",_xlfn.TEXTJOIN(", ",TRUE,IF(ISNUMBER(SEARCH(" "&amp;SEMANTIC_BUCKETS!$A$2:$A$348&amp;" "," "&amp;B78&amp;" ")),SEMANTIC_BUCKETS!$A$2:$A$348,"")))</f>
        <v/>
      </c>
    </row>
    <row r="79" spans="1:8" x14ac:dyDescent="0.3">
      <c r="A79" t="str">
        <f t="shared" ref="A79:A142" si="3">IF(B79="","",ROW()-13)</f>
        <v/>
      </c>
      <c r="B79" t="str" cm="1">
        <f t="array" ref="B79">IFERROR(_xlfn.LET(_xlpm.s,$B$10,_xlpm.norm,SUBSTITUTE(SUBSTITUTE(_xlpm.s,"!","."),"?","."),_xlpm.parts,_xlfn.TEXTSPLIT(_xlpm.norm,,".",TRUE),TRIM(INDEX(_xlpm.parts,ROW()-13))),"")</f>
        <v/>
      </c>
      <c r="C79" t="str">
        <f t="shared" ref="C79:C142" si="4">IF(B79="","",IF(TRIM(B79)="",0,LEN(TRIM(B79))-LEN(SUBSTITUTE(TRIM(B79)," ",""))+1))</f>
        <v/>
      </c>
      <c r="D79" t="str" cm="1">
        <f t="array" ref="D79">IF(B79="","",SUMPRODUCT(--ISNUMBER(SEARCH(" "&amp;SEMANTIC_BUCKETS!$A$2:$A$348&amp;" "," "&amp;B79&amp;" "))))</f>
        <v/>
      </c>
      <c r="E79" t="str" cm="1">
        <f t="array" ref="E79">IF(B79="","",SUMPRODUCT(--ISNUMBER(SEARCH(" "&amp;SEMANTIC_BUCKETS!$A$2:$A$348&amp;" "," "&amp;B79&amp;" ")),SEMANTIC_BUCKETS!$E$2:$E$348))</f>
        <v/>
      </c>
      <c r="F79" t="str" cm="1">
        <f t="array" ref="F79">IF(OR(B79="",D79=0),"",INDEX(SEMANTIC_BUCKETS!$B$2:$B$348,MATCH(TRUE,ISNUMBER(SEARCH(" "&amp;SEMANTIC_BUCKETS!$A$2:$A$348&amp;" "," "&amp;B79&amp;" ")),0)))</f>
        <v/>
      </c>
      <c r="G79" t="str">
        <f t="shared" ref="G79:G142" si="5">IF(B79="","",IF(E79&gt;=$F$9,"FAIL",IF(E79&gt;=$B$9,"WARN","PASS")))</f>
        <v/>
      </c>
      <c r="H79" t="str" cm="1">
        <f t="array" ref="H79">IF(OR(B79="",D79=0),"",_xlfn.TEXTJOIN(", ",TRUE,IF(ISNUMBER(SEARCH(" "&amp;SEMANTIC_BUCKETS!$A$2:$A$348&amp;" "," "&amp;B79&amp;" ")),SEMANTIC_BUCKETS!$A$2:$A$348,"")))</f>
        <v/>
      </c>
    </row>
    <row r="80" spans="1:8" x14ac:dyDescent="0.3">
      <c r="A80" t="str">
        <f t="shared" si="3"/>
        <v/>
      </c>
      <c r="B80" t="str" cm="1">
        <f t="array" ref="B80">IFERROR(_xlfn.LET(_xlpm.s,$B$10,_xlpm.norm,SUBSTITUTE(SUBSTITUTE(_xlpm.s,"!","."),"?","."),_xlpm.parts,_xlfn.TEXTSPLIT(_xlpm.norm,,".",TRUE),TRIM(INDEX(_xlpm.parts,ROW()-13))),"")</f>
        <v/>
      </c>
      <c r="C80" t="str">
        <f t="shared" si="4"/>
        <v/>
      </c>
      <c r="D80" t="str" cm="1">
        <f t="array" ref="D80">IF(B80="","",SUMPRODUCT(--ISNUMBER(SEARCH(" "&amp;SEMANTIC_BUCKETS!$A$2:$A$348&amp;" "," "&amp;B80&amp;" "))))</f>
        <v/>
      </c>
      <c r="E80" t="str" cm="1">
        <f t="array" ref="E80">IF(B80="","",SUMPRODUCT(--ISNUMBER(SEARCH(" "&amp;SEMANTIC_BUCKETS!$A$2:$A$348&amp;" "," "&amp;B80&amp;" ")),SEMANTIC_BUCKETS!$E$2:$E$348))</f>
        <v/>
      </c>
      <c r="F80" t="str" cm="1">
        <f t="array" ref="F80">IF(OR(B80="",D80=0),"",INDEX(SEMANTIC_BUCKETS!$B$2:$B$348,MATCH(TRUE,ISNUMBER(SEARCH(" "&amp;SEMANTIC_BUCKETS!$A$2:$A$348&amp;" "," "&amp;B80&amp;" ")),0)))</f>
        <v/>
      </c>
      <c r="G80" t="str">
        <f t="shared" si="5"/>
        <v/>
      </c>
      <c r="H80" t="str" cm="1">
        <f t="array" ref="H80">IF(OR(B80="",D80=0),"",_xlfn.TEXTJOIN(", ",TRUE,IF(ISNUMBER(SEARCH(" "&amp;SEMANTIC_BUCKETS!$A$2:$A$348&amp;" "," "&amp;B80&amp;" ")),SEMANTIC_BUCKETS!$A$2:$A$348,"")))</f>
        <v/>
      </c>
    </row>
    <row r="81" spans="1:8" x14ac:dyDescent="0.3">
      <c r="A81" t="str">
        <f t="shared" si="3"/>
        <v/>
      </c>
      <c r="B81" t="str" cm="1">
        <f t="array" ref="B81">IFERROR(_xlfn.LET(_xlpm.s,$B$10,_xlpm.norm,SUBSTITUTE(SUBSTITUTE(_xlpm.s,"!","."),"?","."),_xlpm.parts,_xlfn.TEXTSPLIT(_xlpm.norm,,".",TRUE),TRIM(INDEX(_xlpm.parts,ROW()-13))),"")</f>
        <v/>
      </c>
      <c r="C81" t="str">
        <f t="shared" si="4"/>
        <v/>
      </c>
      <c r="D81" t="str" cm="1">
        <f t="array" ref="D81">IF(B81="","",SUMPRODUCT(--ISNUMBER(SEARCH(" "&amp;SEMANTIC_BUCKETS!$A$2:$A$348&amp;" "," "&amp;B81&amp;" "))))</f>
        <v/>
      </c>
      <c r="E81" t="str" cm="1">
        <f t="array" ref="E81">IF(B81="","",SUMPRODUCT(--ISNUMBER(SEARCH(" "&amp;SEMANTIC_BUCKETS!$A$2:$A$348&amp;" "," "&amp;B81&amp;" ")),SEMANTIC_BUCKETS!$E$2:$E$348))</f>
        <v/>
      </c>
      <c r="F81" t="str" cm="1">
        <f t="array" ref="F81">IF(OR(B81="",D81=0),"",INDEX(SEMANTIC_BUCKETS!$B$2:$B$348,MATCH(TRUE,ISNUMBER(SEARCH(" "&amp;SEMANTIC_BUCKETS!$A$2:$A$348&amp;" "," "&amp;B81&amp;" ")),0)))</f>
        <v/>
      </c>
      <c r="G81" t="str">
        <f t="shared" si="5"/>
        <v/>
      </c>
      <c r="H81" t="str" cm="1">
        <f t="array" ref="H81">IF(OR(B81="",D81=0),"",_xlfn.TEXTJOIN(", ",TRUE,IF(ISNUMBER(SEARCH(" "&amp;SEMANTIC_BUCKETS!$A$2:$A$348&amp;" "," "&amp;B81&amp;" ")),SEMANTIC_BUCKETS!$A$2:$A$348,"")))</f>
        <v/>
      </c>
    </row>
    <row r="82" spans="1:8" x14ac:dyDescent="0.3">
      <c r="A82" t="str">
        <f t="shared" si="3"/>
        <v/>
      </c>
      <c r="B82" t="str" cm="1">
        <f t="array" ref="B82">IFERROR(_xlfn.LET(_xlpm.s,$B$10,_xlpm.norm,SUBSTITUTE(SUBSTITUTE(_xlpm.s,"!","."),"?","."),_xlpm.parts,_xlfn.TEXTSPLIT(_xlpm.norm,,".",TRUE),TRIM(INDEX(_xlpm.parts,ROW()-13))),"")</f>
        <v/>
      </c>
      <c r="C82" t="str">
        <f t="shared" si="4"/>
        <v/>
      </c>
      <c r="D82" t="str" cm="1">
        <f t="array" ref="D82">IF(B82="","",SUMPRODUCT(--ISNUMBER(SEARCH(" "&amp;SEMANTIC_BUCKETS!$A$2:$A$348&amp;" "," "&amp;B82&amp;" "))))</f>
        <v/>
      </c>
      <c r="E82" t="str" cm="1">
        <f t="array" ref="E82">IF(B82="","",SUMPRODUCT(--ISNUMBER(SEARCH(" "&amp;SEMANTIC_BUCKETS!$A$2:$A$348&amp;" "," "&amp;B82&amp;" ")),SEMANTIC_BUCKETS!$E$2:$E$348))</f>
        <v/>
      </c>
      <c r="F82" t="str" cm="1">
        <f t="array" ref="F82">IF(OR(B82="",D82=0),"",INDEX(SEMANTIC_BUCKETS!$B$2:$B$348,MATCH(TRUE,ISNUMBER(SEARCH(" "&amp;SEMANTIC_BUCKETS!$A$2:$A$348&amp;" "," "&amp;B82&amp;" ")),0)))</f>
        <v/>
      </c>
      <c r="G82" t="str">
        <f t="shared" si="5"/>
        <v/>
      </c>
      <c r="H82" t="str" cm="1">
        <f t="array" ref="H82">IF(OR(B82="",D82=0),"",_xlfn.TEXTJOIN(", ",TRUE,IF(ISNUMBER(SEARCH(" "&amp;SEMANTIC_BUCKETS!$A$2:$A$348&amp;" "," "&amp;B82&amp;" ")),SEMANTIC_BUCKETS!$A$2:$A$348,"")))</f>
        <v/>
      </c>
    </row>
    <row r="83" spans="1:8" x14ac:dyDescent="0.3">
      <c r="A83" t="str">
        <f t="shared" si="3"/>
        <v/>
      </c>
      <c r="B83" t="str" cm="1">
        <f t="array" ref="B83">IFERROR(_xlfn.LET(_xlpm.s,$B$10,_xlpm.norm,SUBSTITUTE(SUBSTITUTE(_xlpm.s,"!","."),"?","."),_xlpm.parts,_xlfn.TEXTSPLIT(_xlpm.norm,,".",TRUE),TRIM(INDEX(_xlpm.parts,ROW()-13))),"")</f>
        <v/>
      </c>
      <c r="C83" t="str">
        <f t="shared" si="4"/>
        <v/>
      </c>
      <c r="D83" t="str" cm="1">
        <f t="array" ref="D83">IF(B83="","",SUMPRODUCT(--ISNUMBER(SEARCH(" "&amp;SEMANTIC_BUCKETS!$A$2:$A$348&amp;" "," "&amp;B83&amp;" "))))</f>
        <v/>
      </c>
      <c r="E83" t="str" cm="1">
        <f t="array" ref="E83">IF(B83="","",SUMPRODUCT(--ISNUMBER(SEARCH(" "&amp;SEMANTIC_BUCKETS!$A$2:$A$348&amp;" "," "&amp;B83&amp;" ")),SEMANTIC_BUCKETS!$E$2:$E$348))</f>
        <v/>
      </c>
      <c r="F83" t="str" cm="1">
        <f t="array" ref="F83">IF(OR(B83="",D83=0),"",INDEX(SEMANTIC_BUCKETS!$B$2:$B$348,MATCH(TRUE,ISNUMBER(SEARCH(" "&amp;SEMANTIC_BUCKETS!$A$2:$A$348&amp;" "," "&amp;B83&amp;" ")),0)))</f>
        <v/>
      </c>
      <c r="G83" t="str">
        <f t="shared" si="5"/>
        <v/>
      </c>
      <c r="H83" t="str" cm="1">
        <f t="array" ref="H83">IF(OR(B83="",D83=0),"",_xlfn.TEXTJOIN(", ",TRUE,IF(ISNUMBER(SEARCH(" "&amp;SEMANTIC_BUCKETS!$A$2:$A$348&amp;" "," "&amp;B83&amp;" ")),SEMANTIC_BUCKETS!$A$2:$A$348,"")))</f>
        <v/>
      </c>
    </row>
    <row r="84" spans="1:8" x14ac:dyDescent="0.3">
      <c r="A84" t="str">
        <f t="shared" si="3"/>
        <v/>
      </c>
      <c r="B84" t="str" cm="1">
        <f t="array" ref="B84">IFERROR(_xlfn.LET(_xlpm.s,$B$10,_xlpm.norm,SUBSTITUTE(SUBSTITUTE(_xlpm.s,"!","."),"?","."),_xlpm.parts,_xlfn.TEXTSPLIT(_xlpm.norm,,".",TRUE),TRIM(INDEX(_xlpm.parts,ROW()-13))),"")</f>
        <v/>
      </c>
      <c r="C84" t="str">
        <f t="shared" si="4"/>
        <v/>
      </c>
      <c r="D84" t="str" cm="1">
        <f t="array" ref="D84">IF(B84="","",SUMPRODUCT(--ISNUMBER(SEARCH(" "&amp;SEMANTIC_BUCKETS!$A$2:$A$348&amp;" "," "&amp;B84&amp;" "))))</f>
        <v/>
      </c>
      <c r="E84" t="str" cm="1">
        <f t="array" ref="E84">IF(B84="","",SUMPRODUCT(--ISNUMBER(SEARCH(" "&amp;SEMANTIC_BUCKETS!$A$2:$A$348&amp;" "," "&amp;B84&amp;" ")),SEMANTIC_BUCKETS!$E$2:$E$348))</f>
        <v/>
      </c>
      <c r="F84" t="str" cm="1">
        <f t="array" ref="F84">IF(OR(B84="",D84=0),"",INDEX(SEMANTIC_BUCKETS!$B$2:$B$348,MATCH(TRUE,ISNUMBER(SEARCH(" "&amp;SEMANTIC_BUCKETS!$A$2:$A$348&amp;" "," "&amp;B84&amp;" ")),0)))</f>
        <v/>
      </c>
      <c r="G84" t="str">
        <f t="shared" si="5"/>
        <v/>
      </c>
      <c r="H84" t="str" cm="1">
        <f t="array" ref="H84">IF(OR(B84="",D84=0),"",_xlfn.TEXTJOIN(", ",TRUE,IF(ISNUMBER(SEARCH(" "&amp;SEMANTIC_BUCKETS!$A$2:$A$348&amp;" "," "&amp;B84&amp;" ")),SEMANTIC_BUCKETS!$A$2:$A$348,"")))</f>
        <v/>
      </c>
    </row>
    <row r="85" spans="1:8" x14ac:dyDescent="0.3">
      <c r="A85" t="str">
        <f t="shared" si="3"/>
        <v/>
      </c>
      <c r="B85" t="str" cm="1">
        <f t="array" ref="B85">IFERROR(_xlfn.LET(_xlpm.s,$B$10,_xlpm.norm,SUBSTITUTE(SUBSTITUTE(_xlpm.s,"!","."),"?","."),_xlpm.parts,_xlfn.TEXTSPLIT(_xlpm.norm,,".",TRUE),TRIM(INDEX(_xlpm.parts,ROW()-13))),"")</f>
        <v/>
      </c>
      <c r="C85" t="str">
        <f t="shared" si="4"/>
        <v/>
      </c>
      <c r="D85" t="str" cm="1">
        <f t="array" ref="D85">IF(B85="","",SUMPRODUCT(--ISNUMBER(SEARCH(" "&amp;SEMANTIC_BUCKETS!$A$2:$A$348&amp;" "," "&amp;B85&amp;" "))))</f>
        <v/>
      </c>
      <c r="E85" t="str" cm="1">
        <f t="array" ref="E85">IF(B85="","",SUMPRODUCT(--ISNUMBER(SEARCH(" "&amp;SEMANTIC_BUCKETS!$A$2:$A$348&amp;" "," "&amp;B85&amp;" ")),SEMANTIC_BUCKETS!$E$2:$E$348))</f>
        <v/>
      </c>
      <c r="F85" t="str" cm="1">
        <f t="array" ref="F85">IF(OR(B85="",D85=0),"",INDEX(SEMANTIC_BUCKETS!$B$2:$B$348,MATCH(TRUE,ISNUMBER(SEARCH(" "&amp;SEMANTIC_BUCKETS!$A$2:$A$348&amp;" "," "&amp;B85&amp;" ")),0)))</f>
        <v/>
      </c>
      <c r="G85" t="str">
        <f t="shared" si="5"/>
        <v/>
      </c>
      <c r="H85" t="str" cm="1">
        <f t="array" ref="H85">IF(OR(B85="",D85=0),"",_xlfn.TEXTJOIN(", ",TRUE,IF(ISNUMBER(SEARCH(" "&amp;SEMANTIC_BUCKETS!$A$2:$A$348&amp;" "," "&amp;B85&amp;" ")),SEMANTIC_BUCKETS!$A$2:$A$348,"")))</f>
        <v/>
      </c>
    </row>
    <row r="86" spans="1:8" x14ac:dyDescent="0.3">
      <c r="A86" t="str">
        <f t="shared" si="3"/>
        <v/>
      </c>
      <c r="B86" t="str" cm="1">
        <f t="array" ref="B86">IFERROR(_xlfn.LET(_xlpm.s,$B$10,_xlpm.norm,SUBSTITUTE(SUBSTITUTE(_xlpm.s,"!","."),"?","."),_xlpm.parts,_xlfn.TEXTSPLIT(_xlpm.norm,,".",TRUE),TRIM(INDEX(_xlpm.parts,ROW()-13))),"")</f>
        <v/>
      </c>
      <c r="C86" t="str">
        <f t="shared" si="4"/>
        <v/>
      </c>
      <c r="D86" t="str" cm="1">
        <f t="array" ref="D86">IF(B86="","",SUMPRODUCT(--ISNUMBER(SEARCH(" "&amp;SEMANTIC_BUCKETS!$A$2:$A$348&amp;" "," "&amp;B86&amp;" "))))</f>
        <v/>
      </c>
      <c r="E86" t="str" cm="1">
        <f t="array" ref="E86">IF(B86="","",SUMPRODUCT(--ISNUMBER(SEARCH(" "&amp;SEMANTIC_BUCKETS!$A$2:$A$348&amp;" "," "&amp;B86&amp;" ")),SEMANTIC_BUCKETS!$E$2:$E$348))</f>
        <v/>
      </c>
      <c r="F86" t="str" cm="1">
        <f t="array" ref="F86">IF(OR(B86="",D86=0),"",INDEX(SEMANTIC_BUCKETS!$B$2:$B$348,MATCH(TRUE,ISNUMBER(SEARCH(" "&amp;SEMANTIC_BUCKETS!$A$2:$A$348&amp;" "," "&amp;B86&amp;" ")),0)))</f>
        <v/>
      </c>
      <c r="G86" t="str">
        <f t="shared" si="5"/>
        <v/>
      </c>
      <c r="H86" t="str" cm="1">
        <f t="array" ref="H86">IF(OR(B86="",D86=0),"",_xlfn.TEXTJOIN(", ",TRUE,IF(ISNUMBER(SEARCH(" "&amp;SEMANTIC_BUCKETS!$A$2:$A$348&amp;" "," "&amp;B86&amp;" ")),SEMANTIC_BUCKETS!$A$2:$A$348,"")))</f>
        <v/>
      </c>
    </row>
    <row r="87" spans="1:8" x14ac:dyDescent="0.3">
      <c r="A87" t="str">
        <f t="shared" si="3"/>
        <v/>
      </c>
      <c r="B87" t="str" cm="1">
        <f t="array" ref="B87">IFERROR(_xlfn.LET(_xlpm.s,$B$10,_xlpm.norm,SUBSTITUTE(SUBSTITUTE(_xlpm.s,"!","."),"?","."),_xlpm.parts,_xlfn.TEXTSPLIT(_xlpm.norm,,".",TRUE),TRIM(INDEX(_xlpm.parts,ROW()-13))),"")</f>
        <v/>
      </c>
      <c r="C87" t="str">
        <f t="shared" si="4"/>
        <v/>
      </c>
      <c r="D87" t="str" cm="1">
        <f t="array" ref="D87">IF(B87="","",SUMPRODUCT(--ISNUMBER(SEARCH(" "&amp;SEMANTIC_BUCKETS!$A$2:$A$348&amp;" "," "&amp;B87&amp;" "))))</f>
        <v/>
      </c>
      <c r="E87" t="str" cm="1">
        <f t="array" ref="E87">IF(B87="","",SUMPRODUCT(--ISNUMBER(SEARCH(" "&amp;SEMANTIC_BUCKETS!$A$2:$A$348&amp;" "," "&amp;B87&amp;" ")),SEMANTIC_BUCKETS!$E$2:$E$348))</f>
        <v/>
      </c>
      <c r="F87" t="str" cm="1">
        <f t="array" ref="F87">IF(OR(B87="",D87=0),"",INDEX(SEMANTIC_BUCKETS!$B$2:$B$348,MATCH(TRUE,ISNUMBER(SEARCH(" "&amp;SEMANTIC_BUCKETS!$A$2:$A$348&amp;" "," "&amp;B87&amp;" ")),0)))</f>
        <v/>
      </c>
      <c r="G87" t="str">
        <f t="shared" si="5"/>
        <v/>
      </c>
      <c r="H87" t="str" cm="1">
        <f t="array" ref="H87">IF(OR(B87="",D87=0),"",_xlfn.TEXTJOIN(", ",TRUE,IF(ISNUMBER(SEARCH(" "&amp;SEMANTIC_BUCKETS!$A$2:$A$348&amp;" "," "&amp;B87&amp;" ")),SEMANTIC_BUCKETS!$A$2:$A$348,"")))</f>
        <v/>
      </c>
    </row>
    <row r="88" spans="1:8" x14ac:dyDescent="0.3">
      <c r="A88" t="str">
        <f t="shared" si="3"/>
        <v/>
      </c>
      <c r="B88" t="str" cm="1">
        <f t="array" ref="B88">IFERROR(_xlfn.LET(_xlpm.s,$B$10,_xlpm.norm,SUBSTITUTE(SUBSTITUTE(_xlpm.s,"!","."),"?","."),_xlpm.parts,_xlfn.TEXTSPLIT(_xlpm.norm,,".",TRUE),TRIM(INDEX(_xlpm.parts,ROW()-13))),"")</f>
        <v/>
      </c>
      <c r="C88" t="str">
        <f t="shared" si="4"/>
        <v/>
      </c>
      <c r="D88" t="str" cm="1">
        <f t="array" ref="D88">IF(B88="","",SUMPRODUCT(--ISNUMBER(SEARCH(" "&amp;SEMANTIC_BUCKETS!$A$2:$A$348&amp;" "," "&amp;B88&amp;" "))))</f>
        <v/>
      </c>
      <c r="E88" t="str" cm="1">
        <f t="array" ref="E88">IF(B88="","",SUMPRODUCT(--ISNUMBER(SEARCH(" "&amp;SEMANTIC_BUCKETS!$A$2:$A$348&amp;" "," "&amp;B88&amp;" ")),SEMANTIC_BUCKETS!$E$2:$E$348))</f>
        <v/>
      </c>
      <c r="F88" t="str" cm="1">
        <f t="array" ref="F88">IF(OR(B88="",D88=0),"",INDEX(SEMANTIC_BUCKETS!$B$2:$B$348,MATCH(TRUE,ISNUMBER(SEARCH(" "&amp;SEMANTIC_BUCKETS!$A$2:$A$348&amp;" "," "&amp;B88&amp;" ")),0)))</f>
        <v/>
      </c>
      <c r="G88" t="str">
        <f t="shared" si="5"/>
        <v/>
      </c>
      <c r="H88" t="str" cm="1">
        <f t="array" ref="H88">IF(OR(B88="",D88=0),"",_xlfn.TEXTJOIN(", ",TRUE,IF(ISNUMBER(SEARCH(" "&amp;SEMANTIC_BUCKETS!$A$2:$A$348&amp;" "," "&amp;B88&amp;" ")),SEMANTIC_BUCKETS!$A$2:$A$348,"")))</f>
        <v/>
      </c>
    </row>
    <row r="89" spans="1:8" x14ac:dyDescent="0.3">
      <c r="A89" t="str">
        <f t="shared" si="3"/>
        <v/>
      </c>
      <c r="B89" t="str" cm="1">
        <f t="array" ref="B89">IFERROR(_xlfn.LET(_xlpm.s,$B$10,_xlpm.norm,SUBSTITUTE(SUBSTITUTE(_xlpm.s,"!","."),"?","."),_xlpm.parts,_xlfn.TEXTSPLIT(_xlpm.norm,,".",TRUE),TRIM(INDEX(_xlpm.parts,ROW()-13))),"")</f>
        <v/>
      </c>
      <c r="C89" t="str">
        <f t="shared" si="4"/>
        <v/>
      </c>
      <c r="D89" t="str" cm="1">
        <f t="array" ref="D89">IF(B89="","",SUMPRODUCT(--ISNUMBER(SEARCH(" "&amp;SEMANTIC_BUCKETS!$A$2:$A$348&amp;" "," "&amp;B89&amp;" "))))</f>
        <v/>
      </c>
      <c r="E89" t="str" cm="1">
        <f t="array" ref="E89">IF(B89="","",SUMPRODUCT(--ISNUMBER(SEARCH(" "&amp;SEMANTIC_BUCKETS!$A$2:$A$348&amp;" "," "&amp;B89&amp;" ")),SEMANTIC_BUCKETS!$E$2:$E$348))</f>
        <v/>
      </c>
      <c r="F89" t="str" cm="1">
        <f t="array" ref="F89">IF(OR(B89="",D89=0),"",INDEX(SEMANTIC_BUCKETS!$B$2:$B$348,MATCH(TRUE,ISNUMBER(SEARCH(" "&amp;SEMANTIC_BUCKETS!$A$2:$A$348&amp;" "," "&amp;B89&amp;" ")),0)))</f>
        <v/>
      </c>
      <c r="G89" t="str">
        <f t="shared" si="5"/>
        <v/>
      </c>
      <c r="H89" t="str" cm="1">
        <f t="array" ref="H89">IF(OR(B89="",D89=0),"",_xlfn.TEXTJOIN(", ",TRUE,IF(ISNUMBER(SEARCH(" "&amp;SEMANTIC_BUCKETS!$A$2:$A$348&amp;" "," "&amp;B89&amp;" ")),SEMANTIC_BUCKETS!$A$2:$A$348,"")))</f>
        <v/>
      </c>
    </row>
    <row r="90" spans="1:8" x14ac:dyDescent="0.3">
      <c r="A90" t="str">
        <f t="shared" si="3"/>
        <v/>
      </c>
      <c r="B90" t="str" cm="1">
        <f t="array" ref="B90">IFERROR(_xlfn.LET(_xlpm.s,$B$10,_xlpm.norm,SUBSTITUTE(SUBSTITUTE(_xlpm.s,"!","."),"?","."),_xlpm.parts,_xlfn.TEXTSPLIT(_xlpm.norm,,".",TRUE),TRIM(INDEX(_xlpm.parts,ROW()-13))),"")</f>
        <v/>
      </c>
      <c r="C90" t="str">
        <f t="shared" si="4"/>
        <v/>
      </c>
      <c r="D90" t="str" cm="1">
        <f t="array" ref="D90">IF(B90="","",SUMPRODUCT(--ISNUMBER(SEARCH(" "&amp;SEMANTIC_BUCKETS!$A$2:$A$348&amp;" "," "&amp;B90&amp;" "))))</f>
        <v/>
      </c>
      <c r="E90" t="str" cm="1">
        <f t="array" ref="E90">IF(B90="","",SUMPRODUCT(--ISNUMBER(SEARCH(" "&amp;SEMANTIC_BUCKETS!$A$2:$A$348&amp;" "," "&amp;B90&amp;" ")),SEMANTIC_BUCKETS!$E$2:$E$348))</f>
        <v/>
      </c>
      <c r="F90" t="str" cm="1">
        <f t="array" ref="F90">IF(OR(B90="",D90=0),"",INDEX(SEMANTIC_BUCKETS!$B$2:$B$348,MATCH(TRUE,ISNUMBER(SEARCH(" "&amp;SEMANTIC_BUCKETS!$A$2:$A$348&amp;" "," "&amp;B90&amp;" ")),0)))</f>
        <v/>
      </c>
      <c r="G90" t="str">
        <f t="shared" si="5"/>
        <v/>
      </c>
      <c r="H90" t="str" cm="1">
        <f t="array" ref="H90">IF(OR(B90="",D90=0),"",_xlfn.TEXTJOIN(", ",TRUE,IF(ISNUMBER(SEARCH(" "&amp;SEMANTIC_BUCKETS!$A$2:$A$348&amp;" "," "&amp;B90&amp;" ")),SEMANTIC_BUCKETS!$A$2:$A$348,"")))</f>
        <v/>
      </c>
    </row>
    <row r="91" spans="1:8" x14ac:dyDescent="0.3">
      <c r="A91" t="str">
        <f t="shared" si="3"/>
        <v/>
      </c>
      <c r="B91" t="str" cm="1">
        <f t="array" ref="B91">IFERROR(_xlfn.LET(_xlpm.s,$B$10,_xlpm.norm,SUBSTITUTE(SUBSTITUTE(_xlpm.s,"!","."),"?","."),_xlpm.parts,_xlfn.TEXTSPLIT(_xlpm.norm,,".",TRUE),TRIM(INDEX(_xlpm.parts,ROW()-13))),"")</f>
        <v/>
      </c>
      <c r="C91" t="str">
        <f t="shared" si="4"/>
        <v/>
      </c>
      <c r="D91" t="str" cm="1">
        <f t="array" ref="D91">IF(B91="","",SUMPRODUCT(--ISNUMBER(SEARCH(" "&amp;SEMANTIC_BUCKETS!$A$2:$A$348&amp;" "," "&amp;B91&amp;" "))))</f>
        <v/>
      </c>
      <c r="E91" t="str" cm="1">
        <f t="array" ref="E91">IF(B91="","",SUMPRODUCT(--ISNUMBER(SEARCH(" "&amp;SEMANTIC_BUCKETS!$A$2:$A$348&amp;" "," "&amp;B91&amp;" ")),SEMANTIC_BUCKETS!$E$2:$E$348))</f>
        <v/>
      </c>
      <c r="F91" t="str" cm="1">
        <f t="array" ref="F91">IF(OR(B91="",D91=0),"",INDEX(SEMANTIC_BUCKETS!$B$2:$B$348,MATCH(TRUE,ISNUMBER(SEARCH(" "&amp;SEMANTIC_BUCKETS!$A$2:$A$348&amp;" "," "&amp;B91&amp;" ")),0)))</f>
        <v/>
      </c>
      <c r="G91" t="str">
        <f t="shared" si="5"/>
        <v/>
      </c>
      <c r="H91" t="str" cm="1">
        <f t="array" ref="H91">IF(OR(B91="",D91=0),"",_xlfn.TEXTJOIN(", ",TRUE,IF(ISNUMBER(SEARCH(" "&amp;SEMANTIC_BUCKETS!$A$2:$A$348&amp;" "," "&amp;B91&amp;" ")),SEMANTIC_BUCKETS!$A$2:$A$348,"")))</f>
        <v/>
      </c>
    </row>
    <row r="92" spans="1:8" x14ac:dyDescent="0.3">
      <c r="A92" t="str">
        <f t="shared" si="3"/>
        <v/>
      </c>
      <c r="B92" t="str" cm="1">
        <f t="array" ref="B92">IFERROR(_xlfn.LET(_xlpm.s,$B$10,_xlpm.norm,SUBSTITUTE(SUBSTITUTE(_xlpm.s,"!","."),"?","."),_xlpm.parts,_xlfn.TEXTSPLIT(_xlpm.norm,,".",TRUE),TRIM(INDEX(_xlpm.parts,ROW()-13))),"")</f>
        <v/>
      </c>
      <c r="C92" t="str">
        <f t="shared" si="4"/>
        <v/>
      </c>
      <c r="D92" t="str" cm="1">
        <f t="array" ref="D92">IF(B92="","",SUMPRODUCT(--ISNUMBER(SEARCH(" "&amp;SEMANTIC_BUCKETS!$A$2:$A$348&amp;" "," "&amp;B92&amp;" "))))</f>
        <v/>
      </c>
      <c r="E92" t="str" cm="1">
        <f t="array" ref="E92">IF(B92="","",SUMPRODUCT(--ISNUMBER(SEARCH(" "&amp;SEMANTIC_BUCKETS!$A$2:$A$348&amp;" "," "&amp;B92&amp;" ")),SEMANTIC_BUCKETS!$E$2:$E$348))</f>
        <v/>
      </c>
      <c r="F92" t="str" cm="1">
        <f t="array" ref="F92">IF(OR(B92="",D92=0),"",INDEX(SEMANTIC_BUCKETS!$B$2:$B$348,MATCH(TRUE,ISNUMBER(SEARCH(" "&amp;SEMANTIC_BUCKETS!$A$2:$A$348&amp;" "," "&amp;B92&amp;" ")),0)))</f>
        <v/>
      </c>
      <c r="G92" t="str">
        <f t="shared" si="5"/>
        <v/>
      </c>
      <c r="H92" t="str" cm="1">
        <f t="array" ref="H92">IF(OR(B92="",D92=0),"",_xlfn.TEXTJOIN(", ",TRUE,IF(ISNUMBER(SEARCH(" "&amp;SEMANTIC_BUCKETS!$A$2:$A$348&amp;" "," "&amp;B92&amp;" ")),SEMANTIC_BUCKETS!$A$2:$A$348,"")))</f>
        <v/>
      </c>
    </row>
    <row r="93" spans="1:8" x14ac:dyDescent="0.3">
      <c r="A93" t="str">
        <f t="shared" si="3"/>
        <v/>
      </c>
      <c r="B93" t="str" cm="1">
        <f t="array" ref="B93">IFERROR(_xlfn.LET(_xlpm.s,$B$10,_xlpm.norm,SUBSTITUTE(SUBSTITUTE(_xlpm.s,"!","."),"?","."),_xlpm.parts,_xlfn.TEXTSPLIT(_xlpm.norm,,".",TRUE),TRIM(INDEX(_xlpm.parts,ROW()-13))),"")</f>
        <v/>
      </c>
      <c r="C93" t="str">
        <f t="shared" si="4"/>
        <v/>
      </c>
      <c r="D93" t="str" cm="1">
        <f t="array" ref="D93">IF(B93="","",SUMPRODUCT(--ISNUMBER(SEARCH(" "&amp;SEMANTIC_BUCKETS!$A$2:$A$348&amp;" "," "&amp;B93&amp;" "))))</f>
        <v/>
      </c>
      <c r="E93" t="str" cm="1">
        <f t="array" ref="E93">IF(B93="","",SUMPRODUCT(--ISNUMBER(SEARCH(" "&amp;SEMANTIC_BUCKETS!$A$2:$A$348&amp;" "," "&amp;B93&amp;" ")),SEMANTIC_BUCKETS!$E$2:$E$348))</f>
        <v/>
      </c>
      <c r="F93" t="str" cm="1">
        <f t="array" ref="F93">IF(OR(B93="",D93=0),"",INDEX(SEMANTIC_BUCKETS!$B$2:$B$348,MATCH(TRUE,ISNUMBER(SEARCH(" "&amp;SEMANTIC_BUCKETS!$A$2:$A$348&amp;" "," "&amp;B93&amp;" ")),0)))</f>
        <v/>
      </c>
      <c r="G93" t="str">
        <f t="shared" si="5"/>
        <v/>
      </c>
      <c r="H93" t="str" cm="1">
        <f t="array" ref="H93">IF(OR(B93="",D93=0),"",_xlfn.TEXTJOIN(", ",TRUE,IF(ISNUMBER(SEARCH(" "&amp;SEMANTIC_BUCKETS!$A$2:$A$348&amp;" "," "&amp;B93&amp;" ")),SEMANTIC_BUCKETS!$A$2:$A$348,"")))</f>
        <v/>
      </c>
    </row>
    <row r="94" spans="1:8" x14ac:dyDescent="0.3">
      <c r="A94" t="str">
        <f t="shared" si="3"/>
        <v/>
      </c>
      <c r="B94" t="str" cm="1">
        <f t="array" ref="B94">IFERROR(_xlfn.LET(_xlpm.s,$B$10,_xlpm.norm,SUBSTITUTE(SUBSTITUTE(_xlpm.s,"!","."),"?","."),_xlpm.parts,_xlfn.TEXTSPLIT(_xlpm.norm,,".",TRUE),TRIM(INDEX(_xlpm.parts,ROW()-13))),"")</f>
        <v/>
      </c>
      <c r="C94" t="str">
        <f t="shared" si="4"/>
        <v/>
      </c>
      <c r="D94" t="str" cm="1">
        <f t="array" ref="D94">IF(B94="","",SUMPRODUCT(--ISNUMBER(SEARCH(" "&amp;SEMANTIC_BUCKETS!$A$2:$A$348&amp;" "," "&amp;B94&amp;" "))))</f>
        <v/>
      </c>
      <c r="E94" t="str" cm="1">
        <f t="array" ref="E94">IF(B94="","",SUMPRODUCT(--ISNUMBER(SEARCH(" "&amp;SEMANTIC_BUCKETS!$A$2:$A$348&amp;" "," "&amp;B94&amp;" ")),SEMANTIC_BUCKETS!$E$2:$E$348))</f>
        <v/>
      </c>
      <c r="F94" t="str" cm="1">
        <f t="array" ref="F94">IF(OR(B94="",D94=0),"",INDEX(SEMANTIC_BUCKETS!$B$2:$B$348,MATCH(TRUE,ISNUMBER(SEARCH(" "&amp;SEMANTIC_BUCKETS!$A$2:$A$348&amp;" "," "&amp;B94&amp;" ")),0)))</f>
        <v/>
      </c>
      <c r="G94" t="str">
        <f t="shared" si="5"/>
        <v/>
      </c>
      <c r="H94" t="str" cm="1">
        <f t="array" ref="H94">IF(OR(B94="",D94=0),"",_xlfn.TEXTJOIN(", ",TRUE,IF(ISNUMBER(SEARCH(" "&amp;SEMANTIC_BUCKETS!$A$2:$A$348&amp;" "," "&amp;B94&amp;" ")),SEMANTIC_BUCKETS!$A$2:$A$348,"")))</f>
        <v/>
      </c>
    </row>
    <row r="95" spans="1:8" x14ac:dyDescent="0.3">
      <c r="A95" t="str">
        <f t="shared" si="3"/>
        <v/>
      </c>
      <c r="B95" t="str" cm="1">
        <f t="array" ref="B95">IFERROR(_xlfn.LET(_xlpm.s,$B$10,_xlpm.norm,SUBSTITUTE(SUBSTITUTE(_xlpm.s,"!","."),"?","."),_xlpm.parts,_xlfn.TEXTSPLIT(_xlpm.norm,,".",TRUE),TRIM(INDEX(_xlpm.parts,ROW()-13))),"")</f>
        <v/>
      </c>
      <c r="C95" t="str">
        <f t="shared" si="4"/>
        <v/>
      </c>
      <c r="D95" t="str" cm="1">
        <f t="array" ref="D95">IF(B95="","",SUMPRODUCT(--ISNUMBER(SEARCH(" "&amp;SEMANTIC_BUCKETS!$A$2:$A$348&amp;" "," "&amp;B95&amp;" "))))</f>
        <v/>
      </c>
      <c r="E95" t="str" cm="1">
        <f t="array" ref="E95">IF(B95="","",SUMPRODUCT(--ISNUMBER(SEARCH(" "&amp;SEMANTIC_BUCKETS!$A$2:$A$348&amp;" "," "&amp;B95&amp;" ")),SEMANTIC_BUCKETS!$E$2:$E$348))</f>
        <v/>
      </c>
      <c r="F95" t="str" cm="1">
        <f t="array" ref="F95">IF(OR(B95="",D95=0),"",INDEX(SEMANTIC_BUCKETS!$B$2:$B$348,MATCH(TRUE,ISNUMBER(SEARCH(" "&amp;SEMANTIC_BUCKETS!$A$2:$A$348&amp;" "," "&amp;B95&amp;" ")),0)))</f>
        <v/>
      </c>
      <c r="G95" t="str">
        <f t="shared" si="5"/>
        <v/>
      </c>
      <c r="H95" t="str" cm="1">
        <f t="array" ref="H95">IF(OR(B95="",D95=0),"",_xlfn.TEXTJOIN(", ",TRUE,IF(ISNUMBER(SEARCH(" "&amp;SEMANTIC_BUCKETS!$A$2:$A$348&amp;" "," "&amp;B95&amp;" ")),SEMANTIC_BUCKETS!$A$2:$A$348,"")))</f>
        <v/>
      </c>
    </row>
    <row r="96" spans="1:8" x14ac:dyDescent="0.3">
      <c r="A96" t="str">
        <f t="shared" si="3"/>
        <v/>
      </c>
      <c r="B96" t="str" cm="1">
        <f t="array" ref="B96">IFERROR(_xlfn.LET(_xlpm.s,$B$10,_xlpm.norm,SUBSTITUTE(SUBSTITUTE(_xlpm.s,"!","."),"?","."),_xlpm.parts,_xlfn.TEXTSPLIT(_xlpm.norm,,".",TRUE),TRIM(INDEX(_xlpm.parts,ROW()-13))),"")</f>
        <v/>
      </c>
      <c r="C96" t="str">
        <f t="shared" si="4"/>
        <v/>
      </c>
      <c r="D96" t="str" cm="1">
        <f t="array" ref="D96">IF(B96="","",SUMPRODUCT(--ISNUMBER(SEARCH(" "&amp;SEMANTIC_BUCKETS!$A$2:$A$348&amp;" "," "&amp;B96&amp;" "))))</f>
        <v/>
      </c>
      <c r="E96" t="str" cm="1">
        <f t="array" ref="E96">IF(B96="","",SUMPRODUCT(--ISNUMBER(SEARCH(" "&amp;SEMANTIC_BUCKETS!$A$2:$A$348&amp;" "," "&amp;B96&amp;" ")),SEMANTIC_BUCKETS!$E$2:$E$348))</f>
        <v/>
      </c>
      <c r="F96" t="str" cm="1">
        <f t="array" ref="F96">IF(OR(B96="",D96=0),"",INDEX(SEMANTIC_BUCKETS!$B$2:$B$348,MATCH(TRUE,ISNUMBER(SEARCH(" "&amp;SEMANTIC_BUCKETS!$A$2:$A$348&amp;" "," "&amp;B96&amp;" ")),0)))</f>
        <v/>
      </c>
      <c r="G96" t="str">
        <f t="shared" si="5"/>
        <v/>
      </c>
      <c r="H96" t="str" cm="1">
        <f t="array" ref="H96">IF(OR(B96="",D96=0),"",_xlfn.TEXTJOIN(", ",TRUE,IF(ISNUMBER(SEARCH(" "&amp;SEMANTIC_BUCKETS!$A$2:$A$348&amp;" "," "&amp;B96&amp;" ")),SEMANTIC_BUCKETS!$A$2:$A$348,"")))</f>
        <v/>
      </c>
    </row>
    <row r="97" spans="1:8" x14ac:dyDescent="0.3">
      <c r="A97" t="str">
        <f t="shared" si="3"/>
        <v/>
      </c>
      <c r="B97" t="str" cm="1">
        <f t="array" ref="B97">IFERROR(_xlfn.LET(_xlpm.s,$B$10,_xlpm.norm,SUBSTITUTE(SUBSTITUTE(_xlpm.s,"!","."),"?","."),_xlpm.parts,_xlfn.TEXTSPLIT(_xlpm.norm,,".",TRUE),TRIM(INDEX(_xlpm.parts,ROW()-13))),"")</f>
        <v/>
      </c>
      <c r="C97" t="str">
        <f t="shared" si="4"/>
        <v/>
      </c>
      <c r="D97" t="str" cm="1">
        <f t="array" ref="D97">IF(B97="","",SUMPRODUCT(--ISNUMBER(SEARCH(" "&amp;SEMANTIC_BUCKETS!$A$2:$A$348&amp;" "," "&amp;B97&amp;" "))))</f>
        <v/>
      </c>
      <c r="E97" t="str" cm="1">
        <f t="array" ref="E97">IF(B97="","",SUMPRODUCT(--ISNUMBER(SEARCH(" "&amp;SEMANTIC_BUCKETS!$A$2:$A$348&amp;" "," "&amp;B97&amp;" ")),SEMANTIC_BUCKETS!$E$2:$E$348))</f>
        <v/>
      </c>
      <c r="F97" t="str" cm="1">
        <f t="array" ref="F97">IF(OR(B97="",D97=0),"",INDEX(SEMANTIC_BUCKETS!$B$2:$B$348,MATCH(TRUE,ISNUMBER(SEARCH(" "&amp;SEMANTIC_BUCKETS!$A$2:$A$348&amp;" "," "&amp;B97&amp;" ")),0)))</f>
        <v/>
      </c>
      <c r="G97" t="str">
        <f t="shared" si="5"/>
        <v/>
      </c>
      <c r="H97" t="str" cm="1">
        <f t="array" ref="H97">IF(OR(B97="",D97=0),"",_xlfn.TEXTJOIN(", ",TRUE,IF(ISNUMBER(SEARCH(" "&amp;SEMANTIC_BUCKETS!$A$2:$A$348&amp;" "," "&amp;B97&amp;" ")),SEMANTIC_BUCKETS!$A$2:$A$348,"")))</f>
        <v/>
      </c>
    </row>
    <row r="98" spans="1:8" x14ac:dyDescent="0.3">
      <c r="A98" t="str">
        <f t="shared" si="3"/>
        <v/>
      </c>
      <c r="B98" t="str" cm="1">
        <f t="array" ref="B98">IFERROR(_xlfn.LET(_xlpm.s,$B$10,_xlpm.norm,SUBSTITUTE(SUBSTITUTE(_xlpm.s,"!","."),"?","."),_xlpm.parts,_xlfn.TEXTSPLIT(_xlpm.norm,,".",TRUE),TRIM(INDEX(_xlpm.parts,ROW()-13))),"")</f>
        <v/>
      </c>
      <c r="C98" t="str">
        <f t="shared" si="4"/>
        <v/>
      </c>
      <c r="D98" t="str" cm="1">
        <f t="array" ref="D98">IF(B98="","",SUMPRODUCT(--ISNUMBER(SEARCH(" "&amp;SEMANTIC_BUCKETS!$A$2:$A$348&amp;" "," "&amp;B98&amp;" "))))</f>
        <v/>
      </c>
      <c r="E98" t="str" cm="1">
        <f t="array" ref="E98">IF(B98="","",SUMPRODUCT(--ISNUMBER(SEARCH(" "&amp;SEMANTIC_BUCKETS!$A$2:$A$348&amp;" "," "&amp;B98&amp;" ")),SEMANTIC_BUCKETS!$E$2:$E$348))</f>
        <v/>
      </c>
      <c r="F98" t="str" cm="1">
        <f t="array" ref="F98">IF(OR(B98="",D98=0),"",INDEX(SEMANTIC_BUCKETS!$B$2:$B$348,MATCH(TRUE,ISNUMBER(SEARCH(" "&amp;SEMANTIC_BUCKETS!$A$2:$A$348&amp;" "," "&amp;B98&amp;" ")),0)))</f>
        <v/>
      </c>
      <c r="G98" t="str">
        <f t="shared" si="5"/>
        <v/>
      </c>
      <c r="H98" t="str" cm="1">
        <f t="array" ref="H98">IF(OR(B98="",D98=0),"",_xlfn.TEXTJOIN(", ",TRUE,IF(ISNUMBER(SEARCH(" "&amp;SEMANTIC_BUCKETS!$A$2:$A$348&amp;" "," "&amp;B98&amp;" ")),SEMANTIC_BUCKETS!$A$2:$A$348,"")))</f>
        <v/>
      </c>
    </row>
    <row r="99" spans="1:8" x14ac:dyDescent="0.3">
      <c r="A99" t="str">
        <f t="shared" si="3"/>
        <v/>
      </c>
      <c r="B99" t="str" cm="1">
        <f t="array" ref="B99">IFERROR(_xlfn.LET(_xlpm.s,$B$10,_xlpm.norm,SUBSTITUTE(SUBSTITUTE(_xlpm.s,"!","."),"?","."),_xlpm.parts,_xlfn.TEXTSPLIT(_xlpm.norm,,".",TRUE),TRIM(INDEX(_xlpm.parts,ROW()-13))),"")</f>
        <v/>
      </c>
      <c r="C99" t="str">
        <f t="shared" si="4"/>
        <v/>
      </c>
      <c r="D99" t="str" cm="1">
        <f t="array" ref="D99">IF(B99="","",SUMPRODUCT(--ISNUMBER(SEARCH(" "&amp;SEMANTIC_BUCKETS!$A$2:$A$348&amp;" "," "&amp;B99&amp;" "))))</f>
        <v/>
      </c>
      <c r="E99" t="str" cm="1">
        <f t="array" ref="E99">IF(B99="","",SUMPRODUCT(--ISNUMBER(SEARCH(" "&amp;SEMANTIC_BUCKETS!$A$2:$A$348&amp;" "," "&amp;B99&amp;" ")),SEMANTIC_BUCKETS!$E$2:$E$348))</f>
        <v/>
      </c>
      <c r="F99" t="str" cm="1">
        <f t="array" ref="F99">IF(OR(B99="",D99=0),"",INDEX(SEMANTIC_BUCKETS!$B$2:$B$348,MATCH(TRUE,ISNUMBER(SEARCH(" "&amp;SEMANTIC_BUCKETS!$A$2:$A$348&amp;" "," "&amp;B99&amp;" ")),0)))</f>
        <v/>
      </c>
      <c r="G99" t="str">
        <f t="shared" si="5"/>
        <v/>
      </c>
      <c r="H99" t="str" cm="1">
        <f t="array" ref="H99">IF(OR(B99="",D99=0),"",_xlfn.TEXTJOIN(", ",TRUE,IF(ISNUMBER(SEARCH(" "&amp;SEMANTIC_BUCKETS!$A$2:$A$348&amp;" "," "&amp;B99&amp;" ")),SEMANTIC_BUCKETS!$A$2:$A$348,"")))</f>
        <v/>
      </c>
    </row>
    <row r="100" spans="1:8" x14ac:dyDescent="0.3">
      <c r="A100" t="str">
        <f t="shared" si="3"/>
        <v/>
      </c>
      <c r="B100" t="str" cm="1">
        <f t="array" ref="B100">IFERROR(_xlfn.LET(_xlpm.s,$B$10,_xlpm.norm,SUBSTITUTE(SUBSTITUTE(_xlpm.s,"!","."),"?","."),_xlpm.parts,_xlfn.TEXTSPLIT(_xlpm.norm,,".",TRUE),TRIM(INDEX(_xlpm.parts,ROW()-13))),"")</f>
        <v/>
      </c>
      <c r="C100" t="str">
        <f t="shared" si="4"/>
        <v/>
      </c>
      <c r="D100" t="str" cm="1">
        <f t="array" ref="D100">IF(B100="","",SUMPRODUCT(--ISNUMBER(SEARCH(" "&amp;SEMANTIC_BUCKETS!$A$2:$A$348&amp;" "," "&amp;B100&amp;" "))))</f>
        <v/>
      </c>
      <c r="E100" t="str" cm="1">
        <f t="array" ref="E100">IF(B100="","",SUMPRODUCT(--ISNUMBER(SEARCH(" "&amp;SEMANTIC_BUCKETS!$A$2:$A$348&amp;" "," "&amp;B100&amp;" ")),SEMANTIC_BUCKETS!$E$2:$E$348))</f>
        <v/>
      </c>
      <c r="F100" t="str" cm="1">
        <f t="array" ref="F100">IF(OR(B100="",D100=0),"",INDEX(SEMANTIC_BUCKETS!$B$2:$B$348,MATCH(TRUE,ISNUMBER(SEARCH(" "&amp;SEMANTIC_BUCKETS!$A$2:$A$348&amp;" "," "&amp;B100&amp;" ")),0)))</f>
        <v/>
      </c>
      <c r="G100" t="str">
        <f t="shared" si="5"/>
        <v/>
      </c>
      <c r="H100" t="str" cm="1">
        <f t="array" ref="H100">IF(OR(B100="",D100=0),"",_xlfn.TEXTJOIN(", ",TRUE,IF(ISNUMBER(SEARCH(" "&amp;SEMANTIC_BUCKETS!$A$2:$A$348&amp;" "," "&amp;B100&amp;" ")),SEMANTIC_BUCKETS!$A$2:$A$348,"")))</f>
        <v/>
      </c>
    </row>
    <row r="101" spans="1:8" x14ac:dyDescent="0.3">
      <c r="A101" t="str">
        <f t="shared" si="3"/>
        <v/>
      </c>
      <c r="B101" t="str" cm="1">
        <f t="array" ref="B101">IFERROR(_xlfn.LET(_xlpm.s,$B$10,_xlpm.norm,SUBSTITUTE(SUBSTITUTE(_xlpm.s,"!","."),"?","."),_xlpm.parts,_xlfn.TEXTSPLIT(_xlpm.norm,,".",TRUE),TRIM(INDEX(_xlpm.parts,ROW()-13))),"")</f>
        <v/>
      </c>
      <c r="C101" t="str">
        <f t="shared" si="4"/>
        <v/>
      </c>
      <c r="D101" t="str" cm="1">
        <f t="array" ref="D101">IF(B101="","",SUMPRODUCT(--ISNUMBER(SEARCH(" "&amp;SEMANTIC_BUCKETS!$A$2:$A$348&amp;" "," "&amp;B101&amp;" "))))</f>
        <v/>
      </c>
      <c r="E101" t="str" cm="1">
        <f t="array" ref="E101">IF(B101="","",SUMPRODUCT(--ISNUMBER(SEARCH(" "&amp;SEMANTIC_BUCKETS!$A$2:$A$348&amp;" "," "&amp;B101&amp;" ")),SEMANTIC_BUCKETS!$E$2:$E$348))</f>
        <v/>
      </c>
      <c r="F101" t="str" cm="1">
        <f t="array" ref="F101">IF(OR(B101="",D101=0),"",INDEX(SEMANTIC_BUCKETS!$B$2:$B$348,MATCH(TRUE,ISNUMBER(SEARCH(" "&amp;SEMANTIC_BUCKETS!$A$2:$A$348&amp;" "," "&amp;B101&amp;" ")),0)))</f>
        <v/>
      </c>
      <c r="G101" t="str">
        <f t="shared" si="5"/>
        <v/>
      </c>
      <c r="H101" t="str" cm="1">
        <f t="array" ref="H101">IF(OR(B101="",D101=0),"",_xlfn.TEXTJOIN(", ",TRUE,IF(ISNUMBER(SEARCH(" "&amp;SEMANTIC_BUCKETS!$A$2:$A$348&amp;" "," "&amp;B101&amp;" ")),SEMANTIC_BUCKETS!$A$2:$A$348,"")))</f>
        <v/>
      </c>
    </row>
    <row r="102" spans="1:8" x14ac:dyDescent="0.3">
      <c r="A102" t="str">
        <f t="shared" si="3"/>
        <v/>
      </c>
      <c r="B102" t="str" cm="1">
        <f t="array" ref="B102">IFERROR(_xlfn.LET(_xlpm.s,$B$10,_xlpm.norm,SUBSTITUTE(SUBSTITUTE(_xlpm.s,"!","."),"?","."),_xlpm.parts,_xlfn.TEXTSPLIT(_xlpm.norm,,".",TRUE),TRIM(INDEX(_xlpm.parts,ROW()-13))),"")</f>
        <v/>
      </c>
      <c r="C102" t="str">
        <f t="shared" si="4"/>
        <v/>
      </c>
      <c r="D102" t="str" cm="1">
        <f t="array" ref="D102">IF(B102="","",SUMPRODUCT(--ISNUMBER(SEARCH(" "&amp;SEMANTIC_BUCKETS!$A$2:$A$348&amp;" "," "&amp;B102&amp;" "))))</f>
        <v/>
      </c>
      <c r="E102" t="str" cm="1">
        <f t="array" ref="E102">IF(B102="","",SUMPRODUCT(--ISNUMBER(SEARCH(" "&amp;SEMANTIC_BUCKETS!$A$2:$A$348&amp;" "," "&amp;B102&amp;" ")),SEMANTIC_BUCKETS!$E$2:$E$348))</f>
        <v/>
      </c>
      <c r="F102" t="str" cm="1">
        <f t="array" ref="F102">IF(OR(B102="",D102=0),"",INDEX(SEMANTIC_BUCKETS!$B$2:$B$348,MATCH(TRUE,ISNUMBER(SEARCH(" "&amp;SEMANTIC_BUCKETS!$A$2:$A$348&amp;" "," "&amp;B102&amp;" ")),0)))</f>
        <v/>
      </c>
      <c r="G102" t="str">
        <f t="shared" si="5"/>
        <v/>
      </c>
      <c r="H102" t="str" cm="1">
        <f t="array" ref="H102">IF(OR(B102="",D102=0),"",_xlfn.TEXTJOIN(", ",TRUE,IF(ISNUMBER(SEARCH(" "&amp;SEMANTIC_BUCKETS!$A$2:$A$348&amp;" "," "&amp;B102&amp;" ")),SEMANTIC_BUCKETS!$A$2:$A$348,"")))</f>
        <v/>
      </c>
    </row>
    <row r="103" spans="1:8" x14ac:dyDescent="0.3">
      <c r="A103" t="str">
        <f t="shared" si="3"/>
        <v/>
      </c>
      <c r="B103" t="str" cm="1">
        <f t="array" ref="B103">IFERROR(_xlfn.LET(_xlpm.s,$B$10,_xlpm.norm,SUBSTITUTE(SUBSTITUTE(_xlpm.s,"!","."),"?","."),_xlpm.parts,_xlfn.TEXTSPLIT(_xlpm.norm,,".",TRUE),TRIM(INDEX(_xlpm.parts,ROW()-13))),"")</f>
        <v/>
      </c>
      <c r="C103" t="str">
        <f t="shared" si="4"/>
        <v/>
      </c>
      <c r="D103" t="str" cm="1">
        <f t="array" ref="D103">IF(B103="","",SUMPRODUCT(--ISNUMBER(SEARCH(" "&amp;SEMANTIC_BUCKETS!$A$2:$A$348&amp;" "," "&amp;B103&amp;" "))))</f>
        <v/>
      </c>
      <c r="E103" t="str" cm="1">
        <f t="array" ref="E103">IF(B103="","",SUMPRODUCT(--ISNUMBER(SEARCH(" "&amp;SEMANTIC_BUCKETS!$A$2:$A$348&amp;" "," "&amp;B103&amp;" ")),SEMANTIC_BUCKETS!$E$2:$E$348))</f>
        <v/>
      </c>
      <c r="F103" t="str" cm="1">
        <f t="array" ref="F103">IF(OR(B103="",D103=0),"",INDEX(SEMANTIC_BUCKETS!$B$2:$B$348,MATCH(TRUE,ISNUMBER(SEARCH(" "&amp;SEMANTIC_BUCKETS!$A$2:$A$348&amp;" "," "&amp;B103&amp;" ")),0)))</f>
        <v/>
      </c>
      <c r="G103" t="str">
        <f t="shared" si="5"/>
        <v/>
      </c>
      <c r="H103" t="str" cm="1">
        <f t="array" ref="H103">IF(OR(B103="",D103=0),"",_xlfn.TEXTJOIN(", ",TRUE,IF(ISNUMBER(SEARCH(" "&amp;SEMANTIC_BUCKETS!$A$2:$A$348&amp;" "," "&amp;B103&amp;" ")),SEMANTIC_BUCKETS!$A$2:$A$348,"")))</f>
        <v/>
      </c>
    </row>
    <row r="104" spans="1:8" x14ac:dyDescent="0.3">
      <c r="A104" t="str">
        <f t="shared" si="3"/>
        <v/>
      </c>
      <c r="B104" t="str" cm="1">
        <f t="array" ref="B104">IFERROR(_xlfn.LET(_xlpm.s,$B$10,_xlpm.norm,SUBSTITUTE(SUBSTITUTE(_xlpm.s,"!","."),"?","."),_xlpm.parts,_xlfn.TEXTSPLIT(_xlpm.norm,,".",TRUE),TRIM(INDEX(_xlpm.parts,ROW()-13))),"")</f>
        <v/>
      </c>
      <c r="C104" t="str">
        <f t="shared" si="4"/>
        <v/>
      </c>
      <c r="D104" t="str" cm="1">
        <f t="array" ref="D104">IF(B104="","",SUMPRODUCT(--ISNUMBER(SEARCH(" "&amp;SEMANTIC_BUCKETS!$A$2:$A$348&amp;" "," "&amp;B104&amp;" "))))</f>
        <v/>
      </c>
      <c r="E104" t="str" cm="1">
        <f t="array" ref="E104">IF(B104="","",SUMPRODUCT(--ISNUMBER(SEARCH(" "&amp;SEMANTIC_BUCKETS!$A$2:$A$348&amp;" "," "&amp;B104&amp;" ")),SEMANTIC_BUCKETS!$E$2:$E$348))</f>
        <v/>
      </c>
      <c r="F104" t="str" cm="1">
        <f t="array" ref="F104">IF(OR(B104="",D104=0),"",INDEX(SEMANTIC_BUCKETS!$B$2:$B$348,MATCH(TRUE,ISNUMBER(SEARCH(" "&amp;SEMANTIC_BUCKETS!$A$2:$A$348&amp;" "," "&amp;B104&amp;" ")),0)))</f>
        <v/>
      </c>
      <c r="G104" t="str">
        <f t="shared" si="5"/>
        <v/>
      </c>
      <c r="H104" t="str" cm="1">
        <f t="array" ref="H104">IF(OR(B104="",D104=0),"",_xlfn.TEXTJOIN(", ",TRUE,IF(ISNUMBER(SEARCH(" "&amp;SEMANTIC_BUCKETS!$A$2:$A$348&amp;" "," "&amp;B104&amp;" ")),SEMANTIC_BUCKETS!$A$2:$A$348,"")))</f>
        <v/>
      </c>
    </row>
    <row r="105" spans="1:8" x14ac:dyDescent="0.3">
      <c r="A105" t="str">
        <f t="shared" si="3"/>
        <v/>
      </c>
      <c r="B105" t="str" cm="1">
        <f t="array" ref="B105">IFERROR(_xlfn.LET(_xlpm.s,$B$10,_xlpm.norm,SUBSTITUTE(SUBSTITUTE(_xlpm.s,"!","."),"?","."),_xlpm.parts,_xlfn.TEXTSPLIT(_xlpm.norm,,".",TRUE),TRIM(INDEX(_xlpm.parts,ROW()-13))),"")</f>
        <v/>
      </c>
      <c r="C105" t="str">
        <f t="shared" si="4"/>
        <v/>
      </c>
      <c r="D105" t="str" cm="1">
        <f t="array" ref="D105">IF(B105="","",SUMPRODUCT(--ISNUMBER(SEARCH(" "&amp;SEMANTIC_BUCKETS!$A$2:$A$348&amp;" "," "&amp;B105&amp;" "))))</f>
        <v/>
      </c>
      <c r="E105" t="str" cm="1">
        <f t="array" ref="E105">IF(B105="","",SUMPRODUCT(--ISNUMBER(SEARCH(" "&amp;SEMANTIC_BUCKETS!$A$2:$A$348&amp;" "," "&amp;B105&amp;" ")),SEMANTIC_BUCKETS!$E$2:$E$348))</f>
        <v/>
      </c>
      <c r="F105" t="str" cm="1">
        <f t="array" ref="F105">IF(OR(B105="",D105=0),"",INDEX(SEMANTIC_BUCKETS!$B$2:$B$348,MATCH(TRUE,ISNUMBER(SEARCH(" "&amp;SEMANTIC_BUCKETS!$A$2:$A$348&amp;" "," "&amp;B105&amp;" ")),0)))</f>
        <v/>
      </c>
      <c r="G105" t="str">
        <f t="shared" si="5"/>
        <v/>
      </c>
      <c r="H105" t="str" cm="1">
        <f t="array" ref="H105">IF(OR(B105="",D105=0),"",_xlfn.TEXTJOIN(", ",TRUE,IF(ISNUMBER(SEARCH(" "&amp;SEMANTIC_BUCKETS!$A$2:$A$348&amp;" "," "&amp;B105&amp;" ")),SEMANTIC_BUCKETS!$A$2:$A$348,"")))</f>
        <v/>
      </c>
    </row>
    <row r="106" spans="1:8" x14ac:dyDescent="0.3">
      <c r="A106" t="str">
        <f t="shared" si="3"/>
        <v/>
      </c>
      <c r="B106" t="str" cm="1">
        <f t="array" ref="B106">IFERROR(_xlfn.LET(_xlpm.s,$B$10,_xlpm.norm,SUBSTITUTE(SUBSTITUTE(_xlpm.s,"!","."),"?","."),_xlpm.parts,_xlfn.TEXTSPLIT(_xlpm.norm,,".",TRUE),TRIM(INDEX(_xlpm.parts,ROW()-13))),"")</f>
        <v/>
      </c>
      <c r="C106" t="str">
        <f t="shared" si="4"/>
        <v/>
      </c>
      <c r="D106" t="str" cm="1">
        <f t="array" ref="D106">IF(B106="","",SUMPRODUCT(--ISNUMBER(SEARCH(" "&amp;SEMANTIC_BUCKETS!$A$2:$A$348&amp;" "," "&amp;B106&amp;" "))))</f>
        <v/>
      </c>
      <c r="E106" t="str" cm="1">
        <f t="array" ref="E106">IF(B106="","",SUMPRODUCT(--ISNUMBER(SEARCH(" "&amp;SEMANTIC_BUCKETS!$A$2:$A$348&amp;" "," "&amp;B106&amp;" ")),SEMANTIC_BUCKETS!$E$2:$E$348))</f>
        <v/>
      </c>
      <c r="F106" t="str" cm="1">
        <f t="array" ref="F106">IF(OR(B106="",D106=0),"",INDEX(SEMANTIC_BUCKETS!$B$2:$B$348,MATCH(TRUE,ISNUMBER(SEARCH(" "&amp;SEMANTIC_BUCKETS!$A$2:$A$348&amp;" "," "&amp;B106&amp;" ")),0)))</f>
        <v/>
      </c>
      <c r="G106" t="str">
        <f t="shared" si="5"/>
        <v/>
      </c>
      <c r="H106" t="str" cm="1">
        <f t="array" ref="H106">IF(OR(B106="",D106=0),"",_xlfn.TEXTJOIN(", ",TRUE,IF(ISNUMBER(SEARCH(" "&amp;SEMANTIC_BUCKETS!$A$2:$A$348&amp;" "," "&amp;B106&amp;" ")),SEMANTIC_BUCKETS!$A$2:$A$348,"")))</f>
        <v/>
      </c>
    </row>
    <row r="107" spans="1:8" x14ac:dyDescent="0.3">
      <c r="A107" t="str">
        <f t="shared" si="3"/>
        <v/>
      </c>
      <c r="B107" t="str" cm="1">
        <f t="array" ref="B107">IFERROR(_xlfn.LET(_xlpm.s,$B$10,_xlpm.norm,SUBSTITUTE(SUBSTITUTE(_xlpm.s,"!","."),"?","."),_xlpm.parts,_xlfn.TEXTSPLIT(_xlpm.norm,,".",TRUE),TRIM(INDEX(_xlpm.parts,ROW()-13))),"")</f>
        <v/>
      </c>
      <c r="C107" t="str">
        <f t="shared" si="4"/>
        <v/>
      </c>
      <c r="D107" t="str" cm="1">
        <f t="array" ref="D107">IF(B107="","",SUMPRODUCT(--ISNUMBER(SEARCH(" "&amp;SEMANTIC_BUCKETS!$A$2:$A$348&amp;" "," "&amp;B107&amp;" "))))</f>
        <v/>
      </c>
      <c r="E107" t="str" cm="1">
        <f t="array" ref="E107">IF(B107="","",SUMPRODUCT(--ISNUMBER(SEARCH(" "&amp;SEMANTIC_BUCKETS!$A$2:$A$348&amp;" "," "&amp;B107&amp;" ")),SEMANTIC_BUCKETS!$E$2:$E$348))</f>
        <v/>
      </c>
      <c r="F107" t="str" cm="1">
        <f t="array" ref="F107">IF(OR(B107="",D107=0),"",INDEX(SEMANTIC_BUCKETS!$B$2:$B$348,MATCH(TRUE,ISNUMBER(SEARCH(" "&amp;SEMANTIC_BUCKETS!$A$2:$A$348&amp;" "," "&amp;B107&amp;" ")),0)))</f>
        <v/>
      </c>
      <c r="G107" t="str">
        <f t="shared" si="5"/>
        <v/>
      </c>
      <c r="H107" t="str" cm="1">
        <f t="array" ref="H107">IF(OR(B107="",D107=0),"",_xlfn.TEXTJOIN(", ",TRUE,IF(ISNUMBER(SEARCH(" "&amp;SEMANTIC_BUCKETS!$A$2:$A$348&amp;" "," "&amp;B107&amp;" ")),SEMANTIC_BUCKETS!$A$2:$A$348,"")))</f>
        <v/>
      </c>
    </row>
    <row r="108" spans="1:8" x14ac:dyDescent="0.3">
      <c r="A108" t="str">
        <f t="shared" si="3"/>
        <v/>
      </c>
      <c r="B108" t="str" cm="1">
        <f t="array" ref="B108">IFERROR(_xlfn.LET(_xlpm.s,$B$10,_xlpm.norm,SUBSTITUTE(SUBSTITUTE(_xlpm.s,"!","."),"?","."),_xlpm.parts,_xlfn.TEXTSPLIT(_xlpm.norm,,".",TRUE),TRIM(INDEX(_xlpm.parts,ROW()-13))),"")</f>
        <v/>
      </c>
      <c r="C108" t="str">
        <f t="shared" si="4"/>
        <v/>
      </c>
      <c r="D108" t="str" cm="1">
        <f t="array" ref="D108">IF(B108="","",SUMPRODUCT(--ISNUMBER(SEARCH(" "&amp;SEMANTIC_BUCKETS!$A$2:$A$348&amp;" "," "&amp;B108&amp;" "))))</f>
        <v/>
      </c>
      <c r="E108" t="str" cm="1">
        <f t="array" ref="E108">IF(B108="","",SUMPRODUCT(--ISNUMBER(SEARCH(" "&amp;SEMANTIC_BUCKETS!$A$2:$A$348&amp;" "," "&amp;B108&amp;" ")),SEMANTIC_BUCKETS!$E$2:$E$348))</f>
        <v/>
      </c>
      <c r="F108" t="str" cm="1">
        <f t="array" ref="F108">IF(OR(B108="",D108=0),"",INDEX(SEMANTIC_BUCKETS!$B$2:$B$348,MATCH(TRUE,ISNUMBER(SEARCH(" "&amp;SEMANTIC_BUCKETS!$A$2:$A$348&amp;" "," "&amp;B108&amp;" ")),0)))</f>
        <v/>
      </c>
      <c r="G108" t="str">
        <f t="shared" si="5"/>
        <v/>
      </c>
      <c r="H108" t="str" cm="1">
        <f t="array" ref="H108">IF(OR(B108="",D108=0),"",_xlfn.TEXTJOIN(", ",TRUE,IF(ISNUMBER(SEARCH(" "&amp;SEMANTIC_BUCKETS!$A$2:$A$348&amp;" "," "&amp;B108&amp;" ")),SEMANTIC_BUCKETS!$A$2:$A$348,"")))</f>
        <v/>
      </c>
    </row>
    <row r="109" spans="1:8" x14ac:dyDescent="0.3">
      <c r="A109" t="str">
        <f t="shared" si="3"/>
        <v/>
      </c>
      <c r="B109" t="str" cm="1">
        <f t="array" ref="B109">IFERROR(_xlfn.LET(_xlpm.s,$B$10,_xlpm.norm,SUBSTITUTE(SUBSTITUTE(_xlpm.s,"!","."),"?","."),_xlpm.parts,_xlfn.TEXTSPLIT(_xlpm.norm,,".",TRUE),TRIM(INDEX(_xlpm.parts,ROW()-13))),"")</f>
        <v/>
      </c>
      <c r="C109" t="str">
        <f t="shared" si="4"/>
        <v/>
      </c>
      <c r="D109" t="str" cm="1">
        <f t="array" ref="D109">IF(B109="","",SUMPRODUCT(--ISNUMBER(SEARCH(" "&amp;SEMANTIC_BUCKETS!$A$2:$A$348&amp;" "," "&amp;B109&amp;" "))))</f>
        <v/>
      </c>
      <c r="E109" t="str" cm="1">
        <f t="array" ref="E109">IF(B109="","",SUMPRODUCT(--ISNUMBER(SEARCH(" "&amp;SEMANTIC_BUCKETS!$A$2:$A$348&amp;" "," "&amp;B109&amp;" ")),SEMANTIC_BUCKETS!$E$2:$E$348))</f>
        <v/>
      </c>
      <c r="F109" t="str" cm="1">
        <f t="array" ref="F109">IF(OR(B109="",D109=0),"",INDEX(SEMANTIC_BUCKETS!$B$2:$B$348,MATCH(TRUE,ISNUMBER(SEARCH(" "&amp;SEMANTIC_BUCKETS!$A$2:$A$348&amp;" "," "&amp;B109&amp;" ")),0)))</f>
        <v/>
      </c>
      <c r="G109" t="str">
        <f t="shared" si="5"/>
        <v/>
      </c>
      <c r="H109" t="str" cm="1">
        <f t="array" ref="H109">IF(OR(B109="",D109=0),"",_xlfn.TEXTJOIN(", ",TRUE,IF(ISNUMBER(SEARCH(" "&amp;SEMANTIC_BUCKETS!$A$2:$A$348&amp;" "," "&amp;B109&amp;" ")),SEMANTIC_BUCKETS!$A$2:$A$348,"")))</f>
        <v/>
      </c>
    </row>
    <row r="110" spans="1:8" x14ac:dyDescent="0.3">
      <c r="A110" t="str">
        <f t="shared" si="3"/>
        <v/>
      </c>
      <c r="B110" t="str" cm="1">
        <f t="array" ref="B110">IFERROR(_xlfn.LET(_xlpm.s,$B$10,_xlpm.norm,SUBSTITUTE(SUBSTITUTE(_xlpm.s,"!","."),"?","."),_xlpm.parts,_xlfn.TEXTSPLIT(_xlpm.norm,,".",TRUE),TRIM(INDEX(_xlpm.parts,ROW()-13))),"")</f>
        <v/>
      </c>
      <c r="C110" t="str">
        <f t="shared" si="4"/>
        <v/>
      </c>
      <c r="D110" t="str" cm="1">
        <f t="array" ref="D110">IF(B110="","",SUMPRODUCT(--ISNUMBER(SEARCH(" "&amp;SEMANTIC_BUCKETS!$A$2:$A$348&amp;" "," "&amp;B110&amp;" "))))</f>
        <v/>
      </c>
      <c r="E110" t="str" cm="1">
        <f t="array" ref="E110">IF(B110="","",SUMPRODUCT(--ISNUMBER(SEARCH(" "&amp;SEMANTIC_BUCKETS!$A$2:$A$348&amp;" "," "&amp;B110&amp;" ")),SEMANTIC_BUCKETS!$E$2:$E$348))</f>
        <v/>
      </c>
      <c r="F110" t="str" cm="1">
        <f t="array" ref="F110">IF(OR(B110="",D110=0),"",INDEX(SEMANTIC_BUCKETS!$B$2:$B$348,MATCH(TRUE,ISNUMBER(SEARCH(" "&amp;SEMANTIC_BUCKETS!$A$2:$A$348&amp;" "," "&amp;B110&amp;" ")),0)))</f>
        <v/>
      </c>
      <c r="G110" t="str">
        <f t="shared" si="5"/>
        <v/>
      </c>
      <c r="H110" t="str" cm="1">
        <f t="array" ref="H110">IF(OR(B110="",D110=0),"",_xlfn.TEXTJOIN(", ",TRUE,IF(ISNUMBER(SEARCH(" "&amp;SEMANTIC_BUCKETS!$A$2:$A$348&amp;" "," "&amp;B110&amp;" ")),SEMANTIC_BUCKETS!$A$2:$A$348,"")))</f>
        <v/>
      </c>
    </row>
    <row r="111" spans="1:8" x14ac:dyDescent="0.3">
      <c r="A111" t="str">
        <f t="shared" si="3"/>
        <v/>
      </c>
      <c r="B111" t="str" cm="1">
        <f t="array" ref="B111">IFERROR(_xlfn.LET(_xlpm.s,$B$10,_xlpm.norm,SUBSTITUTE(SUBSTITUTE(_xlpm.s,"!","."),"?","."),_xlpm.parts,_xlfn.TEXTSPLIT(_xlpm.norm,,".",TRUE),TRIM(INDEX(_xlpm.parts,ROW()-13))),"")</f>
        <v/>
      </c>
      <c r="C111" t="str">
        <f t="shared" si="4"/>
        <v/>
      </c>
      <c r="D111" t="str" cm="1">
        <f t="array" ref="D111">IF(B111="","",SUMPRODUCT(--ISNUMBER(SEARCH(" "&amp;SEMANTIC_BUCKETS!$A$2:$A$348&amp;" "," "&amp;B111&amp;" "))))</f>
        <v/>
      </c>
      <c r="E111" t="str" cm="1">
        <f t="array" ref="E111">IF(B111="","",SUMPRODUCT(--ISNUMBER(SEARCH(" "&amp;SEMANTIC_BUCKETS!$A$2:$A$348&amp;" "," "&amp;B111&amp;" ")),SEMANTIC_BUCKETS!$E$2:$E$348))</f>
        <v/>
      </c>
      <c r="F111" t="str" cm="1">
        <f t="array" ref="F111">IF(OR(B111="",D111=0),"",INDEX(SEMANTIC_BUCKETS!$B$2:$B$348,MATCH(TRUE,ISNUMBER(SEARCH(" "&amp;SEMANTIC_BUCKETS!$A$2:$A$348&amp;" "," "&amp;B111&amp;" ")),0)))</f>
        <v/>
      </c>
      <c r="G111" t="str">
        <f t="shared" si="5"/>
        <v/>
      </c>
      <c r="H111" t="str" cm="1">
        <f t="array" ref="H111">IF(OR(B111="",D111=0),"",_xlfn.TEXTJOIN(", ",TRUE,IF(ISNUMBER(SEARCH(" "&amp;SEMANTIC_BUCKETS!$A$2:$A$348&amp;" "," "&amp;B111&amp;" ")),SEMANTIC_BUCKETS!$A$2:$A$348,"")))</f>
        <v/>
      </c>
    </row>
    <row r="112" spans="1:8" x14ac:dyDescent="0.3">
      <c r="A112" t="str">
        <f t="shared" si="3"/>
        <v/>
      </c>
      <c r="B112" t="str" cm="1">
        <f t="array" ref="B112">IFERROR(_xlfn.LET(_xlpm.s,$B$10,_xlpm.norm,SUBSTITUTE(SUBSTITUTE(_xlpm.s,"!","."),"?","."),_xlpm.parts,_xlfn.TEXTSPLIT(_xlpm.norm,,".",TRUE),TRIM(INDEX(_xlpm.parts,ROW()-13))),"")</f>
        <v/>
      </c>
      <c r="C112" t="str">
        <f t="shared" si="4"/>
        <v/>
      </c>
      <c r="D112" t="str" cm="1">
        <f t="array" ref="D112">IF(B112="","",SUMPRODUCT(--ISNUMBER(SEARCH(" "&amp;SEMANTIC_BUCKETS!$A$2:$A$348&amp;" "," "&amp;B112&amp;" "))))</f>
        <v/>
      </c>
      <c r="E112" t="str" cm="1">
        <f t="array" ref="E112">IF(B112="","",SUMPRODUCT(--ISNUMBER(SEARCH(" "&amp;SEMANTIC_BUCKETS!$A$2:$A$348&amp;" "," "&amp;B112&amp;" ")),SEMANTIC_BUCKETS!$E$2:$E$348))</f>
        <v/>
      </c>
      <c r="F112" t="str" cm="1">
        <f t="array" ref="F112">IF(OR(B112="",D112=0),"",INDEX(SEMANTIC_BUCKETS!$B$2:$B$348,MATCH(TRUE,ISNUMBER(SEARCH(" "&amp;SEMANTIC_BUCKETS!$A$2:$A$348&amp;" "," "&amp;B112&amp;" ")),0)))</f>
        <v/>
      </c>
      <c r="G112" t="str">
        <f t="shared" si="5"/>
        <v/>
      </c>
      <c r="H112" t="str" cm="1">
        <f t="array" ref="H112">IF(OR(B112="",D112=0),"",_xlfn.TEXTJOIN(", ",TRUE,IF(ISNUMBER(SEARCH(" "&amp;SEMANTIC_BUCKETS!$A$2:$A$348&amp;" "," "&amp;B112&amp;" ")),SEMANTIC_BUCKETS!$A$2:$A$348,"")))</f>
        <v/>
      </c>
    </row>
    <row r="113" spans="1:8" x14ac:dyDescent="0.3">
      <c r="A113" t="str">
        <f t="shared" si="3"/>
        <v/>
      </c>
      <c r="B113" t="str" cm="1">
        <f t="array" ref="B113">IFERROR(_xlfn.LET(_xlpm.s,$B$10,_xlpm.norm,SUBSTITUTE(SUBSTITUTE(_xlpm.s,"!","."),"?","."),_xlpm.parts,_xlfn.TEXTSPLIT(_xlpm.norm,,".",TRUE),TRIM(INDEX(_xlpm.parts,ROW()-13))),"")</f>
        <v/>
      </c>
      <c r="C113" t="str">
        <f t="shared" si="4"/>
        <v/>
      </c>
      <c r="D113" t="str" cm="1">
        <f t="array" ref="D113">IF(B113="","",SUMPRODUCT(--ISNUMBER(SEARCH(" "&amp;SEMANTIC_BUCKETS!$A$2:$A$348&amp;" "," "&amp;B113&amp;" "))))</f>
        <v/>
      </c>
      <c r="E113" t="str" cm="1">
        <f t="array" ref="E113">IF(B113="","",SUMPRODUCT(--ISNUMBER(SEARCH(" "&amp;SEMANTIC_BUCKETS!$A$2:$A$348&amp;" "," "&amp;B113&amp;" ")),SEMANTIC_BUCKETS!$E$2:$E$348))</f>
        <v/>
      </c>
      <c r="F113" t="str" cm="1">
        <f t="array" ref="F113">IF(OR(B113="",D113=0),"",INDEX(SEMANTIC_BUCKETS!$B$2:$B$348,MATCH(TRUE,ISNUMBER(SEARCH(" "&amp;SEMANTIC_BUCKETS!$A$2:$A$348&amp;" "," "&amp;B113&amp;" ")),0)))</f>
        <v/>
      </c>
      <c r="G113" t="str">
        <f t="shared" si="5"/>
        <v/>
      </c>
      <c r="H113" t="str" cm="1">
        <f t="array" ref="H113">IF(OR(B113="",D113=0),"",_xlfn.TEXTJOIN(", ",TRUE,IF(ISNUMBER(SEARCH(" "&amp;SEMANTIC_BUCKETS!$A$2:$A$348&amp;" "," "&amp;B113&amp;" ")),SEMANTIC_BUCKETS!$A$2:$A$348,"")))</f>
        <v/>
      </c>
    </row>
    <row r="114" spans="1:8" x14ac:dyDescent="0.3">
      <c r="A114" t="str">
        <f t="shared" si="3"/>
        <v/>
      </c>
      <c r="B114" t="str" cm="1">
        <f t="array" ref="B114">IFERROR(_xlfn.LET(_xlpm.s,$B$10,_xlpm.norm,SUBSTITUTE(SUBSTITUTE(_xlpm.s,"!","."),"?","."),_xlpm.parts,_xlfn.TEXTSPLIT(_xlpm.norm,,".",TRUE),TRIM(INDEX(_xlpm.parts,ROW()-13))),"")</f>
        <v/>
      </c>
      <c r="C114" t="str">
        <f t="shared" si="4"/>
        <v/>
      </c>
      <c r="D114" t="str" cm="1">
        <f t="array" ref="D114">IF(B114="","",SUMPRODUCT(--ISNUMBER(SEARCH(" "&amp;SEMANTIC_BUCKETS!$A$2:$A$348&amp;" "," "&amp;B114&amp;" "))))</f>
        <v/>
      </c>
      <c r="E114" t="str" cm="1">
        <f t="array" ref="E114">IF(B114="","",SUMPRODUCT(--ISNUMBER(SEARCH(" "&amp;SEMANTIC_BUCKETS!$A$2:$A$348&amp;" "," "&amp;B114&amp;" ")),SEMANTIC_BUCKETS!$E$2:$E$348))</f>
        <v/>
      </c>
      <c r="F114" t="str" cm="1">
        <f t="array" ref="F114">IF(OR(B114="",D114=0),"",INDEX(SEMANTIC_BUCKETS!$B$2:$B$348,MATCH(TRUE,ISNUMBER(SEARCH(" "&amp;SEMANTIC_BUCKETS!$A$2:$A$348&amp;" "," "&amp;B114&amp;" ")),0)))</f>
        <v/>
      </c>
      <c r="G114" t="str">
        <f t="shared" si="5"/>
        <v/>
      </c>
      <c r="H114" t="str" cm="1">
        <f t="array" ref="H114">IF(OR(B114="",D114=0),"",_xlfn.TEXTJOIN(", ",TRUE,IF(ISNUMBER(SEARCH(" "&amp;SEMANTIC_BUCKETS!$A$2:$A$348&amp;" "," "&amp;B114&amp;" ")),SEMANTIC_BUCKETS!$A$2:$A$348,"")))</f>
        <v/>
      </c>
    </row>
    <row r="115" spans="1:8" x14ac:dyDescent="0.3">
      <c r="A115" t="str">
        <f t="shared" si="3"/>
        <v/>
      </c>
      <c r="B115" t="str" cm="1">
        <f t="array" ref="B115">IFERROR(_xlfn.LET(_xlpm.s,$B$10,_xlpm.norm,SUBSTITUTE(SUBSTITUTE(_xlpm.s,"!","."),"?","."),_xlpm.parts,_xlfn.TEXTSPLIT(_xlpm.norm,,".",TRUE),TRIM(INDEX(_xlpm.parts,ROW()-13))),"")</f>
        <v/>
      </c>
      <c r="C115" t="str">
        <f t="shared" si="4"/>
        <v/>
      </c>
      <c r="D115" t="str" cm="1">
        <f t="array" ref="D115">IF(B115="","",SUMPRODUCT(--ISNUMBER(SEARCH(" "&amp;SEMANTIC_BUCKETS!$A$2:$A$348&amp;" "," "&amp;B115&amp;" "))))</f>
        <v/>
      </c>
      <c r="E115" t="str" cm="1">
        <f t="array" ref="E115">IF(B115="","",SUMPRODUCT(--ISNUMBER(SEARCH(" "&amp;SEMANTIC_BUCKETS!$A$2:$A$348&amp;" "," "&amp;B115&amp;" ")),SEMANTIC_BUCKETS!$E$2:$E$348))</f>
        <v/>
      </c>
      <c r="F115" t="str" cm="1">
        <f t="array" ref="F115">IF(OR(B115="",D115=0),"",INDEX(SEMANTIC_BUCKETS!$B$2:$B$348,MATCH(TRUE,ISNUMBER(SEARCH(" "&amp;SEMANTIC_BUCKETS!$A$2:$A$348&amp;" "," "&amp;B115&amp;" ")),0)))</f>
        <v/>
      </c>
      <c r="G115" t="str">
        <f t="shared" si="5"/>
        <v/>
      </c>
      <c r="H115" t="str" cm="1">
        <f t="array" ref="H115">IF(OR(B115="",D115=0),"",_xlfn.TEXTJOIN(", ",TRUE,IF(ISNUMBER(SEARCH(" "&amp;SEMANTIC_BUCKETS!$A$2:$A$348&amp;" "," "&amp;B115&amp;" ")),SEMANTIC_BUCKETS!$A$2:$A$348,"")))</f>
        <v/>
      </c>
    </row>
    <row r="116" spans="1:8" x14ac:dyDescent="0.3">
      <c r="A116" t="str">
        <f t="shared" si="3"/>
        <v/>
      </c>
      <c r="B116" t="str" cm="1">
        <f t="array" ref="B116">IFERROR(_xlfn.LET(_xlpm.s,$B$10,_xlpm.norm,SUBSTITUTE(SUBSTITUTE(_xlpm.s,"!","."),"?","."),_xlpm.parts,_xlfn.TEXTSPLIT(_xlpm.norm,,".",TRUE),TRIM(INDEX(_xlpm.parts,ROW()-13))),"")</f>
        <v/>
      </c>
      <c r="C116" t="str">
        <f t="shared" si="4"/>
        <v/>
      </c>
      <c r="D116" t="str" cm="1">
        <f t="array" ref="D116">IF(B116="","",SUMPRODUCT(--ISNUMBER(SEARCH(" "&amp;SEMANTIC_BUCKETS!$A$2:$A$348&amp;" "," "&amp;B116&amp;" "))))</f>
        <v/>
      </c>
      <c r="E116" t="str" cm="1">
        <f t="array" ref="E116">IF(B116="","",SUMPRODUCT(--ISNUMBER(SEARCH(" "&amp;SEMANTIC_BUCKETS!$A$2:$A$348&amp;" "," "&amp;B116&amp;" ")),SEMANTIC_BUCKETS!$E$2:$E$348))</f>
        <v/>
      </c>
      <c r="F116" t="str" cm="1">
        <f t="array" ref="F116">IF(OR(B116="",D116=0),"",INDEX(SEMANTIC_BUCKETS!$B$2:$B$348,MATCH(TRUE,ISNUMBER(SEARCH(" "&amp;SEMANTIC_BUCKETS!$A$2:$A$348&amp;" "," "&amp;B116&amp;" ")),0)))</f>
        <v/>
      </c>
      <c r="G116" t="str">
        <f t="shared" si="5"/>
        <v/>
      </c>
      <c r="H116" t="str" cm="1">
        <f t="array" ref="H116">IF(OR(B116="",D116=0),"",_xlfn.TEXTJOIN(", ",TRUE,IF(ISNUMBER(SEARCH(" "&amp;SEMANTIC_BUCKETS!$A$2:$A$348&amp;" "," "&amp;B116&amp;" ")),SEMANTIC_BUCKETS!$A$2:$A$348,"")))</f>
        <v/>
      </c>
    </row>
    <row r="117" spans="1:8" x14ac:dyDescent="0.3">
      <c r="A117" t="str">
        <f t="shared" si="3"/>
        <v/>
      </c>
      <c r="B117" t="str" cm="1">
        <f t="array" ref="B117">IFERROR(_xlfn.LET(_xlpm.s,$B$10,_xlpm.norm,SUBSTITUTE(SUBSTITUTE(_xlpm.s,"!","."),"?","."),_xlpm.parts,_xlfn.TEXTSPLIT(_xlpm.norm,,".",TRUE),TRIM(INDEX(_xlpm.parts,ROW()-13))),"")</f>
        <v/>
      </c>
      <c r="C117" t="str">
        <f t="shared" si="4"/>
        <v/>
      </c>
      <c r="D117" t="str" cm="1">
        <f t="array" ref="D117">IF(B117="","",SUMPRODUCT(--ISNUMBER(SEARCH(" "&amp;SEMANTIC_BUCKETS!$A$2:$A$348&amp;" "," "&amp;B117&amp;" "))))</f>
        <v/>
      </c>
      <c r="E117" t="str" cm="1">
        <f t="array" ref="E117">IF(B117="","",SUMPRODUCT(--ISNUMBER(SEARCH(" "&amp;SEMANTIC_BUCKETS!$A$2:$A$348&amp;" "," "&amp;B117&amp;" ")),SEMANTIC_BUCKETS!$E$2:$E$348))</f>
        <v/>
      </c>
      <c r="F117" t="str" cm="1">
        <f t="array" ref="F117">IF(OR(B117="",D117=0),"",INDEX(SEMANTIC_BUCKETS!$B$2:$B$348,MATCH(TRUE,ISNUMBER(SEARCH(" "&amp;SEMANTIC_BUCKETS!$A$2:$A$348&amp;" "," "&amp;B117&amp;" ")),0)))</f>
        <v/>
      </c>
      <c r="G117" t="str">
        <f t="shared" si="5"/>
        <v/>
      </c>
      <c r="H117" t="str" cm="1">
        <f t="array" ref="H117">IF(OR(B117="",D117=0),"",_xlfn.TEXTJOIN(", ",TRUE,IF(ISNUMBER(SEARCH(" "&amp;SEMANTIC_BUCKETS!$A$2:$A$348&amp;" "," "&amp;B117&amp;" ")),SEMANTIC_BUCKETS!$A$2:$A$348,"")))</f>
        <v/>
      </c>
    </row>
    <row r="118" spans="1:8" x14ac:dyDescent="0.3">
      <c r="A118" t="str">
        <f t="shared" si="3"/>
        <v/>
      </c>
      <c r="B118" t="str" cm="1">
        <f t="array" ref="B118">IFERROR(_xlfn.LET(_xlpm.s,$B$10,_xlpm.norm,SUBSTITUTE(SUBSTITUTE(_xlpm.s,"!","."),"?","."),_xlpm.parts,_xlfn.TEXTSPLIT(_xlpm.norm,,".",TRUE),TRIM(INDEX(_xlpm.parts,ROW()-13))),"")</f>
        <v/>
      </c>
      <c r="C118" t="str">
        <f t="shared" si="4"/>
        <v/>
      </c>
      <c r="D118" t="str" cm="1">
        <f t="array" ref="D118">IF(B118="","",SUMPRODUCT(--ISNUMBER(SEARCH(" "&amp;SEMANTIC_BUCKETS!$A$2:$A$348&amp;" "," "&amp;B118&amp;" "))))</f>
        <v/>
      </c>
      <c r="E118" t="str" cm="1">
        <f t="array" ref="E118">IF(B118="","",SUMPRODUCT(--ISNUMBER(SEARCH(" "&amp;SEMANTIC_BUCKETS!$A$2:$A$348&amp;" "," "&amp;B118&amp;" ")),SEMANTIC_BUCKETS!$E$2:$E$348))</f>
        <v/>
      </c>
      <c r="F118" t="str" cm="1">
        <f t="array" ref="F118">IF(OR(B118="",D118=0),"",INDEX(SEMANTIC_BUCKETS!$B$2:$B$348,MATCH(TRUE,ISNUMBER(SEARCH(" "&amp;SEMANTIC_BUCKETS!$A$2:$A$348&amp;" "," "&amp;B118&amp;" ")),0)))</f>
        <v/>
      </c>
      <c r="G118" t="str">
        <f t="shared" si="5"/>
        <v/>
      </c>
      <c r="H118" t="str" cm="1">
        <f t="array" ref="H118">IF(OR(B118="",D118=0),"",_xlfn.TEXTJOIN(", ",TRUE,IF(ISNUMBER(SEARCH(" "&amp;SEMANTIC_BUCKETS!$A$2:$A$348&amp;" "," "&amp;B118&amp;" ")),SEMANTIC_BUCKETS!$A$2:$A$348,"")))</f>
        <v/>
      </c>
    </row>
    <row r="119" spans="1:8" x14ac:dyDescent="0.3">
      <c r="A119" t="str">
        <f t="shared" si="3"/>
        <v/>
      </c>
      <c r="B119" t="str" cm="1">
        <f t="array" ref="B119">IFERROR(_xlfn.LET(_xlpm.s,$B$10,_xlpm.norm,SUBSTITUTE(SUBSTITUTE(_xlpm.s,"!","."),"?","."),_xlpm.parts,_xlfn.TEXTSPLIT(_xlpm.norm,,".",TRUE),TRIM(INDEX(_xlpm.parts,ROW()-13))),"")</f>
        <v/>
      </c>
      <c r="C119" t="str">
        <f t="shared" si="4"/>
        <v/>
      </c>
      <c r="D119" t="str" cm="1">
        <f t="array" ref="D119">IF(B119="","",SUMPRODUCT(--ISNUMBER(SEARCH(" "&amp;SEMANTIC_BUCKETS!$A$2:$A$348&amp;" "," "&amp;B119&amp;" "))))</f>
        <v/>
      </c>
      <c r="E119" t="str" cm="1">
        <f t="array" ref="E119">IF(B119="","",SUMPRODUCT(--ISNUMBER(SEARCH(" "&amp;SEMANTIC_BUCKETS!$A$2:$A$348&amp;" "," "&amp;B119&amp;" ")),SEMANTIC_BUCKETS!$E$2:$E$348))</f>
        <v/>
      </c>
      <c r="F119" t="str" cm="1">
        <f t="array" ref="F119">IF(OR(B119="",D119=0),"",INDEX(SEMANTIC_BUCKETS!$B$2:$B$348,MATCH(TRUE,ISNUMBER(SEARCH(" "&amp;SEMANTIC_BUCKETS!$A$2:$A$348&amp;" "," "&amp;B119&amp;" ")),0)))</f>
        <v/>
      </c>
      <c r="G119" t="str">
        <f t="shared" si="5"/>
        <v/>
      </c>
      <c r="H119" t="str" cm="1">
        <f t="array" ref="H119">IF(OR(B119="",D119=0),"",_xlfn.TEXTJOIN(", ",TRUE,IF(ISNUMBER(SEARCH(" "&amp;SEMANTIC_BUCKETS!$A$2:$A$348&amp;" "," "&amp;B119&amp;" ")),SEMANTIC_BUCKETS!$A$2:$A$348,"")))</f>
        <v/>
      </c>
    </row>
    <row r="120" spans="1:8" x14ac:dyDescent="0.3">
      <c r="A120" t="str">
        <f t="shared" si="3"/>
        <v/>
      </c>
      <c r="B120" t="str" cm="1">
        <f t="array" ref="B120">IFERROR(_xlfn.LET(_xlpm.s,$B$10,_xlpm.norm,SUBSTITUTE(SUBSTITUTE(_xlpm.s,"!","."),"?","."),_xlpm.parts,_xlfn.TEXTSPLIT(_xlpm.norm,,".",TRUE),TRIM(INDEX(_xlpm.parts,ROW()-13))),"")</f>
        <v/>
      </c>
      <c r="C120" t="str">
        <f t="shared" si="4"/>
        <v/>
      </c>
      <c r="D120" t="str" cm="1">
        <f t="array" ref="D120">IF(B120="","",SUMPRODUCT(--ISNUMBER(SEARCH(" "&amp;SEMANTIC_BUCKETS!$A$2:$A$348&amp;" "," "&amp;B120&amp;" "))))</f>
        <v/>
      </c>
      <c r="E120" t="str" cm="1">
        <f t="array" ref="E120">IF(B120="","",SUMPRODUCT(--ISNUMBER(SEARCH(" "&amp;SEMANTIC_BUCKETS!$A$2:$A$348&amp;" "," "&amp;B120&amp;" ")),SEMANTIC_BUCKETS!$E$2:$E$348))</f>
        <v/>
      </c>
      <c r="F120" t="str" cm="1">
        <f t="array" ref="F120">IF(OR(B120="",D120=0),"",INDEX(SEMANTIC_BUCKETS!$B$2:$B$348,MATCH(TRUE,ISNUMBER(SEARCH(" "&amp;SEMANTIC_BUCKETS!$A$2:$A$348&amp;" "," "&amp;B120&amp;" ")),0)))</f>
        <v/>
      </c>
      <c r="G120" t="str">
        <f t="shared" si="5"/>
        <v/>
      </c>
      <c r="H120" t="str" cm="1">
        <f t="array" ref="H120">IF(OR(B120="",D120=0),"",_xlfn.TEXTJOIN(", ",TRUE,IF(ISNUMBER(SEARCH(" "&amp;SEMANTIC_BUCKETS!$A$2:$A$348&amp;" "," "&amp;B120&amp;" ")),SEMANTIC_BUCKETS!$A$2:$A$348,"")))</f>
        <v/>
      </c>
    </row>
    <row r="121" spans="1:8" x14ac:dyDescent="0.3">
      <c r="A121" t="str">
        <f t="shared" si="3"/>
        <v/>
      </c>
      <c r="B121" t="str" cm="1">
        <f t="array" ref="B121">IFERROR(_xlfn.LET(_xlpm.s,$B$10,_xlpm.norm,SUBSTITUTE(SUBSTITUTE(_xlpm.s,"!","."),"?","."),_xlpm.parts,_xlfn.TEXTSPLIT(_xlpm.norm,,".",TRUE),TRIM(INDEX(_xlpm.parts,ROW()-13))),"")</f>
        <v/>
      </c>
      <c r="C121" t="str">
        <f t="shared" si="4"/>
        <v/>
      </c>
      <c r="D121" t="str" cm="1">
        <f t="array" ref="D121">IF(B121="","",SUMPRODUCT(--ISNUMBER(SEARCH(" "&amp;SEMANTIC_BUCKETS!$A$2:$A$348&amp;" "," "&amp;B121&amp;" "))))</f>
        <v/>
      </c>
      <c r="E121" t="str" cm="1">
        <f t="array" ref="E121">IF(B121="","",SUMPRODUCT(--ISNUMBER(SEARCH(" "&amp;SEMANTIC_BUCKETS!$A$2:$A$348&amp;" "," "&amp;B121&amp;" ")),SEMANTIC_BUCKETS!$E$2:$E$348))</f>
        <v/>
      </c>
      <c r="F121" t="str" cm="1">
        <f t="array" ref="F121">IF(OR(B121="",D121=0),"",INDEX(SEMANTIC_BUCKETS!$B$2:$B$348,MATCH(TRUE,ISNUMBER(SEARCH(" "&amp;SEMANTIC_BUCKETS!$A$2:$A$348&amp;" "," "&amp;B121&amp;" ")),0)))</f>
        <v/>
      </c>
      <c r="G121" t="str">
        <f t="shared" si="5"/>
        <v/>
      </c>
      <c r="H121" t="str" cm="1">
        <f t="array" ref="H121">IF(OR(B121="",D121=0),"",_xlfn.TEXTJOIN(", ",TRUE,IF(ISNUMBER(SEARCH(" "&amp;SEMANTIC_BUCKETS!$A$2:$A$348&amp;" "," "&amp;B121&amp;" ")),SEMANTIC_BUCKETS!$A$2:$A$348,"")))</f>
        <v/>
      </c>
    </row>
    <row r="122" spans="1:8" x14ac:dyDescent="0.3">
      <c r="A122" t="str">
        <f t="shared" si="3"/>
        <v/>
      </c>
      <c r="B122" t="str" cm="1">
        <f t="array" ref="B122">IFERROR(_xlfn.LET(_xlpm.s,$B$10,_xlpm.norm,SUBSTITUTE(SUBSTITUTE(_xlpm.s,"!","."),"?","."),_xlpm.parts,_xlfn.TEXTSPLIT(_xlpm.norm,,".",TRUE),TRIM(INDEX(_xlpm.parts,ROW()-13))),"")</f>
        <v/>
      </c>
      <c r="C122" t="str">
        <f t="shared" si="4"/>
        <v/>
      </c>
      <c r="D122" t="str" cm="1">
        <f t="array" ref="D122">IF(B122="","",SUMPRODUCT(--ISNUMBER(SEARCH(" "&amp;SEMANTIC_BUCKETS!$A$2:$A$348&amp;" "," "&amp;B122&amp;" "))))</f>
        <v/>
      </c>
      <c r="E122" t="str" cm="1">
        <f t="array" ref="E122">IF(B122="","",SUMPRODUCT(--ISNUMBER(SEARCH(" "&amp;SEMANTIC_BUCKETS!$A$2:$A$348&amp;" "," "&amp;B122&amp;" ")),SEMANTIC_BUCKETS!$E$2:$E$348))</f>
        <v/>
      </c>
      <c r="F122" t="str" cm="1">
        <f t="array" ref="F122">IF(OR(B122="",D122=0),"",INDEX(SEMANTIC_BUCKETS!$B$2:$B$348,MATCH(TRUE,ISNUMBER(SEARCH(" "&amp;SEMANTIC_BUCKETS!$A$2:$A$348&amp;" "," "&amp;B122&amp;" ")),0)))</f>
        <v/>
      </c>
      <c r="G122" t="str">
        <f t="shared" si="5"/>
        <v/>
      </c>
      <c r="H122" t="str" cm="1">
        <f t="array" ref="H122">IF(OR(B122="",D122=0),"",_xlfn.TEXTJOIN(", ",TRUE,IF(ISNUMBER(SEARCH(" "&amp;SEMANTIC_BUCKETS!$A$2:$A$348&amp;" "," "&amp;B122&amp;" ")),SEMANTIC_BUCKETS!$A$2:$A$348,"")))</f>
        <v/>
      </c>
    </row>
    <row r="123" spans="1:8" x14ac:dyDescent="0.3">
      <c r="A123" t="str">
        <f t="shared" si="3"/>
        <v/>
      </c>
      <c r="B123" t="str" cm="1">
        <f t="array" ref="B123">IFERROR(_xlfn.LET(_xlpm.s,$B$10,_xlpm.norm,SUBSTITUTE(SUBSTITUTE(_xlpm.s,"!","."),"?","."),_xlpm.parts,_xlfn.TEXTSPLIT(_xlpm.norm,,".",TRUE),TRIM(INDEX(_xlpm.parts,ROW()-13))),"")</f>
        <v/>
      </c>
      <c r="C123" t="str">
        <f t="shared" si="4"/>
        <v/>
      </c>
      <c r="D123" t="str" cm="1">
        <f t="array" ref="D123">IF(B123="","",SUMPRODUCT(--ISNUMBER(SEARCH(" "&amp;SEMANTIC_BUCKETS!$A$2:$A$348&amp;" "," "&amp;B123&amp;" "))))</f>
        <v/>
      </c>
      <c r="E123" t="str" cm="1">
        <f t="array" ref="E123">IF(B123="","",SUMPRODUCT(--ISNUMBER(SEARCH(" "&amp;SEMANTIC_BUCKETS!$A$2:$A$348&amp;" "," "&amp;B123&amp;" ")),SEMANTIC_BUCKETS!$E$2:$E$348))</f>
        <v/>
      </c>
      <c r="F123" t="str" cm="1">
        <f t="array" ref="F123">IF(OR(B123="",D123=0),"",INDEX(SEMANTIC_BUCKETS!$B$2:$B$348,MATCH(TRUE,ISNUMBER(SEARCH(" "&amp;SEMANTIC_BUCKETS!$A$2:$A$348&amp;" "," "&amp;B123&amp;" ")),0)))</f>
        <v/>
      </c>
      <c r="G123" t="str">
        <f t="shared" si="5"/>
        <v/>
      </c>
      <c r="H123" t="str" cm="1">
        <f t="array" ref="H123">IF(OR(B123="",D123=0),"",_xlfn.TEXTJOIN(", ",TRUE,IF(ISNUMBER(SEARCH(" "&amp;SEMANTIC_BUCKETS!$A$2:$A$348&amp;" "," "&amp;B123&amp;" ")),SEMANTIC_BUCKETS!$A$2:$A$348,"")))</f>
        <v/>
      </c>
    </row>
    <row r="124" spans="1:8" x14ac:dyDescent="0.3">
      <c r="A124" t="str">
        <f t="shared" si="3"/>
        <v/>
      </c>
      <c r="B124" t="str" cm="1">
        <f t="array" ref="B124">IFERROR(_xlfn.LET(_xlpm.s,$B$10,_xlpm.norm,SUBSTITUTE(SUBSTITUTE(_xlpm.s,"!","."),"?","."),_xlpm.parts,_xlfn.TEXTSPLIT(_xlpm.norm,,".",TRUE),TRIM(INDEX(_xlpm.parts,ROW()-13))),"")</f>
        <v/>
      </c>
      <c r="C124" t="str">
        <f t="shared" si="4"/>
        <v/>
      </c>
      <c r="D124" t="str" cm="1">
        <f t="array" ref="D124">IF(B124="","",SUMPRODUCT(--ISNUMBER(SEARCH(" "&amp;SEMANTIC_BUCKETS!$A$2:$A$348&amp;" "," "&amp;B124&amp;" "))))</f>
        <v/>
      </c>
      <c r="E124" t="str" cm="1">
        <f t="array" ref="E124">IF(B124="","",SUMPRODUCT(--ISNUMBER(SEARCH(" "&amp;SEMANTIC_BUCKETS!$A$2:$A$348&amp;" "," "&amp;B124&amp;" ")),SEMANTIC_BUCKETS!$E$2:$E$348))</f>
        <v/>
      </c>
      <c r="F124" t="str" cm="1">
        <f t="array" ref="F124">IF(OR(B124="",D124=0),"",INDEX(SEMANTIC_BUCKETS!$B$2:$B$348,MATCH(TRUE,ISNUMBER(SEARCH(" "&amp;SEMANTIC_BUCKETS!$A$2:$A$348&amp;" "," "&amp;B124&amp;" ")),0)))</f>
        <v/>
      </c>
      <c r="G124" t="str">
        <f t="shared" si="5"/>
        <v/>
      </c>
      <c r="H124" t="str" cm="1">
        <f t="array" ref="H124">IF(OR(B124="",D124=0),"",_xlfn.TEXTJOIN(", ",TRUE,IF(ISNUMBER(SEARCH(" "&amp;SEMANTIC_BUCKETS!$A$2:$A$348&amp;" "," "&amp;B124&amp;" ")),SEMANTIC_BUCKETS!$A$2:$A$348,"")))</f>
        <v/>
      </c>
    </row>
    <row r="125" spans="1:8" x14ac:dyDescent="0.3">
      <c r="A125" t="str">
        <f t="shared" si="3"/>
        <v/>
      </c>
      <c r="B125" t="str" cm="1">
        <f t="array" ref="B125">IFERROR(_xlfn.LET(_xlpm.s,$B$10,_xlpm.norm,SUBSTITUTE(SUBSTITUTE(_xlpm.s,"!","."),"?","."),_xlpm.parts,_xlfn.TEXTSPLIT(_xlpm.norm,,".",TRUE),TRIM(INDEX(_xlpm.parts,ROW()-13))),"")</f>
        <v/>
      </c>
      <c r="C125" t="str">
        <f t="shared" si="4"/>
        <v/>
      </c>
      <c r="D125" t="str" cm="1">
        <f t="array" ref="D125">IF(B125="","",SUMPRODUCT(--ISNUMBER(SEARCH(" "&amp;SEMANTIC_BUCKETS!$A$2:$A$348&amp;" "," "&amp;B125&amp;" "))))</f>
        <v/>
      </c>
      <c r="E125" t="str" cm="1">
        <f t="array" ref="E125">IF(B125="","",SUMPRODUCT(--ISNUMBER(SEARCH(" "&amp;SEMANTIC_BUCKETS!$A$2:$A$348&amp;" "," "&amp;B125&amp;" ")),SEMANTIC_BUCKETS!$E$2:$E$348))</f>
        <v/>
      </c>
      <c r="F125" t="str" cm="1">
        <f t="array" ref="F125">IF(OR(B125="",D125=0),"",INDEX(SEMANTIC_BUCKETS!$B$2:$B$348,MATCH(TRUE,ISNUMBER(SEARCH(" "&amp;SEMANTIC_BUCKETS!$A$2:$A$348&amp;" "," "&amp;B125&amp;" ")),0)))</f>
        <v/>
      </c>
      <c r="G125" t="str">
        <f t="shared" si="5"/>
        <v/>
      </c>
      <c r="H125" t="str" cm="1">
        <f t="array" ref="H125">IF(OR(B125="",D125=0),"",_xlfn.TEXTJOIN(", ",TRUE,IF(ISNUMBER(SEARCH(" "&amp;SEMANTIC_BUCKETS!$A$2:$A$348&amp;" "," "&amp;B125&amp;" ")),SEMANTIC_BUCKETS!$A$2:$A$348,"")))</f>
        <v/>
      </c>
    </row>
    <row r="126" spans="1:8" x14ac:dyDescent="0.3">
      <c r="A126" t="str">
        <f t="shared" si="3"/>
        <v/>
      </c>
      <c r="B126" t="str" cm="1">
        <f t="array" ref="B126">IFERROR(_xlfn.LET(_xlpm.s,$B$10,_xlpm.norm,SUBSTITUTE(SUBSTITUTE(_xlpm.s,"!","."),"?","."),_xlpm.parts,_xlfn.TEXTSPLIT(_xlpm.norm,,".",TRUE),TRIM(INDEX(_xlpm.parts,ROW()-13))),"")</f>
        <v/>
      </c>
      <c r="C126" t="str">
        <f t="shared" si="4"/>
        <v/>
      </c>
      <c r="D126" t="str" cm="1">
        <f t="array" ref="D126">IF(B126="","",SUMPRODUCT(--ISNUMBER(SEARCH(" "&amp;SEMANTIC_BUCKETS!$A$2:$A$348&amp;" "," "&amp;B126&amp;" "))))</f>
        <v/>
      </c>
      <c r="E126" t="str" cm="1">
        <f t="array" ref="E126">IF(B126="","",SUMPRODUCT(--ISNUMBER(SEARCH(" "&amp;SEMANTIC_BUCKETS!$A$2:$A$348&amp;" "," "&amp;B126&amp;" ")),SEMANTIC_BUCKETS!$E$2:$E$348))</f>
        <v/>
      </c>
      <c r="F126" t="str" cm="1">
        <f t="array" ref="F126">IF(OR(B126="",D126=0),"",INDEX(SEMANTIC_BUCKETS!$B$2:$B$348,MATCH(TRUE,ISNUMBER(SEARCH(" "&amp;SEMANTIC_BUCKETS!$A$2:$A$348&amp;" "," "&amp;B126&amp;" ")),0)))</f>
        <v/>
      </c>
      <c r="G126" t="str">
        <f t="shared" si="5"/>
        <v/>
      </c>
      <c r="H126" t="str" cm="1">
        <f t="array" ref="H126">IF(OR(B126="",D126=0),"",_xlfn.TEXTJOIN(", ",TRUE,IF(ISNUMBER(SEARCH(" "&amp;SEMANTIC_BUCKETS!$A$2:$A$348&amp;" "," "&amp;B126&amp;" ")),SEMANTIC_BUCKETS!$A$2:$A$348,"")))</f>
        <v/>
      </c>
    </row>
    <row r="127" spans="1:8" x14ac:dyDescent="0.3">
      <c r="A127" t="str">
        <f t="shared" si="3"/>
        <v/>
      </c>
      <c r="B127" t="str" cm="1">
        <f t="array" ref="B127">IFERROR(_xlfn.LET(_xlpm.s,$B$10,_xlpm.norm,SUBSTITUTE(SUBSTITUTE(_xlpm.s,"!","."),"?","."),_xlpm.parts,_xlfn.TEXTSPLIT(_xlpm.norm,,".",TRUE),TRIM(INDEX(_xlpm.parts,ROW()-13))),"")</f>
        <v/>
      </c>
      <c r="C127" t="str">
        <f t="shared" si="4"/>
        <v/>
      </c>
      <c r="D127" t="str" cm="1">
        <f t="array" ref="D127">IF(B127="","",SUMPRODUCT(--ISNUMBER(SEARCH(" "&amp;SEMANTIC_BUCKETS!$A$2:$A$348&amp;" "," "&amp;B127&amp;" "))))</f>
        <v/>
      </c>
      <c r="E127" t="str" cm="1">
        <f t="array" ref="E127">IF(B127="","",SUMPRODUCT(--ISNUMBER(SEARCH(" "&amp;SEMANTIC_BUCKETS!$A$2:$A$348&amp;" "," "&amp;B127&amp;" ")),SEMANTIC_BUCKETS!$E$2:$E$348))</f>
        <v/>
      </c>
      <c r="F127" t="str" cm="1">
        <f t="array" ref="F127">IF(OR(B127="",D127=0),"",INDEX(SEMANTIC_BUCKETS!$B$2:$B$348,MATCH(TRUE,ISNUMBER(SEARCH(" "&amp;SEMANTIC_BUCKETS!$A$2:$A$348&amp;" "," "&amp;B127&amp;" ")),0)))</f>
        <v/>
      </c>
      <c r="G127" t="str">
        <f t="shared" si="5"/>
        <v/>
      </c>
      <c r="H127" t="str" cm="1">
        <f t="array" ref="H127">IF(OR(B127="",D127=0),"",_xlfn.TEXTJOIN(", ",TRUE,IF(ISNUMBER(SEARCH(" "&amp;SEMANTIC_BUCKETS!$A$2:$A$348&amp;" "," "&amp;B127&amp;" ")),SEMANTIC_BUCKETS!$A$2:$A$348,"")))</f>
        <v/>
      </c>
    </row>
    <row r="128" spans="1:8" x14ac:dyDescent="0.3">
      <c r="A128" t="str">
        <f t="shared" si="3"/>
        <v/>
      </c>
      <c r="B128" t="str" cm="1">
        <f t="array" ref="B128">IFERROR(_xlfn.LET(_xlpm.s,$B$10,_xlpm.norm,SUBSTITUTE(SUBSTITUTE(_xlpm.s,"!","."),"?","."),_xlpm.parts,_xlfn.TEXTSPLIT(_xlpm.norm,,".",TRUE),TRIM(INDEX(_xlpm.parts,ROW()-13))),"")</f>
        <v/>
      </c>
      <c r="C128" t="str">
        <f t="shared" si="4"/>
        <v/>
      </c>
      <c r="D128" t="str" cm="1">
        <f t="array" ref="D128">IF(B128="","",SUMPRODUCT(--ISNUMBER(SEARCH(" "&amp;SEMANTIC_BUCKETS!$A$2:$A$348&amp;" "," "&amp;B128&amp;" "))))</f>
        <v/>
      </c>
      <c r="E128" t="str" cm="1">
        <f t="array" ref="E128">IF(B128="","",SUMPRODUCT(--ISNUMBER(SEARCH(" "&amp;SEMANTIC_BUCKETS!$A$2:$A$348&amp;" "," "&amp;B128&amp;" ")),SEMANTIC_BUCKETS!$E$2:$E$348))</f>
        <v/>
      </c>
      <c r="F128" t="str" cm="1">
        <f t="array" ref="F128">IF(OR(B128="",D128=0),"",INDEX(SEMANTIC_BUCKETS!$B$2:$B$348,MATCH(TRUE,ISNUMBER(SEARCH(" "&amp;SEMANTIC_BUCKETS!$A$2:$A$348&amp;" "," "&amp;B128&amp;" ")),0)))</f>
        <v/>
      </c>
      <c r="G128" t="str">
        <f t="shared" si="5"/>
        <v/>
      </c>
      <c r="H128" t="str" cm="1">
        <f t="array" ref="H128">IF(OR(B128="",D128=0),"",_xlfn.TEXTJOIN(", ",TRUE,IF(ISNUMBER(SEARCH(" "&amp;SEMANTIC_BUCKETS!$A$2:$A$348&amp;" "," "&amp;B128&amp;" ")),SEMANTIC_BUCKETS!$A$2:$A$348,"")))</f>
        <v/>
      </c>
    </row>
    <row r="129" spans="1:8" x14ac:dyDescent="0.3">
      <c r="A129" t="str">
        <f t="shared" si="3"/>
        <v/>
      </c>
      <c r="B129" t="str" cm="1">
        <f t="array" ref="B129">IFERROR(_xlfn.LET(_xlpm.s,$B$10,_xlpm.norm,SUBSTITUTE(SUBSTITUTE(_xlpm.s,"!","."),"?","."),_xlpm.parts,_xlfn.TEXTSPLIT(_xlpm.norm,,".",TRUE),TRIM(INDEX(_xlpm.parts,ROW()-13))),"")</f>
        <v/>
      </c>
      <c r="C129" t="str">
        <f t="shared" si="4"/>
        <v/>
      </c>
      <c r="D129" t="str" cm="1">
        <f t="array" ref="D129">IF(B129="","",SUMPRODUCT(--ISNUMBER(SEARCH(" "&amp;SEMANTIC_BUCKETS!$A$2:$A$348&amp;" "," "&amp;B129&amp;" "))))</f>
        <v/>
      </c>
      <c r="E129" t="str" cm="1">
        <f t="array" ref="E129">IF(B129="","",SUMPRODUCT(--ISNUMBER(SEARCH(" "&amp;SEMANTIC_BUCKETS!$A$2:$A$348&amp;" "," "&amp;B129&amp;" ")),SEMANTIC_BUCKETS!$E$2:$E$348))</f>
        <v/>
      </c>
      <c r="F129" t="str" cm="1">
        <f t="array" ref="F129">IF(OR(B129="",D129=0),"",INDEX(SEMANTIC_BUCKETS!$B$2:$B$348,MATCH(TRUE,ISNUMBER(SEARCH(" "&amp;SEMANTIC_BUCKETS!$A$2:$A$348&amp;" "," "&amp;B129&amp;" ")),0)))</f>
        <v/>
      </c>
      <c r="G129" t="str">
        <f t="shared" si="5"/>
        <v/>
      </c>
      <c r="H129" t="str" cm="1">
        <f t="array" ref="H129">IF(OR(B129="",D129=0),"",_xlfn.TEXTJOIN(", ",TRUE,IF(ISNUMBER(SEARCH(" "&amp;SEMANTIC_BUCKETS!$A$2:$A$348&amp;" "," "&amp;B129&amp;" ")),SEMANTIC_BUCKETS!$A$2:$A$348,"")))</f>
        <v/>
      </c>
    </row>
    <row r="130" spans="1:8" x14ac:dyDescent="0.3">
      <c r="A130" t="str">
        <f t="shared" si="3"/>
        <v/>
      </c>
      <c r="B130" t="str" cm="1">
        <f t="array" ref="B130">IFERROR(_xlfn.LET(_xlpm.s,$B$10,_xlpm.norm,SUBSTITUTE(SUBSTITUTE(_xlpm.s,"!","."),"?","."),_xlpm.parts,_xlfn.TEXTSPLIT(_xlpm.norm,,".",TRUE),TRIM(INDEX(_xlpm.parts,ROW()-13))),"")</f>
        <v/>
      </c>
      <c r="C130" t="str">
        <f t="shared" si="4"/>
        <v/>
      </c>
      <c r="D130" t="str" cm="1">
        <f t="array" ref="D130">IF(B130="","",SUMPRODUCT(--ISNUMBER(SEARCH(" "&amp;SEMANTIC_BUCKETS!$A$2:$A$348&amp;" "," "&amp;B130&amp;" "))))</f>
        <v/>
      </c>
      <c r="E130" t="str" cm="1">
        <f t="array" ref="E130">IF(B130="","",SUMPRODUCT(--ISNUMBER(SEARCH(" "&amp;SEMANTIC_BUCKETS!$A$2:$A$348&amp;" "," "&amp;B130&amp;" ")),SEMANTIC_BUCKETS!$E$2:$E$348))</f>
        <v/>
      </c>
      <c r="F130" t="str" cm="1">
        <f t="array" ref="F130">IF(OR(B130="",D130=0),"",INDEX(SEMANTIC_BUCKETS!$B$2:$B$348,MATCH(TRUE,ISNUMBER(SEARCH(" "&amp;SEMANTIC_BUCKETS!$A$2:$A$348&amp;" "," "&amp;B130&amp;" ")),0)))</f>
        <v/>
      </c>
      <c r="G130" t="str">
        <f t="shared" si="5"/>
        <v/>
      </c>
      <c r="H130" t="str" cm="1">
        <f t="array" ref="H130">IF(OR(B130="",D130=0),"",_xlfn.TEXTJOIN(", ",TRUE,IF(ISNUMBER(SEARCH(" "&amp;SEMANTIC_BUCKETS!$A$2:$A$348&amp;" "," "&amp;B130&amp;" ")),SEMANTIC_BUCKETS!$A$2:$A$348,"")))</f>
        <v/>
      </c>
    </row>
    <row r="131" spans="1:8" x14ac:dyDescent="0.3">
      <c r="A131" t="str">
        <f t="shared" si="3"/>
        <v/>
      </c>
      <c r="B131" t="str" cm="1">
        <f t="array" ref="B131">IFERROR(_xlfn.LET(_xlpm.s,$B$10,_xlpm.norm,SUBSTITUTE(SUBSTITUTE(_xlpm.s,"!","."),"?","."),_xlpm.parts,_xlfn.TEXTSPLIT(_xlpm.norm,,".",TRUE),TRIM(INDEX(_xlpm.parts,ROW()-13))),"")</f>
        <v/>
      </c>
      <c r="C131" t="str">
        <f t="shared" si="4"/>
        <v/>
      </c>
      <c r="D131" t="str" cm="1">
        <f t="array" ref="D131">IF(B131="","",SUMPRODUCT(--ISNUMBER(SEARCH(" "&amp;SEMANTIC_BUCKETS!$A$2:$A$348&amp;" "," "&amp;B131&amp;" "))))</f>
        <v/>
      </c>
      <c r="E131" t="str" cm="1">
        <f t="array" ref="E131">IF(B131="","",SUMPRODUCT(--ISNUMBER(SEARCH(" "&amp;SEMANTIC_BUCKETS!$A$2:$A$348&amp;" "," "&amp;B131&amp;" ")),SEMANTIC_BUCKETS!$E$2:$E$348))</f>
        <v/>
      </c>
      <c r="F131" t="str" cm="1">
        <f t="array" ref="F131">IF(OR(B131="",D131=0),"",INDEX(SEMANTIC_BUCKETS!$B$2:$B$348,MATCH(TRUE,ISNUMBER(SEARCH(" "&amp;SEMANTIC_BUCKETS!$A$2:$A$348&amp;" "," "&amp;B131&amp;" ")),0)))</f>
        <v/>
      </c>
      <c r="G131" t="str">
        <f t="shared" si="5"/>
        <v/>
      </c>
      <c r="H131" t="str" cm="1">
        <f t="array" ref="H131">IF(OR(B131="",D131=0),"",_xlfn.TEXTJOIN(", ",TRUE,IF(ISNUMBER(SEARCH(" "&amp;SEMANTIC_BUCKETS!$A$2:$A$348&amp;" "," "&amp;B131&amp;" ")),SEMANTIC_BUCKETS!$A$2:$A$348,"")))</f>
        <v/>
      </c>
    </row>
    <row r="132" spans="1:8" x14ac:dyDescent="0.3">
      <c r="A132" t="str">
        <f t="shared" si="3"/>
        <v/>
      </c>
      <c r="B132" t="str" cm="1">
        <f t="array" ref="B132">IFERROR(_xlfn.LET(_xlpm.s,$B$10,_xlpm.norm,SUBSTITUTE(SUBSTITUTE(_xlpm.s,"!","."),"?","."),_xlpm.parts,_xlfn.TEXTSPLIT(_xlpm.norm,,".",TRUE),TRIM(INDEX(_xlpm.parts,ROW()-13))),"")</f>
        <v/>
      </c>
      <c r="C132" t="str">
        <f t="shared" si="4"/>
        <v/>
      </c>
      <c r="D132" t="str" cm="1">
        <f t="array" ref="D132">IF(B132="","",SUMPRODUCT(--ISNUMBER(SEARCH(" "&amp;SEMANTIC_BUCKETS!$A$2:$A$348&amp;" "," "&amp;B132&amp;" "))))</f>
        <v/>
      </c>
      <c r="E132" t="str" cm="1">
        <f t="array" ref="E132">IF(B132="","",SUMPRODUCT(--ISNUMBER(SEARCH(" "&amp;SEMANTIC_BUCKETS!$A$2:$A$348&amp;" "," "&amp;B132&amp;" ")),SEMANTIC_BUCKETS!$E$2:$E$348))</f>
        <v/>
      </c>
      <c r="F132" t="str" cm="1">
        <f t="array" ref="F132">IF(OR(B132="",D132=0),"",INDEX(SEMANTIC_BUCKETS!$B$2:$B$348,MATCH(TRUE,ISNUMBER(SEARCH(" "&amp;SEMANTIC_BUCKETS!$A$2:$A$348&amp;" "," "&amp;B132&amp;" ")),0)))</f>
        <v/>
      </c>
      <c r="G132" t="str">
        <f t="shared" si="5"/>
        <v/>
      </c>
      <c r="H132" t="str" cm="1">
        <f t="array" ref="H132">IF(OR(B132="",D132=0),"",_xlfn.TEXTJOIN(", ",TRUE,IF(ISNUMBER(SEARCH(" "&amp;SEMANTIC_BUCKETS!$A$2:$A$348&amp;" "," "&amp;B132&amp;" ")),SEMANTIC_BUCKETS!$A$2:$A$348,"")))</f>
        <v/>
      </c>
    </row>
    <row r="133" spans="1:8" x14ac:dyDescent="0.3">
      <c r="A133" t="str">
        <f t="shared" si="3"/>
        <v/>
      </c>
      <c r="B133" t="str" cm="1">
        <f t="array" ref="B133">IFERROR(_xlfn.LET(_xlpm.s,$B$10,_xlpm.norm,SUBSTITUTE(SUBSTITUTE(_xlpm.s,"!","."),"?","."),_xlpm.parts,_xlfn.TEXTSPLIT(_xlpm.norm,,".",TRUE),TRIM(INDEX(_xlpm.parts,ROW()-13))),"")</f>
        <v/>
      </c>
      <c r="C133" t="str">
        <f t="shared" si="4"/>
        <v/>
      </c>
      <c r="D133" t="str" cm="1">
        <f t="array" ref="D133">IF(B133="","",SUMPRODUCT(--ISNUMBER(SEARCH(" "&amp;SEMANTIC_BUCKETS!$A$2:$A$348&amp;" "," "&amp;B133&amp;" "))))</f>
        <v/>
      </c>
      <c r="E133" t="str" cm="1">
        <f t="array" ref="E133">IF(B133="","",SUMPRODUCT(--ISNUMBER(SEARCH(" "&amp;SEMANTIC_BUCKETS!$A$2:$A$348&amp;" "," "&amp;B133&amp;" ")),SEMANTIC_BUCKETS!$E$2:$E$348))</f>
        <v/>
      </c>
      <c r="F133" t="str" cm="1">
        <f t="array" ref="F133">IF(OR(B133="",D133=0),"",INDEX(SEMANTIC_BUCKETS!$B$2:$B$348,MATCH(TRUE,ISNUMBER(SEARCH(" "&amp;SEMANTIC_BUCKETS!$A$2:$A$348&amp;" "," "&amp;B133&amp;" ")),0)))</f>
        <v/>
      </c>
      <c r="G133" t="str">
        <f t="shared" si="5"/>
        <v/>
      </c>
      <c r="H133" t="str" cm="1">
        <f t="array" ref="H133">IF(OR(B133="",D133=0),"",_xlfn.TEXTJOIN(", ",TRUE,IF(ISNUMBER(SEARCH(" "&amp;SEMANTIC_BUCKETS!$A$2:$A$348&amp;" "," "&amp;B133&amp;" ")),SEMANTIC_BUCKETS!$A$2:$A$348,"")))</f>
        <v/>
      </c>
    </row>
    <row r="134" spans="1:8" x14ac:dyDescent="0.3">
      <c r="A134" t="str">
        <f t="shared" si="3"/>
        <v/>
      </c>
      <c r="B134" t="str" cm="1">
        <f t="array" ref="B134">IFERROR(_xlfn.LET(_xlpm.s,$B$10,_xlpm.norm,SUBSTITUTE(SUBSTITUTE(_xlpm.s,"!","."),"?","."),_xlpm.parts,_xlfn.TEXTSPLIT(_xlpm.norm,,".",TRUE),TRIM(INDEX(_xlpm.parts,ROW()-13))),"")</f>
        <v/>
      </c>
      <c r="C134" t="str">
        <f t="shared" si="4"/>
        <v/>
      </c>
      <c r="D134" t="str" cm="1">
        <f t="array" ref="D134">IF(B134="","",SUMPRODUCT(--ISNUMBER(SEARCH(" "&amp;SEMANTIC_BUCKETS!$A$2:$A$348&amp;" "," "&amp;B134&amp;" "))))</f>
        <v/>
      </c>
      <c r="E134" t="str" cm="1">
        <f t="array" ref="E134">IF(B134="","",SUMPRODUCT(--ISNUMBER(SEARCH(" "&amp;SEMANTIC_BUCKETS!$A$2:$A$348&amp;" "," "&amp;B134&amp;" ")),SEMANTIC_BUCKETS!$E$2:$E$348))</f>
        <v/>
      </c>
      <c r="F134" t="str" cm="1">
        <f t="array" ref="F134">IF(OR(B134="",D134=0),"",INDEX(SEMANTIC_BUCKETS!$B$2:$B$348,MATCH(TRUE,ISNUMBER(SEARCH(" "&amp;SEMANTIC_BUCKETS!$A$2:$A$348&amp;" "," "&amp;B134&amp;" ")),0)))</f>
        <v/>
      </c>
      <c r="G134" t="str">
        <f t="shared" si="5"/>
        <v/>
      </c>
      <c r="H134" t="str" cm="1">
        <f t="array" ref="H134">IF(OR(B134="",D134=0),"",_xlfn.TEXTJOIN(", ",TRUE,IF(ISNUMBER(SEARCH(" "&amp;SEMANTIC_BUCKETS!$A$2:$A$348&amp;" "," "&amp;B134&amp;" ")),SEMANTIC_BUCKETS!$A$2:$A$348,"")))</f>
        <v/>
      </c>
    </row>
    <row r="135" spans="1:8" x14ac:dyDescent="0.3">
      <c r="A135" t="str">
        <f t="shared" si="3"/>
        <v/>
      </c>
      <c r="B135" t="str" cm="1">
        <f t="array" ref="B135">IFERROR(_xlfn.LET(_xlpm.s,$B$10,_xlpm.norm,SUBSTITUTE(SUBSTITUTE(_xlpm.s,"!","."),"?","."),_xlpm.parts,_xlfn.TEXTSPLIT(_xlpm.norm,,".",TRUE),TRIM(INDEX(_xlpm.parts,ROW()-13))),"")</f>
        <v/>
      </c>
      <c r="C135" t="str">
        <f t="shared" si="4"/>
        <v/>
      </c>
      <c r="D135" t="str" cm="1">
        <f t="array" ref="D135">IF(B135="","",SUMPRODUCT(--ISNUMBER(SEARCH(" "&amp;SEMANTIC_BUCKETS!$A$2:$A$348&amp;" "," "&amp;B135&amp;" "))))</f>
        <v/>
      </c>
      <c r="E135" t="str" cm="1">
        <f t="array" ref="E135">IF(B135="","",SUMPRODUCT(--ISNUMBER(SEARCH(" "&amp;SEMANTIC_BUCKETS!$A$2:$A$348&amp;" "," "&amp;B135&amp;" ")),SEMANTIC_BUCKETS!$E$2:$E$348))</f>
        <v/>
      </c>
      <c r="F135" t="str" cm="1">
        <f t="array" ref="F135">IF(OR(B135="",D135=0),"",INDEX(SEMANTIC_BUCKETS!$B$2:$B$348,MATCH(TRUE,ISNUMBER(SEARCH(" "&amp;SEMANTIC_BUCKETS!$A$2:$A$348&amp;" "," "&amp;B135&amp;" ")),0)))</f>
        <v/>
      </c>
      <c r="G135" t="str">
        <f t="shared" si="5"/>
        <v/>
      </c>
      <c r="H135" t="str" cm="1">
        <f t="array" ref="H135">IF(OR(B135="",D135=0),"",_xlfn.TEXTJOIN(", ",TRUE,IF(ISNUMBER(SEARCH(" "&amp;SEMANTIC_BUCKETS!$A$2:$A$348&amp;" "," "&amp;B135&amp;" ")),SEMANTIC_BUCKETS!$A$2:$A$348,"")))</f>
        <v/>
      </c>
    </row>
    <row r="136" spans="1:8" x14ac:dyDescent="0.3">
      <c r="A136" t="str">
        <f t="shared" si="3"/>
        <v/>
      </c>
      <c r="B136" t="str" cm="1">
        <f t="array" ref="B136">IFERROR(_xlfn.LET(_xlpm.s,$B$10,_xlpm.norm,SUBSTITUTE(SUBSTITUTE(_xlpm.s,"!","."),"?","."),_xlpm.parts,_xlfn.TEXTSPLIT(_xlpm.norm,,".",TRUE),TRIM(INDEX(_xlpm.parts,ROW()-13))),"")</f>
        <v/>
      </c>
      <c r="C136" t="str">
        <f t="shared" si="4"/>
        <v/>
      </c>
      <c r="D136" t="str" cm="1">
        <f t="array" ref="D136">IF(B136="","",SUMPRODUCT(--ISNUMBER(SEARCH(" "&amp;SEMANTIC_BUCKETS!$A$2:$A$348&amp;" "," "&amp;B136&amp;" "))))</f>
        <v/>
      </c>
      <c r="E136" t="str" cm="1">
        <f t="array" ref="E136">IF(B136="","",SUMPRODUCT(--ISNUMBER(SEARCH(" "&amp;SEMANTIC_BUCKETS!$A$2:$A$348&amp;" "," "&amp;B136&amp;" ")),SEMANTIC_BUCKETS!$E$2:$E$348))</f>
        <v/>
      </c>
      <c r="F136" t="str" cm="1">
        <f t="array" ref="F136">IF(OR(B136="",D136=0),"",INDEX(SEMANTIC_BUCKETS!$B$2:$B$348,MATCH(TRUE,ISNUMBER(SEARCH(" "&amp;SEMANTIC_BUCKETS!$A$2:$A$348&amp;" "," "&amp;B136&amp;" ")),0)))</f>
        <v/>
      </c>
      <c r="G136" t="str">
        <f t="shared" si="5"/>
        <v/>
      </c>
      <c r="H136" t="str" cm="1">
        <f t="array" ref="H136">IF(OR(B136="",D136=0),"",_xlfn.TEXTJOIN(", ",TRUE,IF(ISNUMBER(SEARCH(" "&amp;SEMANTIC_BUCKETS!$A$2:$A$348&amp;" "," "&amp;B136&amp;" ")),SEMANTIC_BUCKETS!$A$2:$A$348,"")))</f>
        <v/>
      </c>
    </row>
    <row r="137" spans="1:8" x14ac:dyDescent="0.3">
      <c r="A137" t="str">
        <f t="shared" si="3"/>
        <v/>
      </c>
      <c r="B137" t="str" cm="1">
        <f t="array" ref="B137">IFERROR(_xlfn.LET(_xlpm.s,$B$10,_xlpm.norm,SUBSTITUTE(SUBSTITUTE(_xlpm.s,"!","."),"?","."),_xlpm.parts,_xlfn.TEXTSPLIT(_xlpm.norm,,".",TRUE),TRIM(INDEX(_xlpm.parts,ROW()-13))),"")</f>
        <v/>
      </c>
      <c r="C137" t="str">
        <f t="shared" si="4"/>
        <v/>
      </c>
      <c r="D137" t="str" cm="1">
        <f t="array" ref="D137">IF(B137="","",SUMPRODUCT(--ISNUMBER(SEARCH(" "&amp;SEMANTIC_BUCKETS!$A$2:$A$348&amp;" "," "&amp;B137&amp;" "))))</f>
        <v/>
      </c>
      <c r="E137" t="str" cm="1">
        <f t="array" ref="E137">IF(B137="","",SUMPRODUCT(--ISNUMBER(SEARCH(" "&amp;SEMANTIC_BUCKETS!$A$2:$A$348&amp;" "," "&amp;B137&amp;" ")),SEMANTIC_BUCKETS!$E$2:$E$348))</f>
        <v/>
      </c>
      <c r="F137" t="str" cm="1">
        <f t="array" ref="F137">IF(OR(B137="",D137=0),"",INDEX(SEMANTIC_BUCKETS!$B$2:$B$348,MATCH(TRUE,ISNUMBER(SEARCH(" "&amp;SEMANTIC_BUCKETS!$A$2:$A$348&amp;" "," "&amp;B137&amp;" ")),0)))</f>
        <v/>
      </c>
      <c r="G137" t="str">
        <f t="shared" si="5"/>
        <v/>
      </c>
      <c r="H137" t="str" cm="1">
        <f t="array" ref="H137">IF(OR(B137="",D137=0),"",_xlfn.TEXTJOIN(", ",TRUE,IF(ISNUMBER(SEARCH(" "&amp;SEMANTIC_BUCKETS!$A$2:$A$348&amp;" "," "&amp;B137&amp;" ")),SEMANTIC_BUCKETS!$A$2:$A$348,"")))</f>
        <v/>
      </c>
    </row>
    <row r="138" spans="1:8" x14ac:dyDescent="0.3">
      <c r="A138" t="str">
        <f t="shared" si="3"/>
        <v/>
      </c>
      <c r="B138" t="str" cm="1">
        <f t="array" ref="B138">IFERROR(_xlfn.LET(_xlpm.s,$B$10,_xlpm.norm,SUBSTITUTE(SUBSTITUTE(_xlpm.s,"!","."),"?","."),_xlpm.parts,_xlfn.TEXTSPLIT(_xlpm.norm,,".",TRUE),TRIM(INDEX(_xlpm.parts,ROW()-13))),"")</f>
        <v/>
      </c>
      <c r="C138" t="str">
        <f t="shared" si="4"/>
        <v/>
      </c>
      <c r="D138" t="str" cm="1">
        <f t="array" ref="D138">IF(B138="","",SUMPRODUCT(--ISNUMBER(SEARCH(" "&amp;SEMANTIC_BUCKETS!$A$2:$A$348&amp;" "," "&amp;B138&amp;" "))))</f>
        <v/>
      </c>
      <c r="E138" t="str" cm="1">
        <f t="array" ref="E138">IF(B138="","",SUMPRODUCT(--ISNUMBER(SEARCH(" "&amp;SEMANTIC_BUCKETS!$A$2:$A$348&amp;" "," "&amp;B138&amp;" ")),SEMANTIC_BUCKETS!$E$2:$E$348))</f>
        <v/>
      </c>
      <c r="F138" t="str" cm="1">
        <f t="array" ref="F138">IF(OR(B138="",D138=0),"",INDEX(SEMANTIC_BUCKETS!$B$2:$B$348,MATCH(TRUE,ISNUMBER(SEARCH(" "&amp;SEMANTIC_BUCKETS!$A$2:$A$348&amp;" "," "&amp;B138&amp;" ")),0)))</f>
        <v/>
      </c>
      <c r="G138" t="str">
        <f t="shared" si="5"/>
        <v/>
      </c>
      <c r="H138" t="str" cm="1">
        <f t="array" ref="H138">IF(OR(B138="",D138=0),"",_xlfn.TEXTJOIN(", ",TRUE,IF(ISNUMBER(SEARCH(" "&amp;SEMANTIC_BUCKETS!$A$2:$A$348&amp;" "," "&amp;B138&amp;" ")),SEMANTIC_BUCKETS!$A$2:$A$348,"")))</f>
        <v/>
      </c>
    </row>
    <row r="139" spans="1:8" x14ac:dyDescent="0.3">
      <c r="A139" t="str">
        <f t="shared" si="3"/>
        <v/>
      </c>
      <c r="B139" t="str" cm="1">
        <f t="array" ref="B139">IFERROR(_xlfn.LET(_xlpm.s,$B$10,_xlpm.norm,SUBSTITUTE(SUBSTITUTE(_xlpm.s,"!","."),"?","."),_xlpm.parts,_xlfn.TEXTSPLIT(_xlpm.norm,,".",TRUE),TRIM(INDEX(_xlpm.parts,ROW()-13))),"")</f>
        <v/>
      </c>
      <c r="C139" t="str">
        <f t="shared" si="4"/>
        <v/>
      </c>
      <c r="D139" t="str" cm="1">
        <f t="array" ref="D139">IF(B139="","",SUMPRODUCT(--ISNUMBER(SEARCH(" "&amp;SEMANTIC_BUCKETS!$A$2:$A$348&amp;" "," "&amp;B139&amp;" "))))</f>
        <v/>
      </c>
      <c r="E139" t="str" cm="1">
        <f t="array" ref="E139">IF(B139="","",SUMPRODUCT(--ISNUMBER(SEARCH(" "&amp;SEMANTIC_BUCKETS!$A$2:$A$348&amp;" "," "&amp;B139&amp;" ")),SEMANTIC_BUCKETS!$E$2:$E$348))</f>
        <v/>
      </c>
      <c r="F139" t="str" cm="1">
        <f t="array" ref="F139">IF(OR(B139="",D139=0),"",INDEX(SEMANTIC_BUCKETS!$B$2:$B$348,MATCH(TRUE,ISNUMBER(SEARCH(" "&amp;SEMANTIC_BUCKETS!$A$2:$A$348&amp;" "," "&amp;B139&amp;" ")),0)))</f>
        <v/>
      </c>
      <c r="G139" t="str">
        <f t="shared" si="5"/>
        <v/>
      </c>
      <c r="H139" t="str" cm="1">
        <f t="array" ref="H139">IF(OR(B139="",D139=0),"",_xlfn.TEXTJOIN(", ",TRUE,IF(ISNUMBER(SEARCH(" "&amp;SEMANTIC_BUCKETS!$A$2:$A$348&amp;" "," "&amp;B139&amp;" ")),SEMANTIC_BUCKETS!$A$2:$A$348,"")))</f>
        <v/>
      </c>
    </row>
    <row r="140" spans="1:8" x14ac:dyDescent="0.3">
      <c r="A140" t="str">
        <f t="shared" si="3"/>
        <v/>
      </c>
      <c r="B140" t="str" cm="1">
        <f t="array" ref="B140">IFERROR(_xlfn.LET(_xlpm.s,$B$10,_xlpm.norm,SUBSTITUTE(SUBSTITUTE(_xlpm.s,"!","."),"?","."),_xlpm.parts,_xlfn.TEXTSPLIT(_xlpm.norm,,".",TRUE),TRIM(INDEX(_xlpm.parts,ROW()-13))),"")</f>
        <v/>
      </c>
      <c r="C140" t="str">
        <f t="shared" si="4"/>
        <v/>
      </c>
      <c r="D140" t="str" cm="1">
        <f t="array" ref="D140">IF(B140="","",SUMPRODUCT(--ISNUMBER(SEARCH(" "&amp;SEMANTIC_BUCKETS!$A$2:$A$348&amp;" "," "&amp;B140&amp;" "))))</f>
        <v/>
      </c>
      <c r="E140" t="str" cm="1">
        <f t="array" ref="E140">IF(B140="","",SUMPRODUCT(--ISNUMBER(SEARCH(" "&amp;SEMANTIC_BUCKETS!$A$2:$A$348&amp;" "," "&amp;B140&amp;" ")),SEMANTIC_BUCKETS!$E$2:$E$348))</f>
        <v/>
      </c>
      <c r="F140" t="str" cm="1">
        <f t="array" ref="F140">IF(OR(B140="",D140=0),"",INDEX(SEMANTIC_BUCKETS!$B$2:$B$348,MATCH(TRUE,ISNUMBER(SEARCH(" "&amp;SEMANTIC_BUCKETS!$A$2:$A$348&amp;" "," "&amp;B140&amp;" ")),0)))</f>
        <v/>
      </c>
      <c r="G140" t="str">
        <f t="shared" si="5"/>
        <v/>
      </c>
      <c r="H140" t="str" cm="1">
        <f t="array" ref="H140">IF(OR(B140="",D140=0),"",_xlfn.TEXTJOIN(", ",TRUE,IF(ISNUMBER(SEARCH(" "&amp;SEMANTIC_BUCKETS!$A$2:$A$348&amp;" "," "&amp;B140&amp;" ")),SEMANTIC_BUCKETS!$A$2:$A$348,"")))</f>
        <v/>
      </c>
    </row>
    <row r="141" spans="1:8" x14ac:dyDescent="0.3">
      <c r="A141" t="str">
        <f t="shared" si="3"/>
        <v/>
      </c>
      <c r="B141" t="str" cm="1">
        <f t="array" ref="B141">IFERROR(_xlfn.LET(_xlpm.s,$B$10,_xlpm.norm,SUBSTITUTE(SUBSTITUTE(_xlpm.s,"!","."),"?","."),_xlpm.parts,_xlfn.TEXTSPLIT(_xlpm.norm,,".",TRUE),TRIM(INDEX(_xlpm.parts,ROW()-13))),"")</f>
        <v/>
      </c>
      <c r="C141" t="str">
        <f t="shared" si="4"/>
        <v/>
      </c>
      <c r="D141" t="str" cm="1">
        <f t="array" ref="D141">IF(B141="","",SUMPRODUCT(--ISNUMBER(SEARCH(" "&amp;SEMANTIC_BUCKETS!$A$2:$A$348&amp;" "," "&amp;B141&amp;" "))))</f>
        <v/>
      </c>
      <c r="E141" t="str" cm="1">
        <f t="array" ref="E141">IF(B141="","",SUMPRODUCT(--ISNUMBER(SEARCH(" "&amp;SEMANTIC_BUCKETS!$A$2:$A$348&amp;" "," "&amp;B141&amp;" ")),SEMANTIC_BUCKETS!$E$2:$E$348))</f>
        <v/>
      </c>
      <c r="F141" t="str" cm="1">
        <f t="array" ref="F141">IF(OR(B141="",D141=0),"",INDEX(SEMANTIC_BUCKETS!$B$2:$B$348,MATCH(TRUE,ISNUMBER(SEARCH(" "&amp;SEMANTIC_BUCKETS!$A$2:$A$348&amp;" "," "&amp;B141&amp;" ")),0)))</f>
        <v/>
      </c>
      <c r="G141" t="str">
        <f t="shared" si="5"/>
        <v/>
      </c>
      <c r="H141" t="str" cm="1">
        <f t="array" ref="H141">IF(OR(B141="",D141=0),"",_xlfn.TEXTJOIN(", ",TRUE,IF(ISNUMBER(SEARCH(" "&amp;SEMANTIC_BUCKETS!$A$2:$A$348&amp;" "," "&amp;B141&amp;" ")),SEMANTIC_BUCKETS!$A$2:$A$348,"")))</f>
        <v/>
      </c>
    </row>
    <row r="142" spans="1:8" x14ac:dyDescent="0.3">
      <c r="A142" t="str">
        <f t="shared" si="3"/>
        <v/>
      </c>
      <c r="B142" t="str" cm="1">
        <f t="array" ref="B142">IFERROR(_xlfn.LET(_xlpm.s,$B$10,_xlpm.norm,SUBSTITUTE(SUBSTITUTE(_xlpm.s,"!","."),"?","."),_xlpm.parts,_xlfn.TEXTSPLIT(_xlpm.norm,,".",TRUE),TRIM(INDEX(_xlpm.parts,ROW()-13))),"")</f>
        <v/>
      </c>
      <c r="C142" t="str">
        <f t="shared" si="4"/>
        <v/>
      </c>
      <c r="D142" t="str" cm="1">
        <f t="array" ref="D142">IF(B142="","",SUMPRODUCT(--ISNUMBER(SEARCH(" "&amp;SEMANTIC_BUCKETS!$A$2:$A$348&amp;" "," "&amp;B142&amp;" "))))</f>
        <v/>
      </c>
      <c r="E142" t="str" cm="1">
        <f t="array" ref="E142">IF(B142="","",SUMPRODUCT(--ISNUMBER(SEARCH(" "&amp;SEMANTIC_BUCKETS!$A$2:$A$348&amp;" "," "&amp;B142&amp;" ")),SEMANTIC_BUCKETS!$E$2:$E$348))</f>
        <v/>
      </c>
      <c r="F142" t="str" cm="1">
        <f t="array" ref="F142">IF(OR(B142="",D142=0),"",INDEX(SEMANTIC_BUCKETS!$B$2:$B$348,MATCH(TRUE,ISNUMBER(SEARCH(" "&amp;SEMANTIC_BUCKETS!$A$2:$A$348&amp;" "," "&amp;B142&amp;" ")),0)))</f>
        <v/>
      </c>
      <c r="G142" t="str">
        <f t="shared" si="5"/>
        <v/>
      </c>
      <c r="H142" t="str" cm="1">
        <f t="array" ref="H142">IF(OR(B142="",D142=0),"",_xlfn.TEXTJOIN(", ",TRUE,IF(ISNUMBER(SEARCH(" "&amp;SEMANTIC_BUCKETS!$A$2:$A$348&amp;" "," "&amp;B142&amp;" ")),SEMANTIC_BUCKETS!$A$2:$A$348,"")))</f>
        <v/>
      </c>
    </row>
    <row r="143" spans="1:8" x14ac:dyDescent="0.3">
      <c r="A143" t="str">
        <f t="shared" ref="A143:A206" si="6">IF(B143="","",ROW()-13)</f>
        <v/>
      </c>
      <c r="B143" t="str" cm="1">
        <f t="array" ref="B143">IFERROR(_xlfn.LET(_xlpm.s,$B$10,_xlpm.norm,SUBSTITUTE(SUBSTITUTE(_xlpm.s,"!","."),"?","."),_xlpm.parts,_xlfn.TEXTSPLIT(_xlpm.norm,,".",TRUE),TRIM(INDEX(_xlpm.parts,ROW()-13))),"")</f>
        <v/>
      </c>
      <c r="C143" t="str">
        <f t="shared" ref="C143:C206" si="7">IF(B143="","",IF(TRIM(B143)="",0,LEN(TRIM(B143))-LEN(SUBSTITUTE(TRIM(B143)," ",""))+1))</f>
        <v/>
      </c>
      <c r="D143" t="str" cm="1">
        <f t="array" ref="D143">IF(B143="","",SUMPRODUCT(--ISNUMBER(SEARCH(" "&amp;SEMANTIC_BUCKETS!$A$2:$A$348&amp;" "," "&amp;B143&amp;" "))))</f>
        <v/>
      </c>
      <c r="E143" t="str" cm="1">
        <f t="array" ref="E143">IF(B143="","",SUMPRODUCT(--ISNUMBER(SEARCH(" "&amp;SEMANTIC_BUCKETS!$A$2:$A$348&amp;" "," "&amp;B143&amp;" ")),SEMANTIC_BUCKETS!$E$2:$E$348))</f>
        <v/>
      </c>
      <c r="F143" t="str" cm="1">
        <f t="array" ref="F143">IF(OR(B143="",D143=0),"",INDEX(SEMANTIC_BUCKETS!$B$2:$B$348,MATCH(TRUE,ISNUMBER(SEARCH(" "&amp;SEMANTIC_BUCKETS!$A$2:$A$348&amp;" "," "&amp;B143&amp;" ")),0)))</f>
        <v/>
      </c>
      <c r="G143" t="str">
        <f t="shared" ref="G143:G206" si="8">IF(B143="","",IF(E143&gt;=$F$9,"FAIL",IF(E143&gt;=$B$9,"WARN","PASS")))</f>
        <v/>
      </c>
      <c r="H143" t="str" cm="1">
        <f t="array" ref="H143">IF(OR(B143="",D143=0),"",_xlfn.TEXTJOIN(", ",TRUE,IF(ISNUMBER(SEARCH(" "&amp;SEMANTIC_BUCKETS!$A$2:$A$348&amp;" "," "&amp;B143&amp;" ")),SEMANTIC_BUCKETS!$A$2:$A$348,"")))</f>
        <v/>
      </c>
    </row>
    <row r="144" spans="1:8" x14ac:dyDescent="0.3">
      <c r="A144" t="str">
        <f t="shared" si="6"/>
        <v/>
      </c>
      <c r="B144" t="str" cm="1">
        <f t="array" ref="B144">IFERROR(_xlfn.LET(_xlpm.s,$B$10,_xlpm.norm,SUBSTITUTE(SUBSTITUTE(_xlpm.s,"!","."),"?","."),_xlpm.parts,_xlfn.TEXTSPLIT(_xlpm.norm,,".",TRUE),TRIM(INDEX(_xlpm.parts,ROW()-13))),"")</f>
        <v/>
      </c>
      <c r="C144" t="str">
        <f t="shared" si="7"/>
        <v/>
      </c>
      <c r="D144" t="str" cm="1">
        <f t="array" ref="D144">IF(B144="","",SUMPRODUCT(--ISNUMBER(SEARCH(" "&amp;SEMANTIC_BUCKETS!$A$2:$A$348&amp;" "," "&amp;B144&amp;" "))))</f>
        <v/>
      </c>
      <c r="E144" t="str" cm="1">
        <f t="array" ref="E144">IF(B144="","",SUMPRODUCT(--ISNUMBER(SEARCH(" "&amp;SEMANTIC_BUCKETS!$A$2:$A$348&amp;" "," "&amp;B144&amp;" ")),SEMANTIC_BUCKETS!$E$2:$E$348))</f>
        <v/>
      </c>
      <c r="F144" t="str" cm="1">
        <f t="array" ref="F144">IF(OR(B144="",D144=0),"",INDEX(SEMANTIC_BUCKETS!$B$2:$B$348,MATCH(TRUE,ISNUMBER(SEARCH(" "&amp;SEMANTIC_BUCKETS!$A$2:$A$348&amp;" "," "&amp;B144&amp;" ")),0)))</f>
        <v/>
      </c>
      <c r="G144" t="str">
        <f t="shared" si="8"/>
        <v/>
      </c>
      <c r="H144" t="str" cm="1">
        <f t="array" ref="H144">IF(OR(B144="",D144=0),"",_xlfn.TEXTJOIN(", ",TRUE,IF(ISNUMBER(SEARCH(" "&amp;SEMANTIC_BUCKETS!$A$2:$A$348&amp;" "," "&amp;B144&amp;" ")),SEMANTIC_BUCKETS!$A$2:$A$348,"")))</f>
        <v/>
      </c>
    </row>
    <row r="145" spans="1:8" x14ac:dyDescent="0.3">
      <c r="A145" t="str">
        <f t="shared" si="6"/>
        <v/>
      </c>
      <c r="B145" t="str" cm="1">
        <f t="array" ref="B145">IFERROR(_xlfn.LET(_xlpm.s,$B$10,_xlpm.norm,SUBSTITUTE(SUBSTITUTE(_xlpm.s,"!","."),"?","."),_xlpm.parts,_xlfn.TEXTSPLIT(_xlpm.norm,,".",TRUE),TRIM(INDEX(_xlpm.parts,ROW()-13))),"")</f>
        <v/>
      </c>
      <c r="C145" t="str">
        <f t="shared" si="7"/>
        <v/>
      </c>
      <c r="D145" t="str" cm="1">
        <f t="array" ref="D145">IF(B145="","",SUMPRODUCT(--ISNUMBER(SEARCH(" "&amp;SEMANTIC_BUCKETS!$A$2:$A$348&amp;" "," "&amp;B145&amp;" "))))</f>
        <v/>
      </c>
      <c r="E145" t="str" cm="1">
        <f t="array" ref="E145">IF(B145="","",SUMPRODUCT(--ISNUMBER(SEARCH(" "&amp;SEMANTIC_BUCKETS!$A$2:$A$348&amp;" "," "&amp;B145&amp;" ")),SEMANTIC_BUCKETS!$E$2:$E$348))</f>
        <v/>
      </c>
      <c r="F145" t="str" cm="1">
        <f t="array" ref="F145">IF(OR(B145="",D145=0),"",INDEX(SEMANTIC_BUCKETS!$B$2:$B$348,MATCH(TRUE,ISNUMBER(SEARCH(" "&amp;SEMANTIC_BUCKETS!$A$2:$A$348&amp;" "," "&amp;B145&amp;" ")),0)))</f>
        <v/>
      </c>
      <c r="G145" t="str">
        <f t="shared" si="8"/>
        <v/>
      </c>
      <c r="H145" t="str" cm="1">
        <f t="array" ref="H145">IF(OR(B145="",D145=0),"",_xlfn.TEXTJOIN(", ",TRUE,IF(ISNUMBER(SEARCH(" "&amp;SEMANTIC_BUCKETS!$A$2:$A$348&amp;" "," "&amp;B145&amp;" ")),SEMANTIC_BUCKETS!$A$2:$A$348,"")))</f>
        <v/>
      </c>
    </row>
    <row r="146" spans="1:8" x14ac:dyDescent="0.3">
      <c r="A146" t="str">
        <f t="shared" si="6"/>
        <v/>
      </c>
      <c r="B146" t="str" cm="1">
        <f t="array" ref="B146">IFERROR(_xlfn.LET(_xlpm.s,$B$10,_xlpm.norm,SUBSTITUTE(SUBSTITUTE(_xlpm.s,"!","."),"?","."),_xlpm.parts,_xlfn.TEXTSPLIT(_xlpm.norm,,".",TRUE),TRIM(INDEX(_xlpm.parts,ROW()-13))),"")</f>
        <v/>
      </c>
      <c r="C146" t="str">
        <f t="shared" si="7"/>
        <v/>
      </c>
      <c r="D146" t="str" cm="1">
        <f t="array" ref="D146">IF(B146="","",SUMPRODUCT(--ISNUMBER(SEARCH(" "&amp;SEMANTIC_BUCKETS!$A$2:$A$348&amp;" "," "&amp;B146&amp;" "))))</f>
        <v/>
      </c>
      <c r="E146" t="str" cm="1">
        <f t="array" ref="E146">IF(B146="","",SUMPRODUCT(--ISNUMBER(SEARCH(" "&amp;SEMANTIC_BUCKETS!$A$2:$A$348&amp;" "," "&amp;B146&amp;" ")),SEMANTIC_BUCKETS!$E$2:$E$348))</f>
        <v/>
      </c>
      <c r="F146" t="str" cm="1">
        <f t="array" ref="F146">IF(OR(B146="",D146=0),"",INDEX(SEMANTIC_BUCKETS!$B$2:$B$348,MATCH(TRUE,ISNUMBER(SEARCH(" "&amp;SEMANTIC_BUCKETS!$A$2:$A$348&amp;" "," "&amp;B146&amp;" ")),0)))</f>
        <v/>
      </c>
      <c r="G146" t="str">
        <f t="shared" si="8"/>
        <v/>
      </c>
      <c r="H146" t="str" cm="1">
        <f t="array" ref="H146">IF(OR(B146="",D146=0),"",_xlfn.TEXTJOIN(", ",TRUE,IF(ISNUMBER(SEARCH(" "&amp;SEMANTIC_BUCKETS!$A$2:$A$348&amp;" "," "&amp;B146&amp;" ")),SEMANTIC_BUCKETS!$A$2:$A$348,"")))</f>
        <v/>
      </c>
    </row>
    <row r="147" spans="1:8" x14ac:dyDescent="0.3">
      <c r="A147" t="str">
        <f t="shared" si="6"/>
        <v/>
      </c>
      <c r="B147" t="str" cm="1">
        <f t="array" ref="B147">IFERROR(_xlfn.LET(_xlpm.s,$B$10,_xlpm.norm,SUBSTITUTE(SUBSTITUTE(_xlpm.s,"!","."),"?","."),_xlpm.parts,_xlfn.TEXTSPLIT(_xlpm.norm,,".",TRUE),TRIM(INDEX(_xlpm.parts,ROW()-13))),"")</f>
        <v/>
      </c>
      <c r="C147" t="str">
        <f t="shared" si="7"/>
        <v/>
      </c>
      <c r="D147" t="str" cm="1">
        <f t="array" ref="D147">IF(B147="","",SUMPRODUCT(--ISNUMBER(SEARCH(" "&amp;SEMANTIC_BUCKETS!$A$2:$A$348&amp;" "," "&amp;B147&amp;" "))))</f>
        <v/>
      </c>
      <c r="E147" t="str" cm="1">
        <f t="array" ref="E147">IF(B147="","",SUMPRODUCT(--ISNUMBER(SEARCH(" "&amp;SEMANTIC_BUCKETS!$A$2:$A$348&amp;" "," "&amp;B147&amp;" ")),SEMANTIC_BUCKETS!$E$2:$E$348))</f>
        <v/>
      </c>
      <c r="F147" t="str" cm="1">
        <f t="array" ref="F147">IF(OR(B147="",D147=0),"",INDEX(SEMANTIC_BUCKETS!$B$2:$B$348,MATCH(TRUE,ISNUMBER(SEARCH(" "&amp;SEMANTIC_BUCKETS!$A$2:$A$348&amp;" "," "&amp;B147&amp;" ")),0)))</f>
        <v/>
      </c>
      <c r="G147" t="str">
        <f t="shared" si="8"/>
        <v/>
      </c>
      <c r="H147" t="str" cm="1">
        <f t="array" ref="H147">IF(OR(B147="",D147=0),"",_xlfn.TEXTJOIN(", ",TRUE,IF(ISNUMBER(SEARCH(" "&amp;SEMANTIC_BUCKETS!$A$2:$A$348&amp;" "," "&amp;B147&amp;" ")),SEMANTIC_BUCKETS!$A$2:$A$348,"")))</f>
        <v/>
      </c>
    </row>
    <row r="148" spans="1:8" x14ac:dyDescent="0.3">
      <c r="A148" t="str">
        <f t="shared" si="6"/>
        <v/>
      </c>
      <c r="B148" t="str" cm="1">
        <f t="array" ref="B148">IFERROR(_xlfn.LET(_xlpm.s,$B$10,_xlpm.norm,SUBSTITUTE(SUBSTITUTE(_xlpm.s,"!","."),"?","."),_xlpm.parts,_xlfn.TEXTSPLIT(_xlpm.norm,,".",TRUE),TRIM(INDEX(_xlpm.parts,ROW()-13))),"")</f>
        <v/>
      </c>
      <c r="C148" t="str">
        <f t="shared" si="7"/>
        <v/>
      </c>
      <c r="D148" t="str" cm="1">
        <f t="array" ref="D148">IF(B148="","",SUMPRODUCT(--ISNUMBER(SEARCH(" "&amp;SEMANTIC_BUCKETS!$A$2:$A$348&amp;" "," "&amp;B148&amp;" "))))</f>
        <v/>
      </c>
      <c r="E148" t="str" cm="1">
        <f t="array" ref="E148">IF(B148="","",SUMPRODUCT(--ISNUMBER(SEARCH(" "&amp;SEMANTIC_BUCKETS!$A$2:$A$348&amp;" "," "&amp;B148&amp;" ")),SEMANTIC_BUCKETS!$E$2:$E$348))</f>
        <v/>
      </c>
      <c r="F148" t="str" cm="1">
        <f t="array" ref="F148">IF(OR(B148="",D148=0),"",INDEX(SEMANTIC_BUCKETS!$B$2:$B$348,MATCH(TRUE,ISNUMBER(SEARCH(" "&amp;SEMANTIC_BUCKETS!$A$2:$A$348&amp;" "," "&amp;B148&amp;" ")),0)))</f>
        <v/>
      </c>
      <c r="G148" t="str">
        <f t="shared" si="8"/>
        <v/>
      </c>
      <c r="H148" t="str" cm="1">
        <f t="array" ref="H148">IF(OR(B148="",D148=0),"",_xlfn.TEXTJOIN(", ",TRUE,IF(ISNUMBER(SEARCH(" "&amp;SEMANTIC_BUCKETS!$A$2:$A$348&amp;" "," "&amp;B148&amp;" ")),SEMANTIC_BUCKETS!$A$2:$A$348,"")))</f>
        <v/>
      </c>
    </row>
    <row r="149" spans="1:8" x14ac:dyDescent="0.3">
      <c r="A149" t="str">
        <f t="shared" si="6"/>
        <v/>
      </c>
      <c r="B149" t="str" cm="1">
        <f t="array" ref="B149">IFERROR(_xlfn.LET(_xlpm.s,$B$10,_xlpm.norm,SUBSTITUTE(SUBSTITUTE(_xlpm.s,"!","."),"?","."),_xlpm.parts,_xlfn.TEXTSPLIT(_xlpm.norm,,".",TRUE),TRIM(INDEX(_xlpm.parts,ROW()-13))),"")</f>
        <v/>
      </c>
      <c r="C149" t="str">
        <f t="shared" si="7"/>
        <v/>
      </c>
      <c r="D149" t="str" cm="1">
        <f t="array" ref="D149">IF(B149="","",SUMPRODUCT(--ISNUMBER(SEARCH(" "&amp;SEMANTIC_BUCKETS!$A$2:$A$348&amp;" "," "&amp;B149&amp;" "))))</f>
        <v/>
      </c>
      <c r="E149" t="str" cm="1">
        <f t="array" ref="E149">IF(B149="","",SUMPRODUCT(--ISNUMBER(SEARCH(" "&amp;SEMANTIC_BUCKETS!$A$2:$A$348&amp;" "," "&amp;B149&amp;" ")),SEMANTIC_BUCKETS!$E$2:$E$348))</f>
        <v/>
      </c>
      <c r="F149" t="str" cm="1">
        <f t="array" ref="F149">IF(OR(B149="",D149=0),"",INDEX(SEMANTIC_BUCKETS!$B$2:$B$348,MATCH(TRUE,ISNUMBER(SEARCH(" "&amp;SEMANTIC_BUCKETS!$A$2:$A$348&amp;" "," "&amp;B149&amp;" ")),0)))</f>
        <v/>
      </c>
      <c r="G149" t="str">
        <f t="shared" si="8"/>
        <v/>
      </c>
      <c r="H149" t="str" cm="1">
        <f t="array" ref="H149">IF(OR(B149="",D149=0),"",_xlfn.TEXTJOIN(", ",TRUE,IF(ISNUMBER(SEARCH(" "&amp;SEMANTIC_BUCKETS!$A$2:$A$348&amp;" "," "&amp;B149&amp;" ")),SEMANTIC_BUCKETS!$A$2:$A$348,"")))</f>
        <v/>
      </c>
    </row>
    <row r="150" spans="1:8" x14ac:dyDescent="0.3">
      <c r="A150" t="str">
        <f t="shared" si="6"/>
        <v/>
      </c>
      <c r="B150" t="str" cm="1">
        <f t="array" ref="B150">IFERROR(_xlfn.LET(_xlpm.s,$B$10,_xlpm.norm,SUBSTITUTE(SUBSTITUTE(_xlpm.s,"!","."),"?","."),_xlpm.parts,_xlfn.TEXTSPLIT(_xlpm.norm,,".",TRUE),TRIM(INDEX(_xlpm.parts,ROW()-13))),"")</f>
        <v/>
      </c>
      <c r="C150" t="str">
        <f t="shared" si="7"/>
        <v/>
      </c>
      <c r="D150" t="str" cm="1">
        <f t="array" ref="D150">IF(B150="","",SUMPRODUCT(--ISNUMBER(SEARCH(" "&amp;SEMANTIC_BUCKETS!$A$2:$A$348&amp;" "," "&amp;B150&amp;" "))))</f>
        <v/>
      </c>
      <c r="E150" t="str" cm="1">
        <f t="array" ref="E150">IF(B150="","",SUMPRODUCT(--ISNUMBER(SEARCH(" "&amp;SEMANTIC_BUCKETS!$A$2:$A$348&amp;" "," "&amp;B150&amp;" ")),SEMANTIC_BUCKETS!$E$2:$E$348))</f>
        <v/>
      </c>
      <c r="F150" t="str" cm="1">
        <f t="array" ref="F150">IF(OR(B150="",D150=0),"",INDEX(SEMANTIC_BUCKETS!$B$2:$B$348,MATCH(TRUE,ISNUMBER(SEARCH(" "&amp;SEMANTIC_BUCKETS!$A$2:$A$348&amp;" "," "&amp;B150&amp;" ")),0)))</f>
        <v/>
      </c>
      <c r="G150" t="str">
        <f t="shared" si="8"/>
        <v/>
      </c>
      <c r="H150" t="str" cm="1">
        <f t="array" ref="H150">IF(OR(B150="",D150=0),"",_xlfn.TEXTJOIN(", ",TRUE,IF(ISNUMBER(SEARCH(" "&amp;SEMANTIC_BUCKETS!$A$2:$A$348&amp;" "," "&amp;B150&amp;" ")),SEMANTIC_BUCKETS!$A$2:$A$348,"")))</f>
        <v/>
      </c>
    </row>
    <row r="151" spans="1:8" x14ac:dyDescent="0.3">
      <c r="A151" t="str">
        <f t="shared" si="6"/>
        <v/>
      </c>
      <c r="B151" t="str" cm="1">
        <f t="array" ref="B151">IFERROR(_xlfn.LET(_xlpm.s,$B$10,_xlpm.norm,SUBSTITUTE(SUBSTITUTE(_xlpm.s,"!","."),"?","."),_xlpm.parts,_xlfn.TEXTSPLIT(_xlpm.norm,,".",TRUE),TRIM(INDEX(_xlpm.parts,ROW()-13))),"")</f>
        <v/>
      </c>
      <c r="C151" t="str">
        <f t="shared" si="7"/>
        <v/>
      </c>
      <c r="D151" t="str" cm="1">
        <f t="array" ref="D151">IF(B151="","",SUMPRODUCT(--ISNUMBER(SEARCH(" "&amp;SEMANTIC_BUCKETS!$A$2:$A$348&amp;" "," "&amp;B151&amp;" "))))</f>
        <v/>
      </c>
      <c r="E151" t="str" cm="1">
        <f t="array" ref="E151">IF(B151="","",SUMPRODUCT(--ISNUMBER(SEARCH(" "&amp;SEMANTIC_BUCKETS!$A$2:$A$348&amp;" "," "&amp;B151&amp;" ")),SEMANTIC_BUCKETS!$E$2:$E$348))</f>
        <v/>
      </c>
      <c r="F151" t="str" cm="1">
        <f t="array" ref="F151">IF(OR(B151="",D151=0),"",INDEX(SEMANTIC_BUCKETS!$B$2:$B$348,MATCH(TRUE,ISNUMBER(SEARCH(" "&amp;SEMANTIC_BUCKETS!$A$2:$A$348&amp;" "," "&amp;B151&amp;" ")),0)))</f>
        <v/>
      </c>
      <c r="G151" t="str">
        <f t="shared" si="8"/>
        <v/>
      </c>
      <c r="H151" t="str" cm="1">
        <f t="array" ref="H151">IF(OR(B151="",D151=0),"",_xlfn.TEXTJOIN(", ",TRUE,IF(ISNUMBER(SEARCH(" "&amp;SEMANTIC_BUCKETS!$A$2:$A$348&amp;" "," "&amp;B151&amp;" ")),SEMANTIC_BUCKETS!$A$2:$A$348,"")))</f>
        <v/>
      </c>
    </row>
    <row r="152" spans="1:8" x14ac:dyDescent="0.3">
      <c r="A152" t="str">
        <f t="shared" si="6"/>
        <v/>
      </c>
      <c r="B152" t="str" cm="1">
        <f t="array" ref="B152">IFERROR(_xlfn.LET(_xlpm.s,$B$10,_xlpm.norm,SUBSTITUTE(SUBSTITUTE(_xlpm.s,"!","."),"?","."),_xlpm.parts,_xlfn.TEXTSPLIT(_xlpm.norm,,".",TRUE),TRIM(INDEX(_xlpm.parts,ROW()-13))),"")</f>
        <v/>
      </c>
      <c r="C152" t="str">
        <f t="shared" si="7"/>
        <v/>
      </c>
      <c r="D152" t="str" cm="1">
        <f t="array" ref="D152">IF(B152="","",SUMPRODUCT(--ISNUMBER(SEARCH(" "&amp;SEMANTIC_BUCKETS!$A$2:$A$348&amp;" "," "&amp;B152&amp;" "))))</f>
        <v/>
      </c>
      <c r="E152" t="str" cm="1">
        <f t="array" ref="E152">IF(B152="","",SUMPRODUCT(--ISNUMBER(SEARCH(" "&amp;SEMANTIC_BUCKETS!$A$2:$A$348&amp;" "," "&amp;B152&amp;" ")),SEMANTIC_BUCKETS!$E$2:$E$348))</f>
        <v/>
      </c>
      <c r="F152" t="str" cm="1">
        <f t="array" ref="F152">IF(OR(B152="",D152=0),"",INDEX(SEMANTIC_BUCKETS!$B$2:$B$348,MATCH(TRUE,ISNUMBER(SEARCH(" "&amp;SEMANTIC_BUCKETS!$A$2:$A$348&amp;" "," "&amp;B152&amp;" ")),0)))</f>
        <v/>
      </c>
      <c r="G152" t="str">
        <f t="shared" si="8"/>
        <v/>
      </c>
      <c r="H152" t="str" cm="1">
        <f t="array" ref="H152">IF(OR(B152="",D152=0),"",_xlfn.TEXTJOIN(", ",TRUE,IF(ISNUMBER(SEARCH(" "&amp;SEMANTIC_BUCKETS!$A$2:$A$348&amp;" "," "&amp;B152&amp;" ")),SEMANTIC_BUCKETS!$A$2:$A$348,"")))</f>
        <v/>
      </c>
    </row>
    <row r="153" spans="1:8" x14ac:dyDescent="0.3">
      <c r="A153" t="str">
        <f t="shared" si="6"/>
        <v/>
      </c>
      <c r="B153" t="str" cm="1">
        <f t="array" ref="B153">IFERROR(_xlfn.LET(_xlpm.s,$B$10,_xlpm.norm,SUBSTITUTE(SUBSTITUTE(_xlpm.s,"!","."),"?","."),_xlpm.parts,_xlfn.TEXTSPLIT(_xlpm.norm,,".",TRUE),TRIM(INDEX(_xlpm.parts,ROW()-13))),"")</f>
        <v/>
      </c>
      <c r="C153" t="str">
        <f t="shared" si="7"/>
        <v/>
      </c>
      <c r="D153" t="str" cm="1">
        <f t="array" ref="D153">IF(B153="","",SUMPRODUCT(--ISNUMBER(SEARCH(" "&amp;SEMANTIC_BUCKETS!$A$2:$A$348&amp;" "," "&amp;B153&amp;" "))))</f>
        <v/>
      </c>
      <c r="E153" t="str" cm="1">
        <f t="array" ref="E153">IF(B153="","",SUMPRODUCT(--ISNUMBER(SEARCH(" "&amp;SEMANTIC_BUCKETS!$A$2:$A$348&amp;" "," "&amp;B153&amp;" ")),SEMANTIC_BUCKETS!$E$2:$E$348))</f>
        <v/>
      </c>
      <c r="F153" t="str" cm="1">
        <f t="array" ref="F153">IF(OR(B153="",D153=0),"",INDEX(SEMANTIC_BUCKETS!$B$2:$B$348,MATCH(TRUE,ISNUMBER(SEARCH(" "&amp;SEMANTIC_BUCKETS!$A$2:$A$348&amp;" "," "&amp;B153&amp;" ")),0)))</f>
        <v/>
      </c>
      <c r="G153" t="str">
        <f t="shared" si="8"/>
        <v/>
      </c>
      <c r="H153" t="str" cm="1">
        <f t="array" ref="H153">IF(OR(B153="",D153=0),"",_xlfn.TEXTJOIN(", ",TRUE,IF(ISNUMBER(SEARCH(" "&amp;SEMANTIC_BUCKETS!$A$2:$A$348&amp;" "," "&amp;B153&amp;" ")),SEMANTIC_BUCKETS!$A$2:$A$348,"")))</f>
        <v/>
      </c>
    </row>
    <row r="154" spans="1:8" x14ac:dyDescent="0.3">
      <c r="A154" t="str">
        <f t="shared" si="6"/>
        <v/>
      </c>
      <c r="B154" t="str" cm="1">
        <f t="array" ref="B154">IFERROR(_xlfn.LET(_xlpm.s,$B$10,_xlpm.norm,SUBSTITUTE(SUBSTITUTE(_xlpm.s,"!","."),"?","."),_xlpm.parts,_xlfn.TEXTSPLIT(_xlpm.norm,,".",TRUE),TRIM(INDEX(_xlpm.parts,ROW()-13))),"")</f>
        <v/>
      </c>
      <c r="C154" t="str">
        <f t="shared" si="7"/>
        <v/>
      </c>
      <c r="D154" t="str" cm="1">
        <f t="array" ref="D154">IF(B154="","",SUMPRODUCT(--ISNUMBER(SEARCH(" "&amp;SEMANTIC_BUCKETS!$A$2:$A$348&amp;" "," "&amp;B154&amp;" "))))</f>
        <v/>
      </c>
      <c r="E154" t="str" cm="1">
        <f t="array" ref="E154">IF(B154="","",SUMPRODUCT(--ISNUMBER(SEARCH(" "&amp;SEMANTIC_BUCKETS!$A$2:$A$348&amp;" "," "&amp;B154&amp;" ")),SEMANTIC_BUCKETS!$E$2:$E$348))</f>
        <v/>
      </c>
      <c r="F154" t="str" cm="1">
        <f t="array" ref="F154">IF(OR(B154="",D154=0),"",INDEX(SEMANTIC_BUCKETS!$B$2:$B$348,MATCH(TRUE,ISNUMBER(SEARCH(" "&amp;SEMANTIC_BUCKETS!$A$2:$A$348&amp;" "," "&amp;B154&amp;" ")),0)))</f>
        <v/>
      </c>
      <c r="G154" t="str">
        <f t="shared" si="8"/>
        <v/>
      </c>
      <c r="H154" t="str" cm="1">
        <f t="array" ref="H154">IF(OR(B154="",D154=0),"",_xlfn.TEXTJOIN(", ",TRUE,IF(ISNUMBER(SEARCH(" "&amp;SEMANTIC_BUCKETS!$A$2:$A$348&amp;" "," "&amp;B154&amp;" ")),SEMANTIC_BUCKETS!$A$2:$A$348,"")))</f>
        <v/>
      </c>
    </row>
    <row r="155" spans="1:8" x14ac:dyDescent="0.3">
      <c r="A155" t="str">
        <f t="shared" si="6"/>
        <v/>
      </c>
      <c r="B155" t="str" cm="1">
        <f t="array" ref="B155">IFERROR(_xlfn.LET(_xlpm.s,$B$10,_xlpm.norm,SUBSTITUTE(SUBSTITUTE(_xlpm.s,"!","."),"?","."),_xlpm.parts,_xlfn.TEXTSPLIT(_xlpm.norm,,".",TRUE),TRIM(INDEX(_xlpm.parts,ROW()-13))),"")</f>
        <v/>
      </c>
      <c r="C155" t="str">
        <f t="shared" si="7"/>
        <v/>
      </c>
      <c r="D155" t="str" cm="1">
        <f t="array" ref="D155">IF(B155="","",SUMPRODUCT(--ISNUMBER(SEARCH(" "&amp;SEMANTIC_BUCKETS!$A$2:$A$348&amp;" "," "&amp;B155&amp;" "))))</f>
        <v/>
      </c>
      <c r="E155" t="str" cm="1">
        <f t="array" ref="E155">IF(B155="","",SUMPRODUCT(--ISNUMBER(SEARCH(" "&amp;SEMANTIC_BUCKETS!$A$2:$A$348&amp;" "," "&amp;B155&amp;" ")),SEMANTIC_BUCKETS!$E$2:$E$348))</f>
        <v/>
      </c>
      <c r="F155" t="str" cm="1">
        <f t="array" ref="F155">IF(OR(B155="",D155=0),"",INDEX(SEMANTIC_BUCKETS!$B$2:$B$348,MATCH(TRUE,ISNUMBER(SEARCH(" "&amp;SEMANTIC_BUCKETS!$A$2:$A$348&amp;" "," "&amp;B155&amp;" ")),0)))</f>
        <v/>
      </c>
      <c r="G155" t="str">
        <f t="shared" si="8"/>
        <v/>
      </c>
      <c r="H155" t="str" cm="1">
        <f t="array" ref="H155">IF(OR(B155="",D155=0),"",_xlfn.TEXTJOIN(", ",TRUE,IF(ISNUMBER(SEARCH(" "&amp;SEMANTIC_BUCKETS!$A$2:$A$348&amp;" "," "&amp;B155&amp;" ")),SEMANTIC_BUCKETS!$A$2:$A$348,"")))</f>
        <v/>
      </c>
    </row>
    <row r="156" spans="1:8" x14ac:dyDescent="0.3">
      <c r="A156" t="str">
        <f t="shared" si="6"/>
        <v/>
      </c>
      <c r="B156" t="str" cm="1">
        <f t="array" ref="B156">IFERROR(_xlfn.LET(_xlpm.s,$B$10,_xlpm.norm,SUBSTITUTE(SUBSTITUTE(_xlpm.s,"!","."),"?","."),_xlpm.parts,_xlfn.TEXTSPLIT(_xlpm.norm,,".",TRUE),TRIM(INDEX(_xlpm.parts,ROW()-13))),"")</f>
        <v/>
      </c>
      <c r="C156" t="str">
        <f t="shared" si="7"/>
        <v/>
      </c>
      <c r="D156" t="str" cm="1">
        <f t="array" ref="D156">IF(B156="","",SUMPRODUCT(--ISNUMBER(SEARCH(" "&amp;SEMANTIC_BUCKETS!$A$2:$A$348&amp;" "," "&amp;B156&amp;" "))))</f>
        <v/>
      </c>
      <c r="E156" t="str" cm="1">
        <f t="array" ref="E156">IF(B156="","",SUMPRODUCT(--ISNUMBER(SEARCH(" "&amp;SEMANTIC_BUCKETS!$A$2:$A$348&amp;" "," "&amp;B156&amp;" ")),SEMANTIC_BUCKETS!$E$2:$E$348))</f>
        <v/>
      </c>
      <c r="F156" t="str" cm="1">
        <f t="array" ref="F156">IF(OR(B156="",D156=0),"",INDEX(SEMANTIC_BUCKETS!$B$2:$B$348,MATCH(TRUE,ISNUMBER(SEARCH(" "&amp;SEMANTIC_BUCKETS!$A$2:$A$348&amp;" "," "&amp;B156&amp;" ")),0)))</f>
        <v/>
      </c>
      <c r="G156" t="str">
        <f t="shared" si="8"/>
        <v/>
      </c>
      <c r="H156" t="str" cm="1">
        <f t="array" ref="H156">IF(OR(B156="",D156=0),"",_xlfn.TEXTJOIN(", ",TRUE,IF(ISNUMBER(SEARCH(" "&amp;SEMANTIC_BUCKETS!$A$2:$A$348&amp;" "," "&amp;B156&amp;" ")),SEMANTIC_BUCKETS!$A$2:$A$348,"")))</f>
        <v/>
      </c>
    </row>
    <row r="157" spans="1:8" x14ac:dyDescent="0.3">
      <c r="A157" t="str">
        <f t="shared" si="6"/>
        <v/>
      </c>
      <c r="B157" t="str" cm="1">
        <f t="array" ref="B157">IFERROR(_xlfn.LET(_xlpm.s,$B$10,_xlpm.norm,SUBSTITUTE(SUBSTITUTE(_xlpm.s,"!","."),"?","."),_xlpm.parts,_xlfn.TEXTSPLIT(_xlpm.norm,,".",TRUE),TRIM(INDEX(_xlpm.parts,ROW()-13))),"")</f>
        <v/>
      </c>
      <c r="C157" t="str">
        <f t="shared" si="7"/>
        <v/>
      </c>
      <c r="D157" t="str" cm="1">
        <f t="array" ref="D157">IF(B157="","",SUMPRODUCT(--ISNUMBER(SEARCH(" "&amp;SEMANTIC_BUCKETS!$A$2:$A$348&amp;" "," "&amp;B157&amp;" "))))</f>
        <v/>
      </c>
      <c r="E157" t="str" cm="1">
        <f t="array" ref="E157">IF(B157="","",SUMPRODUCT(--ISNUMBER(SEARCH(" "&amp;SEMANTIC_BUCKETS!$A$2:$A$348&amp;" "," "&amp;B157&amp;" ")),SEMANTIC_BUCKETS!$E$2:$E$348))</f>
        <v/>
      </c>
      <c r="F157" t="str" cm="1">
        <f t="array" ref="F157">IF(OR(B157="",D157=0),"",INDEX(SEMANTIC_BUCKETS!$B$2:$B$348,MATCH(TRUE,ISNUMBER(SEARCH(" "&amp;SEMANTIC_BUCKETS!$A$2:$A$348&amp;" "," "&amp;B157&amp;" ")),0)))</f>
        <v/>
      </c>
      <c r="G157" t="str">
        <f t="shared" si="8"/>
        <v/>
      </c>
      <c r="H157" t="str" cm="1">
        <f t="array" ref="H157">IF(OR(B157="",D157=0),"",_xlfn.TEXTJOIN(", ",TRUE,IF(ISNUMBER(SEARCH(" "&amp;SEMANTIC_BUCKETS!$A$2:$A$348&amp;" "," "&amp;B157&amp;" ")),SEMANTIC_BUCKETS!$A$2:$A$348,"")))</f>
        <v/>
      </c>
    </row>
    <row r="158" spans="1:8" x14ac:dyDescent="0.3">
      <c r="A158" t="str">
        <f t="shared" si="6"/>
        <v/>
      </c>
      <c r="B158" t="str" cm="1">
        <f t="array" ref="B158">IFERROR(_xlfn.LET(_xlpm.s,$B$10,_xlpm.norm,SUBSTITUTE(SUBSTITUTE(_xlpm.s,"!","."),"?","."),_xlpm.parts,_xlfn.TEXTSPLIT(_xlpm.norm,,".",TRUE),TRIM(INDEX(_xlpm.parts,ROW()-13))),"")</f>
        <v/>
      </c>
      <c r="C158" t="str">
        <f t="shared" si="7"/>
        <v/>
      </c>
      <c r="D158" t="str" cm="1">
        <f t="array" ref="D158">IF(B158="","",SUMPRODUCT(--ISNUMBER(SEARCH(" "&amp;SEMANTIC_BUCKETS!$A$2:$A$348&amp;" "," "&amp;B158&amp;" "))))</f>
        <v/>
      </c>
      <c r="E158" t="str" cm="1">
        <f t="array" ref="E158">IF(B158="","",SUMPRODUCT(--ISNUMBER(SEARCH(" "&amp;SEMANTIC_BUCKETS!$A$2:$A$348&amp;" "," "&amp;B158&amp;" ")),SEMANTIC_BUCKETS!$E$2:$E$348))</f>
        <v/>
      </c>
      <c r="F158" t="str" cm="1">
        <f t="array" ref="F158">IF(OR(B158="",D158=0),"",INDEX(SEMANTIC_BUCKETS!$B$2:$B$348,MATCH(TRUE,ISNUMBER(SEARCH(" "&amp;SEMANTIC_BUCKETS!$A$2:$A$348&amp;" "," "&amp;B158&amp;" ")),0)))</f>
        <v/>
      </c>
      <c r="G158" t="str">
        <f t="shared" si="8"/>
        <v/>
      </c>
      <c r="H158" t="str" cm="1">
        <f t="array" ref="H158">IF(OR(B158="",D158=0),"",_xlfn.TEXTJOIN(", ",TRUE,IF(ISNUMBER(SEARCH(" "&amp;SEMANTIC_BUCKETS!$A$2:$A$348&amp;" "," "&amp;B158&amp;" ")),SEMANTIC_BUCKETS!$A$2:$A$348,"")))</f>
        <v/>
      </c>
    </row>
    <row r="159" spans="1:8" x14ac:dyDescent="0.3">
      <c r="A159" t="str">
        <f t="shared" si="6"/>
        <v/>
      </c>
      <c r="B159" t="str" cm="1">
        <f t="array" ref="B159">IFERROR(_xlfn.LET(_xlpm.s,$B$10,_xlpm.norm,SUBSTITUTE(SUBSTITUTE(_xlpm.s,"!","."),"?","."),_xlpm.parts,_xlfn.TEXTSPLIT(_xlpm.norm,,".",TRUE),TRIM(INDEX(_xlpm.parts,ROW()-13))),"")</f>
        <v/>
      </c>
      <c r="C159" t="str">
        <f t="shared" si="7"/>
        <v/>
      </c>
      <c r="D159" t="str" cm="1">
        <f t="array" ref="D159">IF(B159="","",SUMPRODUCT(--ISNUMBER(SEARCH(" "&amp;SEMANTIC_BUCKETS!$A$2:$A$348&amp;" "," "&amp;B159&amp;" "))))</f>
        <v/>
      </c>
      <c r="E159" t="str" cm="1">
        <f t="array" ref="E159">IF(B159="","",SUMPRODUCT(--ISNUMBER(SEARCH(" "&amp;SEMANTIC_BUCKETS!$A$2:$A$348&amp;" "," "&amp;B159&amp;" ")),SEMANTIC_BUCKETS!$E$2:$E$348))</f>
        <v/>
      </c>
      <c r="F159" t="str" cm="1">
        <f t="array" ref="F159">IF(OR(B159="",D159=0),"",INDEX(SEMANTIC_BUCKETS!$B$2:$B$348,MATCH(TRUE,ISNUMBER(SEARCH(" "&amp;SEMANTIC_BUCKETS!$A$2:$A$348&amp;" "," "&amp;B159&amp;" ")),0)))</f>
        <v/>
      </c>
      <c r="G159" t="str">
        <f t="shared" si="8"/>
        <v/>
      </c>
      <c r="H159" t="str" cm="1">
        <f t="array" ref="H159">IF(OR(B159="",D159=0),"",_xlfn.TEXTJOIN(", ",TRUE,IF(ISNUMBER(SEARCH(" "&amp;SEMANTIC_BUCKETS!$A$2:$A$348&amp;" "," "&amp;B159&amp;" ")),SEMANTIC_BUCKETS!$A$2:$A$348,"")))</f>
        <v/>
      </c>
    </row>
    <row r="160" spans="1:8" x14ac:dyDescent="0.3">
      <c r="A160" t="str">
        <f t="shared" si="6"/>
        <v/>
      </c>
      <c r="B160" t="str" cm="1">
        <f t="array" ref="B160">IFERROR(_xlfn.LET(_xlpm.s,$B$10,_xlpm.norm,SUBSTITUTE(SUBSTITUTE(_xlpm.s,"!","."),"?","."),_xlpm.parts,_xlfn.TEXTSPLIT(_xlpm.norm,,".",TRUE),TRIM(INDEX(_xlpm.parts,ROW()-13))),"")</f>
        <v/>
      </c>
      <c r="C160" t="str">
        <f t="shared" si="7"/>
        <v/>
      </c>
      <c r="D160" t="str" cm="1">
        <f t="array" ref="D160">IF(B160="","",SUMPRODUCT(--ISNUMBER(SEARCH(" "&amp;SEMANTIC_BUCKETS!$A$2:$A$348&amp;" "," "&amp;B160&amp;" "))))</f>
        <v/>
      </c>
      <c r="E160" t="str" cm="1">
        <f t="array" ref="E160">IF(B160="","",SUMPRODUCT(--ISNUMBER(SEARCH(" "&amp;SEMANTIC_BUCKETS!$A$2:$A$348&amp;" "," "&amp;B160&amp;" ")),SEMANTIC_BUCKETS!$E$2:$E$348))</f>
        <v/>
      </c>
      <c r="F160" t="str" cm="1">
        <f t="array" ref="F160">IF(OR(B160="",D160=0),"",INDEX(SEMANTIC_BUCKETS!$B$2:$B$348,MATCH(TRUE,ISNUMBER(SEARCH(" "&amp;SEMANTIC_BUCKETS!$A$2:$A$348&amp;" "," "&amp;B160&amp;" ")),0)))</f>
        <v/>
      </c>
      <c r="G160" t="str">
        <f t="shared" si="8"/>
        <v/>
      </c>
      <c r="H160" t="str" cm="1">
        <f t="array" ref="H160">IF(OR(B160="",D160=0),"",_xlfn.TEXTJOIN(", ",TRUE,IF(ISNUMBER(SEARCH(" "&amp;SEMANTIC_BUCKETS!$A$2:$A$348&amp;" "," "&amp;B160&amp;" ")),SEMANTIC_BUCKETS!$A$2:$A$348,"")))</f>
        <v/>
      </c>
    </row>
    <row r="161" spans="1:8" x14ac:dyDescent="0.3">
      <c r="A161" t="str">
        <f t="shared" si="6"/>
        <v/>
      </c>
      <c r="B161" t="str" cm="1">
        <f t="array" ref="B161">IFERROR(_xlfn.LET(_xlpm.s,$B$10,_xlpm.norm,SUBSTITUTE(SUBSTITUTE(_xlpm.s,"!","."),"?","."),_xlpm.parts,_xlfn.TEXTSPLIT(_xlpm.norm,,".",TRUE),TRIM(INDEX(_xlpm.parts,ROW()-13))),"")</f>
        <v/>
      </c>
      <c r="C161" t="str">
        <f t="shared" si="7"/>
        <v/>
      </c>
      <c r="D161" t="str" cm="1">
        <f t="array" ref="D161">IF(B161="","",SUMPRODUCT(--ISNUMBER(SEARCH(" "&amp;SEMANTIC_BUCKETS!$A$2:$A$348&amp;" "," "&amp;B161&amp;" "))))</f>
        <v/>
      </c>
      <c r="E161" t="str" cm="1">
        <f t="array" ref="E161">IF(B161="","",SUMPRODUCT(--ISNUMBER(SEARCH(" "&amp;SEMANTIC_BUCKETS!$A$2:$A$348&amp;" "," "&amp;B161&amp;" ")),SEMANTIC_BUCKETS!$E$2:$E$348))</f>
        <v/>
      </c>
      <c r="F161" t="str" cm="1">
        <f t="array" ref="F161">IF(OR(B161="",D161=0),"",INDEX(SEMANTIC_BUCKETS!$B$2:$B$348,MATCH(TRUE,ISNUMBER(SEARCH(" "&amp;SEMANTIC_BUCKETS!$A$2:$A$348&amp;" "," "&amp;B161&amp;" ")),0)))</f>
        <v/>
      </c>
      <c r="G161" t="str">
        <f t="shared" si="8"/>
        <v/>
      </c>
      <c r="H161" t="str" cm="1">
        <f t="array" ref="H161">IF(OR(B161="",D161=0),"",_xlfn.TEXTJOIN(", ",TRUE,IF(ISNUMBER(SEARCH(" "&amp;SEMANTIC_BUCKETS!$A$2:$A$348&amp;" "," "&amp;B161&amp;" ")),SEMANTIC_BUCKETS!$A$2:$A$348,"")))</f>
        <v/>
      </c>
    </row>
    <row r="162" spans="1:8" x14ac:dyDescent="0.3">
      <c r="A162" t="str">
        <f t="shared" si="6"/>
        <v/>
      </c>
      <c r="B162" t="str" cm="1">
        <f t="array" ref="B162">IFERROR(_xlfn.LET(_xlpm.s,$B$10,_xlpm.norm,SUBSTITUTE(SUBSTITUTE(_xlpm.s,"!","."),"?","."),_xlpm.parts,_xlfn.TEXTSPLIT(_xlpm.norm,,".",TRUE),TRIM(INDEX(_xlpm.parts,ROW()-13))),"")</f>
        <v/>
      </c>
      <c r="C162" t="str">
        <f t="shared" si="7"/>
        <v/>
      </c>
      <c r="D162" t="str" cm="1">
        <f t="array" ref="D162">IF(B162="","",SUMPRODUCT(--ISNUMBER(SEARCH(" "&amp;SEMANTIC_BUCKETS!$A$2:$A$348&amp;" "," "&amp;B162&amp;" "))))</f>
        <v/>
      </c>
      <c r="E162" t="str" cm="1">
        <f t="array" ref="E162">IF(B162="","",SUMPRODUCT(--ISNUMBER(SEARCH(" "&amp;SEMANTIC_BUCKETS!$A$2:$A$348&amp;" "," "&amp;B162&amp;" ")),SEMANTIC_BUCKETS!$E$2:$E$348))</f>
        <v/>
      </c>
      <c r="F162" t="str" cm="1">
        <f t="array" ref="F162">IF(OR(B162="",D162=0),"",INDEX(SEMANTIC_BUCKETS!$B$2:$B$348,MATCH(TRUE,ISNUMBER(SEARCH(" "&amp;SEMANTIC_BUCKETS!$A$2:$A$348&amp;" "," "&amp;B162&amp;" ")),0)))</f>
        <v/>
      </c>
      <c r="G162" t="str">
        <f t="shared" si="8"/>
        <v/>
      </c>
      <c r="H162" t="str" cm="1">
        <f t="array" ref="H162">IF(OR(B162="",D162=0),"",_xlfn.TEXTJOIN(", ",TRUE,IF(ISNUMBER(SEARCH(" "&amp;SEMANTIC_BUCKETS!$A$2:$A$348&amp;" "," "&amp;B162&amp;" ")),SEMANTIC_BUCKETS!$A$2:$A$348,"")))</f>
        <v/>
      </c>
    </row>
    <row r="163" spans="1:8" x14ac:dyDescent="0.3">
      <c r="A163" t="str">
        <f t="shared" si="6"/>
        <v/>
      </c>
      <c r="B163" t="str" cm="1">
        <f t="array" ref="B163">IFERROR(_xlfn.LET(_xlpm.s,$B$10,_xlpm.norm,SUBSTITUTE(SUBSTITUTE(_xlpm.s,"!","."),"?","."),_xlpm.parts,_xlfn.TEXTSPLIT(_xlpm.norm,,".",TRUE),TRIM(INDEX(_xlpm.parts,ROW()-13))),"")</f>
        <v/>
      </c>
      <c r="C163" t="str">
        <f t="shared" si="7"/>
        <v/>
      </c>
      <c r="D163" t="str" cm="1">
        <f t="array" ref="D163">IF(B163="","",SUMPRODUCT(--ISNUMBER(SEARCH(" "&amp;SEMANTIC_BUCKETS!$A$2:$A$348&amp;" "," "&amp;B163&amp;" "))))</f>
        <v/>
      </c>
      <c r="E163" t="str" cm="1">
        <f t="array" ref="E163">IF(B163="","",SUMPRODUCT(--ISNUMBER(SEARCH(" "&amp;SEMANTIC_BUCKETS!$A$2:$A$348&amp;" "," "&amp;B163&amp;" ")),SEMANTIC_BUCKETS!$E$2:$E$348))</f>
        <v/>
      </c>
      <c r="F163" t="str" cm="1">
        <f t="array" ref="F163">IF(OR(B163="",D163=0),"",INDEX(SEMANTIC_BUCKETS!$B$2:$B$348,MATCH(TRUE,ISNUMBER(SEARCH(" "&amp;SEMANTIC_BUCKETS!$A$2:$A$348&amp;" "," "&amp;B163&amp;" ")),0)))</f>
        <v/>
      </c>
      <c r="G163" t="str">
        <f t="shared" si="8"/>
        <v/>
      </c>
      <c r="H163" t="str" cm="1">
        <f t="array" ref="H163">IF(OR(B163="",D163=0),"",_xlfn.TEXTJOIN(", ",TRUE,IF(ISNUMBER(SEARCH(" "&amp;SEMANTIC_BUCKETS!$A$2:$A$348&amp;" "," "&amp;B163&amp;" ")),SEMANTIC_BUCKETS!$A$2:$A$348,"")))</f>
        <v/>
      </c>
    </row>
    <row r="164" spans="1:8" x14ac:dyDescent="0.3">
      <c r="A164" t="str">
        <f t="shared" si="6"/>
        <v/>
      </c>
      <c r="B164" t="str" cm="1">
        <f t="array" ref="B164">IFERROR(_xlfn.LET(_xlpm.s,$B$10,_xlpm.norm,SUBSTITUTE(SUBSTITUTE(_xlpm.s,"!","."),"?","."),_xlpm.parts,_xlfn.TEXTSPLIT(_xlpm.norm,,".",TRUE),TRIM(INDEX(_xlpm.parts,ROW()-13))),"")</f>
        <v/>
      </c>
      <c r="C164" t="str">
        <f t="shared" si="7"/>
        <v/>
      </c>
      <c r="D164" t="str" cm="1">
        <f t="array" ref="D164">IF(B164="","",SUMPRODUCT(--ISNUMBER(SEARCH(" "&amp;SEMANTIC_BUCKETS!$A$2:$A$348&amp;" "," "&amp;B164&amp;" "))))</f>
        <v/>
      </c>
      <c r="E164" t="str" cm="1">
        <f t="array" ref="E164">IF(B164="","",SUMPRODUCT(--ISNUMBER(SEARCH(" "&amp;SEMANTIC_BUCKETS!$A$2:$A$348&amp;" "," "&amp;B164&amp;" ")),SEMANTIC_BUCKETS!$E$2:$E$348))</f>
        <v/>
      </c>
      <c r="F164" t="str" cm="1">
        <f t="array" ref="F164">IF(OR(B164="",D164=0),"",INDEX(SEMANTIC_BUCKETS!$B$2:$B$348,MATCH(TRUE,ISNUMBER(SEARCH(" "&amp;SEMANTIC_BUCKETS!$A$2:$A$348&amp;" "," "&amp;B164&amp;" ")),0)))</f>
        <v/>
      </c>
      <c r="G164" t="str">
        <f t="shared" si="8"/>
        <v/>
      </c>
      <c r="H164" t="str" cm="1">
        <f t="array" ref="H164">IF(OR(B164="",D164=0),"",_xlfn.TEXTJOIN(", ",TRUE,IF(ISNUMBER(SEARCH(" "&amp;SEMANTIC_BUCKETS!$A$2:$A$348&amp;" "," "&amp;B164&amp;" ")),SEMANTIC_BUCKETS!$A$2:$A$348,"")))</f>
        <v/>
      </c>
    </row>
    <row r="165" spans="1:8" x14ac:dyDescent="0.3">
      <c r="A165" t="str">
        <f t="shared" si="6"/>
        <v/>
      </c>
      <c r="B165" t="str" cm="1">
        <f t="array" ref="B165">IFERROR(_xlfn.LET(_xlpm.s,$B$10,_xlpm.norm,SUBSTITUTE(SUBSTITUTE(_xlpm.s,"!","."),"?","."),_xlpm.parts,_xlfn.TEXTSPLIT(_xlpm.norm,,".",TRUE),TRIM(INDEX(_xlpm.parts,ROW()-13))),"")</f>
        <v/>
      </c>
      <c r="C165" t="str">
        <f t="shared" si="7"/>
        <v/>
      </c>
      <c r="D165" t="str" cm="1">
        <f t="array" ref="D165">IF(B165="","",SUMPRODUCT(--ISNUMBER(SEARCH(" "&amp;SEMANTIC_BUCKETS!$A$2:$A$348&amp;" "," "&amp;B165&amp;" "))))</f>
        <v/>
      </c>
      <c r="E165" t="str" cm="1">
        <f t="array" ref="E165">IF(B165="","",SUMPRODUCT(--ISNUMBER(SEARCH(" "&amp;SEMANTIC_BUCKETS!$A$2:$A$348&amp;" "," "&amp;B165&amp;" ")),SEMANTIC_BUCKETS!$E$2:$E$348))</f>
        <v/>
      </c>
      <c r="F165" t="str" cm="1">
        <f t="array" ref="F165">IF(OR(B165="",D165=0),"",INDEX(SEMANTIC_BUCKETS!$B$2:$B$348,MATCH(TRUE,ISNUMBER(SEARCH(" "&amp;SEMANTIC_BUCKETS!$A$2:$A$348&amp;" "," "&amp;B165&amp;" ")),0)))</f>
        <v/>
      </c>
      <c r="G165" t="str">
        <f t="shared" si="8"/>
        <v/>
      </c>
      <c r="H165" t="str" cm="1">
        <f t="array" ref="H165">IF(OR(B165="",D165=0),"",_xlfn.TEXTJOIN(", ",TRUE,IF(ISNUMBER(SEARCH(" "&amp;SEMANTIC_BUCKETS!$A$2:$A$348&amp;" "," "&amp;B165&amp;" ")),SEMANTIC_BUCKETS!$A$2:$A$348,"")))</f>
        <v/>
      </c>
    </row>
    <row r="166" spans="1:8" x14ac:dyDescent="0.3">
      <c r="A166" t="str">
        <f t="shared" si="6"/>
        <v/>
      </c>
      <c r="B166" t="str" cm="1">
        <f t="array" ref="B166">IFERROR(_xlfn.LET(_xlpm.s,$B$10,_xlpm.norm,SUBSTITUTE(SUBSTITUTE(_xlpm.s,"!","."),"?","."),_xlpm.parts,_xlfn.TEXTSPLIT(_xlpm.norm,,".",TRUE),TRIM(INDEX(_xlpm.parts,ROW()-13))),"")</f>
        <v/>
      </c>
      <c r="C166" t="str">
        <f t="shared" si="7"/>
        <v/>
      </c>
      <c r="D166" t="str" cm="1">
        <f t="array" ref="D166">IF(B166="","",SUMPRODUCT(--ISNUMBER(SEARCH(" "&amp;SEMANTIC_BUCKETS!$A$2:$A$348&amp;" "," "&amp;B166&amp;" "))))</f>
        <v/>
      </c>
      <c r="E166" t="str" cm="1">
        <f t="array" ref="E166">IF(B166="","",SUMPRODUCT(--ISNUMBER(SEARCH(" "&amp;SEMANTIC_BUCKETS!$A$2:$A$348&amp;" "," "&amp;B166&amp;" ")),SEMANTIC_BUCKETS!$E$2:$E$348))</f>
        <v/>
      </c>
      <c r="F166" t="str" cm="1">
        <f t="array" ref="F166">IF(OR(B166="",D166=0),"",INDEX(SEMANTIC_BUCKETS!$B$2:$B$348,MATCH(TRUE,ISNUMBER(SEARCH(" "&amp;SEMANTIC_BUCKETS!$A$2:$A$348&amp;" "," "&amp;B166&amp;" ")),0)))</f>
        <v/>
      </c>
      <c r="G166" t="str">
        <f t="shared" si="8"/>
        <v/>
      </c>
      <c r="H166" t="str" cm="1">
        <f t="array" ref="H166">IF(OR(B166="",D166=0),"",_xlfn.TEXTJOIN(", ",TRUE,IF(ISNUMBER(SEARCH(" "&amp;SEMANTIC_BUCKETS!$A$2:$A$348&amp;" "," "&amp;B166&amp;" ")),SEMANTIC_BUCKETS!$A$2:$A$348,"")))</f>
        <v/>
      </c>
    </row>
    <row r="167" spans="1:8" x14ac:dyDescent="0.3">
      <c r="A167" t="str">
        <f t="shared" si="6"/>
        <v/>
      </c>
      <c r="B167" t="str" cm="1">
        <f t="array" ref="B167">IFERROR(_xlfn.LET(_xlpm.s,$B$10,_xlpm.norm,SUBSTITUTE(SUBSTITUTE(_xlpm.s,"!","."),"?","."),_xlpm.parts,_xlfn.TEXTSPLIT(_xlpm.norm,,".",TRUE),TRIM(INDEX(_xlpm.parts,ROW()-13))),"")</f>
        <v/>
      </c>
      <c r="C167" t="str">
        <f t="shared" si="7"/>
        <v/>
      </c>
      <c r="D167" t="str" cm="1">
        <f t="array" ref="D167">IF(B167="","",SUMPRODUCT(--ISNUMBER(SEARCH(" "&amp;SEMANTIC_BUCKETS!$A$2:$A$348&amp;" "," "&amp;B167&amp;" "))))</f>
        <v/>
      </c>
      <c r="E167" t="str" cm="1">
        <f t="array" ref="E167">IF(B167="","",SUMPRODUCT(--ISNUMBER(SEARCH(" "&amp;SEMANTIC_BUCKETS!$A$2:$A$348&amp;" "," "&amp;B167&amp;" ")),SEMANTIC_BUCKETS!$E$2:$E$348))</f>
        <v/>
      </c>
      <c r="F167" t="str" cm="1">
        <f t="array" ref="F167">IF(OR(B167="",D167=0),"",INDEX(SEMANTIC_BUCKETS!$B$2:$B$348,MATCH(TRUE,ISNUMBER(SEARCH(" "&amp;SEMANTIC_BUCKETS!$A$2:$A$348&amp;" "," "&amp;B167&amp;" ")),0)))</f>
        <v/>
      </c>
      <c r="G167" t="str">
        <f t="shared" si="8"/>
        <v/>
      </c>
      <c r="H167" t="str" cm="1">
        <f t="array" ref="H167">IF(OR(B167="",D167=0),"",_xlfn.TEXTJOIN(", ",TRUE,IF(ISNUMBER(SEARCH(" "&amp;SEMANTIC_BUCKETS!$A$2:$A$348&amp;" "," "&amp;B167&amp;" ")),SEMANTIC_BUCKETS!$A$2:$A$348,"")))</f>
        <v/>
      </c>
    </row>
    <row r="168" spans="1:8" x14ac:dyDescent="0.3">
      <c r="A168" t="str">
        <f t="shared" si="6"/>
        <v/>
      </c>
      <c r="B168" t="str" cm="1">
        <f t="array" ref="B168">IFERROR(_xlfn.LET(_xlpm.s,$B$10,_xlpm.norm,SUBSTITUTE(SUBSTITUTE(_xlpm.s,"!","."),"?","."),_xlpm.parts,_xlfn.TEXTSPLIT(_xlpm.norm,,".",TRUE),TRIM(INDEX(_xlpm.parts,ROW()-13))),"")</f>
        <v/>
      </c>
      <c r="C168" t="str">
        <f t="shared" si="7"/>
        <v/>
      </c>
      <c r="D168" t="str" cm="1">
        <f t="array" ref="D168">IF(B168="","",SUMPRODUCT(--ISNUMBER(SEARCH(" "&amp;SEMANTIC_BUCKETS!$A$2:$A$348&amp;" "," "&amp;B168&amp;" "))))</f>
        <v/>
      </c>
      <c r="E168" t="str" cm="1">
        <f t="array" ref="E168">IF(B168="","",SUMPRODUCT(--ISNUMBER(SEARCH(" "&amp;SEMANTIC_BUCKETS!$A$2:$A$348&amp;" "," "&amp;B168&amp;" ")),SEMANTIC_BUCKETS!$E$2:$E$348))</f>
        <v/>
      </c>
      <c r="F168" t="str" cm="1">
        <f t="array" ref="F168">IF(OR(B168="",D168=0),"",INDEX(SEMANTIC_BUCKETS!$B$2:$B$348,MATCH(TRUE,ISNUMBER(SEARCH(" "&amp;SEMANTIC_BUCKETS!$A$2:$A$348&amp;" "," "&amp;B168&amp;" ")),0)))</f>
        <v/>
      </c>
      <c r="G168" t="str">
        <f t="shared" si="8"/>
        <v/>
      </c>
      <c r="H168" t="str" cm="1">
        <f t="array" ref="H168">IF(OR(B168="",D168=0),"",_xlfn.TEXTJOIN(", ",TRUE,IF(ISNUMBER(SEARCH(" "&amp;SEMANTIC_BUCKETS!$A$2:$A$348&amp;" "," "&amp;B168&amp;" ")),SEMANTIC_BUCKETS!$A$2:$A$348,"")))</f>
        <v/>
      </c>
    </row>
    <row r="169" spans="1:8" x14ac:dyDescent="0.3">
      <c r="A169" t="str">
        <f t="shared" si="6"/>
        <v/>
      </c>
      <c r="B169" t="str" cm="1">
        <f t="array" ref="B169">IFERROR(_xlfn.LET(_xlpm.s,$B$10,_xlpm.norm,SUBSTITUTE(SUBSTITUTE(_xlpm.s,"!","."),"?","."),_xlpm.parts,_xlfn.TEXTSPLIT(_xlpm.norm,,".",TRUE),TRIM(INDEX(_xlpm.parts,ROW()-13))),"")</f>
        <v/>
      </c>
      <c r="C169" t="str">
        <f t="shared" si="7"/>
        <v/>
      </c>
      <c r="D169" t="str" cm="1">
        <f t="array" ref="D169">IF(B169="","",SUMPRODUCT(--ISNUMBER(SEARCH(" "&amp;SEMANTIC_BUCKETS!$A$2:$A$348&amp;" "," "&amp;B169&amp;" "))))</f>
        <v/>
      </c>
      <c r="E169" t="str" cm="1">
        <f t="array" ref="E169">IF(B169="","",SUMPRODUCT(--ISNUMBER(SEARCH(" "&amp;SEMANTIC_BUCKETS!$A$2:$A$348&amp;" "," "&amp;B169&amp;" ")),SEMANTIC_BUCKETS!$E$2:$E$348))</f>
        <v/>
      </c>
      <c r="F169" t="str" cm="1">
        <f t="array" ref="F169">IF(OR(B169="",D169=0),"",INDEX(SEMANTIC_BUCKETS!$B$2:$B$348,MATCH(TRUE,ISNUMBER(SEARCH(" "&amp;SEMANTIC_BUCKETS!$A$2:$A$348&amp;" "," "&amp;B169&amp;" ")),0)))</f>
        <v/>
      </c>
      <c r="G169" t="str">
        <f t="shared" si="8"/>
        <v/>
      </c>
      <c r="H169" t="str" cm="1">
        <f t="array" ref="H169">IF(OR(B169="",D169=0),"",_xlfn.TEXTJOIN(", ",TRUE,IF(ISNUMBER(SEARCH(" "&amp;SEMANTIC_BUCKETS!$A$2:$A$348&amp;" "," "&amp;B169&amp;" ")),SEMANTIC_BUCKETS!$A$2:$A$348,"")))</f>
        <v/>
      </c>
    </row>
    <row r="170" spans="1:8" x14ac:dyDescent="0.3">
      <c r="A170" t="str">
        <f t="shared" si="6"/>
        <v/>
      </c>
      <c r="B170" t="str" cm="1">
        <f t="array" ref="B170">IFERROR(_xlfn.LET(_xlpm.s,$B$10,_xlpm.norm,SUBSTITUTE(SUBSTITUTE(_xlpm.s,"!","."),"?","."),_xlpm.parts,_xlfn.TEXTSPLIT(_xlpm.norm,,".",TRUE),TRIM(INDEX(_xlpm.parts,ROW()-13))),"")</f>
        <v/>
      </c>
      <c r="C170" t="str">
        <f t="shared" si="7"/>
        <v/>
      </c>
      <c r="D170" t="str" cm="1">
        <f t="array" ref="D170">IF(B170="","",SUMPRODUCT(--ISNUMBER(SEARCH(" "&amp;SEMANTIC_BUCKETS!$A$2:$A$348&amp;" "," "&amp;B170&amp;" "))))</f>
        <v/>
      </c>
      <c r="E170" t="str" cm="1">
        <f t="array" ref="E170">IF(B170="","",SUMPRODUCT(--ISNUMBER(SEARCH(" "&amp;SEMANTIC_BUCKETS!$A$2:$A$348&amp;" "," "&amp;B170&amp;" ")),SEMANTIC_BUCKETS!$E$2:$E$348))</f>
        <v/>
      </c>
      <c r="F170" t="str" cm="1">
        <f t="array" ref="F170">IF(OR(B170="",D170=0),"",INDEX(SEMANTIC_BUCKETS!$B$2:$B$348,MATCH(TRUE,ISNUMBER(SEARCH(" "&amp;SEMANTIC_BUCKETS!$A$2:$A$348&amp;" "," "&amp;B170&amp;" ")),0)))</f>
        <v/>
      </c>
      <c r="G170" t="str">
        <f t="shared" si="8"/>
        <v/>
      </c>
      <c r="H170" t="str" cm="1">
        <f t="array" ref="H170">IF(OR(B170="",D170=0),"",_xlfn.TEXTJOIN(", ",TRUE,IF(ISNUMBER(SEARCH(" "&amp;SEMANTIC_BUCKETS!$A$2:$A$348&amp;" "," "&amp;B170&amp;" ")),SEMANTIC_BUCKETS!$A$2:$A$348,"")))</f>
        <v/>
      </c>
    </row>
    <row r="171" spans="1:8" x14ac:dyDescent="0.3">
      <c r="A171" t="str">
        <f t="shared" si="6"/>
        <v/>
      </c>
      <c r="B171" t="str" cm="1">
        <f t="array" ref="B171">IFERROR(_xlfn.LET(_xlpm.s,$B$10,_xlpm.norm,SUBSTITUTE(SUBSTITUTE(_xlpm.s,"!","."),"?","."),_xlpm.parts,_xlfn.TEXTSPLIT(_xlpm.norm,,".",TRUE),TRIM(INDEX(_xlpm.parts,ROW()-13))),"")</f>
        <v/>
      </c>
      <c r="C171" t="str">
        <f t="shared" si="7"/>
        <v/>
      </c>
      <c r="D171" t="str" cm="1">
        <f t="array" ref="D171">IF(B171="","",SUMPRODUCT(--ISNUMBER(SEARCH(" "&amp;SEMANTIC_BUCKETS!$A$2:$A$348&amp;" "," "&amp;B171&amp;" "))))</f>
        <v/>
      </c>
      <c r="E171" t="str" cm="1">
        <f t="array" ref="E171">IF(B171="","",SUMPRODUCT(--ISNUMBER(SEARCH(" "&amp;SEMANTIC_BUCKETS!$A$2:$A$348&amp;" "," "&amp;B171&amp;" ")),SEMANTIC_BUCKETS!$E$2:$E$348))</f>
        <v/>
      </c>
      <c r="F171" t="str" cm="1">
        <f t="array" ref="F171">IF(OR(B171="",D171=0),"",INDEX(SEMANTIC_BUCKETS!$B$2:$B$348,MATCH(TRUE,ISNUMBER(SEARCH(" "&amp;SEMANTIC_BUCKETS!$A$2:$A$348&amp;" "," "&amp;B171&amp;" ")),0)))</f>
        <v/>
      </c>
      <c r="G171" t="str">
        <f t="shared" si="8"/>
        <v/>
      </c>
      <c r="H171" t="str" cm="1">
        <f t="array" ref="H171">IF(OR(B171="",D171=0),"",_xlfn.TEXTJOIN(", ",TRUE,IF(ISNUMBER(SEARCH(" "&amp;SEMANTIC_BUCKETS!$A$2:$A$348&amp;" "," "&amp;B171&amp;" ")),SEMANTIC_BUCKETS!$A$2:$A$348,"")))</f>
        <v/>
      </c>
    </row>
    <row r="172" spans="1:8" x14ac:dyDescent="0.3">
      <c r="A172" t="str">
        <f t="shared" si="6"/>
        <v/>
      </c>
      <c r="B172" t="str" cm="1">
        <f t="array" ref="B172">IFERROR(_xlfn.LET(_xlpm.s,$B$10,_xlpm.norm,SUBSTITUTE(SUBSTITUTE(_xlpm.s,"!","."),"?","."),_xlpm.parts,_xlfn.TEXTSPLIT(_xlpm.norm,,".",TRUE),TRIM(INDEX(_xlpm.parts,ROW()-13))),"")</f>
        <v/>
      </c>
      <c r="C172" t="str">
        <f t="shared" si="7"/>
        <v/>
      </c>
      <c r="D172" t="str" cm="1">
        <f t="array" ref="D172">IF(B172="","",SUMPRODUCT(--ISNUMBER(SEARCH(" "&amp;SEMANTIC_BUCKETS!$A$2:$A$348&amp;" "," "&amp;B172&amp;" "))))</f>
        <v/>
      </c>
      <c r="E172" t="str" cm="1">
        <f t="array" ref="E172">IF(B172="","",SUMPRODUCT(--ISNUMBER(SEARCH(" "&amp;SEMANTIC_BUCKETS!$A$2:$A$348&amp;" "," "&amp;B172&amp;" ")),SEMANTIC_BUCKETS!$E$2:$E$348))</f>
        <v/>
      </c>
      <c r="F172" t="str" cm="1">
        <f t="array" ref="F172">IF(OR(B172="",D172=0),"",INDEX(SEMANTIC_BUCKETS!$B$2:$B$348,MATCH(TRUE,ISNUMBER(SEARCH(" "&amp;SEMANTIC_BUCKETS!$A$2:$A$348&amp;" "," "&amp;B172&amp;" ")),0)))</f>
        <v/>
      </c>
      <c r="G172" t="str">
        <f t="shared" si="8"/>
        <v/>
      </c>
      <c r="H172" t="str" cm="1">
        <f t="array" ref="H172">IF(OR(B172="",D172=0),"",_xlfn.TEXTJOIN(", ",TRUE,IF(ISNUMBER(SEARCH(" "&amp;SEMANTIC_BUCKETS!$A$2:$A$348&amp;" "," "&amp;B172&amp;" ")),SEMANTIC_BUCKETS!$A$2:$A$348,"")))</f>
        <v/>
      </c>
    </row>
    <row r="173" spans="1:8" x14ac:dyDescent="0.3">
      <c r="A173" t="str">
        <f t="shared" si="6"/>
        <v/>
      </c>
      <c r="B173" t="str" cm="1">
        <f t="array" ref="B173">IFERROR(_xlfn.LET(_xlpm.s,$B$10,_xlpm.norm,SUBSTITUTE(SUBSTITUTE(_xlpm.s,"!","."),"?","."),_xlpm.parts,_xlfn.TEXTSPLIT(_xlpm.norm,,".",TRUE),TRIM(INDEX(_xlpm.parts,ROW()-13))),"")</f>
        <v/>
      </c>
      <c r="C173" t="str">
        <f t="shared" si="7"/>
        <v/>
      </c>
      <c r="D173" t="str" cm="1">
        <f t="array" ref="D173">IF(B173="","",SUMPRODUCT(--ISNUMBER(SEARCH(" "&amp;SEMANTIC_BUCKETS!$A$2:$A$348&amp;" "," "&amp;B173&amp;" "))))</f>
        <v/>
      </c>
      <c r="E173" t="str" cm="1">
        <f t="array" ref="E173">IF(B173="","",SUMPRODUCT(--ISNUMBER(SEARCH(" "&amp;SEMANTIC_BUCKETS!$A$2:$A$348&amp;" "," "&amp;B173&amp;" ")),SEMANTIC_BUCKETS!$E$2:$E$348))</f>
        <v/>
      </c>
      <c r="F173" t="str" cm="1">
        <f t="array" ref="F173">IF(OR(B173="",D173=0),"",INDEX(SEMANTIC_BUCKETS!$B$2:$B$348,MATCH(TRUE,ISNUMBER(SEARCH(" "&amp;SEMANTIC_BUCKETS!$A$2:$A$348&amp;" "," "&amp;B173&amp;" ")),0)))</f>
        <v/>
      </c>
      <c r="G173" t="str">
        <f t="shared" si="8"/>
        <v/>
      </c>
      <c r="H173" t="str" cm="1">
        <f t="array" ref="H173">IF(OR(B173="",D173=0),"",_xlfn.TEXTJOIN(", ",TRUE,IF(ISNUMBER(SEARCH(" "&amp;SEMANTIC_BUCKETS!$A$2:$A$348&amp;" "," "&amp;B173&amp;" ")),SEMANTIC_BUCKETS!$A$2:$A$348,"")))</f>
        <v/>
      </c>
    </row>
    <row r="174" spans="1:8" x14ac:dyDescent="0.3">
      <c r="A174" t="str">
        <f t="shared" si="6"/>
        <v/>
      </c>
      <c r="B174" t="str" cm="1">
        <f t="array" ref="B174">IFERROR(_xlfn.LET(_xlpm.s,$B$10,_xlpm.norm,SUBSTITUTE(SUBSTITUTE(_xlpm.s,"!","."),"?","."),_xlpm.parts,_xlfn.TEXTSPLIT(_xlpm.norm,,".",TRUE),TRIM(INDEX(_xlpm.parts,ROW()-13))),"")</f>
        <v/>
      </c>
      <c r="C174" t="str">
        <f t="shared" si="7"/>
        <v/>
      </c>
      <c r="D174" t="str" cm="1">
        <f t="array" ref="D174">IF(B174="","",SUMPRODUCT(--ISNUMBER(SEARCH(" "&amp;SEMANTIC_BUCKETS!$A$2:$A$348&amp;" "," "&amp;B174&amp;" "))))</f>
        <v/>
      </c>
      <c r="E174" t="str" cm="1">
        <f t="array" ref="E174">IF(B174="","",SUMPRODUCT(--ISNUMBER(SEARCH(" "&amp;SEMANTIC_BUCKETS!$A$2:$A$348&amp;" "," "&amp;B174&amp;" ")),SEMANTIC_BUCKETS!$E$2:$E$348))</f>
        <v/>
      </c>
      <c r="F174" t="str" cm="1">
        <f t="array" ref="F174">IF(OR(B174="",D174=0),"",INDEX(SEMANTIC_BUCKETS!$B$2:$B$348,MATCH(TRUE,ISNUMBER(SEARCH(" "&amp;SEMANTIC_BUCKETS!$A$2:$A$348&amp;" "," "&amp;B174&amp;" ")),0)))</f>
        <v/>
      </c>
      <c r="G174" t="str">
        <f t="shared" si="8"/>
        <v/>
      </c>
      <c r="H174" t="str" cm="1">
        <f t="array" ref="H174">IF(OR(B174="",D174=0),"",_xlfn.TEXTJOIN(", ",TRUE,IF(ISNUMBER(SEARCH(" "&amp;SEMANTIC_BUCKETS!$A$2:$A$348&amp;" "," "&amp;B174&amp;" ")),SEMANTIC_BUCKETS!$A$2:$A$348,"")))</f>
        <v/>
      </c>
    </row>
    <row r="175" spans="1:8" x14ac:dyDescent="0.3">
      <c r="A175" t="str">
        <f t="shared" si="6"/>
        <v/>
      </c>
      <c r="B175" t="str" cm="1">
        <f t="array" ref="B175">IFERROR(_xlfn.LET(_xlpm.s,$B$10,_xlpm.norm,SUBSTITUTE(SUBSTITUTE(_xlpm.s,"!","."),"?","."),_xlpm.parts,_xlfn.TEXTSPLIT(_xlpm.norm,,".",TRUE),TRIM(INDEX(_xlpm.parts,ROW()-13))),"")</f>
        <v/>
      </c>
      <c r="C175" t="str">
        <f t="shared" si="7"/>
        <v/>
      </c>
      <c r="D175" t="str" cm="1">
        <f t="array" ref="D175">IF(B175="","",SUMPRODUCT(--ISNUMBER(SEARCH(" "&amp;SEMANTIC_BUCKETS!$A$2:$A$348&amp;" "," "&amp;B175&amp;" "))))</f>
        <v/>
      </c>
      <c r="E175" t="str" cm="1">
        <f t="array" ref="E175">IF(B175="","",SUMPRODUCT(--ISNUMBER(SEARCH(" "&amp;SEMANTIC_BUCKETS!$A$2:$A$348&amp;" "," "&amp;B175&amp;" ")),SEMANTIC_BUCKETS!$E$2:$E$348))</f>
        <v/>
      </c>
      <c r="F175" t="str" cm="1">
        <f t="array" ref="F175">IF(OR(B175="",D175=0),"",INDEX(SEMANTIC_BUCKETS!$B$2:$B$348,MATCH(TRUE,ISNUMBER(SEARCH(" "&amp;SEMANTIC_BUCKETS!$A$2:$A$348&amp;" "," "&amp;B175&amp;" ")),0)))</f>
        <v/>
      </c>
      <c r="G175" t="str">
        <f t="shared" si="8"/>
        <v/>
      </c>
      <c r="H175" t="str" cm="1">
        <f t="array" ref="H175">IF(OR(B175="",D175=0),"",_xlfn.TEXTJOIN(", ",TRUE,IF(ISNUMBER(SEARCH(" "&amp;SEMANTIC_BUCKETS!$A$2:$A$348&amp;" "," "&amp;B175&amp;" ")),SEMANTIC_BUCKETS!$A$2:$A$348,"")))</f>
        <v/>
      </c>
    </row>
    <row r="176" spans="1:8" x14ac:dyDescent="0.3">
      <c r="A176" t="str">
        <f t="shared" si="6"/>
        <v/>
      </c>
      <c r="B176" t="str" cm="1">
        <f t="array" ref="B176">IFERROR(_xlfn.LET(_xlpm.s,$B$10,_xlpm.norm,SUBSTITUTE(SUBSTITUTE(_xlpm.s,"!","."),"?","."),_xlpm.parts,_xlfn.TEXTSPLIT(_xlpm.norm,,".",TRUE),TRIM(INDEX(_xlpm.parts,ROW()-13))),"")</f>
        <v/>
      </c>
      <c r="C176" t="str">
        <f t="shared" si="7"/>
        <v/>
      </c>
      <c r="D176" t="str" cm="1">
        <f t="array" ref="D176">IF(B176="","",SUMPRODUCT(--ISNUMBER(SEARCH(" "&amp;SEMANTIC_BUCKETS!$A$2:$A$348&amp;" "," "&amp;B176&amp;" "))))</f>
        <v/>
      </c>
      <c r="E176" t="str" cm="1">
        <f t="array" ref="E176">IF(B176="","",SUMPRODUCT(--ISNUMBER(SEARCH(" "&amp;SEMANTIC_BUCKETS!$A$2:$A$348&amp;" "," "&amp;B176&amp;" ")),SEMANTIC_BUCKETS!$E$2:$E$348))</f>
        <v/>
      </c>
      <c r="F176" t="str" cm="1">
        <f t="array" ref="F176">IF(OR(B176="",D176=0),"",INDEX(SEMANTIC_BUCKETS!$B$2:$B$348,MATCH(TRUE,ISNUMBER(SEARCH(" "&amp;SEMANTIC_BUCKETS!$A$2:$A$348&amp;" "," "&amp;B176&amp;" ")),0)))</f>
        <v/>
      </c>
      <c r="G176" t="str">
        <f t="shared" si="8"/>
        <v/>
      </c>
      <c r="H176" t="str" cm="1">
        <f t="array" ref="H176">IF(OR(B176="",D176=0),"",_xlfn.TEXTJOIN(", ",TRUE,IF(ISNUMBER(SEARCH(" "&amp;SEMANTIC_BUCKETS!$A$2:$A$348&amp;" "," "&amp;B176&amp;" ")),SEMANTIC_BUCKETS!$A$2:$A$348,"")))</f>
        <v/>
      </c>
    </row>
    <row r="177" spans="1:8" x14ac:dyDescent="0.3">
      <c r="A177" t="str">
        <f t="shared" si="6"/>
        <v/>
      </c>
      <c r="B177" t="str" cm="1">
        <f t="array" ref="B177">IFERROR(_xlfn.LET(_xlpm.s,$B$10,_xlpm.norm,SUBSTITUTE(SUBSTITUTE(_xlpm.s,"!","."),"?","."),_xlpm.parts,_xlfn.TEXTSPLIT(_xlpm.norm,,".",TRUE),TRIM(INDEX(_xlpm.parts,ROW()-13))),"")</f>
        <v/>
      </c>
      <c r="C177" t="str">
        <f t="shared" si="7"/>
        <v/>
      </c>
      <c r="D177" t="str" cm="1">
        <f t="array" ref="D177">IF(B177="","",SUMPRODUCT(--ISNUMBER(SEARCH(" "&amp;SEMANTIC_BUCKETS!$A$2:$A$348&amp;" "," "&amp;B177&amp;" "))))</f>
        <v/>
      </c>
      <c r="E177" t="str" cm="1">
        <f t="array" ref="E177">IF(B177="","",SUMPRODUCT(--ISNUMBER(SEARCH(" "&amp;SEMANTIC_BUCKETS!$A$2:$A$348&amp;" "," "&amp;B177&amp;" ")),SEMANTIC_BUCKETS!$E$2:$E$348))</f>
        <v/>
      </c>
      <c r="F177" t="str" cm="1">
        <f t="array" ref="F177">IF(OR(B177="",D177=0),"",INDEX(SEMANTIC_BUCKETS!$B$2:$B$348,MATCH(TRUE,ISNUMBER(SEARCH(" "&amp;SEMANTIC_BUCKETS!$A$2:$A$348&amp;" "," "&amp;B177&amp;" ")),0)))</f>
        <v/>
      </c>
      <c r="G177" t="str">
        <f t="shared" si="8"/>
        <v/>
      </c>
      <c r="H177" t="str" cm="1">
        <f t="array" ref="H177">IF(OR(B177="",D177=0),"",_xlfn.TEXTJOIN(", ",TRUE,IF(ISNUMBER(SEARCH(" "&amp;SEMANTIC_BUCKETS!$A$2:$A$348&amp;" "," "&amp;B177&amp;" ")),SEMANTIC_BUCKETS!$A$2:$A$348,"")))</f>
        <v/>
      </c>
    </row>
    <row r="178" spans="1:8" x14ac:dyDescent="0.3">
      <c r="A178" t="str">
        <f t="shared" si="6"/>
        <v/>
      </c>
      <c r="B178" t="str" cm="1">
        <f t="array" ref="B178">IFERROR(_xlfn.LET(_xlpm.s,$B$10,_xlpm.norm,SUBSTITUTE(SUBSTITUTE(_xlpm.s,"!","."),"?","."),_xlpm.parts,_xlfn.TEXTSPLIT(_xlpm.norm,,".",TRUE),TRIM(INDEX(_xlpm.parts,ROW()-13))),"")</f>
        <v/>
      </c>
      <c r="C178" t="str">
        <f t="shared" si="7"/>
        <v/>
      </c>
      <c r="D178" t="str" cm="1">
        <f t="array" ref="D178">IF(B178="","",SUMPRODUCT(--ISNUMBER(SEARCH(" "&amp;SEMANTIC_BUCKETS!$A$2:$A$348&amp;" "," "&amp;B178&amp;" "))))</f>
        <v/>
      </c>
      <c r="E178" t="str" cm="1">
        <f t="array" ref="E178">IF(B178="","",SUMPRODUCT(--ISNUMBER(SEARCH(" "&amp;SEMANTIC_BUCKETS!$A$2:$A$348&amp;" "," "&amp;B178&amp;" ")),SEMANTIC_BUCKETS!$E$2:$E$348))</f>
        <v/>
      </c>
      <c r="F178" t="str" cm="1">
        <f t="array" ref="F178">IF(OR(B178="",D178=0),"",INDEX(SEMANTIC_BUCKETS!$B$2:$B$348,MATCH(TRUE,ISNUMBER(SEARCH(" "&amp;SEMANTIC_BUCKETS!$A$2:$A$348&amp;" "," "&amp;B178&amp;" ")),0)))</f>
        <v/>
      </c>
      <c r="G178" t="str">
        <f t="shared" si="8"/>
        <v/>
      </c>
      <c r="H178" t="str" cm="1">
        <f t="array" ref="H178">IF(OR(B178="",D178=0),"",_xlfn.TEXTJOIN(", ",TRUE,IF(ISNUMBER(SEARCH(" "&amp;SEMANTIC_BUCKETS!$A$2:$A$348&amp;" "," "&amp;B178&amp;" ")),SEMANTIC_BUCKETS!$A$2:$A$348,"")))</f>
        <v/>
      </c>
    </row>
    <row r="179" spans="1:8" x14ac:dyDescent="0.3">
      <c r="A179" t="str">
        <f t="shared" si="6"/>
        <v/>
      </c>
      <c r="B179" t="str" cm="1">
        <f t="array" ref="B179">IFERROR(_xlfn.LET(_xlpm.s,$B$10,_xlpm.norm,SUBSTITUTE(SUBSTITUTE(_xlpm.s,"!","."),"?","."),_xlpm.parts,_xlfn.TEXTSPLIT(_xlpm.norm,,".",TRUE),TRIM(INDEX(_xlpm.parts,ROW()-13))),"")</f>
        <v/>
      </c>
      <c r="C179" t="str">
        <f t="shared" si="7"/>
        <v/>
      </c>
      <c r="D179" t="str" cm="1">
        <f t="array" ref="D179">IF(B179="","",SUMPRODUCT(--ISNUMBER(SEARCH(" "&amp;SEMANTIC_BUCKETS!$A$2:$A$348&amp;" "," "&amp;B179&amp;" "))))</f>
        <v/>
      </c>
      <c r="E179" t="str" cm="1">
        <f t="array" ref="E179">IF(B179="","",SUMPRODUCT(--ISNUMBER(SEARCH(" "&amp;SEMANTIC_BUCKETS!$A$2:$A$348&amp;" "," "&amp;B179&amp;" ")),SEMANTIC_BUCKETS!$E$2:$E$348))</f>
        <v/>
      </c>
      <c r="F179" t="str" cm="1">
        <f t="array" ref="F179">IF(OR(B179="",D179=0),"",INDEX(SEMANTIC_BUCKETS!$B$2:$B$348,MATCH(TRUE,ISNUMBER(SEARCH(" "&amp;SEMANTIC_BUCKETS!$A$2:$A$348&amp;" "," "&amp;B179&amp;" ")),0)))</f>
        <v/>
      </c>
      <c r="G179" t="str">
        <f t="shared" si="8"/>
        <v/>
      </c>
      <c r="H179" t="str" cm="1">
        <f t="array" ref="H179">IF(OR(B179="",D179=0),"",_xlfn.TEXTJOIN(", ",TRUE,IF(ISNUMBER(SEARCH(" "&amp;SEMANTIC_BUCKETS!$A$2:$A$348&amp;" "," "&amp;B179&amp;" ")),SEMANTIC_BUCKETS!$A$2:$A$348,"")))</f>
        <v/>
      </c>
    </row>
    <row r="180" spans="1:8" x14ac:dyDescent="0.3">
      <c r="A180" t="str">
        <f t="shared" si="6"/>
        <v/>
      </c>
      <c r="B180" t="str" cm="1">
        <f t="array" ref="B180">IFERROR(_xlfn.LET(_xlpm.s,$B$10,_xlpm.norm,SUBSTITUTE(SUBSTITUTE(_xlpm.s,"!","."),"?","."),_xlpm.parts,_xlfn.TEXTSPLIT(_xlpm.norm,,".",TRUE),TRIM(INDEX(_xlpm.parts,ROW()-13))),"")</f>
        <v/>
      </c>
      <c r="C180" t="str">
        <f t="shared" si="7"/>
        <v/>
      </c>
      <c r="D180" t="str" cm="1">
        <f t="array" ref="D180">IF(B180="","",SUMPRODUCT(--ISNUMBER(SEARCH(" "&amp;SEMANTIC_BUCKETS!$A$2:$A$348&amp;" "," "&amp;B180&amp;" "))))</f>
        <v/>
      </c>
      <c r="E180" t="str" cm="1">
        <f t="array" ref="E180">IF(B180="","",SUMPRODUCT(--ISNUMBER(SEARCH(" "&amp;SEMANTIC_BUCKETS!$A$2:$A$348&amp;" "," "&amp;B180&amp;" ")),SEMANTIC_BUCKETS!$E$2:$E$348))</f>
        <v/>
      </c>
      <c r="F180" t="str" cm="1">
        <f t="array" ref="F180">IF(OR(B180="",D180=0),"",INDEX(SEMANTIC_BUCKETS!$B$2:$B$348,MATCH(TRUE,ISNUMBER(SEARCH(" "&amp;SEMANTIC_BUCKETS!$A$2:$A$348&amp;" "," "&amp;B180&amp;" ")),0)))</f>
        <v/>
      </c>
      <c r="G180" t="str">
        <f t="shared" si="8"/>
        <v/>
      </c>
      <c r="H180" t="str" cm="1">
        <f t="array" ref="H180">IF(OR(B180="",D180=0),"",_xlfn.TEXTJOIN(", ",TRUE,IF(ISNUMBER(SEARCH(" "&amp;SEMANTIC_BUCKETS!$A$2:$A$348&amp;" "," "&amp;B180&amp;" ")),SEMANTIC_BUCKETS!$A$2:$A$348,"")))</f>
        <v/>
      </c>
    </row>
    <row r="181" spans="1:8" x14ac:dyDescent="0.3">
      <c r="A181" t="str">
        <f t="shared" si="6"/>
        <v/>
      </c>
      <c r="B181" t="str" cm="1">
        <f t="array" ref="B181">IFERROR(_xlfn.LET(_xlpm.s,$B$10,_xlpm.norm,SUBSTITUTE(SUBSTITUTE(_xlpm.s,"!","."),"?","."),_xlpm.parts,_xlfn.TEXTSPLIT(_xlpm.norm,,".",TRUE),TRIM(INDEX(_xlpm.parts,ROW()-13))),"")</f>
        <v/>
      </c>
      <c r="C181" t="str">
        <f t="shared" si="7"/>
        <v/>
      </c>
      <c r="D181" t="str" cm="1">
        <f t="array" ref="D181">IF(B181="","",SUMPRODUCT(--ISNUMBER(SEARCH(" "&amp;SEMANTIC_BUCKETS!$A$2:$A$348&amp;" "," "&amp;B181&amp;" "))))</f>
        <v/>
      </c>
      <c r="E181" t="str" cm="1">
        <f t="array" ref="E181">IF(B181="","",SUMPRODUCT(--ISNUMBER(SEARCH(" "&amp;SEMANTIC_BUCKETS!$A$2:$A$348&amp;" "," "&amp;B181&amp;" ")),SEMANTIC_BUCKETS!$E$2:$E$348))</f>
        <v/>
      </c>
      <c r="F181" t="str" cm="1">
        <f t="array" ref="F181">IF(OR(B181="",D181=0),"",INDEX(SEMANTIC_BUCKETS!$B$2:$B$348,MATCH(TRUE,ISNUMBER(SEARCH(" "&amp;SEMANTIC_BUCKETS!$A$2:$A$348&amp;" "," "&amp;B181&amp;" ")),0)))</f>
        <v/>
      </c>
      <c r="G181" t="str">
        <f t="shared" si="8"/>
        <v/>
      </c>
      <c r="H181" t="str" cm="1">
        <f t="array" ref="H181">IF(OR(B181="",D181=0),"",_xlfn.TEXTJOIN(", ",TRUE,IF(ISNUMBER(SEARCH(" "&amp;SEMANTIC_BUCKETS!$A$2:$A$348&amp;" "," "&amp;B181&amp;" ")),SEMANTIC_BUCKETS!$A$2:$A$348,"")))</f>
        <v/>
      </c>
    </row>
    <row r="182" spans="1:8" x14ac:dyDescent="0.3">
      <c r="A182" t="str">
        <f t="shared" si="6"/>
        <v/>
      </c>
      <c r="B182" t="str" cm="1">
        <f t="array" ref="B182">IFERROR(_xlfn.LET(_xlpm.s,$B$10,_xlpm.norm,SUBSTITUTE(SUBSTITUTE(_xlpm.s,"!","."),"?","."),_xlpm.parts,_xlfn.TEXTSPLIT(_xlpm.norm,,".",TRUE),TRIM(INDEX(_xlpm.parts,ROW()-13))),"")</f>
        <v/>
      </c>
      <c r="C182" t="str">
        <f t="shared" si="7"/>
        <v/>
      </c>
      <c r="D182" t="str" cm="1">
        <f t="array" ref="D182">IF(B182="","",SUMPRODUCT(--ISNUMBER(SEARCH(" "&amp;SEMANTIC_BUCKETS!$A$2:$A$348&amp;" "," "&amp;B182&amp;" "))))</f>
        <v/>
      </c>
      <c r="E182" t="str" cm="1">
        <f t="array" ref="E182">IF(B182="","",SUMPRODUCT(--ISNUMBER(SEARCH(" "&amp;SEMANTIC_BUCKETS!$A$2:$A$348&amp;" "," "&amp;B182&amp;" ")),SEMANTIC_BUCKETS!$E$2:$E$348))</f>
        <v/>
      </c>
      <c r="F182" t="str" cm="1">
        <f t="array" ref="F182">IF(OR(B182="",D182=0),"",INDEX(SEMANTIC_BUCKETS!$B$2:$B$348,MATCH(TRUE,ISNUMBER(SEARCH(" "&amp;SEMANTIC_BUCKETS!$A$2:$A$348&amp;" "," "&amp;B182&amp;" ")),0)))</f>
        <v/>
      </c>
      <c r="G182" t="str">
        <f t="shared" si="8"/>
        <v/>
      </c>
      <c r="H182" t="str" cm="1">
        <f t="array" ref="H182">IF(OR(B182="",D182=0),"",_xlfn.TEXTJOIN(", ",TRUE,IF(ISNUMBER(SEARCH(" "&amp;SEMANTIC_BUCKETS!$A$2:$A$348&amp;" "," "&amp;B182&amp;" ")),SEMANTIC_BUCKETS!$A$2:$A$348,"")))</f>
        <v/>
      </c>
    </row>
    <row r="183" spans="1:8" x14ac:dyDescent="0.3">
      <c r="A183" t="str">
        <f t="shared" si="6"/>
        <v/>
      </c>
      <c r="B183" t="str" cm="1">
        <f t="array" ref="B183">IFERROR(_xlfn.LET(_xlpm.s,$B$10,_xlpm.norm,SUBSTITUTE(SUBSTITUTE(_xlpm.s,"!","."),"?","."),_xlpm.parts,_xlfn.TEXTSPLIT(_xlpm.norm,,".",TRUE),TRIM(INDEX(_xlpm.parts,ROW()-13))),"")</f>
        <v/>
      </c>
      <c r="C183" t="str">
        <f t="shared" si="7"/>
        <v/>
      </c>
      <c r="D183" t="str" cm="1">
        <f t="array" ref="D183">IF(B183="","",SUMPRODUCT(--ISNUMBER(SEARCH(" "&amp;SEMANTIC_BUCKETS!$A$2:$A$348&amp;" "," "&amp;B183&amp;" "))))</f>
        <v/>
      </c>
      <c r="E183" t="str" cm="1">
        <f t="array" ref="E183">IF(B183="","",SUMPRODUCT(--ISNUMBER(SEARCH(" "&amp;SEMANTIC_BUCKETS!$A$2:$A$348&amp;" "," "&amp;B183&amp;" ")),SEMANTIC_BUCKETS!$E$2:$E$348))</f>
        <v/>
      </c>
      <c r="F183" t="str" cm="1">
        <f t="array" ref="F183">IF(OR(B183="",D183=0),"",INDEX(SEMANTIC_BUCKETS!$B$2:$B$348,MATCH(TRUE,ISNUMBER(SEARCH(" "&amp;SEMANTIC_BUCKETS!$A$2:$A$348&amp;" "," "&amp;B183&amp;" ")),0)))</f>
        <v/>
      </c>
      <c r="G183" t="str">
        <f t="shared" si="8"/>
        <v/>
      </c>
      <c r="H183" t="str" cm="1">
        <f t="array" ref="H183">IF(OR(B183="",D183=0),"",_xlfn.TEXTJOIN(", ",TRUE,IF(ISNUMBER(SEARCH(" "&amp;SEMANTIC_BUCKETS!$A$2:$A$348&amp;" "," "&amp;B183&amp;" ")),SEMANTIC_BUCKETS!$A$2:$A$348,"")))</f>
        <v/>
      </c>
    </row>
    <row r="184" spans="1:8" x14ac:dyDescent="0.3">
      <c r="A184" t="str">
        <f t="shared" si="6"/>
        <v/>
      </c>
      <c r="B184" t="str" cm="1">
        <f t="array" ref="B184">IFERROR(_xlfn.LET(_xlpm.s,$B$10,_xlpm.norm,SUBSTITUTE(SUBSTITUTE(_xlpm.s,"!","."),"?","."),_xlpm.parts,_xlfn.TEXTSPLIT(_xlpm.norm,,".",TRUE),TRIM(INDEX(_xlpm.parts,ROW()-13))),"")</f>
        <v/>
      </c>
      <c r="C184" t="str">
        <f t="shared" si="7"/>
        <v/>
      </c>
      <c r="D184" t="str" cm="1">
        <f t="array" ref="D184">IF(B184="","",SUMPRODUCT(--ISNUMBER(SEARCH(" "&amp;SEMANTIC_BUCKETS!$A$2:$A$348&amp;" "," "&amp;B184&amp;" "))))</f>
        <v/>
      </c>
      <c r="E184" t="str" cm="1">
        <f t="array" ref="E184">IF(B184="","",SUMPRODUCT(--ISNUMBER(SEARCH(" "&amp;SEMANTIC_BUCKETS!$A$2:$A$348&amp;" "," "&amp;B184&amp;" ")),SEMANTIC_BUCKETS!$E$2:$E$348))</f>
        <v/>
      </c>
      <c r="F184" t="str" cm="1">
        <f t="array" ref="F184">IF(OR(B184="",D184=0),"",INDEX(SEMANTIC_BUCKETS!$B$2:$B$348,MATCH(TRUE,ISNUMBER(SEARCH(" "&amp;SEMANTIC_BUCKETS!$A$2:$A$348&amp;" "," "&amp;B184&amp;" ")),0)))</f>
        <v/>
      </c>
      <c r="G184" t="str">
        <f t="shared" si="8"/>
        <v/>
      </c>
      <c r="H184" t="str" cm="1">
        <f t="array" ref="H184">IF(OR(B184="",D184=0),"",_xlfn.TEXTJOIN(", ",TRUE,IF(ISNUMBER(SEARCH(" "&amp;SEMANTIC_BUCKETS!$A$2:$A$348&amp;" "," "&amp;B184&amp;" ")),SEMANTIC_BUCKETS!$A$2:$A$348,"")))</f>
        <v/>
      </c>
    </row>
    <row r="185" spans="1:8" x14ac:dyDescent="0.3">
      <c r="A185" t="str">
        <f t="shared" si="6"/>
        <v/>
      </c>
      <c r="B185" t="str" cm="1">
        <f t="array" ref="B185">IFERROR(_xlfn.LET(_xlpm.s,$B$10,_xlpm.norm,SUBSTITUTE(SUBSTITUTE(_xlpm.s,"!","."),"?","."),_xlpm.parts,_xlfn.TEXTSPLIT(_xlpm.norm,,".",TRUE),TRIM(INDEX(_xlpm.parts,ROW()-13))),"")</f>
        <v/>
      </c>
      <c r="C185" t="str">
        <f t="shared" si="7"/>
        <v/>
      </c>
      <c r="D185" t="str" cm="1">
        <f t="array" ref="D185">IF(B185="","",SUMPRODUCT(--ISNUMBER(SEARCH(" "&amp;SEMANTIC_BUCKETS!$A$2:$A$348&amp;" "," "&amp;B185&amp;" "))))</f>
        <v/>
      </c>
      <c r="E185" t="str" cm="1">
        <f t="array" ref="E185">IF(B185="","",SUMPRODUCT(--ISNUMBER(SEARCH(" "&amp;SEMANTIC_BUCKETS!$A$2:$A$348&amp;" "," "&amp;B185&amp;" ")),SEMANTIC_BUCKETS!$E$2:$E$348))</f>
        <v/>
      </c>
      <c r="F185" t="str" cm="1">
        <f t="array" ref="F185">IF(OR(B185="",D185=0),"",INDEX(SEMANTIC_BUCKETS!$B$2:$B$348,MATCH(TRUE,ISNUMBER(SEARCH(" "&amp;SEMANTIC_BUCKETS!$A$2:$A$348&amp;" "," "&amp;B185&amp;" ")),0)))</f>
        <v/>
      </c>
      <c r="G185" t="str">
        <f t="shared" si="8"/>
        <v/>
      </c>
      <c r="H185" t="str" cm="1">
        <f t="array" ref="H185">IF(OR(B185="",D185=0),"",_xlfn.TEXTJOIN(", ",TRUE,IF(ISNUMBER(SEARCH(" "&amp;SEMANTIC_BUCKETS!$A$2:$A$348&amp;" "," "&amp;B185&amp;" ")),SEMANTIC_BUCKETS!$A$2:$A$348,"")))</f>
        <v/>
      </c>
    </row>
    <row r="186" spans="1:8" x14ac:dyDescent="0.3">
      <c r="A186" t="str">
        <f t="shared" si="6"/>
        <v/>
      </c>
      <c r="B186" t="str" cm="1">
        <f t="array" ref="B186">IFERROR(_xlfn.LET(_xlpm.s,$B$10,_xlpm.norm,SUBSTITUTE(SUBSTITUTE(_xlpm.s,"!","."),"?","."),_xlpm.parts,_xlfn.TEXTSPLIT(_xlpm.norm,,".",TRUE),TRIM(INDEX(_xlpm.parts,ROW()-13))),"")</f>
        <v/>
      </c>
      <c r="C186" t="str">
        <f t="shared" si="7"/>
        <v/>
      </c>
      <c r="D186" t="str" cm="1">
        <f t="array" ref="D186">IF(B186="","",SUMPRODUCT(--ISNUMBER(SEARCH(" "&amp;SEMANTIC_BUCKETS!$A$2:$A$348&amp;" "," "&amp;B186&amp;" "))))</f>
        <v/>
      </c>
      <c r="E186" t="str" cm="1">
        <f t="array" ref="E186">IF(B186="","",SUMPRODUCT(--ISNUMBER(SEARCH(" "&amp;SEMANTIC_BUCKETS!$A$2:$A$348&amp;" "," "&amp;B186&amp;" ")),SEMANTIC_BUCKETS!$E$2:$E$348))</f>
        <v/>
      </c>
      <c r="F186" t="str" cm="1">
        <f t="array" ref="F186">IF(OR(B186="",D186=0),"",INDEX(SEMANTIC_BUCKETS!$B$2:$B$348,MATCH(TRUE,ISNUMBER(SEARCH(" "&amp;SEMANTIC_BUCKETS!$A$2:$A$348&amp;" "," "&amp;B186&amp;" ")),0)))</f>
        <v/>
      </c>
      <c r="G186" t="str">
        <f t="shared" si="8"/>
        <v/>
      </c>
      <c r="H186" t="str" cm="1">
        <f t="array" ref="H186">IF(OR(B186="",D186=0),"",_xlfn.TEXTJOIN(", ",TRUE,IF(ISNUMBER(SEARCH(" "&amp;SEMANTIC_BUCKETS!$A$2:$A$348&amp;" "," "&amp;B186&amp;" ")),SEMANTIC_BUCKETS!$A$2:$A$348,"")))</f>
        <v/>
      </c>
    </row>
    <row r="187" spans="1:8" x14ac:dyDescent="0.3">
      <c r="A187" t="str">
        <f t="shared" si="6"/>
        <v/>
      </c>
      <c r="B187" t="str" cm="1">
        <f t="array" ref="B187">IFERROR(_xlfn.LET(_xlpm.s,$B$10,_xlpm.norm,SUBSTITUTE(SUBSTITUTE(_xlpm.s,"!","."),"?","."),_xlpm.parts,_xlfn.TEXTSPLIT(_xlpm.norm,,".",TRUE),TRIM(INDEX(_xlpm.parts,ROW()-13))),"")</f>
        <v/>
      </c>
      <c r="C187" t="str">
        <f t="shared" si="7"/>
        <v/>
      </c>
      <c r="D187" t="str" cm="1">
        <f t="array" ref="D187">IF(B187="","",SUMPRODUCT(--ISNUMBER(SEARCH(" "&amp;SEMANTIC_BUCKETS!$A$2:$A$348&amp;" "," "&amp;B187&amp;" "))))</f>
        <v/>
      </c>
      <c r="E187" t="str" cm="1">
        <f t="array" ref="E187">IF(B187="","",SUMPRODUCT(--ISNUMBER(SEARCH(" "&amp;SEMANTIC_BUCKETS!$A$2:$A$348&amp;" "," "&amp;B187&amp;" ")),SEMANTIC_BUCKETS!$E$2:$E$348))</f>
        <v/>
      </c>
      <c r="F187" t="str" cm="1">
        <f t="array" ref="F187">IF(OR(B187="",D187=0),"",INDEX(SEMANTIC_BUCKETS!$B$2:$B$348,MATCH(TRUE,ISNUMBER(SEARCH(" "&amp;SEMANTIC_BUCKETS!$A$2:$A$348&amp;" "," "&amp;B187&amp;" ")),0)))</f>
        <v/>
      </c>
      <c r="G187" t="str">
        <f t="shared" si="8"/>
        <v/>
      </c>
      <c r="H187" t="str" cm="1">
        <f t="array" ref="H187">IF(OR(B187="",D187=0),"",_xlfn.TEXTJOIN(", ",TRUE,IF(ISNUMBER(SEARCH(" "&amp;SEMANTIC_BUCKETS!$A$2:$A$348&amp;" "," "&amp;B187&amp;" ")),SEMANTIC_BUCKETS!$A$2:$A$348,"")))</f>
        <v/>
      </c>
    </row>
    <row r="188" spans="1:8" x14ac:dyDescent="0.3">
      <c r="A188" t="str">
        <f t="shared" si="6"/>
        <v/>
      </c>
      <c r="B188" t="str" cm="1">
        <f t="array" ref="B188">IFERROR(_xlfn.LET(_xlpm.s,$B$10,_xlpm.norm,SUBSTITUTE(SUBSTITUTE(_xlpm.s,"!","."),"?","."),_xlpm.parts,_xlfn.TEXTSPLIT(_xlpm.norm,,".",TRUE),TRIM(INDEX(_xlpm.parts,ROW()-13))),"")</f>
        <v/>
      </c>
      <c r="C188" t="str">
        <f t="shared" si="7"/>
        <v/>
      </c>
      <c r="D188" t="str" cm="1">
        <f t="array" ref="D188">IF(B188="","",SUMPRODUCT(--ISNUMBER(SEARCH(" "&amp;SEMANTIC_BUCKETS!$A$2:$A$348&amp;" "," "&amp;B188&amp;" "))))</f>
        <v/>
      </c>
      <c r="E188" t="str" cm="1">
        <f t="array" ref="E188">IF(B188="","",SUMPRODUCT(--ISNUMBER(SEARCH(" "&amp;SEMANTIC_BUCKETS!$A$2:$A$348&amp;" "," "&amp;B188&amp;" ")),SEMANTIC_BUCKETS!$E$2:$E$348))</f>
        <v/>
      </c>
      <c r="F188" t="str" cm="1">
        <f t="array" ref="F188">IF(OR(B188="",D188=0),"",INDEX(SEMANTIC_BUCKETS!$B$2:$B$348,MATCH(TRUE,ISNUMBER(SEARCH(" "&amp;SEMANTIC_BUCKETS!$A$2:$A$348&amp;" "," "&amp;B188&amp;" ")),0)))</f>
        <v/>
      </c>
      <c r="G188" t="str">
        <f t="shared" si="8"/>
        <v/>
      </c>
      <c r="H188" t="str" cm="1">
        <f t="array" ref="H188">IF(OR(B188="",D188=0),"",_xlfn.TEXTJOIN(", ",TRUE,IF(ISNUMBER(SEARCH(" "&amp;SEMANTIC_BUCKETS!$A$2:$A$348&amp;" "," "&amp;B188&amp;" ")),SEMANTIC_BUCKETS!$A$2:$A$348,"")))</f>
        <v/>
      </c>
    </row>
    <row r="189" spans="1:8" x14ac:dyDescent="0.3">
      <c r="A189" t="str">
        <f t="shared" si="6"/>
        <v/>
      </c>
      <c r="B189" t="str" cm="1">
        <f t="array" ref="B189">IFERROR(_xlfn.LET(_xlpm.s,$B$10,_xlpm.norm,SUBSTITUTE(SUBSTITUTE(_xlpm.s,"!","."),"?","."),_xlpm.parts,_xlfn.TEXTSPLIT(_xlpm.norm,,".",TRUE),TRIM(INDEX(_xlpm.parts,ROW()-13))),"")</f>
        <v/>
      </c>
      <c r="C189" t="str">
        <f t="shared" si="7"/>
        <v/>
      </c>
      <c r="D189" t="str" cm="1">
        <f t="array" ref="D189">IF(B189="","",SUMPRODUCT(--ISNUMBER(SEARCH(" "&amp;SEMANTIC_BUCKETS!$A$2:$A$348&amp;" "," "&amp;B189&amp;" "))))</f>
        <v/>
      </c>
      <c r="E189" t="str" cm="1">
        <f t="array" ref="E189">IF(B189="","",SUMPRODUCT(--ISNUMBER(SEARCH(" "&amp;SEMANTIC_BUCKETS!$A$2:$A$348&amp;" "," "&amp;B189&amp;" ")),SEMANTIC_BUCKETS!$E$2:$E$348))</f>
        <v/>
      </c>
      <c r="F189" t="str" cm="1">
        <f t="array" ref="F189">IF(OR(B189="",D189=0),"",INDEX(SEMANTIC_BUCKETS!$B$2:$B$348,MATCH(TRUE,ISNUMBER(SEARCH(" "&amp;SEMANTIC_BUCKETS!$A$2:$A$348&amp;" "," "&amp;B189&amp;" ")),0)))</f>
        <v/>
      </c>
      <c r="G189" t="str">
        <f t="shared" si="8"/>
        <v/>
      </c>
      <c r="H189" t="str" cm="1">
        <f t="array" ref="H189">IF(OR(B189="",D189=0),"",_xlfn.TEXTJOIN(", ",TRUE,IF(ISNUMBER(SEARCH(" "&amp;SEMANTIC_BUCKETS!$A$2:$A$348&amp;" "," "&amp;B189&amp;" ")),SEMANTIC_BUCKETS!$A$2:$A$348,"")))</f>
        <v/>
      </c>
    </row>
    <row r="190" spans="1:8" x14ac:dyDescent="0.3">
      <c r="A190" t="str">
        <f t="shared" si="6"/>
        <v/>
      </c>
      <c r="B190" t="str" cm="1">
        <f t="array" ref="B190">IFERROR(_xlfn.LET(_xlpm.s,$B$10,_xlpm.norm,SUBSTITUTE(SUBSTITUTE(_xlpm.s,"!","."),"?","."),_xlpm.parts,_xlfn.TEXTSPLIT(_xlpm.norm,,".",TRUE),TRIM(INDEX(_xlpm.parts,ROW()-13))),"")</f>
        <v/>
      </c>
      <c r="C190" t="str">
        <f t="shared" si="7"/>
        <v/>
      </c>
      <c r="D190" t="str" cm="1">
        <f t="array" ref="D190">IF(B190="","",SUMPRODUCT(--ISNUMBER(SEARCH(" "&amp;SEMANTIC_BUCKETS!$A$2:$A$348&amp;" "," "&amp;B190&amp;" "))))</f>
        <v/>
      </c>
      <c r="E190" t="str" cm="1">
        <f t="array" ref="E190">IF(B190="","",SUMPRODUCT(--ISNUMBER(SEARCH(" "&amp;SEMANTIC_BUCKETS!$A$2:$A$348&amp;" "," "&amp;B190&amp;" ")),SEMANTIC_BUCKETS!$E$2:$E$348))</f>
        <v/>
      </c>
      <c r="F190" t="str" cm="1">
        <f t="array" ref="F190">IF(OR(B190="",D190=0),"",INDEX(SEMANTIC_BUCKETS!$B$2:$B$348,MATCH(TRUE,ISNUMBER(SEARCH(" "&amp;SEMANTIC_BUCKETS!$A$2:$A$348&amp;" "," "&amp;B190&amp;" ")),0)))</f>
        <v/>
      </c>
      <c r="G190" t="str">
        <f t="shared" si="8"/>
        <v/>
      </c>
      <c r="H190" t="str" cm="1">
        <f t="array" ref="H190">IF(OR(B190="",D190=0),"",_xlfn.TEXTJOIN(", ",TRUE,IF(ISNUMBER(SEARCH(" "&amp;SEMANTIC_BUCKETS!$A$2:$A$348&amp;" "," "&amp;B190&amp;" ")),SEMANTIC_BUCKETS!$A$2:$A$348,"")))</f>
        <v/>
      </c>
    </row>
    <row r="191" spans="1:8" x14ac:dyDescent="0.3">
      <c r="A191" t="str">
        <f t="shared" si="6"/>
        <v/>
      </c>
      <c r="B191" t="str" cm="1">
        <f t="array" ref="B191">IFERROR(_xlfn.LET(_xlpm.s,$B$10,_xlpm.norm,SUBSTITUTE(SUBSTITUTE(_xlpm.s,"!","."),"?","."),_xlpm.parts,_xlfn.TEXTSPLIT(_xlpm.norm,,".",TRUE),TRIM(INDEX(_xlpm.parts,ROW()-13))),"")</f>
        <v/>
      </c>
      <c r="C191" t="str">
        <f t="shared" si="7"/>
        <v/>
      </c>
      <c r="D191" t="str" cm="1">
        <f t="array" ref="D191">IF(B191="","",SUMPRODUCT(--ISNUMBER(SEARCH(" "&amp;SEMANTIC_BUCKETS!$A$2:$A$348&amp;" "," "&amp;B191&amp;" "))))</f>
        <v/>
      </c>
      <c r="E191" t="str" cm="1">
        <f t="array" ref="E191">IF(B191="","",SUMPRODUCT(--ISNUMBER(SEARCH(" "&amp;SEMANTIC_BUCKETS!$A$2:$A$348&amp;" "," "&amp;B191&amp;" ")),SEMANTIC_BUCKETS!$E$2:$E$348))</f>
        <v/>
      </c>
      <c r="F191" t="str" cm="1">
        <f t="array" ref="F191">IF(OR(B191="",D191=0),"",INDEX(SEMANTIC_BUCKETS!$B$2:$B$348,MATCH(TRUE,ISNUMBER(SEARCH(" "&amp;SEMANTIC_BUCKETS!$A$2:$A$348&amp;" "," "&amp;B191&amp;" ")),0)))</f>
        <v/>
      </c>
      <c r="G191" t="str">
        <f t="shared" si="8"/>
        <v/>
      </c>
      <c r="H191" t="str" cm="1">
        <f t="array" ref="H191">IF(OR(B191="",D191=0),"",_xlfn.TEXTJOIN(", ",TRUE,IF(ISNUMBER(SEARCH(" "&amp;SEMANTIC_BUCKETS!$A$2:$A$348&amp;" "," "&amp;B191&amp;" ")),SEMANTIC_BUCKETS!$A$2:$A$348,"")))</f>
        <v/>
      </c>
    </row>
    <row r="192" spans="1:8" x14ac:dyDescent="0.3">
      <c r="A192" t="str">
        <f t="shared" si="6"/>
        <v/>
      </c>
      <c r="B192" t="str" cm="1">
        <f t="array" ref="B192">IFERROR(_xlfn.LET(_xlpm.s,$B$10,_xlpm.norm,SUBSTITUTE(SUBSTITUTE(_xlpm.s,"!","."),"?","."),_xlpm.parts,_xlfn.TEXTSPLIT(_xlpm.norm,,".",TRUE),TRIM(INDEX(_xlpm.parts,ROW()-13))),"")</f>
        <v/>
      </c>
      <c r="C192" t="str">
        <f t="shared" si="7"/>
        <v/>
      </c>
      <c r="D192" t="str" cm="1">
        <f t="array" ref="D192">IF(B192="","",SUMPRODUCT(--ISNUMBER(SEARCH(" "&amp;SEMANTIC_BUCKETS!$A$2:$A$348&amp;" "," "&amp;B192&amp;" "))))</f>
        <v/>
      </c>
      <c r="E192" t="str" cm="1">
        <f t="array" ref="E192">IF(B192="","",SUMPRODUCT(--ISNUMBER(SEARCH(" "&amp;SEMANTIC_BUCKETS!$A$2:$A$348&amp;" "," "&amp;B192&amp;" ")),SEMANTIC_BUCKETS!$E$2:$E$348))</f>
        <v/>
      </c>
      <c r="F192" t="str" cm="1">
        <f t="array" ref="F192">IF(OR(B192="",D192=0),"",INDEX(SEMANTIC_BUCKETS!$B$2:$B$348,MATCH(TRUE,ISNUMBER(SEARCH(" "&amp;SEMANTIC_BUCKETS!$A$2:$A$348&amp;" "," "&amp;B192&amp;" ")),0)))</f>
        <v/>
      </c>
      <c r="G192" t="str">
        <f t="shared" si="8"/>
        <v/>
      </c>
      <c r="H192" t="str" cm="1">
        <f t="array" ref="H192">IF(OR(B192="",D192=0),"",_xlfn.TEXTJOIN(", ",TRUE,IF(ISNUMBER(SEARCH(" "&amp;SEMANTIC_BUCKETS!$A$2:$A$348&amp;" "," "&amp;B192&amp;" ")),SEMANTIC_BUCKETS!$A$2:$A$348,"")))</f>
        <v/>
      </c>
    </row>
    <row r="193" spans="1:8" x14ac:dyDescent="0.3">
      <c r="A193" t="str">
        <f t="shared" si="6"/>
        <v/>
      </c>
      <c r="B193" t="str" cm="1">
        <f t="array" ref="B193">IFERROR(_xlfn.LET(_xlpm.s,$B$10,_xlpm.norm,SUBSTITUTE(SUBSTITUTE(_xlpm.s,"!","."),"?","."),_xlpm.parts,_xlfn.TEXTSPLIT(_xlpm.norm,,".",TRUE),TRIM(INDEX(_xlpm.parts,ROW()-13))),"")</f>
        <v/>
      </c>
      <c r="C193" t="str">
        <f t="shared" si="7"/>
        <v/>
      </c>
      <c r="D193" t="str" cm="1">
        <f t="array" ref="D193">IF(B193="","",SUMPRODUCT(--ISNUMBER(SEARCH(" "&amp;SEMANTIC_BUCKETS!$A$2:$A$348&amp;" "," "&amp;B193&amp;" "))))</f>
        <v/>
      </c>
      <c r="E193" t="str" cm="1">
        <f t="array" ref="E193">IF(B193="","",SUMPRODUCT(--ISNUMBER(SEARCH(" "&amp;SEMANTIC_BUCKETS!$A$2:$A$348&amp;" "," "&amp;B193&amp;" ")),SEMANTIC_BUCKETS!$E$2:$E$348))</f>
        <v/>
      </c>
      <c r="F193" t="str" cm="1">
        <f t="array" ref="F193">IF(OR(B193="",D193=0),"",INDEX(SEMANTIC_BUCKETS!$B$2:$B$348,MATCH(TRUE,ISNUMBER(SEARCH(" "&amp;SEMANTIC_BUCKETS!$A$2:$A$348&amp;" "," "&amp;B193&amp;" ")),0)))</f>
        <v/>
      </c>
      <c r="G193" t="str">
        <f t="shared" si="8"/>
        <v/>
      </c>
      <c r="H193" t="str" cm="1">
        <f t="array" ref="H193">IF(OR(B193="",D193=0),"",_xlfn.TEXTJOIN(", ",TRUE,IF(ISNUMBER(SEARCH(" "&amp;SEMANTIC_BUCKETS!$A$2:$A$348&amp;" "," "&amp;B193&amp;" ")),SEMANTIC_BUCKETS!$A$2:$A$348,"")))</f>
        <v/>
      </c>
    </row>
    <row r="194" spans="1:8" x14ac:dyDescent="0.3">
      <c r="A194" t="str">
        <f t="shared" si="6"/>
        <v/>
      </c>
      <c r="B194" t="str" cm="1">
        <f t="array" ref="B194">IFERROR(_xlfn.LET(_xlpm.s,$B$10,_xlpm.norm,SUBSTITUTE(SUBSTITUTE(_xlpm.s,"!","."),"?","."),_xlpm.parts,_xlfn.TEXTSPLIT(_xlpm.norm,,".",TRUE),TRIM(INDEX(_xlpm.parts,ROW()-13))),"")</f>
        <v/>
      </c>
      <c r="C194" t="str">
        <f t="shared" si="7"/>
        <v/>
      </c>
      <c r="D194" t="str" cm="1">
        <f t="array" ref="D194">IF(B194="","",SUMPRODUCT(--ISNUMBER(SEARCH(" "&amp;SEMANTIC_BUCKETS!$A$2:$A$348&amp;" "," "&amp;B194&amp;" "))))</f>
        <v/>
      </c>
      <c r="E194" t="str" cm="1">
        <f t="array" ref="E194">IF(B194="","",SUMPRODUCT(--ISNUMBER(SEARCH(" "&amp;SEMANTIC_BUCKETS!$A$2:$A$348&amp;" "," "&amp;B194&amp;" ")),SEMANTIC_BUCKETS!$E$2:$E$348))</f>
        <v/>
      </c>
      <c r="F194" t="str" cm="1">
        <f t="array" ref="F194">IF(OR(B194="",D194=0),"",INDEX(SEMANTIC_BUCKETS!$B$2:$B$348,MATCH(TRUE,ISNUMBER(SEARCH(" "&amp;SEMANTIC_BUCKETS!$A$2:$A$348&amp;" "," "&amp;B194&amp;" ")),0)))</f>
        <v/>
      </c>
      <c r="G194" t="str">
        <f t="shared" si="8"/>
        <v/>
      </c>
      <c r="H194" t="str" cm="1">
        <f t="array" ref="H194">IF(OR(B194="",D194=0),"",_xlfn.TEXTJOIN(", ",TRUE,IF(ISNUMBER(SEARCH(" "&amp;SEMANTIC_BUCKETS!$A$2:$A$348&amp;" "," "&amp;B194&amp;" ")),SEMANTIC_BUCKETS!$A$2:$A$348,"")))</f>
        <v/>
      </c>
    </row>
    <row r="195" spans="1:8" x14ac:dyDescent="0.3">
      <c r="A195" t="str">
        <f t="shared" si="6"/>
        <v/>
      </c>
      <c r="B195" t="str" cm="1">
        <f t="array" ref="B195">IFERROR(_xlfn.LET(_xlpm.s,$B$10,_xlpm.norm,SUBSTITUTE(SUBSTITUTE(_xlpm.s,"!","."),"?","."),_xlpm.parts,_xlfn.TEXTSPLIT(_xlpm.norm,,".",TRUE),TRIM(INDEX(_xlpm.parts,ROW()-13))),"")</f>
        <v/>
      </c>
      <c r="C195" t="str">
        <f t="shared" si="7"/>
        <v/>
      </c>
      <c r="D195" t="str" cm="1">
        <f t="array" ref="D195">IF(B195="","",SUMPRODUCT(--ISNUMBER(SEARCH(" "&amp;SEMANTIC_BUCKETS!$A$2:$A$348&amp;" "," "&amp;B195&amp;" "))))</f>
        <v/>
      </c>
      <c r="E195" t="str" cm="1">
        <f t="array" ref="E195">IF(B195="","",SUMPRODUCT(--ISNUMBER(SEARCH(" "&amp;SEMANTIC_BUCKETS!$A$2:$A$348&amp;" "," "&amp;B195&amp;" ")),SEMANTIC_BUCKETS!$E$2:$E$348))</f>
        <v/>
      </c>
      <c r="F195" t="str" cm="1">
        <f t="array" ref="F195">IF(OR(B195="",D195=0),"",INDEX(SEMANTIC_BUCKETS!$B$2:$B$348,MATCH(TRUE,ISNUMBER(SEARCH(" "&amp;SEMANTIC_BUCKETS!$A$2:$A$348&amp;" "," "&amp;B195&amp;" ")),0)))</f>
        <v/>
      </c>
      <c r="G195" t="str">
        <f t="shared" si="8"/>
        <v/>
      </c>
      <c r="H195" t="str" cm="1">
        <f t="array" ref="H195">IF(OR(B195="",D195=0),"",_xlfn.TEXTJOIN(", ",TRUE,IF(ISNUMBER(SEARCH(" "&amp;SEMANTIC_BUCKETS!$A$2:$A$348&amp;" "," "&amp;B195&amp;" ")),SEMANTIC_BUCKETS!$A$2:$A$348,"")))</f>
        <v/>
      </c>
    </row>
    <row r="196" spans="1:8" x14ac:dyDescent="0.3">
      <c r="A196" t="str">
        <f t="shared" si="6"/>
        <v/>
      </c>
      <c r="B196" t="str" cm="1">
        <f t="array" ref="B196">IFERROR(_xlfn.LET(_xlpm.s,$B$10,_xlpm.norm,SUBSTITUTE(SUBSTITUTE(_xlpm.s,"!","."),"?","."),_xlpm.parts,_xlfn.TEXTSPLIT(_xlpm.norm,,".",TRUE),TRIM(INDEX(_xlpm.parts,ROW()-13))),"")</f>
        <v/>
      </c>
      <c r="C196" t="str">
        <f t="shared" si="7"/>
        <v/>
      </c>
      <c r="D196" t="str" cm="1">
        <f t="array" ref="D196">IF(B196="","",SUMPRODUCT(--ISNUMBER(SEARCH(" "&amp;SEMANTIC_BUCKETS!$A$2:$A$348&amp;" "," "&amp;B196&amp;" "))))</f>
        <v/>
      </c>
      <c r="E196" t="str" cm="1">
        <f t="array" ref="E196">IF(B196="","",SUMPRODUCT(--ISNUMBER(SEARCH(" "&amp;SEMANTIC_BUCKETS!$A$2:$A$348&amp;" "," "&amp;B196&amp;" ")),SEMANTIC_BUCKETS!$E$2:$E$348))</f>
        <v/>
      </c>
      <c r="F196" t="str" cm="1">
        <f t="array" ref="F196">IF(OR(B196="",D196=0),"",INDEX(SEMANTIC_BUCKETS!$B$2:$B$348,MATCH(TRUE,ISNUMBER(SEARCH(" "&amp;SEMANTIC_BUCKETS!$A$2:$A$348&amp;" "," "&amp;B196&amp;" ")),0)))</f>
        <v/>
      </c>
      <c r="G196" t="str">
        <f t="shared" si="8"/>
        <v/>
      </c>
      <c r="H196" t="str" cm="1">
        <f t="array" ref="H196">IF(OR(B196="",D196=0),"",_xlfn.TEXTJOIN(", ",TRUE,IF(ISNUMBER(SEARCH(" "&amp;SEMANTIC_BUCKETS!$A$2:$A$348&amp;" "," "&amp;B196&amp;" ")),SEMANTIC_BUCKETS!$A$2:$A$348,"")))</f>
        <v/>
      </c>
    </row>
    <row r="197" spans="1:8" x14ac:dyDescent="0.3">
      <c r="A197" t="str">
        <f t="shared" si="6"/>
        <v/>
      </c>
      <c r="B197" t="str" cm="1">
        <f t="array" ref="B197">IFERROR(_xlfn.LET(_xlpm.s,$B$10,_xlpm.norm,SUBSTITUTE(SUBSTITUTE(_xlpm.s,"!","."),"?","."),_xlpm.parts,_xlfn.TEXTSPLIT(_xlpm.norm,,".",TRUE),TRIM(INDEX(_xlpm.parts,ROW()-13))),"")</f>
        <v/>
      </c>
      <c r="C197" t="str">
        <f t="shared" si="7"/>
        <v/>
      </c>
      <c r="D197" t="str" cm="1">
        <f t="array" ref="D197">IF(B197="","",SUMPRODUCT(--ISNUMBER(SEARCH(" "&amp;SEMANTIC_BUCKETS!$A$2:$A$348&amp;" "," "&amp;B197&amp;" "))))</f>
        <v/>
      </c>
      <c r="E197" t="str" cm="1">
        <f t="array" ref="E197">IF(B197="","",SUMPRODUCT(--ISNUMBER(SEARCH(" "&amp;SEMANTIC_BUCKETS!$A$2:$A$348&amp;" "," "&amp;B197&amp;" ")),SEMANTIC_BUCKETS!$E$2:$E$348))</f>
        <v/>
      </c>
      <c r="F197" t="str" cm="1">
        <f t="array" ref="F197">IF(OR(B197="",D197=0),"",INDEX(SEMANTIC_BUCKETS!$B$2:$B$348,MATCH(TRUE,ISNUMBER(SEARCH(" "&amp;SEMANTIC_BUCKETS!$A$2:$A$348&amp;" "," "&amp;B197&amp;" ")),0)))</f>
        <v/>
      </c>
      <c r="G197" t="str">
        <f t="shared" si="8"/>
        <v/>
      </c>
      <c r="H197" t="str" cm="1">
        <f t="array" ref="H197">IF(OR(B197="",D197=0),"",_xlfn.TEXTJOIN(", ",TRUE,IF(ISNUMBER(SEARCH(" "&amp;SEMANTIC_BUCKETS!$A$2:$A$348&amp;" "," "&amp;B197&amp;" ")),SEMANTIC_BUCKETS!$A$2:$A$348,"")))</f>
        <v/>
      </c>
    </row>
    <row r="198" spans="1:8" x14ac:dyDescent="0.3">
      <c r="A198" t="str">
        <f t="shared" si="6"/>
        <v/>
      </c>
      <c r="B198" t="str" cm="1">
        <f t="array" ref="B198">IFERROR(_xlfn.LET(_xlpm.s,$B$10,_xlpm.norm,SUBSTITUTE(SUBSTITUTE(_xlpm.s,"!","."),"?","."),_xlpm.parts,_xlfn.TEXTSPLIT(_xlpm.norm,,".",TRUE),TRIM(INDEX(_xlpm.parts,ROW()-13))),"")</f>
        <v/>
      </c>
      <c r="C198" t="str">
        <f t="shared" si="7"/>
        <v/>
      </c>
      <c r="D198" t="str" cm="1">
        <f t="array" ref="D198">IF(B198="","",SUMPRODUCT(--ISNUMBER(SEARCH(" "&amp;SEMANTIC_BUCKETS!$A$2:$A$348&amp;" "," "&amp;B198&amp;" "))))</f>
        <v/>
      </c>
      <c r="E198" t="str" cm="1">
        <f t="array" ref="E198">IF(B198="","",SUMPRODUCT(--ISNUMBER(SEARCH(" "&amp;SEMANTIC_BUCKETS!$A$2:$A$348&amp;" "," "&amp;B198&amp;" ")),SEMANTIC_BUCKETS!$E$2:$E$348))</f>
        <v/>
      </c>
      <c r="F198" t="str" cm="1">
        <f t="array" ref="F198">IF(OR(B198="",D198=0),"",INDEX(SEMANTIC_BUCKETS!$B$2:$B$348,MATCH(TRUE,ISNUMBER(SEARCH(" "&amp;SEMANTIC_BUCKETS!$A$2:$A$348&amp;" "," "&amp;B198&amp;" ")),0)))</f>
        <v/>
      </c>
      <c r="G198" t="str">
        <f t="shared" si="8"/>
        <v/>
      </c>
      <c r="H198" t="str" cm="1">
        <f t="array" ref="H198">IF(OR(B198="",D198=0),"",_xlfn.TEXTJOIN(", ",TRUE,IF(ISNUMBER(SEARCH(" "&amp;SEMANTIC_BUCKETS!$A$2:$A$348&amp;" "," "&amp;B198&amp;" ")),SEMANTIC_BUCKETS!$A$2:$A$348,"")))</f>
        <v/>
      </c>
    </row>
    <row r="199" spans="1:8" x14ac:dyDescent="0.3">
      <c r="A199" t="str">
        <f t="shared" si="6"/>
        <v/>
      </c>
      <c r="B199" t="str" cm="1">
        <f t="array" ref="B199">IFERROR(_xlfn.LET(_xlpm.s,$B$10,_xlpm.norm,SUBSTITUTE(SUBSTITUTE(_xlpm.s,"!","."),"?","."),_xlpm.parts,_xlfn.TEXTSPLIT(_xlpm.norm,,".",TRUE),TRIM(INDEX(_xlpm.parts,ROW()-13))),"")</f>
        <v/>
      </c>
      <c r="C199" t="str">
        <f t="shared" si="7"/>
        <v/>
      </c>
      <c r="D199" t="str" cm="1">
        <f t="array" ref="D199">IF(B199="","",SUMPRODUCT(--ISNUMBER(SEARCH(" "&amp;SEMANTIC_BUCKETS!$A$2:$A$348&amp;" "," "&amp;B199&amp;" "))))</f>
        <v/>
      </c>
      <c r="E199" t="str" cm="1">
        <f t="array" ref="E199">IF(B199="","",SUMPRODUCT(--ISNUMBER(SEARCH(" "&amp;SEMANTIC_BUCKETS!$A$2:$A$348&amp;" "," "&amp;B199&amp;" ")),SEMANTIC_BUCKETS!$E$2:$E$348))</f>
        <v/>
      </c>
      <c r="F199" t="str" cm="1">
        <f t="array" ref="F199">IF(OR(B199="",D199=0),"",INDEX(SEMANTIC_BUCKETS!$B$2:$B$348,MATCH(TRUE,ISNUMBER(SEARCH(" "&amp;SEMANTIC_BUCKETS!$A$2:$A$348&amp;" "," "&amp;B199&amp;" ")),0)))</f>
        <v/>
      </c>
      <c r="G199" t="str">
        <f t="shared" si="8"/>
        <v/>
      </c>
      <c r="H199" t="str" cm="1">
        <f t="array" ref="H199">IF(OR(B199="",D199=0),"",_xlfn.TEXTJOIN(", ",TRUE,IF(ISNUMBER(SEARCH(" "&amp;SEMANTIC_BUCKETS!$A$2:$A$348&amp;" "," "&amp;B199&amp;" ")),SEMANTIC_BUCKETS!$A$2:$A$348,"")))</f>
        <v/>
      </c>
    </row>
    <row r="200" spans="1:8" x14ac:dyDescent="0.3">
      <c r="A200" t="str">
        <f t="shared" si="6"/>
        <v/>
      </c>
      <c r="B200" t="str" cm="1">
        <f t="array" ref="B200">IFERROR(_xlfn.LET(_xlpm.s,$B$10,_xlpm.norm,SUBSTITUTE(SUBSTITUTE(_xlpm.s,"!","."),"?","."),_xlpm.parts,_xlfn.TEXTSPLIT(_xlpm.norm,,".",TRUE),TRIM(INDEX(_xlpm.parts,ROW()-13))),"")</f>
        <v/>
      </c>
      <c r="C200" t="str">
        <f t="shared" si="7"/>
        <v/>
      </c>
      <c r="D200" t="str" cm="1">
        <f t="array" ref="D200">IF(B200="","",SUMPRODUCT(--ISNUMBER(SEARCH(" "&amp;SEMANTIC_BUCKETS!$A$2:$A$348&amp;" "," "&amp;B200&amp;" "))))</f>
        <v/>
      </c>
      <c r="E200" t="str" cm="1">
        <f t="array" ref="E200">IF(B200="","",SUMPRODUCT(--ISNUMBER(SEARCH(" "&amp;SEMANTIC_BUCKETS!$A$2:$A$348&amp;" "," "&amp;B200&amp;" ")),SEMANTIC_BUCKETS!$E$2:$E$348))</f>
        <v/>
      </c>
      <c r="F200" t="str" cm="1">
        <f t="array" ref="F200">IF(OR(B200="",D200=0),"",INDEX(SEMANTIC_BUCKETS!$B$2:$B$348,MATCH(TRUE,ISNUMBER(SEARCH(" "&amp;SEMANTIC_BUCKETS!$A$2:$A$348&amp;" "," "&amp;B200&amp;" ")),0)))</f>
        <v/>
      </c>
      <c r="G200" t="str">
        <f t="shared" si="8"/>
        <v/>
      </c>
      <c r="H200" t="str" cm="1">
        <f t="array" ref="H200">IF(OR(B200="",D200=0),"",_xlfn.TEXTJOIN(", ",TRUE,IF(ISNUMBER(SEARCH(" "&amp;SEMANTIC_BUCKETS!$A$2:$A$348&amp;" "," "&amp;B200&amp;" ")),SEMANTIC_BUCKETS!$A$2:$A$348,"")))</f>
        <v/>
      </c>
    </row>
    <row r="201" spans="1:8" x14ac:dyDescent="0.3">
      <c r="A201" t="str">
        <f t="shared" si="6"/>
        <v/>
      </c>
      <c r="B201" t="str" cm="1">
        <f t="array" ref="B201">IFERROR(_xlfn.LET(_xlpm.s,$B$10,_xlpm.norm,SUBSTITUTE(SUBSTITUTE(_xlpm.s,"!","."),"?","."),_xlpm.parts,_xlfn.TEXTSPLIT(_xlpm.norm,,".",TRUE),TRIM(INDEX(_xlpm.parts,ROW()-13))),"")</f>
        <v/>
      </c>
      <c r="C201" t="str">
        <f t="shared" si="7"/>
        <v/>
      </c>
      <c r="D201" t="str" cm="1">
        <f t="array" ref="D201">IF(B201="","",SUMPRODUCT(--ISNUMBER(SEARCH(" "&amp;SEMANTIC_BUCKETS!$A$2:$A$348&amp;" "," "&amp;B201&amp;" "))))</f>
        <v/>
      </c>
      <c r="E201" t="str" cm="1">
        <f t="array" ref="E201">IF(B201="","",SUMPRODUCT(--ISNUMBER(SEARCH(" "&amp;SEMANTIC_BUCKETS!$A$2:$A$348&amp;" "," "&amp;B201&amp;" ")),SEMANTIC_BUCKETS!$E$2:$E$348))</f>
        <v/>
      </c>
      <c r="F201" t="str" cm="1">
        <f t="array" ref="F201">IF(OR(B201="",D201=0),"",INDEX(SEMANTIC_BUCKETS!$B$2:$B$348,MATCH(TRUE,ISNUMBER(SEARCH(" "&amp;SEMANTIC_BUCKETS!$A$2:$A$348&amp;" "," "&amp;B201&amp;" ")),0)))</f>
        <v/>
      </c>
      <c r="G201" t="str">
        <f t="shared" si="8"/>
        <v/>
      </c>
      <c r="H201" t="str" cm="1">
        <f t="array" ref="H201">IF(OR(B201="",D201=0),"",_xlfn.TEXTJOIN(", ",TRUE,IF(ISNUMBER(SEARCH(" "&amp;SEMANTIC_BUCKETS!$A$2:$A$348&amp;" "," "&amp;B201&amp;" ")),SEMANTIC_BUCKETS!$A$2:$A$348,"")))</f>
        <v/>
      </c>
    </row>
    <row r="202" spans="1:8" x14ac:dyDescent="0.3">
      <c r="A202" t="str">
        <f t="shared" si="6"/>
        <v/>
      </c>
      <c r="B202" t="str" cm="1">
        <f t="array" ref="B202">IFERROR(_xlfn.LET(_xlpm.s,$B$10,_xlpm.norm,SUBSTITUTE(SUBSTITUTE(_xlpm.s,"!","."),"?","."),_xlpm.parts,_xlfn.TEXTSPLIT(_xlpm.norm,,".",TRUE),TRIM(INDEX(_xlpm.parts,ROW()-13))),"")</f>
        <v/>
      </c>
      <c r="C202" t="str">
        <f t="shared" si="7"/>
        <v/>
      </c>
      <c r="D202" t="str" cm="1">
        <f t="array" ref="D202">IF(B202="","",SUMPRODUCT(--ISNUMBER(SEARCH(" "&amp;SEMANTIC_BUCKETS!$A$2:$A$348&amp;" "," "&amp;B202&amp;" "))))</f>
        <v/>
      </c>
      <c r="E202" t="str" cm="1">
        <f t="array" ref="E202">IF(B202="","",SUMPRODUCT(--ISNUMBER(SEARCH(" "&amp;SEMANTIC_BUCKETS!$A$2:$A$348&amp;" "," "&amp;B202&amp;" ")),SEMANTIC_BUCKETS!$E$2:$E$348))</f>
        <v/>
      </c>
      <c r="F202" t="str" cm="1">
        <f t="array" ref="F202">IF(OR(B202="",D202=0),"",INDEX(SEMANTIC_BUCKETS!$B$2:$B$348,MATCH(TRUE,ISNUMBER(SEARCH(" "&amp;SEMANTIC_BUCKETS!$A$2:$A$348&amp;" "," "&amp;B202&amp;" ")),0)))</f>
        <v/>
      </c>
      <c r="G202" t="str">
        <f t="shared" si="8"/>
        <v/>
      </c>
      <c r="H202" t="str" cm="1">
        <f t="array" ref="H202">IF(OR(B202="",D202=0),"",_xlfn.TEXTJOIN(", ",TRUE,IF(ISNUMBER(SEARCH(" "&amp;SEMANTIC_BUCKETS!$A$2:$A$348&amp;" "," "&amp;B202&amp;" ")),SEMANTIC_BUCKETS!$A$2:$A$348,"")))</f>
        <v/>
      </c>
    </row>
    <row r="203" spans="1:8" x14ac:dyDescent="0.3">
      <c r="A203" t="str">
        <f t="shared" si="6"/>
        <v/>
      </c>
      <c r="B203" t="str" cm="1">
        <f t="array" ref="B203">IFERROR(_xlfn.LET(_xlpm.s,$B$10,_xlpm.norm,SUBSTITUTE(SUBSTITUTE(_xlpm.s,"!","."),"?","."),_xlpm.parts,_xlfn.TEXTSPLIT(_xlpm.norm,,".",TRUE),TRIM(INDEX(_xlpm.parts,ROW()-13))),"")</f>
        <v/>
      </c>
      <c r="C203" t="str">
        <f t="shared" si="7"/>
        <v/>
      </c>
      <c r="D203" t="str" cm="1">
        <f t="array" ref="D203">IF(B203="","",SUMPRODUCT(--ISNUMBER(SEARCH(" "&amp;SEMANTIC_BUCKETS!$A$2:$A$348&amp;" "," "&amp;B203&amp;" "))))</f>
        <v/>
      </c>
      <c r="E203" t="str" cm="1">
        <f t="array" ref="E203">IF(B203="","",SUMPRODUCT(--ISNUMBER(SEARCH(" "&amp;SEMANTIC_BUCKETS!$A$2:$A$348&amp;" "," "&amp;B203&amp;" ")),SEMANTIC_BUCKETS!$E$2:$E$348))</f>
        <v/>
      </c>
      <c r="F203" t="str" cm="1">
        <f t="array" ref="F203">IF(OR(B203="",D203=0),"",INDEX(SEMANTIC_BUCKETS!$B$2:$B$348,MATCH(TRUE,ISNUMBER(SEARCH(" "&amp;SEMANTIC_BUCKETS!$A$2:$A$348&amp;" "," "&amp;B203&amp;" ")),0)))</f>
        <v/>
      </c>
      <c r="G203" t="str">
        <f t="shared" si="8"/>
        <v/>
      </c>
      <c r="H203" t="str" cm="1">
        <f t="array" ref="H203">IF(OR(B203="",D203=0),"",_xlfn.TEXTJOIN(", ",TRUE,IF(ISNUMBER(SEARCH(" "&amp;SEMANTIC_BUCKETS!$A$2:$A$348&amp;" "," "&amp;B203&amp;" ")),SEMANTIC_BUCKETS!$A$2:$A$348,"")))</f>
        <v/>
      </c>
    </row>
    <row r="204" spans="1:8" x14ac:dyDescent="0.3">
      <c r="A204" t="str">
        <f t="shared" si="6"/>
        <v/>
      </c>
      <c r="B204" t="str" cm="1">
        <f t="array" ref="B204">IFERROR(_xlfn.LET(_xlpm.s,$B$10,_xlpm.norm,SUBSTITUTE(SUBSTITUTE(_xlpm.s,"!","."),"?","."),_xlpm.parts,_xlfn.TEXTSPLIT(_xlpm.norm,,".",TRUE),TRIM(INDEX(_xlpm.parts,ROW()-13))),"")</f>
        <v/>
      </c>
      <c r="C204" t="str">
        <f t="shared" si="7"/>
        <v/>
      </c>
      <c r="D204" t="str" cm="1">
        <f t="array" ref="D204">IF(B204="","",SUMPRODUCT(--ISNUMBER(SEARCH(" "&amp;SEMANTIC_BUCKETS!$A$2:$A$348&amp;" "," "&amp;B204&amp;" "))))</f>
        <v/>
      </c>
      <c r="E204" t="str" cm="1">
        <f t="array" ref="E204">IF(B204="","",SUMPRODUCT(--ISNUMBER(SEARCH(" "&amp;SEMANTIC_BUCKETS!$A$2:$A$348&amp;" "," "&amp;B204&amp;" ")),SEMANTIC_BUCKETS!$E$2:$E$348))</f>
        <v/>
      </c>
      <c r="F204" t="str" cm="1">
        <f t="array" ref="F204">IF(OR(B204="",D204=0),"",INDEX(SEMANTIC_BUCKETS!$B$2:$B$348,MATCH(TRUE,ISNUMBER(SEARCH(" "&amp;SEMANTIC_BUCKETS!$A$2:$A$348&amp;" "," "&amp;B204&amp;" ")),0)))</f>
        <v/>
      </c>
      <c r="G204" t="str">
        <f t="shared" si="8"/>
        <v/>
      </c>
      <c r="H204" t="str" cm="1">
        <f t="array" ref="H204">IF(OR(B204="",D204=0),"",_xlfn.TEXTJOIN(", ",TRUE,IF(ISNUMBER(SEARCH(" "&amp;SEMANTIC_BUCKETS!$A$2:$A$348&amp;" "," "&amp;B204&amp;" ")),SEMANTIC_BUCKETS!$A$2:$A$348,"")))</f>
        <v/>
      </c>
    </row>
    <row r="205" spans="1:8" x14ac:dyDescent="0.3">
      <c r="A205" t="str">
        <f t="shared" si="6"/>
        <v/>
      </c>
      <c r="B205" t="str" cm="1">
        <f t="array" ref="B205">IFERROR(_xlfn.LET(_xlpm.s,$B$10,_xlpm.norm,SUBSTITUTE(SUBSTITUTE(_xlpm.s,"!","."),"?","."),_xlpm.parts,_xlfn.TEXTSPLIT(_xlpm.norm,,".",TRUE),TRIM(INDEX(_xlpm.parts,ROW()-13))),"")</f>
        <v/>
      </c>
      <c r="C205" t="str">
        <f t="shared" si="7"/>
        <v/>
      </c>
      <c r="D205" t="str" cm="1">
        <f t="array" ref="D205">IF(B205="","",SUMPRODUCT(--ISNUMBER(SEARCH(" "&amp;SEMANTIC_BUCKETS!$A$2:$A$348&amp;" "," "&amp;B205&amp;" "))))</f>
        <v/>
      </c>
      <c r="E205" t="str" cm="1">
        <f t="array" ref="E205">IF(B205="","",SUMPRODUCT(--ISNUMBER(SEARCH(" "&amp;SEMANTIC_BUCKETS!$A$2:$A$348&amp;" "," "&amp;B205&amp;" ")),SEMANTIC_BUCKETS!$E$2:$E$348))</f>
        <v/>
      </c>
      <c r="F205" t="str" cm="1">
        <f t="array" ref="F205">IF(OR(B205="",D205=0),"",INDEX(SEMANTIC_BUCKETS!$B$2:$B$348,MATCH(TRUE,ISNUMBER(SEARCH(" "&amp;SEMANTIC_BUCKETS!$A$2:$A$348&amp;" "," "&amp;B205&amp;" ")),0)))</f>
        <v/>
      </c>
      <c r="G205" t="str">
        <f t="shared" si="8"/>
        <v/>
      </c>
      <c r="H205" t="str" cm="1">
        <f t="array" ref="H205">IF(OR(B205="",D205=0),"",_xlfn.TEXTJOIN(", ",TRUE,IF(ISNUMBER(SEARCH(" "&amp;SEMANTIC_BUCKETS!$A$2:$A$348&amp;" "," "&amp;B205&amp;" ")),SEMANTIC_BUCKETS!$A$2:$A$348,"")))</f>
        <v/>
      </c>
    </row>
    <row r="206" spans="1:8" x14ac:dyDescent="0.3">
      <c r="A206" t="str">
        <f t="shared" si="6"/>
        <v/>
      </c>
      <c r="B206" t="str" cm="1">
        <f t="array" ref="B206">IFERROR(_xlfn.LET(_xlpm.s,$B$10,_xlpm.norm,SUBSTITUTE(SUBSTITUTE(_xlpm.s,"!","."),"?","."),_xlpm.parts,_xlfn.TEXTSPLIT(_xlpm.norm,,".",TRUE),TRIM(INDEX(_xlpm.parts,ROW()-13))),"")</f>
        <v/>
      </c>
      <c r="C206" t="str">
        <f t="shared" si="7"/>
        <v/>
      </c>
      <c r="D206" t="str" cm="1">
        <f t="array" ref="D206">IF(B206="","",SUMPRODUCT(--ISNUMBER(SEARCH(" "&amp;SEMANTIC_BUCKETS!$A$2:$A$348&amp;" "," "&amp;B206&amp;" "))))</f>
        <v/>
      </c>
      <c r="E206" t="str" cm="1">
        <f t="array" ref="E206">IF(B206="","",SUMPRODUCT(--ISNUMBER(SEARCH(" "&amp;SEMANTIC_BUCKETS!$A$2:$A$348&amp;" "," "&amp;B206&amp;" ")),SEMANTIC_BUCKETS!$E$2:$E$348))</f>
        <v/>
      </c>
      <c r="F206" t="str" cm="1">
        <f t="array" ref="F206">IF(OR(B206="",D206=0),"",INDEX(SEMANTIC_BUCKETS!$B$2:$B$348,MATCH(TRUE,ISNUMBER(SEARCH(" "&amp;SEMANTIC_BUCKETS!$A$2:$A$348&amp;" "," "&amp;B206&amp;" ")),0)))</f>
        <v/>
      </c>
      <c r="G206" t="str">
        <f t="shared" si="8"/>
        <v/>
      </c>
      <c r="H206" t="str" cm="1">
        <f t="array" ref="H206">IF(OR(B206="",D206=0),"",_xlfn.TEXTJOIN(", ",TRUE,IF(ISNUMBER(SEARCH(" "&amp;SEMANTIC_BUCKETS!$A$2:$A$348&amp;" "," "&amp;B206&amp;" ")),SEMANTIC_BUCKETS!$A$2:$A$348,"")))</f>
        <v/>
      </c>
    </row>
    <row r="207" spans="1:8" x14ac:dyDescent="0.3">
      <c r="A207" t="str">
        <f t="shared" ref="A207:A213" si="9">IF(B207="","",ROW()-13)</f>
        <v/>
      </c>
      <c r="B207" t="str" cm="1">
        <f t="array" ref="B207">IFERROR(_xlfn.LET(_xlpm.s,$B$10,_xlpm.norm,SUBSTITUTE(SUBSTITUTE(_xlpm.s,"!","."),"?","."),_xlpm.parts,_xlfn.TEXTSPLIT(_xlpm.norm,,".",TRUE),TRIM(INDEX(_xlpm.parts,ROW()-13))),"")</f>
        <v/>
      </c>
      <c r="C207" t="str">
        <f t="shared" ref="C207:C213" si="10">IF(B207="","",IF(TRIM(B207)="",0,LEN(TRIM(B207))-LEN(SUBSTITUTE(TRIM(B207)," ",""))+1))</f>
        <v/>
      </c>
      <c r="D207" t="str" cm="1">
        <f t="array" ref="D207">IF(B207="","",SUMPRODUCT(--ISNUMBER(SEARCH(" "&amp;SEMANTIC_BUCKETS!$A$2:$A$348&amp;" "," "&amp;B207&amp;" "))))</f>
        <v/>
      </c>
      <c r="E207" t="str" cm="1">
        <f t="array" ref="E207">IF(B207="","",SUMPRODUCT(--ISNUMBER(SEARCH(" "&amp;SEMANTIC_BUCKETS!$A$2:$A$348&amp;" "," "&amp;B207&amp;" ")),SEMANTIC_BUCKETS!$E$2:$E$348))</f>
        <v/>
      </c>
      <c r="F207" t="str" cm="1">
        <f t="array" ref="F207">IF(OR(B207="",D207=0),"",INDEX(SEMANTIC_BUCKETS!$B$2:$B$348,MATCH(TRUE,ISNUMBER(SEARCH(" "&amp;SEMANTIC_BUCKETS!$A$2:$A$348&amp;" "," "&amp;B207&amp;" ")),0)))</f>
        <v/>
      </c>
      <c r="G207" t="str">
        <f t="shared" ref="G207:G213" si="11">IF(B207="","",IF(E207&gt;=$F$9,"FAIL",IF(E207&gt;=$B$9,"WARN","PASS")))</f>
        <v/>
      </c>
      <c r="H207" t="str" cm="1">
        <f t="array" ref="H207">IF(OR(B207="",D207=0),"",_xlfn.TEXTJOIN(", ",TRUE,IF(ISNUMBER(SEARCH(" "&amp;SEMANTIC_BUCKETS!$A$2:$A$348&amp;" "," "&amp;B207&amp;" ")),SEMANTIC_BUCKETS!$A$2:$A$348,"")))</f>
        <v/>
      </c>
    </row>
    <row r="208" spans="1:8" x14ac:dyDescent="0.3">
      <c r="A208" t="str">
        <f t="shared" si="9"/>
        <v/>
      </c>
      <c r="B208" t="str" cm="1">
        <f t="array" ref="B208">IFERROR(_xlfn.LET(_xlpm.s,$B$10,_xlpm.norm,SUBSTITUTE(SUBSTITUTE(_xlpm.s,"!","."),"?","."),_xlpm.parts,_xlfn.TEXTSPLIT(_xlpm.norm,,".",TRUE),TRIM(INDEX(_xlpm.parts,ROW()-13))),"")</f>
        <v/>
      </c>
      <c r="C208" t="str">
        <f t="shared" si="10"/>
        <v/>
      </c>
      <c r="D208" t="str" cm="1">
        <f t="array" ref="D208">IF(B208="","",SUMPRODUCT(--ISNUMBER(SEARCH(" "&amp;SEMANTIC_BUCKETS!$A$2:$A$348&amp;" "," "&amp;B208&amp;" "))))</f>
        <v/>
      </c>
      <c r="E208" t="str" cm="1">
        <f t="array" ref="E208">IF(B208="","",SUMPRODUCT(--ISNUMBER(SEARCH(" "&amp;SEMANTIC_BUCKETS!$A$2:$A$348&amp;" "," "&amp;B208&amp;" ")),SEMANTIC_BUCKETS!$E$2:$E$348))</f>
        <v/>
      </c>
      <c r="F208" t="str" cm="1">
        <f t="array" ref="F208">IF(OR(B208="",D208=0),"",INDEX(SEMANTIC_BUCKETS!$B$2:$B$348,MATCH(TRUE,ISNUMBER(SEARCH(" "&amp;SEMANTIC_BUCKETS!$A$2:$A$348&amp;" "," "&amp;B208&amp;" ")),0)))</f>
        <v/>
      </c>
      <c r="G208" t="str">
        <f t="shared" si="11"/>
        <v/>
      </c>
      <c r="H208" t="str" cm="1">
        <f t="array" ref="H208">IF(OR(B208="",D208=0),"",_xlfn.TEXTJOIN(", ",TRUE,IF(ISNUMBER(SEARCH(" "&amp;SEMANTIC_BUCKETS!$A$2:$A$348&amp;" "," "&amp;B208&amp;" ")),SEMANTIC_BUCKETS!$A$2:$A$348,"")))</f>
        <v/>
      </c>
    </row>
    <row r="209" spans="1:8" x14ac:dyDescent="0.3">
      <c r="A209" t="str">
        <f t="shared" si="9"/>
        <v/>
      </c>
      <c r="B209" t="str" cm="1">
        <f t="array" ref="B209">IFERROR(_xlfn.LET(_xlpm.s,$B$10,_xlpm.norm,SUBSTITUTE(SUBSTITUTE(_xlpm.s,"!","."),"?","."),_xlpm.parts,_xlfn.TEXTSPLIT(_xlpm.norm,,".",TRUE),TRIM(INDEX(_xlpm.parts,ROW()-13))),"")</f>
        <v/>
      </c>
      <c r="C209" t="str">
        <f t="shared" si="10"/>
        <v/>
      </c>
      <c r="D209" t="str" cm="1">
        <f t="array" ref="D209">IF(B209="","",SUMPRODUCT(--ISNUMBER(SEARCH(" "&amp;SEMANTIC_BUCKETS!$A$2:$A$348&amp;" "," "&amp;B209&amp;" "))))</f>
        <v/>
      </c>
      <c r="E209" t="str" cm="1">
        <f t="array" ref="E209">IF(B209="","",SUMPRODUCT(--ISNUMBER(SEARCH(" "&amp;SEMANTIC_BUCKETS!$A$2:$A$348&amp;" "," "&amp;B209&amp;" ")),SEMANTIC_BUCKETS!$E$2:$E$348))</f>
        <v/>
      </c>
      <c r="F209" t="str" cm="1">
        <f t="array" ref="F209">IF(OR(B209="",D209=0),"",INDEX(SEMANTIC_BUCKETS!$B$2:$B$348,MATCH(TRUE,ISNUMBER(SEARCH(" "&amp;SEMANTIC_BUCKETS!$A$2:$A$348&amp;" "," "&amp;B209&amp;" ")),0)))</f>
        <v/>
      </c>
      <c r="G209" t="str">
        <f t="shared" si="11"/>
        <v/>
      </c>
      <c r="H209" t="str" cm="1">
        <f t="array" ref="H209">IF(OR(B209="",D209=0),"",_xlfn.TEXTJOIN(", ",TRUE,IF(ISNUMBER(SEARCH(" "&amp;SEMANTIC_BUCKETS!$A$2:$A$348&amp;" "," "&amp;B209&amp;" ")),SEMANTIC_BUCKETS!$A$2:$A$348,"")))</f>
        <v/>
      </c>
    </row>
    <row r="210" spans="1:8" x14ac:dyDescent="0.3">
      <c r="A210" t="str">
        <f t="shared" si="9"/>
        <v/>
      </c>
      <c r="B210" t="str" cm="1">
        <f t="array" ref="B210">IFERROR(_xlfn.LET(_xlpm.s,$B$10,_xlpm.norm,SUBSTITUTE(SUBSTITUTE(_xlpm.s,"!","."),"?","."),_xlpm.parts,_xlfn.TEXTSPLIT(_xlpm.norm,,".",TRUE),TRIM(INDEX(_xlpm.parts,ROW()-13))),"")</f>
        <v/>
      </c>
      <c r="C210" t="str">
        <f t="shared" si="10"/>
        <v/>
      </c>
      <c r="D210" t="str" cm="1">
        <f t="array" ref="D210">IF(B210="","",SUMPRODUCT(--ISNUMBER(SEARCH(" "&amp;SEMANTIC_BUCKETS!$A$2:$A$348&amp;" "," "&amp;B210&amp;" "))))</f>
        <v/>
      </c>
      <c r="E210" t="str" cm="1">
        <f t="array" ref="E210">IF(B210="","",SUMPRODUCT(--ISNUMBER(SEARCH(" "&amp;SEMANTIC_BUCKETS!$A$2:$A$348&amp;" "," "&amp;B210&amp;" ")),SEMANTIC_BUCKETS!$E$2:$E$348))</f>
        <v/>
      </c>
      <c r="F210" t="str" cm="1">
        <f t="array" ref="F210">IF(OR(B210="",D210=0),"",INDEX(SEMANTIC_BUCKETS!$B$2:$B$348,MATCH(TRUE,ISNUMBER(SEARCH(" "&amp;SEMANTIC_BUCKETS!$A$2:$A$348&amp;" "," "&amp;B210&amp;" ")),0)))</f>
        <v/>
      </c>
      <c r="G210" t="str">
        <f t="shared" si="11"/>
        <v/>
      </c>
      <c r="H210" t="str" cm="1">
        <f t="array" ref="H210">IF(OR(B210="",D210=0),"",_xlfn.TEXTJOIN(", ",TRUE,IF(ISNUMBER(SEARCH(" "&amp;SEMANTIC_BUCKETS!$A$2:$A$348&amp;" "," "&amp;B210&amp;" ")),SEMANTIC_BUCKETS!$A$2:$A$348,"")))</f>
        <v/>
      </c>
    </row>
    <row r="211" spans="1:8" x14ac:dyDescent="0.3">
      <c r="A211" t="str">
        <f t="shared" si="9"/>
        <v/>
      </c>
      <c r="B211" t="str" cm="1">
        <f t="array" ref="B211">IFERROR(_xlfn.LET(_xlpm.s,$B$10,_xlpm.norm,SUBSTITUTE(SUBSTITUTE(_xlpm.s,"!","."),"?","."),_xlpm.parts,_xlfn.TEXTSPLIT(_xlpm.norm,,".",TRUE),TRIM(INDEX(_xlpm.parts,ROW()-13))),"")</f>
        <v/>
      </c>
      <c r="C211" t="str">
        <f t="shared" si="10"/>
        <v/>
      </c>
      <c r="D211" t="str" cm="1">
        <f t="array" ref="D211">IF(B211="","",SUMPRODUCT(--ISNUMBER(SEARCH(" "&amp;SEMANTIC_BUCKETS!$A$2:$A$348&amp;" "," "&amp;B211&amp;" "))))</f>
        <v/>
      </c>
      <c r="E211" t="str" cm="1">
        <f t="array" ref="E211">IF(B211="","",SUMPRODUCT(--ISNUMBER(SEARCH(" "&amp;SEMANTIC_BUCKETS!$A$2:$A$348&amp;" "," "&amp;B211&amp;" ")),SEMANTIC_BUCKETS!$E$2:$E$348))</f>
        <v/>
      </c>
      <c r="F211" t="str" cm="1">
        <f t="array" ref="F211">IF(OR(B211="",D211=0),"",INDEX(SEMANTIC_BUCKETS!$B$2:$B$348,MATCH(TRUE,ISNUMBER(SEARCH(" "&amp;SEMANTIC_BUCKETS!$A$2:$A$348&amp;" "," "&amp;B211&amp;" ")),0)))</f>
        <v/>
      </c>
      <c r="G211" t="str">
        <f t="shared" si="11"/>
        <v/>
      </c>
      <c r="H211" t="str" cm="1">
        <f t="array" ref="H211">IF(OR(B211="",D211=0),"",_xlfn.TEXTJOIN(", ",TRUE,IF(ISNUMBER(SEARCH(" "&amp;SEMANTIC_BUCKETS!$A$2:$A$348&amp;" "," "&amp;B211&amp;" ")),SEMANTIC_BUCKETS!$A$2:$A$348,"")))</f>
        <v/>
      </c>
    </row>
    <row r="212" spans="1:8" x14ac:dyDescent="0.3">
      <c r="A212" t="str">
        <f t="shared" si="9"/>
        <v/>
      </c>
      <c r="B212" t="str" cm="1">
        <f t="array" ref="B212">IFERROR(_xlfn.LET(_xlpm.s,$B$10,_xlpm.norm,SUBSTITUTE(SUBSTITUTE(_xlpm.s,"!","."),"?","."),_xlpm.parts,_xlfn.TEXTSPLIT(_xlpm.norm,,".",TRUE),TRIM(INDEX(_xlpm.parts,ROW()-13))),"")</f>
        <v/>
      </c>
      <c r="C212" t="str">
        <f t="shared" si="10"/>
        <v/>
      </c>
      <c r="D212" t="str" cm="1">
        <f t="array" ref="D212">IF(B212="","",SUMPRODUCT(--ISNUMBER(SEARCH(" "&amp;SEMANTIC_BUCKETS!$A$2:$A$348&amp;" "," "&amp;B212&amp;" "))))</f>
        <v/>
      </c>
      <c r="E212" t="str" cm="1">
        <f t="array" ref="E212">IF(B212="","",SUMPRODUCT(--ISNUMBER(SEARCH(" "&amp;SEMANTIC_BUCKETS!$A$2:$A$348&amp;" "," "&amp;B212&amp;" ")),SEMANTIC_BUCKETS!$E$2:$E$348))</f>
        <v/>
      </c>
      <c r="F212" t="str" cm="1">
        <f t="array" ref="F212">IF(OR(B212="",D212=0),"",INDEX(SEMANTIC_BUCKETS!$B$2:$B$348,MATCH(TRUE,ISNUMBER(SEARCH(" "&amp;SEMANTIC_BUCKETS!$A$2:$A$348&amp;" "," "&amp;B212&amp;" ")),0)))</f>
        <v/>
      </c>
      <c r="G212" t="str">
        <f t="shared" si="11"/>
        <v/>
      </c>
      <c r="H212" t="str" cm="1">
        <f t="array" ref="H212">IF(OR(B212="",D212=0),"",_xlfn.TEXTJOIN(", ",TRUE,IF(ISNUMBER(SEARCH(" "&amp;SEMANTIC_BUCKETS!$A$2:$A$348&amp;" "," "&amp;B212&amp;" ")),SEMANTIC_BUCKETS!$A$2:$A$348,"")))</f>
        <v/>
      </c>
    </row>
    <row r="213" spans="1:8" x14ac:dyDescent="0.3">
      <c r="A213" t="str">
        <f t="shared" si="9"/>
        <v/>
      </c>
      <c r="B213" t="str" cm="1">
        <f t="array" ref="B213">IFERROR(_xlfn.LET(_xlpm.s,$B$10,_xlpm.norm,SUBSTITUTE(SUBSTITUTE(_xlpm.s,"!","."),"?","."),_xlpm.parts,_xlfn.TEXTSPLIT(_xlpm.norm,,".",TRUE),TRIM(INDEX(_xlpm.parts,ROW()-13))),"")</f>
        <v/>
      </c>
      <c r="C213" t="str">
        <f t="shared" si="10"/>
        <v/>
      </c>
      <c r="D213" t="str" cm="1">
        <f t="array" ref="D213">IF(B213="","",SUMPRODUCT(--ISNUMBER(SEARCH(" "&amp;SEMANTIC_BUCKETS!$A$2:$A$348&amp;" "," "&amp;B213&amp;" "))))</f>
        <v/>
      </c>
      <c r="E213" t="str" cm="1">
        <f t="array" ref="E213">IF(B213="","",SUMPRODUCT(--ISNUMBER(SEARCH(" "&amp;SEMANTIC_BUCKETS!$A$2:$A$348&amp;" "," "&amp;B213&amp;" ")),SEMANTIC_BUCKETS!$E$2:$E$348))</f>
        <v/>
      </c>
      <c r="F213" t="str" cm="1">
        <f t="array" ref="F213">IF(OR(B213="",D213=0),"",INDEX(SEMANTIC_BUCKETS!$B$2:$B$348,MATCH(TRUE,ISNUMBER(SEARCH(" "&amp;SEMANTIC_BUCKETS!$A$2:$A$348&amp;" "," "&amp;B213&amp;" ")),0)))</f>
        <v/>
      </c>
      <c r="G213" t="str">
        <f t="shared" si="11"/>
        <v/>
      </c>
      <c r="H213" t="str" cm="1">
        <f t="array" ref="H213">IF(OR(B213="",D213=0),"",_xlfn.TEXTJOIN(", ",TRUE,IF(ISNUMBER(SEARCH(" "&amp;SEMANTIC_BUCKETS!$A$2:$A$348&amp;" "," "&amp;B213&amp;" ")),SEMANTIC_BUCKETS!$A$2:$A$348,"")))</f>
        <v/>
      </c>
    </row>
    <row r="215" spans="1:8" x14ac:dyDescent="0.3">
      <c r="A215" s="198" t="s">
        <v>3450</v>
      </c>
    </row>
    <row r="216" spans="1:8" x14ac:dyDescent="0.3">
      <c r="A216" s="126" t="s">
        <v>1654</v>
      </c>
      <c r="B216" s="126" t="s">
        <v>3451</v>
      </c>
    </row>
    <row r="217" spans="1:8" x14ac:dyDescent="0.3">
      <c r="A217" t="s">
        <v>1605</v>
      </c>
      <c r="B217">
        <f>COUNTIF($F$14:$F$213,A217)</f>
        <v>0</v>
      </c>
    </row>
    <row r="218" spans="1:8" x14ac:dyDescent="0.3">
      <c r="A218" t="s">
        <v>1170</v>
      </c>
      <c r="B218">
        <f t="shared" ref="B218:B230" si="12">COUNTIF($F$14:$F$213,A218)</f>
        <v>0</v>
      </c>
    </row>
    <row r="219" spans="1:8" x14ac:dyDescent="0.3">
      <c r="A219" t="s">
        <v>1295</v>
      </c>
      <c r="B219">
        <f t="shared" si="12"/>
        <v>0</v>
      </c>
    </row>
    <row r="220" spans="1:8" x14ac:dyDescent="0.3">
      <c r="A220" t="s">
        <v>1458</v>
      </c>
      <c r="B220">
        <f t="shared" si="12"/>
        <v>0</v>
      </c>
    </row>
    <row r="221" spans="1:8" x14ac:dyDescent="0.3">
      <c r="A221" t="s">
        <v>1307</v>
      </c>
      <c r="B221">
        <f t="shared" si="12"/>
        <v>0</v>
      </c>
    </row>
    <row r="222" spans="1:8" x14ac:dyDescent="0.3">
      <c r="A222" t="s">
        <v>1432</v>
      </c>
      <c r="B222">
        <f t="shared" si="12"/>
        <v>0</v>
      </c>
    </row>
    <row r="223" spans="1:8" x14ac:dyDescent="0.3">
      <c r="A223" t="s">
        <v>1330</v>
      </c>
      <c r="B223">
        <f t="shared" si="12"/>
        <v>0</v>
      </c>
    </row>
    <row r="224" spans="1:8" x14ac:dyDescent="0.3">
      <c r="A224" t="s">
        <v>1555</v>
      </c>
      <c r="B224">
        <f t="shared" si="12"/>
        <v>0</v>
      </c>
    </row>
    <row r="225" spans="1:2" x14ac:dyDescent="0.3">
      <c r="A225" t="s">
        <v>1527</v>
      </c>
      <c r="B225">
        <f t="shared" si="12"/>
        <v>0</v>
      </c>
    </row>
    <row r="226" spans="1:2" x14ac:dyDescent="0.3">
      <c r="A226" t="s">
        <v>1274</v>
      </c>
      <c r="B226">
        <f t="shared" si="12"/>
        <v>0</v>
      </c>
    </row>
    <row r="227" spans="1:2" x14ac:dyDescent="0.3">
      <c r="A227" t="s">
        <v>1228</v>
      </c>
      <c r="B227">
        <f t="shared" si="12"/>
        <v>0</v>
      </c>
    </row>
    <row r="228" spans="1:2" x14ac:dyDescent="0.3">
      <c r="A228" t="s">
        <v>1371</v>
      </c>
      <c r="B228">
        <f t="shared" si="12"/>
        <v>0</v>
      </c>
    </row>
    <row r="229" spans="1:2" x14ac:dyDescent="0.3">
      <c r="A229" t="s">
        <v>1510</v>
      </c>
      <c r="B229">
        <f t="shared" si="12"/>
        <v>0</v>
      </c>
    </row>
    <row r="230" spans="1:2" x14ac:dyDescent="0.3">
      <c r="A230" t="s">
        <v>1481</v>
      </c>
      <c r="B230">
        <f t="shared" si="12"/>
        <v>0</v>
      </c>
    </row>
  </sheetData>
  <conditionalFormatting sqref="G14:G213">
    <cfRule type="cellIs" dxfId="2" priority="1" operator="equal">
      <formula>"PASS"</formula>
    </cfRule>
  </conditionalFormatting>
  <conditionalFormatting sqref="G14:G213">
    <cfRule type="cellIs" dxfId="1" priority="2" operator="equal">
      <formula>"WARN"</formula>
    </cfRule>
  </conditionalFormatting>
  <conditionalFormatting sqref="G14:G213">
    <cfRule type="cellIs" dxfId="0" priority="3" operator="equal">
      <formula>"FAIL"</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5F813-DA43-4EE8-ADAF-7D9F58EE61C0}">
  <dimension ref="A1:C29"/>
  <sheetViews>
    <sheetView workbookViewId="0">
      <pane ySplit="2" topLeftCell="A3" activePane="bottomLeft" state="frozen"/>
      <selection pane="bottomLeft" sqref="A1:C1"/>
    </sheetView>
  </sheetViews>
  <sheetFormatPr defaultRowHeight="14.4" x14ac:dyDescent="0.3"/>
  <cols>
    <col min="1" max="1" width="44.44140625" customWidth="1"/>
    <col min="2" max="2" width="79.6640625" customWidth="1"/>
    <col min="3" max="3" width="55.5546875" customWidth="1"/>
  </cols>
  <sheetData>
    <row r="1" spans="1:3" ht="18" x14ac:dyDescent="0.3">
      <c r="A1" s="185" t="s">
        <v>1962</v>
      </c>
      <c r="B1" s="185"/>
      <c r="C1" s="185"/>
    </row>
    <row r="2" spans="1:3" x14ac:dyDescent="0.3">
      <c r="A2" s="186" t="s">
        <v>1963</v>
      </c>
      <c r="B2" s="186"/>
      <c r="C2" s="186"/>
    </row>
    <row r="3" spans="1:3" x14ac:dyDescent="0.3">
      <c r="A3" s="2"/>
      <c r="B3" s="2"/>
      <c r="C3" s="2"/>
    </row>
    <row r="4" spans="1:3" x14ac:dyDescent="0.3">
      <c r="A4" s="189" t="s">
        <v>1964</v>
      </c>
      <c r="B4" s="189"/>
      <c r="C4" s="189"/>
    </row>
    <row r="5" spans="1:3" x14ac:dyDescent="0.3">
      <c r="A5" s="187" t="s">
        <v>1965</v>
      </c>
      <c r="B5" s="187"/>
      <c r="C5" s="187"/>
    </row>
    <row r="6" spans="1:3" x14ac:dyDescent="0.3">
      <c r="A6" s="2"/>
      <c r="B6" s="2"/>
      <c r="C6" s="2"/>
    </row>
    <row r="7" spans="1:3" x14ac:dyDescent="0.3">
      <c r="A7" s="128" t="s">
        <v>1966</v>
      </c>
      <c r="B7" s="140"/>
      <c r="C7" s="2"/>
    </row>
    <row r="8" spans="1:3" ht="28.8" x14ac:dyDescent="0.3">
      <c r="A8" s="131" t="s">
        <v>1967</v>
      </c>
      <c r="B8" s="2" t="s">
        <v>1968</v>
      </c>
      <c r="C8" s="2"/>
    </row>
    <row r="9" spans="1:3" ht="28.8" x14ac:dyDescent="0.3">
      <c r="A9" s="131" t="s">
        <v>1969</v>
      </c>
      <c r="B9" s="2" t="s">
        <v>1970</v>
      </c>
      <c r="C9" s="2"/>
    </row>
    <row r="10" spans="1:3" ht="43.2" x14ac:dyDescent="0.3">
      <c r="A10" s="131" t="s">
        <v>1971</v>
      </c>
      <c r="B10" s="2" t="s">
        <v>1972</v>
      </c>
      <c r="C10" s="2"/>
    </row>
    <row r="11" spans="1:3" ht="43.2" x14ac:dyDescent="0.3">
      <c r="A11" s="131" t="s">
        <v>1973</v>
      </c>
      <c r="B11" s="2" t="s">
        <v>1974</v>
      </c>
      <c r="C11" s="2"/>
    </row>
    <row r="12" spans="1:3" ht="28.8" x14ac:dyDescent="0.3">
      <c r="A12" s="131" t="s">
        <v>1975</v>
      </c>
      <c r="B12" s="2" t="s">
        <v>1976</v>
      </c>
      <c r="C12" s="2"/>
    </row>
    <row r="13" spans="1:3" ht="43.2" x14ac:dyDescent="0.3">
      <c r="A13" s="131" t="s">
        <v>1977</v>
      </c>
      <c r="B13" s="2" t="s">
        <v>1978</v>
      </c>
      <c r="C13" s="2"/>
    </row>
    <row r="14" spans="1:3" ht="43.2" x14ac:dyDescent="0.3">
      <c r="A14" s="131" t="s">
        <v>1979</v>
      </c>
      <c r="B14" s="2" t="s">
        <v>1980</v>
      </c>
      <c r="C14" s="2"/>
    </row>
    <row r="15" spans="1:3" ht="28.8" x14ac:dyDescent="0.3">
      <c r="A15" s="131" t="s">
        <v>1981</v>
      </c>
      <c r="B15" s="2" t="s">
        <v>1982</v>
      </c>
      <c r="C15" s="2"/>
    </row>
    <row r="16" spans="1:3" x14ac:dyDescent="0.3">
      <c r="A16" s="2"/>
      <c r="B16" s="2"/>
      <c r="C16" s="2"/>
    </row>
    <row r="17" spans="1:3" x14ac:dyDescent="0.3">
      <c r="A17" s="128" t="s">
        <v>1983</v>
      </c>
      <c r="B17" s="128" t="s">
        <v>1984</v>
      </c>
      <c r="C17" s="128" t="s">
        <v>1985</v>
      </c>
    </row>
    <row r="18" spans="1:3" x14ac:dyDescent="0.3">
      <c r="A18" s="135" t="s">
        <v>1986</v>
      </c>
      <c r="B18" s="2" t="s">
        <v>1987</v>
      </c>
      <c r="C18" s="2" t="s">
        <v>1988</v>
      </c>
    </row>
    <row r="19" spans="1:3" x14ac:dyDescent="0.3">
      <c r="A19" s="135" t="s">
        <v>1989</v>
      </c>
      <c r="B19" s="2" t="s">
        <v>1990</v>
      </c>
      <c r="C19" s="2" t="s">
        <v>1991</v>
      </c>
    </row>
    <row r="20" spans="1:3" x14ac:dyDescent="0.3">
      <c r="A20" s="135" t="s">
        <v>1992</v>
      </c>
      <c r="B20" s="2" t="s">
        <v>1993</v>
      </c>
      <c r="C20" s="2" t="s">
        <v>1994</v>
      </c>
    </row>
    <row r="21" spans="1:3" x14ac:dyDescent="0.3">
      <c r="A21" s="135" t="s">
        <v>1995</v>
      </c>
      <c r="B21" s="2" t="s">
        <v>1996</v>
      </c>
      <c r="C21" s="2" t="s">
        <v>1997</v>
      </c>
    </row>
    <row r="22" spans="1:3" x14ac:dyDescent="0.3">
      <c r="A22" s="135" t="s">
        <v>1998</v>
      </c>
      <c r="B22" s="2" t="s">
        <v>1999</v>
      </c>
      <c r="C22" s="2" t="s">
        <v>2000</v>
      </c>
    </row>
    <row r="23" spans="1:3" x14ac:dyDescent="0.3">
      <c r="A23" s="135" t="s">
        <v>2001</v>
      </c>
      <c r="B23" s="2" t="s">
        <v>2002</v>
      </c>
      <c r="C23" s="2" t="s">
        <v>2003</v>
      </c>
    </row>
    <row r="24" spans="1:3" x14ac:dyDescent="0.3">
      <c r="A24" s="188" t="s">
        <v>2004</v>
      </c>
      <c r="B24" s="188"/>
      <c r="C24" s="188"/>
    </row>
    <row r="25" spans="1:3" x14ac:dyDescent="0.3">
      <c r="A25" s="2"/>
      <c r="B25" s="2"/>
      <c r="C25" s="2"/>
    </row>
    <row r="26" spans="1:3" ht="28.8" x14ac:dyDescent="0.3">
      <c r="A26" s="128" t="s">
        <v>2005</v>
      </c>
      <c r="B26" s="140"/>
      <c r="C26" s="2"/>
    </row>
    <row r="27" spans="1:3" x14ac:dyDescent="0.3">
      <c r="A27" s="133" t="s">
        <v>2006</v>
      </c>
      <c r="B27" s="2" t="s">
        <v>2007</v>
      </c>
      <c r="C27" s="2"/>
    </row>
    <row r="28" spans="1:3" x14ac:dyDescent="0.3">
      <c r="A28" s="127" t="s">
        <v>2008</v>
      </c>
      <c r="B28" s="2" t="s">
        <v>2009</v>
      </c>
      <c r="C28" s="2"/>
    </row>
    <row r="29" spans="1:3" ht="28.8" x14ac:dyDescent="0.3">
      <c r="A29" s="132" t="s">
        <v>2010</v>
      </c>
      <c r="B29" s="2" t="s">
        <v>2011</v>
      </c>
      <c r="C29" s="2"/>
    </row>
  </sheetData>
  <mergeCells count="5">
    <mergeCell ref="A1:C1"/>
    <mergeCell ref="A2:C2"/>
    <mergeCell ref="A5:C5"/>
    <mergeCell ref="A24:C24"/>
    <mergeCell ref="A4:C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4010C-0F23-4D98-9136-9F6B394733D0}">
  <dimension ref="A1:H610"/>
  <sheetViews>
    <sheetView workbookViewId="0">
      <pane ySplit="11" topLeftCell="A586" activePane="bottomLeft" state="frozen"/>
      <selection pane="bottomLeft" activeCell="I620" sqref="A12:I620"/>
    </sheetView>
  </sheetViews>
  <sheetFormatPr defaultRowHeight="14.4" x14ac:dyDescent="0.3"/>
  <cols>
    <col min="1" max="1" width="16.6640625" customWidth="1"/>
    <col min="2" max="2" width="18.5546875" customWidth="1"/>
    <col min="3" max="3" width="16.6640625" customWidth="1"/>
    <col min="4" max="5" width="38.88671875" customWidth="1"/>
    <col min="6" max="6" width="20.33203125" customWidth="1"/>
    <col min="7" max="8" width="61.109375" customWidth="1"/>
  </cols>
  <sheetData>
    <row r="1" spans="1:8" x14ac:dyDescent="0.3">
      <c r="A1" t="s">
        <v>2239</v>
      </c>
    </row>
    <row r="2" spans="1:8" x14ac:dyDescent="0.3">
      <c r="A2" t="s">
        <v>2240</v>
      </c>
      <c r="B2" t="s">
        <v>2241</v>
      </c>
    </row>
    <row r="3" spans="1:8" x14ac:dyDescent="0.3">
      <c r="A3" t="s">
        <v>2242</v>
      </c>
      <c r="B3" t="s">
        <v>2243</v>
      </c>
    </row>
    <row r="4" spans="1:8" x14ac:dyDescent="0.3">
      <c r="A4" t="s">
        <v>2244</v>
      </c>
      <c r="B4" t="s">
        <v>2245</v>
      </c>
    </row>
    <row r="5" spans="1:8" x14ac:dyDescent="0.3">
      <c r="A5" t="s">
        <v>2246</v>
      </c>
      <c r="B5" t="s">
        <v>2247</v>
      </c>
    </row>
    <row r="6" spans="1:8" x14ac:dyDescent="0.3">
      <c r="A6" t="s">
        <v>2248</v>
      </c>
      <c r="B6" t="s">
        <v>2249</v>
      </c>
    </row>
    <row r="7" spans="1:8" x14ac:dyDescent="0.3">
      <c r="A7" t="s">
        <v>2250</v>
      </c>
      <c r="B7" t="s">
        <v>2251</v>
      </c>
    </row>
    <row r="8" spans="1:8" x14ac:dyDescent="0.3">
      <c r="A8" t="s">
        <v>2252</v>
      </c>
      <c r="B8" t="s">
        <v>2253</v>
      </c>
    </row>
    <row r="9" spans="1:8" x14ac:dyDescent="0.3">
      <c r="A9" t="s">
        <v>2254</v>
      </c>
      <c r="B9" t="s">
        <v>2255</v>
      </c>
    </row>
    <row r="11" spans="1:8" x14ac:dyDescent="0.3">
      <c r="A11" s="125" t="s">
        <v>2256</v>
      </c>
      <c r="B11" s="125" t="s">
        <v>2257</v>
      </c>
      <c r="C11" s="125" t="s">
        <v>2258</v>
      </c>
      <c r="D11" s="125" t="s">
        <v>620</v>
      </c>
      <c r="E11" s="125" t="s">
        <v>2259</v>
      </c>
      <c r="F11" s="125" t="s">
        <v>2260</v>
      </c>
      <c r="G11" s="125" t="s">
        <v>2262</v>
      </c>
      <c r="H11" s="125" t="s">
        <v>2263</v>
      </c>
    </row>
    <row r="12" spans="1:8" ht="43.2" x14ac:dyDescent="0.3">
      <c r="A12" s="144" t="s">
        <v>337</v>
      </c>
      <c r="B12" s="144" t="s">
        <v>45</v>
      </c>
      <c r="C12" s="144" t="s">
        <v>2264</v>
      </c>
      <c r="D12" s="144" t="s">
        <v>337</v>
      </c>
      <c r="E12" s="144" t="s">
        <v>337</v>
      </c>
      <c r="F12" s="145" t="s">
        <v>2242</v>
      </c>
      <c r="G12" s="2" t="s">
        <v>2265</v>
      </c>
      <c r="H12" s="2" t="s">
        <v>2266</v>
      </c>
    </row>
    <row r="13" spans="1:8" ht="43.2" x14ac:dyDescent="0.3">
      <c r="A13" s="144" t="s">
        <v>337</v>
      </c>
      <c r="B13" s="144" t="s">
        <v>45</v>
      </c>
      <c r="C13" s="144" t="s">
        <v>2264</v>
      </c>
      <c r="D13" s="144" t="s">
        <v>428</v>
      </c>
      <c r="E13" s="144" t="s">
        <v>428</v>
      </c>
      <c r="F13" s="145" t="s">
        <v>2242</v>
      </c>
      <c r="G13" s="2" t="s">
        <v>2265</v>
      </c>
      <c r="H13" s="2" t="s">
        <v>2266</v>
      </c>
    </row>
    <row r="14" spans="1:8" ht="43.2" x14ac:dyDescent="0.3">
      <c r="A14" s="144" t="s">
        <v>337</v>
      </c>
      <c r="B14" s="144" t="s">
        <v>45</v>
      </c>
      <c r="C14" s="144" t="s">
        <v>2264</v>
      </c>
      <c r="D14" s="144" t="s">
        <v>868</v>
      </c>
      <c r="E14" s="144" t="s">
        <v>868</v>
      </c>
      <c r="F14" s="145" t="s">
        <v>2242</v>
      </c>
      <c r="G14" s="2" t="s">
        <v>2265</v>
      </c>
      <c r="H14" s="2" t="s">
        <v>2266</v>
      </c>
    </row>
    <row r="15" spans="1:8" ht="43.2" x14ac:dyDescent="0.3">
      <c r="A15" s="144" t="s">
        <v>337</v>
      </c>
      <c r="B15" s="144" t="s">
        <v>45</v>
      </c>
      <c r="C15" s="144" t="s">
        <v>2264</v>
      </c>
      <c r="D15" s="144" t="s">
        <v>2267</v>
      </c>
      <c r="E15" s="144" t="s">
        <v>2267</v>
      </c>
      <c r="F15" s="146" t="s">
        <v>2244</v>
      </c>
      <c r="G15" s="2" t="s">
        <v>2265</v>
      </c>
      <c r="H15" s="2" t="s">
        <v>2266</v>
      </c>
    </row>
    <row r="16" spans="1:8" ht="43.2" x14ac:dyDescent="0.3">
      <c r="A16" s="144" t="s">
        <v>337</v>
      </c>
      <c r="B16" s="144" t="s">
        <v>45</v>
      </c>
      <c r="C16" s="144" t="s">
        <v>2264</v>
      </c>
      <c r="D16" s="144" t="s">
        <v>2268</v>
      </c>
      <c r="E16" s="144" t="s">
        <v>2268</v>
      </c>
      <c r="F16" s="146" t="s">
        <v>2244</v>
      </c>
      <c r="G16" s="2" t="s">
        <v>2265</v>
      </c>
      <c r="H16" s="2" t="s">
        <v>2266</v>
      </c>
    </row>
    <row r="17" spans="1:8" ht="43.2" x14ac:dyDescent="0.3">
      <c r="A17" s="144" t="s">
        <v>337</v>
      </c>
      <c r="B17" s="144" t="s">
        <v>45</v>
      </c>
      <c r="C17" s="144" t="s">
        <v>2264</v>
      </c>
      <c r="D17" s="144" t="s">
        <v>711</v>
      </c>
      <c r="E17" s="144" t="s">
        <v>711</v>
      </c>
      <c r="F17" s="146" t="s">
        <v>2244</v>
      </c>
      <c r="G17" s="2" t="s">
        <v>2265</v>
      </c>
      <c r="H17" s="2" t="s">
        <v>2266</v>
      </c>
    </row>
    <row r="18" spans="1:8" ht="43.2" x14ac:dyDescent="0.3">
      <c r="A18" s="144" t="s">
        <v>337</v>
      </c>
      <c r="B18" s="144" t="s">
        <v>45</v>
      </c>
      <c r="C18" s="144" t="s">
        <v>2264</v>
      </c>
      <c r="D18" s="144" t="s">
        <v>712</v>
      </c>
      <c r="E18" s="144" t="s">
        <v>712</v>
      </c>
      <c r="F18" s="146" t="s">
        <v>2244</v>
      </c>
      <c r="G18" s="2" t="s">
        <v>2265</v>
      </c>
      <c r="H18" s="2" t="s">
        <v>2266</v>
      </c>
    </row>
    <row r="19" spans="1:8" ht="43.2" x14ac:dyDescent="0.3">
      <c r="A19" s="144" t="s">
        <v>337</v>
      </c>
      <c r="B19" s="144" t="s">
        <v>45</v>
      </c>
      <c r="C19" s="144" t="s">
        <v>2264</v>
      </c>
      <c r="D19" s="144" t="s">
        <v>693</v>
      </c>
      <c r="E19" s="144" t="s">
        <v>693</v>
      </c>
      <c r="F19" s="146" t="s">
        <v>2244</v>
      </c>
      <c r="G19" s="2" t="s">
        <v>2265</v>
      </c>
      <c r="H19" s="2" t="s">
        <v>2266</v>
      </c>
    </row>
    <row r="20" spans="1:8" ht="43.2" x14ac:dyDescent="0.3">
      <c r="A20" s="144" t="s">
        <v>337</v>
      </c>
      <c r="B20" s="144" t="s">
        <v>45</v>
      </c>
      <c r="C20" s="144" t="s">
        <v>2264</v>
      </c>
      <c r="D20" s="144" t="s">
        <v>2269</v>
      </c>
      <c r="E20" s="144" t="s">
        <v>2269</v>
      </c>
      <c r="F20" s="146" t="s">
        <v>2244</v>
      </c>
      <c r="G20" s="2" t="s">
        <v>2265</v>
      </c>
      <c r="H20" s="2" t="s">
        <v>2266</v>
      </c>
    </row>
    <row r="21" spans="1:8" ht="43.2" x14ac:dyDescent="0.3">
      <c r="A21" s="144" t="s">
        <v>337</v>
      </c>
      <c r="B21" s="144" t="s">
        <v>45</v>
      </c>
      <c r="C21" s="144" t="s">
        <v>2264</v>
      </c>
      <c r="D21" s="144" t="s">
        <v>2270</v>
      </c>
      <c r="E21" s="144" t="s">
        <v>2270</v>
      </c>
      <c r="F21" s="146" t="s">
        <v>2244</v>
      </c>
      <c r="G21" s="2" t="s">
        <v>2265</v>
      </c>
      <c r="H21" s="2" t="s">
        <v>2266</v>
      </c>
    </row>
    <row r="22" spans="1:8" ht="43.2" x14ac:dyDescent="0.3">
      <c r="A22" s="144" t="s">
        <v>337</v>
      </c>
      <c r="B22" s="144" t="s">
        <v>45</v>
      </c>
      <c r="C22" s="144" t="s">
        <v>2264</v>
      </c>
      <c r="D22" s="144" t="s">
        <v>2271</v>
      </c>
      <c r="E22" s="144" t="s">
        <v>2271</v>
      </c>
      <c r="F22" s="146" t="s">
        <v>2244</v>
      </c>
      <c r="G22" s="2" t="s">
        <v>2265</v>
      </c>
      <c r="H22" s="2" t="s">
        <v>2266</v>
      </c>
    </row>
    <row r="23" spans="1:8" ht="43.2" x14ac:dyDescent="0.3">
      <c r="A23" s="144" t="s">
        <v>337</v>
      </c>
      <c r="B23" s="144" t="s">
        <v>45</v>
      </c>
      <c r="C23" s="144" t="s">
        <v>2264</v>
      </c>
      <c r="D23" s="144" t="s">
        <v>1584</v>
      </c>
      <c r="E23" s="144" t="s">
        <v>1584</v>
      </c>
      <c r="F23" s="146" t="s">
        <v>2244</v>
      </c>
      <c r="G23" s="2" t="s">
        <v>2265</v>
      </c>
      <c r="H23" s="2" t="s">
        <v>2266</v>
      </c>
    </row>
    <row r="24" spans="1:8" ht="43.2" x14ac:dyDescent="0.3">
      <c r="A24" s="144" t="s">
        <v>337</v>
      </c>
      <c r="B24" s="144" t="s">
        <v>45</v>
      </c>
      <c r="C24" s="144" t="s">
        <v>2264</v>
      </c>
      <c r="D24" s="144" t="s">
        <v>2272</v>
      </c>
      <c r="E24" s="144" t="s">
        <v>2272</v>
      </c>
      <c r="F24" s="146" t="s">
        <v>2244</v>
      </c>
      <c r="G24" s="2" t="s">
        <v>2265</v>
      </c>
      <c r="H24" s="2" t="s">
        <v>2266</v>
      </c>
    </row>
    <row r="25" spans="1:8" ht="43.2" x14ac:dyDescent="0.3">
      <c r="A25" s="144" t="s">
        <v>337</v>
      </c>
      <c r="B25" s="144" t="s">
        <v>45</v>
      </c>
      <c r="C25" s="144" t="s">
        <v>2264</v>
      </c>
      <c r="D25" s="144" t="s">
        <v>2273</v>
      </c>
      <c r="E25" s="144" t="s">
        <v>2273</v>
      </c>
      <c r="F25" s="146" t="s">
        <v>2244</v>
      </c>
      <c r="G25" s="2" t="s">
        <v>2265</v>
      </c>
      <c r="H25" s="2" t="s">
        <v>2266</v>
      </c>
    </row>
    <row r="26" spans="1:8" ht="43.2" x14ac:dyDescent="0.3">
      <c r="A26" s="144" t="s">
        <v>337</v>
      </c>
      <c r="B26" s="144" t="s">
        <v>45</v>
      </c>
      <c r="C26" s="144" t="s">
        <v>2264</v>
      </c>
      <c r="D26" s="144" t="s">
        <v>2274</v>
      </c>
      <c r="E26" s="144" t="s">
        <v>2274</v>
      </c>
      <c r="F26" s="147" t="s">
        <v>2246</v>
      </c>
      <c r="G26" s="2" t="s">
        <v>2265</v>
      </c>
      <c r="H26" s="2" t="s">
        <v>2266</v>
      </c>
    </row>
    <row r="27" spans="1:8" ht="43.2" x14ac:dyDescent="0.3">
      <c r="A27" s="144" t="s">
        <v>337</v>
      </c>
      <c r="B27" s="144" t="s">
        <v>45</v>
      </c>
      <c r="C27" s="144" t="s">
        <v>2264</v>
      </c>
      <c r="D27" s="144" t="s">
        <v>2275</v>
      </c>
      <c r="E27" s="144" t="s">
        <v>2275</v>
      </c>
      <c r="F27" s="147" t="s">
        <v>2246</v>
      </c>
      <c r="G27" s="2" t="s">
        <v>2265</v>
      </c>
      <c r="H27" s="2" t="s">
        <v>2266</v>
      </c>
    </row>
    <row r="28" spans="1:8" ht="43.2" x14ac:dyDescent="0.3">
      <c r="A28" s="144" t="s">
        <v>337</v>
      </c>
      <c r="B28" s="144" t="s">
        <v>45</v>
      </c>
      <c r="C28" s="144" t="s">
        <v>2264</v>
      </c>
      <c r="D28" s="144" t="s">
        <v>2276</v>
      </c>
      <c r="E28" s="144" t="s">
        <v>2276</v>
      </c>
      <c r="F28" s="147" t="s">
        <v>2246</v>
      </c>
      <c r="G28" s="2" t="s">
        <v>2265</v>
      </c>
      <c r="H28" s="2" t="s">
        <v>2266</v>
      </c>
    </row>
    <row r="29" spans="1:8" ht="43.2" x14ac:dyDescent="0.3">
      <c r="A29" s="144" t="s">
        <v>337</v>
      </c>
      <c r="B29" s="144" t="s">
        <v>45</v>
      </c>
      <c r="C29" s="144" t="s">
        <v>2264</v>
      </c>
      <c r="D29" s="144" t="s">
        <v>2277</v>
      </c>
      <c r="E29" s="144" t="s">
        <v>2277</v>
      </c>
      <c r="F29" s="147" t="s">
        <v>2246</v>
      </c>
      <c r="G29" s="2" t="s">
        <v>2265</v>
      </c>
      <c r="H29" s="2" t="s">
        <v>2266</v>
      </c>
    </row>
    <row r="30" spans="1:8" ht="43.2" x14ac:dyDescent="0.3">
      <c r="A30" s="144" t="s">
        <v>337</v>
      </c>
      <c r="B30" s="144" t="s">
        <v>45</v>
      </c>
      <c r="C30" s="144" t="s">
        <v>2264</v>
      </c>
      <c r="D30" s="144" t="s">
        <v>1554</v>
      </c>
      <c r="E30" s="144" t="s">
        <v>1554</v>
      </c>
      <c r="F30" s="147" t="s">
        <v>2246</v>
      </c>
      <c r="G30" s="2" t="s">
        <v>2265</v>
      </c>
      <c r="H30" s="2" t="s">
        <v>2266</v>
      </c>
    </row>
    <row r="31" spans="1:8" ht="43.2" x14ac:dyDescent="0.3">
      <c r="A31" s="144" t="s">
        <v>337</v>
      </c>
      <c r="B31" s="144" t="s">
        <v>45</v>
      </c>
      <c r="C31" s="144" t="s">
        <v>2264</v>
      </c>
      <c r="D31" s="144" t="s">
        <v>2278</v>
      </c>
      <c r="E31" s="144" t="s">
        <v>2278</v>
      </c>
      <c r="F31" s="147" t="s">
        <v>2246</v>
      </c>
      <c r="G31" s="2" t="s">
        <v>2265</v>
      </c>
      <c r="H31" s="2" t="s">
        <v>2266</v>
      </c>
    </row>
    <row r="32" spans="1:8" ht="43.2" x14ac:dyDescent="0.3">
      <c r="A32" s="144" t="s">
        <v>337</v>
      </c>
      <c r="B32" s="144" t="s">
        <v>45</v>
      </c>
      <c r="C32" s="144" t="s">
        <v>2264</v>
      </c>
      <c r="D32" s="144" t="s">
        <v>2279</v>
      </c>
      <c r="E32" s="144" t="s">
        <v>2279</v>
      </c>
      <c r="F32" s="147" t="s">
        <v>2246</v>
      </c>
      <c r="G32" s="2" t="s">
        <v>2265</v>
      </c>
      <c r="H32" s="2" t="s">
        <v>2266</v>
      </c>
    </row>
    <row r="33" spans="1:8" ht="43.2" x14ac:dyDescent="0.3">
      <c r="A33" s="144" t="s">
        <v>337</v>
      </c>
      <c r="B33" s="144" t="s">
        <v>45</v>
      </c>
      <c r="C33" s="144" t="s">
        <v>2264</v>
      </c>
      <c r="D33" s="144" t="s">
        <v>2280</v>
      </c>
      <c r="E33" s="144" t="s">
        <v>2280</v>
      </c>
      <c r="F33" s="147" t="s">
        <v>2246</v>
      </c>
      <c r="G33" s="2" t="s">
        <v>2265</v>
      </c>
      <c r="H33" s="2" t="s">
        <v>2266</v>
      </c>
    </row>
    <row r="34" spans="1:8" ht="43.2" x14ac:dyDescent="0.3">
      <c r="A34" s="144" t="s">
        <v>337</v>
      </c>
      <c r="B34" s="144" t="s">
        <v>45</v>
      </c>
      <c r="C34" s="144" t="s">
        <v>2264</v>
      </c>
      <c r="D34" s="144" t="s">
        <v>2281</v>
      </c>
      <c r="E34" s="144" t="s">
        <v>2281</v>
      </c>
      <c r="F34" s="147" t="s">
        <v>2246</v>
      </c>
      <c r="G34" s="2" t="s">
        <v>2265</v>
      </c>
      <c r="H34" s="2" t="s">
        <v>2266</v>
      </c>
    </row>
    <row r="35" spans="1:8" ht="43.2" x14ac:dyDescent="0.3">
      <c r="A35" s="144" t="s">
        <v>337</v>
      </c>
      <c r="B35" s="144" t="s">
        <v>45</v>
      </c>
      <c r="C35" s="144" t="s">
        <v>2264</v>
      </c>
      <c r="D35" s="144" t="s">
        <v>2282</v>
      </c>
      <c r="E35" s="144" t="s">
        <v>2282</v>
      </c>
      <c r="F35" s="147" t="s">
        <v>2246</v>
      </c>
      <c r="G35" s="2" t="s">
        <v>2265</v>
      </c>
      <c r="H35" s="2" t="s">
        <v>2266</v>
      </c>
    </row>
    <row r="36" spans="1:8" ht="43.2" x14ac:dyDescent="0.3">
      <c r="A36" s="144" t="s">
        <v>337</v>
      </c>
      <c r="B36" s="144" t="s">
        <v>45</v>
      </c>
      <c r="C36" s="144" t="s">
        <v>2264</v>
      </c>
      <c r="D36" s="144" t="s">
        <v>2283</v>
      </c>
      <c r="E36" s="144" t="s">
        <v>2283</v>
      </c>
      <c r="F36" s="147" t="s">
        <v>2246</v>
      </c>
      <c r="G36" s="2" t="s">
        <v>2265</v>
      </c>
      <c r="H36" s="2" t="s">
        <v>2266</v>
      </c>
    </row>
    <row r="37" spans="1:8" ht="43.2" x14ac:dyDescent="0.3">
      <c r="A37" s="144" t="s">
        <v>337</v>
      </c>
      <c r="B37" s="144" t="s">
        <v>45</v>
      </c>
      <c r="C37" s="144" t="s">
        <v>2264</v>
      </c>
      <c r="D37" s="144" t="s">
        <v>2284</v>
      </c>
      <c r="E37" s="144" t="s">
        <v>2284</v>
      </c>
      <c r="F37" s="147" t="s">
        <v>2246</v>
      </c>
      <c r="G37" s="2" t="s">
        <v>2265</v>
      </c>
      <c r="H37" s="2" t="s">
        <v>2266</v>
      </c>
    </row>
    <row r="38" spans="1:8" ht="43.2" x14ac:dyDescent="0.3">
      <c r="A38" s="144" t="s">
        <v>337</v>
      </c>
      <c r="B38" s="144" t="s">
        <v>45</v>
      </c>
      <c r="C38" s="144" t="s">
        <v>2264</v>
      </c>
      <c r="D38" s="144" t="s">
        <v>2285</v>
      </c>
      <c r="E38" s="144" t="s">
        <v>2285</v>
      </c>
      <c r="F38" s="147" t="s">
        <v>2246</v>
      </c>
      <c r="G38" s="2" t="s">
        <v>2265</v>
      </c>
      <c r="H38" s="2" t="s">
        <v>2266</v>
      </c>
    </row>
    <row r="39" spans="1:8" ht="43.2" x14ac:dyDescent="0.3">
      <c r="A39" s="144" t="s">
        <v>337</v>
      </c>
      <c r="B39" s="144" t="s">
        <v>45</v>
      </c>
      <c r="C39" s="144" t="s">
        <v>2264</v>
      </c>
      <c r="D39" s="144" t="s">
        <v>2286</v>
      </c>
      <c r="E39" s="144" t="s">
        <v>2286</v>
      </c>
      <c r="F39" s="147" t="s">
        <v>2246</v>
      </c>
      <c r="G39" s="2" t="s">
        <v>2265</v>
      </c>
      <c r="H39" s="2" t="s">
        <v>2266</v>
      </c>
    </row>
    <row r="40" spans="1:8" ht="43.2" x14ac:dyDescent="0.3">
      <c r="A40" s="144" t="s">
        <v>337</v>
      </c>
      <c r="B40" s="144" t="s">
        <v>45</v>
      </c>
      <c r="C40" s="144" t="s">
        <v>2264</v>
      </c>
      <c r="D40" s="144" t="s">
        <v>2287</v>
      </c>
      <c r="E40" s="144" t="s">
        <v>2287</v>
      </c>
      <c r="F40" s="147" t="s">
        <v>2246</v>
      </c>
      <c r="G40" s="2" t="s">
        <v>2265</v>
      </c>
      <c r="H40" s="2" t="s">
        <v>2266</v>
      </c>
    </row>
    <row r="41" spans="1:8" ht="43.2" x14ac:dyDescent="0.3">
      <c r="A41" s="144" t="s">
        <v>337</v>
      </c>
      <c r="B41" s="144" t="s">
        <v>45</v>
      </c>
      <c r="C41" s="144" t="s">
        <v>2264</v>
      </c>
      <c r="D41" s="144" t="s">
        <v>2288</v>
      </c>
      <c r="E41" s="144" t="s">
        <v>2288</v>
      </c>
      <c r="F41" s="147" t="s">
        <v>2246</v>
      </c>
      <c r="G41" s="2" t="s">
        <v>2265</v>
      </c>
      <c r="H41" s="2" t="s">
        <v>2266</v>
      </c>
    </row>
    <row r="42" spans="1:8" ht="43.2" x14ac:dyDescent="0.3">
      <c r="A42" s="144" t="s">
        <v>337</v>
      </c>
      <c r="B42" s="144" t="s">
        <v>45</v>
      </c>
      <c r="C42" s="144" t="s">
        <v>2264</v>
      </c>
      <c r="D42" s="144" t="s">
        <v>2289</v>
      </c>
      <c r="E42" s="144" t="s">
        <v>2289</v>
      </c>
      <c r="F42" s="148" t="s">
        <v>2248</v>
      </c>
      <c r="G42" s="2" t="s">
        <v>2265</v>
      </c>
      <c r="H42" s="2" t="s">
        <v>2266</v>
      </c>
    </row>
    <row r="43" spans="1:8" ht="43.2" x14ac:dyDescent="0.3">
      <c r="A43" s="144" t="s">
        <v>337</v>
      </c>
      <c r="B43" s="144" t="s">
        <v>45</v>
      </c>
      <c r="C43" s="144" t="s">
        <v>2264</v>
      </c>
      <c r="D43" s="144" t="s">
        <v>2290</v>
      </c>
      <c r="E43" s="144" t="s">
        <v>2290</v>
      </c>
      <c r="F43" s="148" t="s">
        <v>2248</v>
      </c>
      <c r="G43" s="2" t="s">
        <v>2265</v>
      </c>
      <c r="H43" s="2" t="s">
        <v>2266</v>
      </c>
    </row>
    <row r="44" spans="1:8" ht="43.2" x14ac:dyDescent="0.3">
      <c r="A44" s="144" t="s">
        <v>337</v>
      </c>
      <c r="B44" s="144" t="s">
        <v>45</v>
      </c>
      <c r="C44" s="144" t="s">
        <v>2264</v>
      </c>
      <c r="D44" s="144" t="s">
        <v>739</v>
      </c>
      <c r="E44" s="144" t="s">
        <v>739</v>
      </c>
      <c r="F44" s="148" t="s">
        <v>2248</v>
      </c>
      <c r="G44" s="2" t="s">
        <v>2265</v>
      </c>
      <c r="H44" s="2" t="s">
        <v>2266</v>
      </c>
    </row>
    <row r="45" spans="1:8" ht="43.2" x14ac:dyDescent="0.3">
      <c r="A45" s="144" t="s">
        <v>337</v>
      </c>
      <c r="B45" s="144" t="s">
        <v>45</v>
      </c>
      <c r="C45" s="144" t="s">
        <v>2264</v>
      </c>
      <c r="D45" s="144" t="s">
        <v>2291</v>
      </c>
      <c r="E45" s="144" t="s">
        <v>2291</v>
      </c>
      <c r="F45" s="148" t="s">
        <v>2248</v>
      </c>
      <c r="G45" s="2" t="s">
        <v>2265</v>
      </c>
      <c r="H45" s="2" t="s">
        <v>2266</v>
      </c>
    </row>
    <row r="46" spans="1:8" ht="43.2" x14ac:dyDescent="0.3">
      <c r="A46" s="144" t="s">
        <v>337</v>
      </c>
      <c r="B46" s="144" t="s">
        <v>45</v>
      </c>
      <c r="C46" s="144" t="s">
        <v>2264</v>
      </c>
      <c r="D46" s="144" t="s">
        <v>627</v>
      </c>
      <c r="E46" s="144" t="s">
        <v>627</v>
      </c>
      <c r="F46" s="148" t="s">
        <v>2248</v>
      </c>
      <c r="G46" s="2" t="s">
        <v>2265</v>
      </c>
      <c r="H46" s="2" t="s">
        <v>2266</v>
      </c>
    </row>
    <row r="47" spans="1:8" ht="43.2" x14ac:dyDescent="0.3">
      <c r="A47" s="144" t="s">
        <v>337</v>
      </c>
      <c r="B47" s="144" t="s">
        <v>45</v>
      </c>
      <c r="C47" s="144" t="s">
        <v>2264</v>
      </c>
      <c r="D47" s="144" t="s">
        <v>2292</v>
      </c>
      <c r="E47" s="144" t="s">
        <v>2292</v>
      </c>
      <c r="F47" s="148" t="s">
        <v>2248</v>
      </c>
      <c r="G47" s="2" t="s">
        <v>2265</v>
      </c>
      <c r="H47" s="2" t="s">
        <v>2266</v>
      </c>
    </row>
    <row r="48" spans="1:8" ht="43.2" x14ac:dyDescent="0.3">
      <c r="A48" s="144" t="s">
        <v>337</v>
      </c>
      <c r="B48" s="144" t="s">
        <v>45</v>
      </c>
      <c r="C48" s="144" t="s">
        <v>2264</v>
      </c>
      <c r="D48" s="144" t="s">
        <v>2293</v>
      </c>
      <c r="E48" s="144" t="s">
        <v>2293</v>
      </c>
      <c r="F48" s="148" t="s">
        <v>2248</v>
      </c>
      <c r="G48" s="2" t="s">
        <v>2265</v>
      </c>
      <c r="H48" s="2" t="s">
        <v>2266</v>
      </c>
    </row>
    <row r="49" spans="1:8" ht="43.2" x14ac:dyDescent="0.3">
      <c r="A49" s="144" t="s">
        <v>337</v>
      </c>
      <c r="B49" s="144" t="s">
        <v>45</v>
      </c>
      <c r="C49" s="144" t="s">
        <v>2264</v>
      </c>
      <c r="D49" s="144" t="s">
        <v>2294</v>
      </c>
      <c r="E49" s="144" t="s">
        <v>2294</v>
      </c>
      <c r="F49" s="148" t="s">
        <v>2248</v>
      </c>
      <c r="G49" s="2" t="s">
        <v>2265</v>
      </c>
      <c r="H49" s="2" t="s">
        <v>2266</v>
      </c>
    </row>
    <row r="50" spans="1:8" ht="43.2" x14ac:dyDescent="0.3">
      <c r="A50" s="144" t="s">
        <v>337</v>
      </c>
      <c r="B50" s="144" t="s">
        <v>45</v>
      </c>
      <c r="C50" s="144" t="s">
        <v>2264</v>
      </c>
      <c r="D50" s="144" t="s">
        <v>2295</v>
      </c>
      <c r="E50" s="144" t="s">
        <v>2295</v>
      </c>
      <c r="F50" s="148" t="s">
        <v>2248</v>
      </c>
      <c r="G50" s="2" t="s">
        <v>2265</v>
      </c>
      <c r="H50" s="2" t="s">
        <v>2266</v>
      </c>
    </row>
    <row r="51" spans="1:8" ht="43.2" x14ac:dyDescent="0.3">
      <c r="A51" s="144" t="s">
        <v>337</v>
      </c>
      <c r="B51" s="144" t="s">
        <v>45</v>
      </c>
      <c r="C51" s="144" t="s">
        <v>2264</v>
      </c>
      <c r="D51" s="144" t="s">
        <v>2296</v>
      </c>
      <c r="E51" s="144" t="s">
        <v>2296</v>
      </c>
      <c r="F51" s="148" t="s">
        <v>2248</v>
      </c>
      <c r="G51" s="2" t="s">
        <v>2265</v>
      </c>
      <c r="H51" s="2" t="s">
        <v>2266</v>
      </c>
    </row>
    <row r="52" spans="1:8" ht="43.2" x14ac:dyDescent="0.3">
      <c r="A52" s="144" t="s">
        <v>337</v>
      </c>
      <c r="B52" s="144" t="s">
        <v>45</v>
      </c>
      <c r="C52" s="144" t="s">
        <v>2264</v>
      </c>
      <c r="D52" s="144" t="s">
        <v>2297</v>
      </c>
      <c r="E52" s="144" t="s">
        <v>2297</v>
      </c>
      <c r="F52" s="149" t="s">
        <v>2250</v>
      </c>
      <c r="G52" s="2" t="s">
        <v>2265</v>
      </c>
      <c r="H52" s="2" t="s">
        <v>2266</v>
      </c>
    </row>
    <row r="53" spans="1:8" ht="43.2" x14ac:dyDescent="0.3">
      <c r="A53" s="144" t="s">
        <v>337</v>
      </c>
      <c r="B53" s="144" t="s">
        <v>45</v>
      </c>
      <c r="C53" s="144" t="s">
        <v>2264</v>
      </c>
      <c r="D53" s="144" t="s">
        <v>2298</v>
      </c>
      <c r="E53" s="144" t="s">
        <v>2298</v>
      </c>
      <c r="F53" s="149" t="s">
        <v>2250</v>
      </c>
      <c r="G53" s="2" t="s">
        <v>2265</v>
      </c>
      <c r="H53" s="2" t="s">
        <v>2266</v>
      </c>
    </row>
    <row r="54" spans="1:8" ht="43.2" x14ac:dyDescent="0.3">
      <c r="A54" s="144" t="s">
        <v>337</v>
      </c>
      <c r="B54" s="144" t="s">
        <v>45</v>
      </c>
      <c r="C54" s="144" t="s">
        <v>2264</v>
      </c>
      <c r="D54" s="144" t="s">
        <v>2299</v>
      </c>
      <c r="E54" s="144" t="s">
        <v>2299</v>
      </c>
      <c r="F54" s="149" t="s">
        <v>2250</v>
      </c>
      <c r="G54" s="2" t="s">
        <v>2265</v>
      </c>
      <c r="H54" s="2" t="s">
        <v>2266</v>
      </c>
    </row>
    <row r="55" spans="1:8" ht="43.2" x14ac:dyDescent="0.3">
      <c r="A55" s="144" t="s">
        <v>337</v>
      </c>
      <c r="B55" s="144" t="s">
        <v>45</v>
      </c>
      <c r="C55" s="144" t="s">
        <v>2264</v>
      </c>
      <c r="D55" s="144" t="s">
        <v>2300</v>
      </c>
      <c r="E55" s="144" t="s">
        <v>2300</v>
      </c>
      <c r="F55" s="149" t="s">
        <v>2250</v>
      </c>
      <c r="G55" s="2" t="s">
        <v>2265</v>
      </c>
      <c r="H55" s="2" t="s">
        <v>2266</v>
      </c>
    </row>
    <row r="56" spans="1:8" ht="43.2" x14ac:dyDescent="0.3">
      <c r="A56" s="144" t="s">
        <v>337</v>
      </c>
      <c r="B56" s="144" t="s">
        <v>45</v>
      </c>
      <c r="C56" s="144" t="s">
        <v>2264</v>
      </c>
      <c r="D56" s="144" t="s">
        <v>2301</v>
      </c>
      <c r="E56" s="144" t="s">
        <v>2301</v>
      </c>
      <c r="F56" s="149" t="s">
        <v>2250</v>
      </c>
      <c r="G56" s="2" t="s">
        <v>2265</v>
      </c>
      <c r="H56" s="2" t="s">
        <v>2266</v>
      </c>
    </row>
    <row r="57" spans="1:8" ht="43.2" x14ac:dyDescent="0.3">
      <c r="A57" s="144" t="s">
        <v>337</v>
      </c>
      <c r="B57" s="144" t="s">
        <v>45</v>
      </c>
      <c r="C57" s="144" t="s">
        <v>2264</v>
      </c>
      <c r="D57" s="144" t="s">
        <v>2302</v>
      </c>
      <c r="E57" s="144" t="s">
        <v>2302</v>
      </c>
      <c r="F57" s="149" t="s">
        <v>2250</v>
      </c>
      <c r="G57" s="2" t="s">
        <v>2265</v>
      </c>
      <c r="H57" s="2" t="s">
        <v>2266</v>
      </c>
    </row>
    <row r="58" spans="1:8" ht="43.2" x14ac:dyDescent="0.3">
      <c r="A58" s="144" t="s">
        <v>337</v>
      </c>
      <c r="B58" s="144" t="s">
        <v>45</v>
      </c>
      <c r="C58" s="144" t="s">
        <v>2264</v>
      </c>
      <c r="D58" s="144" t="s">
        <v>1592</v>
      </c>
      <c r="E58" s="144" t="s">
        <v>1592</v>
      </c>
      <c r="F58" s="149" t="s">
        <v>2250</v>
      </c>
      <c r="G58" s="2" t="s">
        <v>2265</v>
      </c>
      <c r="H58" s="2" t="s">
        <v>2266</v>
      </c>
    </row>
    <row r="59" spans="1:8" ht="43.2" x14ac:dyDescent="0.3">
      <c r="A59" s="144" t="s">
        <v>337</v>
      </c>
      <c r="B59" s="144" t="s">
        <v>45</v>
      </c>
      <c r="C59" s="144" t="s">
        <v>2264</v>
      </c>
      <c r="D59" s="144" t="s">
        <v>1049</v>
      </c>
      <c r="E59" s="144" t="s">
        <v>1049</v>
      </c>
      <c r="F59" s="149" t="s">
        <v>2250</v>
      </c>
      <c r="G59" s="2" t="s">
        <v>2265</v>
      </c>
      <c r="H59" s="2" t="s">
        <v>2266</v>
      </c>
    </row>
    <row r="60" spans="1:8" ht="43.2" x14ac:dyDescent="0.3">
      <c r="A60" s="144" t="s">
        <v>337</v>
      </c>
      <c r="B60" s="144" t="s">
        <v>45</v>
      </c>
      <c r="C60" s="144" t="s">
        <v>2264</v>
      </c>
      <c r="D60" s="144" t="s">
        <v>2303</v>
      </c>
      <c r="E60" s="144" t="s">
        <v>2303</v>
      </c>
      <c r="F60" s="149" t="s">
        <v>2250</v>
      </c>
      <c r="G60" s="2" t="s">
        <v>2265</v>
      </c>
      <c r="H60" s="2" t="s">
        <v>2266</v>
      </c>
    </row>
    <row r="61" spans="1:8" ht="43.2" x14ac:dyDescent="0.3">
      <c r="A61" s="144" t="s">
        <v>337</v>
      </c>
      <c r="B61" s="144" t="s">
        <v>45</v>
      </c>
      <c r="C61" s="144" t="s">
        <v>2264</v>
      </c>
      <c r="D61" s="144" t="s">
        <v>878</v>
      </c>
      <c r="E61" s="144" t="s">
        <v>878</v>
      </c>
      <c r="F61" s="150" t="s">
        <v>2252</v>
      </c>
      <c r="G61" s="2" t="s">
        <v>2265</v>
      </c>
      <c r="H61" s="2" t="s">
        <v>2266</v>
      </c>
    </row>
    <row r="62" spans="1:8" ht="43.2" x14ac:dyDescent="0.3">
      <c r="A62" s="144" t="s">
        <v>337</v>
      </c>
      <c r="B62" s="144" t="s">
        <v>45</v>
      </c>
      <c r="C62" s="144" t="s">
        <v>2264</v>
      </c>
      <c r="D62" s="144" t="s">
        <v>875</v>
      </c>
      <c r="E62" s="144" t="s">
        <v>875</v>
      </c>
      <c r="F62" s="150" t="s">
        <v>2252</v>
      </c>
      <c r="G62" s="2" t="s">
        <v>2265</v>
      </c>
      <c r="H62" s="2" t="s">
        <v>2266</v>
      </c>
    </row>
    <row r="63" spans="1:8" ht="43.2" x14ac:dyDescent="0.3">
      <c r="A63" s="144" t="s">
        <v>337</v>
      </c>
      <c r="B63" s="144" t="s">
        <v>45</v>
      </c>
      <c r="C63" s="144" t="s">
        <v>2264</v>
      </c>
      <c r="D63" s="144" t="s">
        <v>883</v>
      </c>
      <c r="E63" s="144" t="s">
        <v>883</v>
      </c>
      <c r="F63" s="150" t="s">
        <v>2252</v>
      </c>
      <c r="G63" s="2" t="s">
        <v>2265</v>
      </c>
      <c r="H63" s="2" t="s">
        <v>2266</v>
      </c>
    </row>
    <row r="64" spans="1:8" ht="43.2" x14ac:dyDescent="0.3">
      <c r="A64" s="144" t="s">
        <v>337</v>
      </c>
      <c r="B64" s="144" t="s">
        <v>45</v>
      </c>
      <c r="C64" s="144" t="s">
        <v>2264</v>
      </c>
      <c r="D64" s="144" t="s">
        <v>877</v>
      </c>
      <c r="E64" s="144" t="s">
        <v>877</v>
      </c>
      <c r="F64" s="150" t="s">
        <v>2252</v>
      </c>
      <c r="G64" s="2" t="s">
        <v>2265</v>
      </c>
      <c r="H64" s="2" t="s">
        <v>2266</v>
      </c>
    </row>
    <row r="65" spans="1:8" ht="43.2" x14ac:dyDescent="0.3">
      <c r="A65" s="144" t="s">
        <v>337</v>
      </c>
      <c r="B65" s="144" t="s">
        <v>45</v>
      </c>
      <c r="C65" s="144" t="s">
        <v>2264</v>
      </c>
      <c r="D65" s="144" t="s">
        <v>876</v>
      </c>
      <c r="E65" s="144" t="s">
        <v>876</v>
      </c>
      <c r="F65" s="150" t="s">
        <v>2252</v>
      </c>
      <c r="G65" s="2" t="s">
        <v>2265</v>
      </c>
      <c r="H65" s="2" t="s">
        <v>2266</v>
      </c>
    </row>
    <row r="66" spans="1:8" ht="43.2" x14ac:dyDescent="0.3">
      <c r="A66" s="144" t="s">
        <v>337</v>
      </c>
      <c r="B66" s="144" t="s">
        <v>45</v>
      </c>
      <c r="C66" s="144" t="s">
        <v>2264</v>
      </c>
      <c r="D66" s="144" t="s">
        <v>2304</v>
      </c>
      <c r="E66" s="144" t="s">
        <v>2304</v>
      </c>
      <c r="F66" s="150" t="s">
        <v>2252</v>
      </c>
      <c r="G66" s="2" t="s">
        <v>2265</v>
      </c>
      <c r="H66" s="2" t="s">
        <v>2266</v>
      </c>
    </row>
    <row r="67" spans="1:8" ht="43.2" x14ac:dyDescent="0.3">
      <c r="A67" s="144" t="s">
        <v>337</v>
      </c>
      <c r="B67" s="144" t="s">
        <v>45</v>
      </c>
      <c r="C67" s="144" t="s">
        <v>2264</v>
      </c>
      <c r="D67" s="144" t="s">
        <v>2305</v>
      </c>
      <c r="E67" s="144" t="s">
        <v>2305</v>
      </c>
      <c r="F67" s="150" t="s">
        <v>2252</v>
      </c>
      <c r="G67" s="2" t="s">
        <v>2265</v>
      </c>
      <c r="H67" s="2" t="s">
        <v>2266</v>
      </c>
    </row>
    <row r="68" spans="1:8" ht="43.2" x14ac:dyDescent="0.3">
      <c r="A68" s="144" t="s">
        <v>337</v>
      </c>
      <c r="B68" s="144" t="s">
        <v>45</v>
      </c>
      <c r="C68" s="144" t="s">
        <v>2264</v>
      </c>
      <c r="D68" s="144" t="s">
        <v>2306</v>
      </c>
      <c r="E68" s="144" t="s">
        <v>2306</v>
      </c>
      <c r="F68" s="150" t="s">
        <v>2252</v>
      </c>
      <c r="G68" s="2" t="s">
        <v>2265</v>
      </c>
      <c r="H68" s="2" t="s">
        <v>2266</v>
      </c>
    </row>
    <row r="69" spans="1:8" ht="43.2" x14ac:dyDescent="0.3">
      <c r="A69" s="144" t="s">
        <v>337</v>
      </c>
      <c r="B69" s="144" t="s">
        <v>45</v>
      </c>
      <c r="C69" s="144" t="s">
        <v>2264</v>
      </c>
      <c r="D69" s="144" t="s">
        <v>2307</v>
      </c>
      <c r="E69" s="144" t="s">
        <v>2307</v>
      </c>
      <c r="F69" s="150" t="s">
        <v>2252</v>
      </c>
      <c r="G69" s="2" t="s">
        <v>2265</v>
      </c>
      <c r="H69" s="2" t="s">
        <v>2266</v>
      </c>
    </row>
    <row r="70" spans="1:8" ht="43.2" x14ac:dyDescent="0.3">
      <c r="A70" s="144" t="s">
        <v>337</v>
      </c>
      <c r="B70" s="144" t="s">
        <v>45</v>
      </c>
      <c r="C70" s="144" t="s">
        <v>2264</v>
      </c>
      <c r="D70" s="144" t="s">
        <v>1615</v>
      </c>
      <c r="E70" s="144" t="s">
        <v>1615</v>
      </c>
      <c r="F70" s="150" t="s">
        <v>2252</v>
      </c>
      <c r="G70" s="2" t="s">
        <v>2265</v>
      </c>
      <c r="H70" s="2" t="s">
        <v>2266</v>
      </c>
    </row>
    <row r="71" spans="1:8" ht="43.2" x14ac:dyDescent="0.3">
      <c r="A71" s="144" t="s">
        <v>337</v>
      </c>
      <c r="B71" s="144" t="s">
        <v>45</v>
      </c>
      <c r="C71" s="144" t="s">
        <v>2264</v>
      </c>
      <c r="D71" s="144" t="s">
        <v>2308</v>
      </c>
      <c r="E71" s="144" t="s">
        <v>2308</v>
      </c>
      <c r="F71" s="150" t="s">
        <v>2252</v>
      </c>
      <c r="G71" s="2" t="s">
        <v>2265</v>
      </c>
      <c r="H71" s="2" t="s">
        <v>2266</v>
      </c>
    </row>
    <row r="72" spans="1:8" ht="43.2" x14ac:dyDescent="0.3">
      <c r="A72" s="144" t="s">
        <v>337</v>
      </c>
      <c r="B72" s="144" t="s">
        <v>45</v>
      </c>
      <c r="C72" s="144" t="s">
        <v>2264</v>
      </c>
      <c r="D72" s="144" t="s">
        <v>2309</v>
      </c>
      <c r="E72" s="144" t="s">
        <v>2309</v>
      </c>
      <c r="F72" s="150" t="s">
        <v>2252</v>
      </c>
      <c r="G72" s="2" t="s">
        <v>2265</v>
      </c>
      <c r="H72" s="2" t="s">
        <v>2266</v>
      </c>
    </row>
    <row r="73" spans="1:8" ht="43.2" x14ac:dyDescent="0.3">
      <c r="A73" s="144" t="s">
        <v>337</v>
      </c>
      <c r="B73" s="144" t="s">
        <v>45</v>
      </c>
      <c r="C73" s="144" t="s">
        <v>2264</v>
      </c>
      <c r="D73" s="144" t="s">
        <v>2310</v>
      </c>
      <c r="E73" s="144" t="s">
        <v>2310</v>
      </c>
      <c r="F73" s="150" t="s">
        <v>2252</v>
      </c>
      <c r="G73" s="2" t="s">
        <v>2265</v>
      </c>
      <c r="H73" s="2" t="s">
        <v>2266</v>
      </c>
    </row>
    <row r="74" spans="1:8" ht="43.2" x14ac:dyDescent="0.3">
      <c r="A74" s="144" t="s">
        <v>337</v>
      </c>
      <c r="B74" s="144" t="s">
        <v>45</v>
      </c>
      <c r="C74" s="144" t="s">
        <v>2264</v>
      </c>
      <c r="D74" s="144" t="s">
        <v>2311</v>
      </c>
      <c r="E74" s="144" t="s">
        <v>2311</v>
      </c>
      <c r="F74" s="150" t="s">
        <v>2252</v>
      </c>
      <c r="G74" s="2" t="s">
        <v>2265</v>
      </c>
      <c r="H74" s="2" t="s">
        <v>2266</v>
      </c>
    </row>
    <row r="75" spans="1:8" ht="43.2" x14ac:dyDescent="0.3">
      <c r="A75" s="144" t="s">
        <v>337</v>
      </c>
      <c r="B75" s="144" t="s">
        <v>45</v>
      </c>
      <c r="C75" s="144" t="s">
        <v>2264</v>
      </c>
      <c r="D75" s="144" t="s">
        <v>1621</v>
      </c>
      <c r="E75" s="144" t="s">
        <v>1621</v>
      </c>
      <c r="F75" s="150" t="s">
        <v>2252</v>
      </c>
      <c r="G75" s="2" t="s">
        <v>2265</v>
      </c>
      <c r="H75" s="2" t="s">
        <v>2266</v>
      </c>
    </row>
    <row r="76" spans="1:8" ht="43.2" x14ac:dyDescent="0.3">
      <c r="A76" s="144" t="s">
        <v>337</v>
      </c>
      <c r="B76" s="144" t="s">
        <v>45</v>
      </c>
      <c r="C76" s="144" t="s">
        <v>2264</v>
      </c>
      <c r="D76" s="144" t="s">
        <v>2312</v>
      </c>
      <c r="E76" s="144" t="s">
        <v>2312</v>
      </c>
      <c r="F76" s="150" t="s">
        <v>2252</v>
      </c>
      <c r="G76" s="2" t="s">
        <v>2265</v>
      </c>
      <c r="H76" s="2" t="s">
        <v>2266</v>
      </c>
    </row>
    <row r="77" spans="1:8" ht="28.8" x14ac:dyDescent="0.3">
      <c r="A77" s="144" t="s">
        <v>341</v>
      </c>
      <c r="B77" s="144" t="s">
        <v>51</v>
      </c>
      <c r="C77" s="144" t="s">
        <v>431</v>
      </c>
      <c r="D77" s="144" t="s">
        <v>341</v>
      </c>
      <c r="E77" s="144" t="s">
        <v>341</v>
      </c>
      <c r="F77" s="145" t="s">
        <v>2242</v>
      </c>
      <c r="G77" s="2" t="s">
        <v>2313</v>
      </c>
      <c r="H77" s="2" t="s">
        <v>2314</v>
      </c>
    </row>
    <row r="78" spans="1:8" ht="28.8" x14ac:dyDescent="0.3">
      <c r="A78" s="144" t="s">
        <v>341</v>
      </c>
      <c r="B78" s="144" t="s">
        <v>51</v>
      </c>
      <c r="C78" s="144" t="s">
        <v>431</v>
      </c>
      <c r="D78" s="144" t="s">
        <v>2315</v>
      </c>
      <c r="E78" s="144" t="s">
        <v>2315</v>
      </c>
      <c r="F78" s="145" t="s">
        <v>2242</v>
      </c>
      <c r="G78" s="2" t="s">
        <v>2313</v>
      </c>
      <c r="H78" s="2" t="s">
        <v>2314</v>
      </c>
    </row>
    <row r="79" spans="1:8" ht="28.8" x14ac:dyDescent="0.3">
      <c r="A79" s="144" t="s">
        <v>341</v>
      </c>
      <c r="B79" s="144" t="s">
        <v>51</v>
      </c>
      <c r="C79" s="144" t="s">
        <v>431</v>
      </c>
      <c r="D79" s="144" t="s">
        <v>698</v>
      </c>
      <c r="E79" s="144" t="s">
        <v>698</v>
      </c>
      <c r="F79" s="145" t="s">
        <v>2242</v>
      </c>
      <c r="G79" s="2" t="s">
        <v>2313</v>
      </c>
      <c r="H79" s="2" t="s">
        <v>2314</v>
      </c>
    </row>
    <row r="80" spans="1:8" ht="28.8" x14ac:dyDescent="0.3">
      <c r="A80" s="144" t="s">
        <v>341</v>
      </c>
      <c r="B80" s="144" t="s">
        <v>51</v>
      </c>
      <c r="C80" s="144" t="s">
        <v>431</v>
      </c>
      <c r="D80" s="144" t="s">
        <v>2316</v>
      </c>
      <c r="E80" s="144" t="s">
        <v>2316</v>
      </c>
      <c r="F80" s="145" t="s">
        <v>2242</v>
      </c>
      <c r="G80" s="2" t="s">
        <v>2313</v>
      </c>
      <c r="H80" s="2" t="s">
        <v>2314</v>
      </c>
    </row>
    <row r="81" spans="1:8" ht="28.8" x14ac:dyDescent="0.3">
      <c r="A81" s="144" t="s">
        <v>341</v>
      </c>
      <c r="B81" s="144" t="s">
        <v>51</v>
      </c>
      <c r="C81" s="144" t="s">
        <v>431</v>
      </c>
      <c r="D81" s="144" t="s">
        <v>696</v>
      </c>
      <c r="E81" s="144" t="s">
        <v>696</v>
      </c>
      <c r="F81" s="146" t="s">
        <v>2244</v>
      </c>
      <c r="G81" s="2" t="s">
        <v>2313</v>
      </c>
      <c r="H81" s="2" t="s">
        <v>2314</v>
      </c>
    </row>
    <row r="82" spans="1:8" ht="28.8" x14ac:dyDescent="0.3">
      <c r="A82" s="144" t="s">
        <v>341</v>
      </c>
      <c r="B82" s="144" t="s">
        <v>51</v>
      </c>
      <c r="C82" s="144" t="s">
        <v>431</v>
      </c>
      <c r="D82" s="144" t="s">
        <v>1568</v>
      </c>
      <c r="E82" s="144" t="s">
        <v>1568</v>
      </c>
      <c r="F82" s="146" t="s">
        <v>2244</v>
      </c>
      <c r="G82" s="2" t="s">
        <v>2313</v>
      </c>
      <c r="H82" s="2" t="s">
        <v>2314</v>
      </c>
    </row>
    <row r="83" spans="1:8" ht="28.8" x14ac:dyDescent="0.3">
      <c r="A83" s="144" t="s">
        <v>341</v>
      </c>
      <c r="B83" s="144" t="s">
        <v>51</v>
      </c>
      <c r="C83" s="144" t="s">
        <v>431</v>
      </c>
      <c r="D83" s="144" t="s">
        <v>2317</v>
      </c>
      <c r="E83" s="144" t="s">
        <v>2317</v>
      </c>
      <c r="F83" s="146" t="s">
        <v>2244</v>
      </c>
      <c r="G83" s="2" t="s">
        <v>2313</v>
      </c>
      <c r="H83" s="2" t="s">
        <v>2314</v>
      </c>
    </row>
    <row r="84" spans="1:8" ht="28.8" x14ac:dyDescent="0.3">
      <c r="A84" s="144" t="s">
        <v>341</v>
      </c>
      <c r="B84" s="144" t="s">
        <v>51</v>
      </c>
      <c r="C84" s="144" t="s">
        <v>431</v>
      </c>
      <c r="D84" s="144" t="s">
        <v>2318</v>
      </c>
      <c r="E84" s="144" t="s">
        <v>2318</v>
      </c>
      <c r="F84" s="146" t="s">
        <v>2244</v>
      </c>
      <c r="G84" s="2" t="s">
        <v>2313</v>
      </c>
      <c r="H84" s="2" t="s">
        <v>2314</v>
      </c>
    </row>
    <row r="85" spans="1:8" ht="28.8" x14ac:dyDescent="0.3">
      <c r="A85" s="144" t="s">
        <v>341</v>
      </c>
      <c r="B85" s="144" t="s">
        <v>51</v>
      </c>
      <c r="C85" s="144" t="s">
        <v>431</v>
      </c>
      <c r="D85" s="144" t="s">
        <v>2319</v>
      </c>
      <c r="E85" s="144" t="s">
        <v>2319</v>
      </c>
      <c r="F85" s="146" t="s">
        <v>2244</v>
      </c>
      <c r="G85" s="2" t="s">
        <v>2313</v>
      </c>
      <c r="H85" s="2" t="s">
        <v>2314</v>
      </c>
    </row>
    <row r="86" spans="1:8" ht="28.8" x14ac:dyDescent="0.3">
      <c r="A86" s="144" t="s">
        <v>341</v>
      </c>
      <c r="B86" s="144" t="s">
        <v>51</v>
      </c>
      <c r="C86" s="144" t="s">
        <v>431</v>
      </c>
      <c r="D86" s="144" t="s">
        <v>2320</v>
      </c>
      <c r="E86" s="144" t="s">
        <v>2320</v>
      </c>
      <c r="F86" s="146" t="s">
        <v>2244</v>
      </c>
      <c r="G86" s="2" t="s">
        <v>2313</v>
      </c>
      <c r="H86" s="2" t="s">
        <v>2314</v>
      </c>
    </row>
    <row r="87" spans="1:8" ht="28.8" x14ac:dyDescent="0.3">
      <c r="A87" s="144" t="s">
        <v>341</v>
      </c>
      <c r="B87" s="144" t="s">
        <v>51</v>
      </c>
      <c r="C87" s="144" t="s">
        <v>431</v>
      </c>
      <c r="D87" s="144" t="s">
        <v>2321</v>
      </c>
      <c r="E87" s="144" t="s">
        <v>2321</v>
      </c>
      <c r="F87" s="146" t="s">
        <v>2244</v>
      </c>
      <c r="G87" s="2" t="s">
        <v>2313</v>
      </c>
      <c r="H87" s="2" t="s">
        <v>2314</v>
      </c>
    </row>
    <row r="88" spans="1:8" ht="28.8" x14ac:dyDescent="0.3">
      <c r="A88" s="144" t="s">
        <v>341</v>
      </c>
      <c r="B88" s="144" t="s">
        <v>51</v>
      </c>
      <c r="C88" s="144" t="s">
        <v>431</v>
      </c>
      <c r="D88" s="144" t="s">
        <v>2322</v>
      </c>
      <c r="E88" s="144" t="s">
        <v>2322</v>
      </c>
      <c r="F88" s="146" t="s">
        <v>2244</v>
      </c>
      <c r="G88" s="2" t="s">
        <v>2313</v>
      </c>
      <c r="H88" s="2" t="s">
        <v>2314</v>
      </c>
    </row>
    <row r="89" spans="1:8" ht="28.8" x14ac:dyDescent="0.3">
      <c r="A89" s="144" t="s">
        <v>341</v>
      </c>
      <c r="B89" s="144" t="s">
        <v>51</v>
      </c>
      <c r="C89" s="144" t="s">
        <v>431</v>
      </c>
      <c r="D89" s="144" t="s">
        <v>2323</v>
      </c>
      <c r="E89" s="144" t="s">
        <v>2323</v>
      </c>
      <c r="F89" s="146" t="s">
        <v>2244</v>
      </c>
      <c r="G89" s="2" t="s">
        <v>2313</v>
      </c>
      <c r="H89" s="2" t="s">
        <v>2314</v>
      </c>
    </row>
    <row r="90" spans="1:8" ht="28.8" x14ac:dyDescent="0.3">
      <c r="A90" s="144" t="s">
        <v>341</v>
      </c>
      <c r="B90" s="144" t="s">
        <v>51</v>
      </c>
      <c r="C90" s="144" t="s">
        <v>431</v>
      </c>
      <c r="D90" s="144" t="s">
        <v>1569</v>
      </c>
      <c r="E90" s="144" t="s">
        <v>1569</v>
      </c>
      <c r="F90" s="146" t="s">
        <v>2244</v>
      </c>
      <c r="G90" s="2" t="s">
        <v>2313</v>
      </c>
      <c r="H90" s="2" t="s">
        <v>2314</v>
      </c>
    </row>
    <row r="91" spans="1:8" ht="28.8" x14ac:dyDescent="0.3">
      <c r="A91" s="144" t="s">
        <v>341</v>
      </c>
      <c r="B91" s="144" t="s">
        <v>51</v>
      </c>
      <c r="C91" s="144" t="s">
        <v>431</v>
      </c>
      <c r="D91" s="144" t="s">
        <v>2324</v>
      </c>
      <c r="E91" s="144" t="s">
        <v>2324</v>
      </c>
      <c r="F91" s="146" t="s">
        <v>2244</v>
      </c>
      <c r="G91" s="2" t="s">
        <v>2313</v>
      </c>
      <c r="H91" s="2" t="s">
        <v>2314</v>
      </c>
    </row>
    <row r="92" spans="1:8" ht="28.8" x14ac:dyDescent="0.3">
      <c r="A92" s="144" t="s">
        <v>341</v>
      </c>
      <c r="B92" s="144" t="s">
        <v>51</v>
      </c>
      <c r="C92" s="144" t="s">
        <v>431</v>
      </c>
      <c r="D92" s="144" t="s">
        <v>2325</v>
      </c>
      <c r="E92" s="144" t="s">
        <v>2325</v>
      </c>
      <c r="F92" s="146" t="s">
        <v>2244</v>
      </c>
      <c r="G92" s="2" t="s">
        <v>2313</v>
      </c>
      <c r="H92" s="2" t="s">
        <v>2314</v>
      </c>
    </row>
    <row r="93" spans="1:8" ht="28.8" x14ac:dyDescent="0.3">
      <c r="A93" s="144" t="s">
        <v>341</v>
      </c>
      <c r="B93" s="144" t="s">
        <v>51</v>
      </c>
      <c r="C93" s="144" t="s">
        <v>431</v>
      </c>
      <c r="D93" s="144" t="s">
        <v>2326</v>
      </c>
      <c r="E93" s="144" t="s">
        <v>2326</v>
      </c>
      <c r="F93" s="146" t="s">
        <v>2244</v>
      </c>
      <c r="G93" s="2" t="s">
        <v>2313</v>
      </c>
      <c r="H93" s="2" t="s">
        <v>2314</v>
      </c>
    </row>
    <row r="94" spans="1:8" ht="28.8" x14ac:dyDescent="0.3">
      <c r="A94" s="144" t="s">
        <v>341</v>
      </c>
      <c r="B94" s="144" t="s">
        <v>51</v>
      </c>
      <c r="C94" s="144" t="s">
        <v>431</v>
      </c>
      <c r="D94" s="144" t="s">
        <v>1031</v>
      </c>
      <c r="E94" s="144" t="s">
        <v>1031</v>
      </c>
      <c r="F94" s="146" t="s">
        <v>2244</v>
      </c>
      <c r="G94" s="2" t="s">
        <v>2313</v>
      </c>
      <c r="H94" s="2" t="s">
        <v>2314</v>
      </c>
    </row>
    <row r="95" spans="1:8" ht="28.8" x14ac:dyDescent="0.3">
      <c r="A95" s="144" t="s">
        <v>341</v>
      </c>
      <c r="B95" s="144" t="s">
        <v>51</v>
      </c>
      <c r="C95" s="144" t="s">
        <v>431</v>
      </c>
      <c r="D95" s="144" t="s">
        <v>2327</v>
      </c>
      <c r="E95" s="144" t="s">
        <v>2327</v>
      </c>
      <c r="F95" s="146" t="s">
        <v>2244</v>
      </c>
      <c r="G95" s="2" t="s">
        <v>2313</v>
      </c>
      <c r="H95" s="2" t="s">
        <v>2314</v>
      </c>
    </row>
    <row r="96" spans="1:8" ht="28.8" x14ac:dyDescent="0.3">
      <c r="A96" s="144" t="s">
        <v>341</v>
      </c>
      <c r="B96" s="144" t="s">
        <v>51</v>
      </c>
      <c r="C96" s="144" t="s">
        <v>431</v>
      </c>
      <c r="D96" s="144" t="s">
        <v>2328</v>
      </c>
      <c r="E96" s="144" t="s">
        <v>2328</v>
      </c>
      <c r="F96" s="147" t="s">
        <v>2246</v>
      </c>
      <c r="G96" s="2" t="s">
        <v>2313</v>
      </c>
      <c r="H96" s="2" t="s">
        <v>2314</v>
      </c>
    </row>
    <row r="97" spans="1:8" ht="28.8" x14ac:dyDescent="0.3">
      <c r="A97" s="144" t="s">
        <v>341</v>
      </c>
      <c r="B97" s="144" t="s">
        <v>51</v>
      </c>
      <c r="C97" s="144" t="s">
        <v>431</v>
      </c>
      <c r="D97" s="144" t="s">
        <v>2329</v>
      </c>
      <c r="E97" s="144" t="s">
        <v>2329</v>
      </c>
      <c r="F97" s="147" t="s">
        <v>2246</v>
      </c>
      <c r="G97" s="2" t="s">
        <v>2313</v>
      </c>
      <c r="H97" s="2" t="s">
        <v>2314</v>
      </c>
    </row>
    <row r="98" spans="1:8" ht="28.8" x14ac:dyDescent="0.3">
      <c r="A98" s="144" t="s">
        <v>341</v>
      </c>
      <c r="B98" s="144" t="s">
        <v>51</v>
      </c>
      <c r="C98" s="144" t="s">
        <v>431</v>
      </c>
      <c r="D98" s="144" t="s">
        <v>2330</v>
      </c>
      <c r="E98" s="144" t="s">
        <v>2330</v>
      </c>
      <c r="F98" s="147" t="s">
        <v>2246</v>
      </c>
      <c r="G98" s="2" t="s">
        <v>2313</v>
      </c>
      <c r="H98" s="2" t="s">
        <v>2314</v>
      </c>
    </row>
    <row r="99" spans="1:8" ht="28.8" x14ac:dyDescent="0.3">
      <c r="A99" s="144" t="s">
        <v>341</v>
      </c>
      <c r="B99" s="144" t="s">
        <v>51</v>
      </c>
      <c r="C99" s="144" t="s">
        <v>431</v>
      </c>
      <c r="D99" s="144" t="s">
        <v>2331</v>
      </c>
      <c r="E99" s="144" t="s">
        <v>2331</v>
      </c>
      <c r="F99" s="147" t="s">
        <v>2246</v>
      </c>
      <c r="G99" s="2" t="s">
        <v>2313</v>
      </c>
      <c r="H99" s="2" t="s">
        <v>2314</v>
      </c>
    </row>
    <row r="100" spans="1:8" ht="28.8" x14ac:dyDescent="0.3">
      <c r="A100" s="144" t="s">
        <v>341</v>
      </c>
      <c r="B100" s="144" t="s">
        <v>51</v>
      </c>
      <c r="C100" s="144" t="s">
        <v>431</v>
      </c>
      <c r="D100" s="144" t="s">
        <v>2332</v>
      </c>
      <c r="E100" s="144" t="s">
        <v>2332</v>
      </c>
      <c r="F100" s="147" t="s">
        <v>2246</v>
      </c>
      <c r="G100" s="2" t="s">
        <v>2313</v>
      </c>
      <c r="H100" s="2" t="s">
        <v>2314</v>
      </c>
    </row>
    <row r="101" spans="1:8" ht="28.8" x14ac:dyDescent="0.3">
      <c r="A101" s="144" t="s">
        <v>341</v>
      </c>
      <c r="B101" s="144" t="s">
        <v>51</v>
      </c>
      <c r="C101" s="144" t="s">
        <v>431</v>
      </c>
      <c r="D101" s="144" t="s">
        <v>2333</v>
      </c>
      <c r="E101" s="144" t="s">
        <v>2333</v>
      </c>
      <c r="F101" s="147" t="s">
        <v>2246</v>
      </c>
      <c r="G101" s="2" t="s">
        <v>2313</v>
      </c>
      <c r="H101" s="2" t="s">
        <v>2314</v>
      </c>
    </row>
    <row r="102" spans="1:8" ht="28.8" x14ac:dyDescent="0.3">
      <c r="A102" s="144" t="s">
        <v>341</v>
      </c>
      <c r="B102" s="144" t="s">
        <v>51</v>
      </c>
      <c r="C102" s="144" t="s">
        <v>431</v>
      </c>
      <c r="D102" s="144" t="s">
        <v>2334</v>
      </c>
      <c r="E102" s="144" t="s">
        <v>2334</v>
      </c>
      <c r="F102" s="147" t="s">
        <v>2246</v>
      </c>
      <c r="G102" s="2" t="s">
        <v>2313</v>
      </c>
      <c r="H102" s="2" t="s">
        <v>2314</v>
      </c>
    </row>
    <row r="103" spans="1:8" ht="28.8" x14ac:dyDescent="0.3">
      <c r="A103" s="144" t="s">
        <v>341</v>
      </c>
      <c r="B103" s="144" t="s">
        <v>51</v>
      </c>
      <c r="C103" s="144" t="s">
        <v>431</v>
      </c>
      <c r="D103" s="144" t="s">
        <v>2335</v>
      </c>
      <c r="E103" s="144" t="s">
        <v>2335</v>
      </c>
      <c r="F103" s="147" t="s">
        <v>2246</v>
      </c>
      <c r="G103" s="2" t="s">
        <v>2313</v>
      </c>
      <c r="H103" s="2" t="s">
        <v>2314</v>
      </c>
    </row>
    <row r="104" spans="1:8" ht="28.8" x14ac:dyDescent="0.3">
      <c r="A104" s="144" t="s">
        <v>341</v>
      </c>
      <c r="B104" s="144" t="s">
        <v>51</v>
      </c>
      <c r="C104" s="144" t="s">
        <v>431</v>
      </c>
      <c r="D104" s="144" t="s">
        <v>2336</v>
      </c>
      <c r="E104" s="144" t="s">
        <v>2336</v>
      </c>
      <c r="F104" s="147" t="s">
        <v>2246</v>
      </c>
      <c r="G104" s="2" t="s">
        <v>2313</v>
      </c>
      <c r="H104" s="2" t="s">
        <v>2314</v>
      </c>
    </row>
    <row r="105" spans="1:8" ht="28.8" x14ac:dyDescent="0.3">
      <c r="A105" s="144" t="s">
        <v>341</v>
      </c>
      <c r="B105" s="144" t="s">
        <v>51</v>
      </c>
      <c r="C105" s="144" t="s">
        <v>431</v>
      </c>
      <c r="D105" s="144" t="s">
        <v>2337</v>
      </c>
      <c r="E105" s="144" t="s">
        <v>2337</v>
      </c>
      <c r="F105" s="147" t="s">
        <v>2246</v>
      </c>
      <c r="G105" s="2" t="s">
        <v>2313</v>
      </c>
      <c r="H105" s="2" t="s">
        <v>2314</v>
      </c>
    </row>
    <row r="106" spans="1:8" ht="28.8" x14ac:dyDescent="0.3">
      <c r="A106" s="144" t="s">
        <v>341</v>
      </c>
      <c r="B106" s="144" t="s">
        <v>51</v>
      </c>
      <c r="C106" s="144" t="s">
        <v>431</v>
      </c>
      <c r="D106" s="144" t="s">
        <v>2338</v>
      </c>
      <c r="E106" s="144" t="s">
        <v>2338</v>
      </c>
      <c r="F106" s="147" t="s">
        <v>2246</v>
      </c>
      <c r="G106" s="2" t="s">
        <v>2313</v>
      </c>
      <c r="H106" s="2" t="s">
        <v>2314</v>
      </c>
    </row>
    <row r="107" spans="1:8" ht="28.8" x14ac:dyDescent="0.3">
      <c r="A107" s="144" t="s">
        <v>341</v>
      </c>
      <c r="B107" s="144" t="s">
        <v>51</v>
      </c>
      <c r="C107" s="144" t="s">
        <v>431</v>
      </c>
      <c r="D107" s="144" t="s">
        <v>2339</v>
      </c>
      <c r="E107" s="144" t="s">
        <v>2339</v>
      </c>
      <c r="F107" s="148" t="s">
        <v>2248</v>
      </c>
      <c r="G107" s="2" t="s">
        <v>2313</v>
      </c>
      <c r="H107" s="2" t="s">
        <v>2314</v>
      </c>
    </row>
    <row r="108" spans="1:8" ht="28.8" x14ac:dyDescent="0.3">
      <c r="A108" s="144" t="s">
        <v>341</v>
      </c>
      <c r="B108" s="144" t="s">
        <v>51</v>
      </c>
      <c r="C108" s="144" t="s">
        <v>431</v>
      </c>
      <c r="D108" s="144" t="s">
        <v>2340</v>
      </c>
      <c r="E108" s="144" t="s">
        <v>2340</v>
      </c>
      <c r="F108" s="148" t="s">
        <v>2248</v>
      </c>
      <c r="G108" s="2" t="s">
        <v>2313</v>
      </c>
      <c r="H108" s="2" t="s">
        <v>2314</v>
      </c>
    </row>
    <row r="109" spans="1:8" ht="28.8" x14ac:dyDescent="0.3">
      <c r="A109" s="144" t="s">
        <v>341</v>
      </c>
      <c r="B109" s="144" t="s">
        <v>51</v>
      </c>
      <c r="C109" s="144" t="s">
        <v>431</v>
      </c>
      <c r="D109" s="144" t="s">
        <v>2341</v>
      </c>
      <c r="E109" s="144" t="s">
        <v>2341</v>
      </c>
      <c r="F109" s="148" t="s">
        <v>2248</v>
      </c>
      <c r="G109" s="2" t="s">
        <v>2313</v>
      </c>
      <c r="H109" s="2" t="s">
        <v>2314</v>
      </c>
    </row>
    <row r="110" spans="1:8" ht="28.8" x14ac:dyDescent="0.3">
      <c r="A110" s="144" t="s">
        <v>341</v>
      </c>
      <c r="B110" s="144" t="s">
        <v>51</v>
      </c>
      <c r="C110" s="144" t="s">
        <v>431</v>
      </c>
      <c r="D110" s="144" t="s">
        <v>2342</v>
      </c>
      <c r="E110" s="144" t="s">
        <v>2342</v>
      </c>
      <c r="F110" s="148" t="s">
        <v>2248</v>
      </c>
      <c r="G110" s="2" t="s">
        <v>2313</v>
      </c>
      <c r="H110" s="2" t="s">
        <v>2314</v>
      </c>
    </row>
    <row r="111" spans="1:8" ht="28.8" x14ac:dyDescent="0.3">
      <c r="A111" s="144" t="s">
        <v>341</v>
      </c>
      <c r="B111" s="144" t="s">
        <v>51</v>
      </c>
      <c r="C111" s="144" t="s">
        <v>431</v>
      </c>
      <c r="D111" s="144" t="s">
        <v>2343</v>
      </c>
      <c r="E111" s="144" t="s">
        <v>2343</v>
      </c>
      <c r="F111" s="148" t="s">
        <v>2248</v>
      </c>
      <c r="G111" s="2" t="s">
        <v>2313</v>
      </c>
      <c r="H111" s="2" t="s">
        <v>2314</v>
      </c>
    </row>
    <row r="112" spans="1:8" ht="28.8" x14ac:dyDescent="0.3">
      <c r="A112" s="144" t="s">
        <v>341</v>
      </c>
      <c r="B112" s="144" t="s">
        <v>51</v>
      </c>
      <c r="C112" s="144" t="s">
        <v>431</v>
      </c>
      <c r="D112" s="144" t="s">
        <v>2344</v>
      </c>
      <c r="E112" s="144" t="s">
        <v>2344</v>
      </c>
      <c r="F112" s="148" t="s">
        <v>2248</v>
      </c>
      <c r="G112" s="2" t="s">
        <v>2313</v>
      </c>
      <c r="H112" s="2" t="s">
        <v>2314</v>
      </c>
    </row>
    <row r="113" spans="1:8" ht="28.8" x14ac:dyDescent="0.3">
      <c r="A113" s="144" t="s">
        <v>341</v>
      </c>
      <c r="B113" s="144" t="s">
        <v>51</v>
      </c>
      <c r="C113" s="144" t="s">
        <v>431</v>
      </c>
      <c r="D113" s="144" t="s">
        <v>1031</v>
      </c>
      <c r="E113" s="144" t="s">
        <v>1031</v>
      </c>
      <c r="F113" s="148" t="s">
        <v>2248</v>
      </c>
      <c r="G113" s="2" t="s">
        <v>2313</v>
      </c>
      <c r="H113" s="2" t="s">
        <v>2314</v>
      </c>
    </row>
    <row r="114" spans="1:8" ht="28.8" x14ac:dyDescent="0.3">
      <c r="A114" s="144" t="s">
        <v>341</v>
      </c>
      <c r="B114" s="144" t="s">
        <v>51</v>
      </c>
      <c r="C114" s="144" t="s">
        <v>431</v>
      </c>
      <c r="D114" s="144" t="s">
        <v>360</v>
      </c>
      <c r="E114" s="144" t="s">
        <v>360</v>
      </c>
      <c r="F114" s="148" t="s">
        <v>2248</v>
      </c>
      <c r="G114" s="2" t="s">
        <v>2313</v>
      </c>
      <c r="H114" s="2" t="s">
        <v>2314</v>
      </c>
    </row>
    <row r="115" spans="1:8" ht="28.8" x14ac:dyDescent="0.3">
      <c r="A115" s="144" t="s">
        <v>341</v>
      </c>
      <c r="B115" s="144" t="s">
        <v>51</v>
      </c>
      <c r="C115" s="144" t="s">
        <v>431</v>
      </c>
      <c r="D115" s="144" t="s">
        <v>2345</v>
      </c>
      <c r="E115" s="144" t="s">
        <v>2345</v>
      </c>
      <c r="F115" s="148" t="s">
        <v>2248</v>
      </c>
      <c r="G115" s="2" t="s">
        <v>2313</v>
      </c>
      <c r="H115" s="2" t="s">
        <v>2314</v>
      </c>
    </row>
    <row r="116" spans="1:8" ht="28.8" x14ac:dyDescent="0.3">
      <c r="A116" s="144" t="s">
        <v>341</v>
      </c>
      <c r="B116" s="144" t="s">
        <v>51</v>
      </c>
      <c r="C116" s="144" t="s">
        <v>431</v>
      </c>
      <c r="D116" s="144" t="s">
        <v>1035</v>
      </c>
      <c r="E116" s="144" t="s">
        <v>1035</v>
      </c>
      <c r="F116" s="149" t="s">
        <v>2250</v>
      </c>
      <c r="G116" s="2" t="s">
        <v>2313</v>
      </c>
      <c r="H116" s="2" t="s">
        <v>2314</v>
      </c>
    </row>
    <row r="117" spans="1:8" ht="28.8" x14ac:dyDescent="0.3">
      <c r="A117" s="144" t="s">
        <v>341</v>
      </c>
      <c r="B117" s="144" t="s">
        <v>51</v>
      </c>
      <c r="C117" s="144" t="s">
        <v>431</v>
      </c>
      <c r="D117" s="144" t="s">
        <v>1036</v>
      </c>
      <c r="E117" s="144" t="s">
        <v>1036</v>
      </c>
      <c r="F117" s="149" t="s">
        <v>2250</v>
      </c>
      <c r="G117" s="2" t="s">
        <v>2313</v>
      </c>
      <c r="H117" s="2" t="s">
        <v>2314</v>
      </c>
    </row>
    <row r="118" spans="1:8" ht="28.8" x14ac:dyDescent="0.3">
      <c r="A118" s="144" t="s">
        <v>341</v>
      </c>
      <c r="B118" s="144" t="s">
        <v>51</v>
      </c>
      <c r="C118" s="144" t="s">
        <v>431</v>
      </c>
      <c r="D118" s="144" t="s">
        <v>1037</v>
      </c>
      <c r="E118" s="144" t="s">
        <v>1037</v>
      </c>
      <c r="F118" s="149" t="s">
        <v>2250</v>
      </c>
      <c r="G118" s="2" t="s">
        <v>2313</v>
      </c>
      <c r="H118" s="2" t="s">
        <v>2314</v>
      </c>
    </row>
    <row r="119" spans="1:8" ht="28.8" x14ac:dyDescent="0.3">
      <c r="A119" s="144" t="s">
        <v>341</v>
      </c>
      <c r="B119" s="144" t="s">
        <v>51</v>
      </c>
      <c r="C119" s="144" t="s">
        <v>431</v>
      </c>
      <c r="D119" s="144" t="s">
        <v>2346</v>
      </c>
      <c r="E119" s="144" t="s">
        <v>2346</v>
      </c>
      <c r="F119" s="149" t="s">
        <v>2250</v>
      </c>
      <c r="G119" s="2" t="s">
        <v>2313</v>
      </c>
      <c r="H119" s="2" t="s">
        <v>2314</v>
      </c>
    </row>
    <row r="120" spans="1:8" ht="28.8" x14ac:dyDescent="0.3">
      <c r="A120" s="144" t="s">
        <v>341</v>
      </c>
      <c r="B120" s="144" t="s">
        <v>51</v>
      </c>
      <c r="C120" s="144" t="s">
        <v>431</v>
      </c>
      <c r="D120" s="144" t="s">
        <v>2347</v>
      </c>
      <c r="E120" s="144" t="s">
        <v>2347</v>
      </c>
      <c r="F120" s="149" t="s">
        <v>2250</v>
      </c>
      <c r="G120" s="2" t="s">
        <v>2313</v>
      </c>
      <c r="H120" s="2" t="s">
        <v>2314</v>
      </c>
    </row>
    <row r="121" spans="1:8" ht="28.8" x14ac:dyDescent="0.3">
      <c r="A121" s="144" t="s">
        <v>341</v>
      </c>
      <c r="B121" s="144" t="s">
        <v>51</v>
      </c>
      <c r="C121" s="144" t="s">
        <v>431</v>
      </c>
      <c r="D121" s="144" t="s">
        <v>2348</v>
      </c>
      <c r="E121" s="144" t="s">
        <v>2348</v>
      </c>
      <c r="F121" s="149" t="s">
        <v>2250</v>
      </c>
      <c r="G121" s="2" t="s">
        <v>2313</v>
      </c>
      <c r="H121" s="2" t="s">
        <v>2314</v>
      </c>
    </row>
    <row r="122" spans="1:8" ht="28.8" x14ac:dyDescent="0.3">
      <c r="A122" s="144" t="s">
        <v>341</v>
      </c>
      <c r="B122" s="144" t="s">
        <v>51</v>
      </c>
      <c r="C122" s="144" t="s">
        <v>431</v>
      </c>
      <c r="D122" s="144" t="s">
        <v>2349</v>
      </c>
      <c r="E122" s="144" t="s">
        <v>2349</v>
      </c>
      <c r="F122" s="149" t="s">
        <v>2250</v>
      </c>
      <c r="G122" s="2" t="s">
        <v>2313</v>
      </c>
      <c r="H122" s="2" t="s">
        <v>2314</v>
      </c>
    </row>
    <row r="123" spans="1:8" ht="28.8" x14ac:dyDescent="0.3">
      <c r="A123" s="144" t="s">
        <v>341</v>
      </c>
      <c r="B123" s="144" t="s">
        <v>51</v>
      </c>
      <c r="C123" s="144" t="s">
        <v>431</v>
      </c>
      <c r="D123" s="144" t="s">
        <v>2324</v>
      </c>
      <c r="E123" s="144" t="s">
        <v>2324</v>
      </c>
      <c r="F123" s="149" t="s">
        <v>2250</v>
      </c>
      <c r="G123" s="2" t="s">
        <v>2313</v>
      </c>
      <c r="H123" s="2" t="s">
        <v>2314</v>
      </c>
    </row>
    <row r="124" spans="1:8" ht="28.8" x14ac:dyDescent="0.3">
      <c r="A124" s="144" t="s">
        <v>341</v>
      </c>
      <c r="B124" s="144" t="s">
        <v>51</v>
      </c>
      <c r="C124" s="144" t="s">
        <v>431</v>
      </c>
      <c r="D124" s="144" t="s">
        <v>882</v>
      </c>
      <c r="E124" s="144" t="s">
        <v>882</v>
      </c>
      <c r="F124" s="150" t="s">
        <v>2252</v>
      </c>
      <c r="G124" s="2" t="s">
        <v>2313</v>
      </c>
      <c r="H124" s="2" t="s">
        <v>2314</v>
      </c>
    </row>
    <row r="125" spans="1:8" ht="28.8" x14ac:dyDescent="0.3">
      <c r="A125" s="144" t="s">
        <v>341</v>
      </c>
      <c r="B125" s="144" t="s">
        <v>51</v>
      </c>
      <c r="C125" s="144" t="s">
        <v>431</v>
      </c>
      <c r="D125" s="144" t="s">
        <v>2350</v>
      </c>
      <c r="E125" s="144" t="s">
        <v>2350</v>
      </c>
      <c r="F125" s="150" t="s">
        <v>2252</v>
      </c>
      <c r="G125" s="2" t="s">
        <v>2313</v>
      </c>
      <c r="H125" s="2" t="s">
        <v>2314</v>
      </c>
    </row>
    <row r="126" spans="1:8" ht="28.8" x14ac:dyDescent="0.3">
      <c r="A126" s="144" t="s">
        <v>341</v>
      </c>
      <c r="B126" s="144" t="s">
        <v>51</v>
      </c>
      <c r="C126" s="144" t="s">
        <v>431</v>
      </c>
      <c r="D126" s="144" t="s">
        <v>2351</v>
      </c>
      <c r="E126" s="144" t="s">
        <v>2351</v>
      </c>
      <c r="F126" s="150" t="s">
        <v>2252</v>
      </c>
      <c r="G126" s="2" t="s">
        <v>2313</v>
      </c>
      <c r="H126" s="2" t="s">
        <v>2314</v>
      </c>
    </row>
    <row r="127" spans="1:8" ht="28.8" x14ac:dyDescent="0.3">
      <c r="A127" s="144" t="s">
        <v>341</v>
      </c>
      <c r="B127" s="144" t="s">
        <v>51</v>
      </c>
      <c r="C127" s="144" t="s">
        <v>431</v>
      </c>
      <c r="D127" s="144" t="s">
        <v>2352</v>
      </c>
      <c r="E127" s="144" t="s">
        <v>2352</v>
      </c>
      <c r="F127" s="150" t="s">
        <v>2252</v>
      </c>
      <c r="G127" s="2" t="s">
        <v>2313</v>
      </c>
      <c r="H127" s="2" t="s">
        <v>2314</v>
      </c>
    </row>
    <row r="128" spans="1:8" ht="28.8" x14ac:dyDescent="0.3">
      <c r="A128" s="144" t="s">
        <v>341</v>
      </c>
      <c r="B128" s="144" t="s">
        <v>51</v>
      </c>
      <c r="C128" s="144" t="s">
        <v>431</v>
      </c>
      <c r="D128" s="144" t="s">
        <v>2353</v>
      </c>
      <c r="E128" s="144" t="s">
        <v>2353</v>
      </c>
      <c r="F128" s="150" t="s">
        <v>2252</v>
      </c>
      <c r="G128" s="2" t="s">
        <v>2313</v>
      </c>
      <c r="H128" s="2" t="s">
        <v>2314</v>
      </c>
    </row>
    <row r="129" spans="1:8" ht="28.8" x14ac:dyDescent="0.3">
      <c r="A129" s="144" t="s">
        <v>341</v>
      </c>
      <c r="B129" s="144" t="s">
        <v>51</v>
      </c>
      <c r="C129" s="144" t="s">
        <v>431</v>
      </c>
      <c r="D129" s="144" t="s">
        <v>1621</v>
      </c>
      <c r="E129" s="144" t="s">
        <v>1621</v>
      </c>
      <c r="F129" s="150" t="s">
        <v>2252</v>
      </c>
      <c r="G129" s="2" t="s">
        <v>2313</v>
      </c>
      <c r="H129" s="2" t="s">
        <v>2314</v>
      </c>
    </row>
    <row r="130" spans="1:8" ht="28.8" x14ac:dyDescent="0.3">
      <c r="A130" s="144" t="s">
        <v>341</v>
      </c>
      <c r="B130" s="144" t="s">
        <v>51</v>
      </c>
      <c r="C130" s="144" t="s">
        <v>431</v>
      </c>
      <c r="D130" s="144" t="s">
        <v>2310</v>
      </c>
      <c r="E130" s="144" t="s">
        <v>2310</v>
      </c>
      <c r="F130" s="150" t="s">
        <v>2252</v>
      </c>
      <c r="G130" s="2" t="s">
        <v>2313</v>
      </c>
      <c r="H130" s="2" t="s">
        <v>2314</v>
      </c>
    </row>
    <row r="131" spans="1:8" ht="28.8" x14ac:dyDescent="0.3">
      <c r="A131" s="144" t="s">
        <v>341</v>
      </c>
      <c r="B131" s="144" t="s">
        <v>51</v>
      </c>
      <c r="C131" s="144" t="s">
        <v>431</v>
      </c>
      <c r="D131" s="144" t="s">
        <v>880</v>
      </c>
      <c r="E131" s="144" t="s">
        <v>880</v>
      </c>
      <c r="F131" s="150" t="s">
        <v>2252</v>
      </c>
      <c r="G131" s="2" t="s">
        <v>2313</v>
      </c>
      <c r="H131" s="2" t="s">
        <v>2314</v>
      </c>
    </row>
    <row r="132" spans="1:8" ht="28.8" x14ac:dyDescent="0.3">
      <c r="A132" s="144" t="s">
        <v>341</v>
      </c>
      <c r="B132" s="144" t="s">
        <v>51</v>
      </c>
      <c r="C132" s="144" t="s">
        <v>431</v>
      </c>
      <c r="D132" s="144" t="s">
        <v>2354</v>
      </c>
      <c r="E132" s="144" t="s">
        <v>2354</v>
      </c>
      <c r="F132" s="150" t="s">
        <v>2252</v>
      </c>
      <c r="G132" s="2" t="s">
        <v>2313</v>
      </c>
      <c r="H132" s="2" t="s">
        <v>2314</v>
      </c>
    </row>
    <row r="133" spans="1:8" ht="28.8" x14ac:dyDescent="0.3">
      <c r="A133" s="144" t="s">
        <v>341</v>
      </c>
      <c r="B133" s="144" t="s">
        <v>51</v>
      </c>
      <c r="C133" s="144" t="s">
        <v>431</v>
      </c>
      <c r="D133" s="144" t="s">
        <v>881</v>
      </c>
      <c r="E133" s="144" t="s">
        <v>881</v>
      </c>
      <c r="F133" s="150" t="s">
        <v>2252</v>
      </c>
      <c r="G133" s="2" t="s">
        <v>2313</v>
      </c>
      <c r="H133" s="2" t="s">
        <v>2314</v>
      </c>
    </row>
    <row r="134" spans="1:8" ht="28.8" x14ac:dyDescent="0.3">
      <c r="A134" s="144" t="s">
        <v>341</v>
      </c>
      <c r="B134" s="144" t="s">
        <v>51</v>
      </c>
      <c r="C134" s="144" t="s">
        <v>431</v>
      </c>
      <c r="D134" s="144" t="s">
        <v>2355</v>
      </c>
      <c r="E134" s="144" t="s">
        <v>2355</v>
      </c>
      <c r="F134" s="150" t="s">
        <v>2252</v>
      </c>
      <c r="G134" s="2" t="s">
        <v>2313</v>
      </c>
      <c r="H134" s="2" t="s">
        <v>2314</v>
      </c>
    </row>
    <row r="135" spans="1:8" ht="28.8" x14ac:dyDescent="0.3">
      <c r="A135" s="144" t="s">
        <v>341</v>
      </c>
      <c r="B135" s="144" t="s">
        <v>51</v>
      </c>
      <c r="C135" s="144" t="s">
        <v>431</v>
      </c>
      <c r="D135" s="144" t="s">
        <v>2356</v>
      </c>
      <c r="E135" s="144" t="s">
        <v>2356</v>
      </c>
      <c r="F135" s="150" t="s">
        <v>2252</v>
      </c>
      <c r="G135" s="2" t="s">
        <v>2313</v>
      </c>
      <c r="H135" s="2" t="s">
        <v>2314</v>
      </c>
    </row>
    <row r="136" spans="1:8" ht="28.8" x14ac:dyDescent="0.3">
      <c r="A136" s="144" t="s">
        <v>341</v>
      </c>
      <c r="B136" s="144" t="s">
        <v>51</v>
      </c>
      <c r="C136" s="144" t="s">
        <v>431</v>
      </c>
      <c r="D136" s="144" t="s">
        <v>2357</v>
      </c>
      <c r="E136" s="144" t="s">
        <v>2357</v>
      </c>
      <c r="F136" s="150" t="s">
        <v>2252</v>
      </c>
      <c r="G136" s="2" t="s">
        <v>2313</v>
      </c>
      <c r="H136" s="2" t="s">
        <v>2314</v>
      </c>
    </row>
    <row r="137" spans="1:8" ht="28.8" x14ac:dyDescent="0.3">
      <c r="A137" s="144" t="s">
        <v>341</v>
      </c>
      <c r="B137" s="144" t="s">
        <v>51</v>
      </c>
      <c r="C137" s="144" t="s">
        <v>431</v>
      </c>
      <c r="D137" s="144" t="s">
        <v>2358</v>
      </c>
      <c r="E137" s="144" t="s">
        <v>2358</v>
      </c>
      <c r="F137" s="150" t="s">
        <v>2252</v>
      </c>
      <c r="G137" s="2" t="s">
        <v>2313</v>
      </c>
      <c r="H137" s="2" t="s">
        <v>2314</v>
      </c>
    </row>
    <row r="138" spans="1:8" ht="43.2" x14ac:dyDescent="0.3">
      <c r="A138" s="144" t="s">
        <v>343</v>
      </c>
      <c r="B138" s="144" t="s">
        <v>57</v>
      </c>
      <c r="C138" s="144" t="s">
        <v>2359</v>
      </c>
      <c r="D138" s="144" t="s">
        <v>343</v>
      </c>
      <c r="E138" s="144" t="s">
        <v>343</v>
      </c>
      <c r="F138" s="145" t="s">
        <v>2242</v>
      </c>
      <c r="G138" s="2" t="s">
        <v>2360</v>
      </c>
      <c r="H138" s="2" t="s">
        <v>2361</v>
      </c>
    </row>
    <row r="139" spans="1:8" ht="43.2" x14ac:dyDescent="0.3">
      <c r="A139" s="144" t="s">
        <v>343</v>
      </c>
      <c r="B139" s="144" t="s">
        <v>57</v>
      </c>
      <c r="C139" s="144" t="s">
        <v>2359</v>
      </c>
      <c r="D139" s="144" t="s">
        <v>2362</v>
      </c>
      <c r="E139" s="144" t="s">
        <v>2362</v>
      </c>
      <c r="F139" s="145" t="s">
        <v>2242</v>
      </c>
      <c r="G139" s="2" t="s">
        <v>2360</v>
      </c>
      <c r="H139" s="2" t="s">
        <v>2361</v>
      </c>
    </row>
    <row r="140" spans="1:8" ht="43.2" x14ac:dyDescent="0.3">
      <c r="A140" s="144" t="s">
        <v>343</v>
      </c>
      <c r="B140" s="144" t="s">
        <v>57</v>
      </c>
      <c r="C140" s="144" t="s">
        <v>2359</v>
      </c>
      <c r="D140" s="144" t="s">
        <v>700</v>
      </c>
      <c r="E140" s="144" t="s">
        <v>700</v>
      </c>
      <c r="F140" s="146" t="s">
        <v>2244</v>
      </c>
      <c r="G140" s="2" t="s">
        <v>2360</v>
      </c>
      <c r="H140" s="2" t="s">
        <v>2361</v>
      </c>
    </row>
    <row r="141" spans="1:8" ht="43.2" x14ac:dyDescent="0.3">
      <c r="A141" s="144" t="s">
        <v>343</v>
      </c>
      <c r="B141" s="144" t="s">
        <v>57</v>
      </c>
      <c r="C141" s="144" t="s">
        <v>2359</v>
      </c>
      <c r="D141" s="144" t="s">
        <v>703</v>
      </c>
      <c r="E141" s="144" t="s">
        <v>703</v>
      </c>
      <c r="F141" s="146" t="s">
        <v>2244</v>
      </c>
      <c r="G141" s="2" t="s">
        <v>2360</v>
      </c>
      <c r="H141" s="2" t="s">
        <v>2361</v>
      </c>
    </row>
    <row r="142" spans="1:8" ht="43.2" x14ac:dyDescent="0.3">
      <c r="A142" s="144" t="s">
        <v>343</v>
      </c>
      <c r="B142" s="144" t="s">
        <v>57</v>
      </c>
      <c r="C142" s="144" t="s">
        <v>2359</v>
      </c>
      <c r="D142" s="144" t="s">
        <v>2363</v>
      </c>
      <c r="E142" s="144" t="s">
        <v>2363</v>
      </c>
      <c r="F142" s="146" t="s">
        <v>2244</v>
      </c>
      <c r="G142" s="2" t="s">
        <v>2360</v>
      </c>
      <c r="H142" s="2" t="s">
        <v>2361</v>
      </c>
    </row>
    <row r="143" spans="1:8" ht="43.2" x14ac:dyDescent="0.3">
      <c r="A143" s="144" t="s">
        <v>343</v>
      </c>
      <c r="B143" s="144" t="s">
        <v>57</v>
      </c>
      <c r="C143" s="144" t="s">
        <v>2359</v>
      </c>
      <c r="D143" s="144" t="s">
        <v>2364</v>
      </c>
      <c r="E143" s="144" t="s">
        <v>2364</v>
      </c>
      <c r="F143" s="146" t="s">
        <v>2244</v>
      </c>
      <c r="G143" s="2" t="s">
        <v>2360</v>
      </c>
      <c r="H143" s="2" t="s">
        <v>2361</v>
      </c>
    </row>
    <row r="144" spans="1:8" ht="43.2" x14ac:dyDescent="0.3">
      <c r="A144" s="144" t="s">
        <v>343</v>
      </c>
      <c r="B144" s="144" t="s">
        <v>57</v>
      </c>
      <c r="C144" s="144" t="s">
        <v>2359</v>
      </c>
      <c r="D144" s="144" t="s">
        <v>2365</v>
      </c>
      <c r="E144" s="144" t="s">
        <v>2365</v>
      </c>
      <c r="F144" s="146" t="s">
        <v>2244</v>
      </c>
      <c r="G144" s="2" t="s">
        <v>2360</v>
      </c>
      <c r="H144" s="2" t="s">
        <v>2361</v>
      </c>
    </row>
    <row r="145" spans="1:8" ht="43.2" x14ac:dyDescent="0.3">
      <c r="A145" s="144" t="s">
        <v>343</v>
      </c>
      <c r="B145" s="144" t="s">
        <v>57</v>
      </c>
      <c r="C145" s="144" t="s">
        <v>2359</v>
      </c>
      <c r="D145" s="144" t="s">
        <v>870</v>
      </c>
      <c r="E145" s="144" t="s">
        <v>870</v>
      </c>
      <c r="F145" s="146" t="s">
        <v>2244</v>
      </c>
      <c r="G145" s="2" t="s">
        <v>2360</v>
      </c>
      <c r="H145" s="2" t="s">
        <v>2361</v>
      </c>
    </row>
    <row r="146" spans="1:8" ht="43.2" x14ac:dyDescent="0.3">
      <c r="A146" s="144" t="s">
        <v>343</v>
      </c>
      <c r="B146" s="144" t="s">
        <v>57</v>
      </c>
      <c r="C146" s="144" t="s">
        <v>2359</v>
      </c>
      <c r="D146" s="144" t="s">
        <v>2366</v>
      </c>
      <c r="E146" s="144" t="s">
        <v>2366</v>
      </c>
      <c r="F146" s="146" t="s">
        <v>2244</v>
      </c>
      <c r="G146" s="2" t="s">
        <v>2360</v>
      </c>
      <c r="H146" s="2" t="s">
        <v>2361</v>
      </c>
    </row>
    <row r="147" spans="1:8" ht="43.2" x14ac:dyDescent="0.3">
      <c r="A147" s="144" t="s">
        <v>343</v>
      </c>
      <c r="B147" s="144" t="s">
        <v>57</v>
      </c>
      <c r="C147" s="144" t="s">
        <v>2359</v>
      </c>
      <c r="D147" s="144" t="s">
        <v>2367</v>
      </c>
      <c r="E147" s="144" t="s">
        <v>2367</v>
      </c>
      <c r="F147" s="146" t="s">
        <v>2244</v>
      </c>
      <c r="G147" s="2" t="s">
        <v>2360</v>
      </c>
      <c r="H147" s="2" t="s">
        <v>2361</v>
      </c>
    </row>
    <row r="148" spans="1:8" ht="43.2" x14ac:dyDescent="0.3">
      <c r="A148" s="144" t="s">
        <v>343</v>
      </c>
      <c r="B148" s="144" t="s">
        <v>57</v>
      </c>
      <c r="C148" s="144" t="s">
        <v>2359</v>
      </c>
      <c r="D148" s="144" t="s">
        <v>702</v>
      </c>
      <c r="E148" s="144" t="s">
        <v>702</v>
      </c>
      <c r="F148" s="146" t="s">
        <v>2244</v>
      </c>
      <c r="G148" s="2" t="s">
        <v>2360</v>
      </c>
      <c r="H148" s="2" t="s">
        <v>2361</v>
      </c>
    </row>
    <row r="149" spans="1:8" ht="43.2" x14ac:dyDescent="0.3">
      <c r="A149" s="144" t="s">
        <v>343</v>
      </c>
      <c r="B149" s="144" t="s">
        <v>57</v>
      </c>
      <c r="C149" s="144" t="s">
        <v>2359</v>
      </c>
      <c r="D149" s="144" t="s">
        <v>2368</v>
      </c>
      <c r="E149" s="144" t="s">
        <v>2368</v>
      </c>
      <c r="F149" s="146" t="s">
        <v>2244</v>
      </c>
      <c r="G149" s="2" t="s">
        <v>2360</v>
      </c>
      <c r="H149" s="2" t="s">
        <v>2361</v>
      </c>
    </row>
    <row r="150" spans="1:8" ht="43.2" x14ac:dyDescent="0.3">
      <c r="A150" s="144" t="s">
        <v>343</v>
      </c>
      <c r="B150" s="144" t="s">
        <v>57</v>
      </c>
      <c r="C150" s="144" t="s">
        <v>2359</v>
      </c>
      <c r="D150" s="144" t="s">
        <v>2369</v>
      </c>
      <c r="E150" s="144" t="s">
        <v>2369</v>
      </c>
      <c r="F150" s="146" t="s">
        <v>2244</v>
      </c>
      <c r="G150" s="2" t="s">
        <v>2360</v>
      </c>
      <c r="H150" s="2" t="s">
        <v>2361</v>
      </c>
    </row>
    <row r="151" spans="1:8" ht="43.2" x14ac:dyDescent="0.3">
      <c r="A151" s="144" t="s">
        <v>343</v>
      </c>
      <c r="B151" s="144" t="s">
        <v>57</v>
      </c>
      <c r="C151" s="144" t="s">
        <v>2359</v>
      </c>
      <c r="D151" s="144" t="s">
        <v>2370</v>
      </c>
      <c r="E151" s="144" t="s">
        <v>2370</v>
      </c>
      <c r="F151" s="146" t="s">
        <v>2244</v>
      </c>
      <c r="G151" s="2" t="s">
        <v>2360</v>
      </c>
      <c r="H151" s="2" t="s">
        <v>2361</v>
      </c>
    </row>
    <row r="152" spans="1:8" ht="43.2" x14ac:dyDescent="0.3">
      <c r="A152" s="144" t="s">
        <v>343</v>
      </c>
      <c r="B152" s="144" t="s">
        <v>57</v>
      </c>
      <c r="C152" s="144" t="s">
        <v>2359</v>
      </c>
      <c r="D152" s="144" t="s">
        <v>2371</v>
      </c>
      <c r="E152" s="144" t="s">
        <v>2371</v>
      </c>
      <c r="F152" s="146" t="s">
        <v>2244</v>
      </c>
      <c r="G152" s="2" t="s">
        <v>2360</v>
      </c>
      <c r="H152" s="2" t="s">
        <v>2361</v>
      </c>
    </row>
    <row r="153" spans="1:8" ht="43.2" x14ac:dyDescent="0.3">
      <c r="A153" s="144" t="s">
        <v>343</v>
      </c>
      <c r="B153" s="144" t="s">
        <v>57</v>
      </c>
      <c r="C153" s="144" t="s">
        <v>2359</v>
      </c>
      <c r="D153" s="144" t="s">
        <v>2372</v>
      </c>
      <c r="E153" s="144" t="s">
        <v>2372</v>
      </c>
      <c r="F153" s="146" t="s">
        <v>2244</v>
      </c>
      <c r="G153" s="2" t="s">
        <v>2360</v>
      </c>
      <c r="H153" s="2" t="s">
        <v>2361</v>
      </c>
    </row>
    <row r="154" spans="1:8" ht="43.2" x14ac:dyDescent="0.3">
      <c r="A154" s="144" t="s">
        <v>343</v>
      </c>
      <c r="B154" s="144" t="s">
        <v>57</v>
      </c>
      <c r="C154" s="144" t="s">
        <v>2359</v>
      </c>
      <c r="D154" s="144" t="s">
        <v>2373</v>
      </c>
      <c r="E154" s="144" t="s">
        <v>2373</v>
      </c>
      <c r="F154" s="146" t="s">
        <v>2244</v>
      </c>
      <c r="G154" s="2" t="s">
        <v>2360</v>
      </c>
      <c r="H154" s="2" t="s">
        <v>2361</v>
      </c>
    </row>
    <row r="155" spans="1:8" ht="43.2" x14ac:dyDescent="0.3">
      <c r="A155" s="144" t="s">
        <v>343</v>
      </c>
      <c r="B155" s="144" t="s">
        <v>57</v>
      </c>
      <c r="C155" s="144" t="s">
        <v>2359</v>
      </c>
      <c r="D155" s="144" t="s">
        <v>793</v>
      </c>
      <c r="E155" s="144" t="s">
        <v>793</v>
      </c>
      <c r="F155" s="146" t="s">
        <v>2244</v>
      </c>
      <c r="G155" s="2" t="s">
        <v>2360</v>
      </c>
      <c r="H155" s="2" t="s">
        <v>2361</v>
      </c>
    </row>
    <row r="156" spans="1:8" ht="43.2" x14ac:dyDescent="0.3">
      <c r="A156" s="144" t="s">
        <v>343</v>
      </c>
      <c r="B156" s="144" t="s">
        <v>57</v>
      </c>
      <c r="C156" s="144" t="s">
        <v>2359</v>
      </c>
      <c r="D156" s="144" t="s">
        <v>1563</v>
      </c>
      <c r="E156" s="144" t="s">
        <v>1563</v>
      </c>
      <c r="F156" s="147" t="s">
        <v>2246</v>
      </c>
      <c r="G156" s="2" t="s">
        <v>2360</v>
      </c>
      <c r="H156" s="2" t="s">
        <v>2361</v>
      </c>
    </row>
    <row r="157" spans="1:8" ht="43.2" x14ac:dyDescent="0.3">
      <c r="A157" s="144" t="s">
        <v>343</v>
      </c>
      <c r="B157" s="144" t="s">
        <v>57</v>
      </c>
      <c r="C157" s="144" t="s">
        <v>2359</v>
      </c>
      <c r="D157" s="144" t="s">
        <v>2374</v>
      </c>
      <c r="E157" s="144" t="s">
        <v>2374</v>
      </c>
      <c r="F157" s="147" t="s">
        <v>2246</v>
      </c>
      <c r="G157" s="2" t="s">
        <v>2360</v>
      </c>
      <c r="H157" s="2" t="s">
        <v>2361</v>
      </c>
    </row>
    <row r="158" spans="1:8" ht="43.2" x14ac:dyDescent="0.3">
      <c r="A158" s="144" t="s">
        <v>343</v>
      </c>
      <c r="B158" s="144" t="s">
        <v>57</v>
      </c>
      <c r="C158" s="144" t="s">
        <v>2359</v>
      </c>
      <c r="D158" s="144" t="s">
        <v>2375</v>
      </c>
      <c r="E158" s="144" t="s">
        <v>2375</v>
      </c>
      <c r="F158" s="147" t="s">
        <v>2246</v>
      </c>
      <c r="G158" s="2" t="s">
        <v>2360</v>
      </c>
      <c r="H158" s="2" t="s">
        <v>2361</v>
      </c>
    </row>
    <row r="159" spans="1:8" ht="43.2" x14ac:dyDescent="0.3">
      <c r="A159" s="144" t="s">
        <v>343</v>
      </c>
      <c r="B159" s="144" t="s">
        <v>57</v>
      </c>
      <c r="C159" s="144" t="s">
        <v>2359</v>
      </c>
      <c r="D159" s="144" t="s">
        <v>2376</v>
      </c>
      <c r="E159" s="144" t="s">
        <v>2376</v>
      </c>
      <c r="F159" s="147" t="s">
        <v>2246</v>
      </c>
      <c r="G159" s="2" t="s">
        <v>2360</v>
      </c>
      <c r="H159" s="2" t="s">
        <v>2361</v>
      </c>
    </row>
    <row r="160" spans="1:8" ht="43.2" x14ac:dyDescent="0.3">
      <c r="A160" s="144" t="s">
        <v>343</v>
      </c>
      <c r="B160" s="144" t="s">
        <v>57</v>
      </c>
      <c r="C160" s="144" t="s">
        <v>2359</v>
      </c>
      <c r="D160" s="144" t="s">
        <v>2377</v>
      </c>
      <c r="E160" s="144" t="s">
        <v>2377</v>
      </c>
      <c r="F160" s="147" t="s">
        <v>2246</v>
      </c>
      <c r="G160" s="2" t="s">
        <v>2360</v>
      </c>
      <c r="H160" s="2" t="s">
        <v>2361</v>
      </c>
    </row>
    <row r="161" spans="1:8" ht="43.2" x14ac:dyDescent="0.3">
      <c r="A161" s="144" t="s">
        <v>343</v>
      </c>
      <c r="B161" s="144" t="s">
        <v>57</v>
      </c>
      <c r="C161" s="144" t="s">
        <v>2359</v>
      </c>
      <c r="D161" s="144" t="s">
        <v>2378</v>
      </c>
      <c r="E161" s="144" t="s">
        <v>2378</v>
      </c>
      <c r="F161" s="147" t="s">
        <v>2246</v>
      </c>
      <c r="G161" s="2" t="s">
        <v>2360</v>
      </c>
      <c r="H161" s="2" t="s">
        <v>2361</v>
      </c>
    </row>
    <row r="162" spans="1:8" ht="43.2" x14ac:dyDescent="0.3">
      <c r="A162" s="144" t="s">
        <v>343</v>
      </c>
      <c r="B162" s="144" t="s">
        <v>57</v>
      </c>
      <c r="C162" s="144" t="s">
        <v>2359</v>
      </c>
      <c r="D162" s="144" t="s">
        <v>2379</v>
      </c>
      <c r="E162" s="144" t="s">
        <v>2379</v>
      </c>
      <c r="F162" s="147" t="s">
        <v>2246</v>
      </c>
      <c r="G162" s="2" t="s">
        <v>2360</v>
      </c>
      <c r="H162" s="2" t="s">
        <v>2361</v>
      </c>
    </row>
    <row r="163" spans="1:8" ht="43.2" x14ac:dyDescent="0.3">
      <c r="A163" s="144" t="s">
        <v>343</v>
      </c>
      <c r="B163" s="144" t="s">
        <v>57</v>
      </c>
      <c r="C163" s="144" t="s">
        <v>2359</v>
      </c>
      <c r="D163" s="144" t="s">
        <v>2380</v>
      </c>
      <c r="E163" s="144" t="s">
        <v>2380</v>
      </c>
      <c r="F163" s="147" t="s">
        <v>2246</v>
      </c>
      <c r="G163" s="2" t="s">
        <v>2360</v>
      </c>
      <c r="H163" s="2" t="s">
        <v>2361</v>
      </c>
    </row>
    <row r="164" spans="1:8" ht="43.2" x14ac:dyDescent="0.3">
      <c r="A164" s="144" t="s">
        <v>343</v>
      </c>
      <c r="B164" s="144" t="s">
        <v>57</v>
      </c>
      <c r="C164" s="144" t="s">
        <v>2359</v>
      </c>
      <c r="D164" s="144" t="s">
        <v>2381</v>
      </c>
      <c r="E164" s="144" t="s">
        <v>2381</v>
      </c>
      <c r="F164" s="147" t="s">
        <v>2246</v>
      </c>
      <c r="G164" s="2" t="s">
        <v>2360</v>
      </c>
      <c r="H164" s="2" t="s">
        <v>2361</v>
      </c>
    </row>
    <row r="165" spans="1:8" ht="43.2" x14ac:dyDescent="0.3">
      <c r="A165" s="144" t="s">
        <v>343</v>
      </c>
      <c r="B165" s="144" t="s">
        <v>57</v>
      </c>
      <c r="C165" s="144" t="s">
        <v>2359</v>
      </c>
      <c r="D165" s="144" t="s">
        <v>2382</v>
      </c>
      <c r="E165" s="144" t="s">
        <v>2382</v>
      </c>
      <c r="F165" s="147" t="s">
        <v>2246</v>
      </c>
      <c r="G165" s="2" t="s">
        <v>2360</v>
      </c>
      <c r="H165" s="2" t="s">
        <v>2361</v>
      </c>
    </row>
    <row r="166" spans="1:8" ht="43.2" x14ac:dyDescent="0.3">
      <c r="A166" s="144" t="s">
        <v>343</v>
      </c>
      <c r="B166" s="144" t="s">
        <v>57</v>
      </c>
      <c r="C166" s="144" t="s">
        <v>2359</v>
      </c>
      <c r="D166" s="144" t="s">
        <v>2383</v>
      </c>
      <c r="E166" s="144" t="s">
        <v>2383</v>
      </c>
      <c r="F166" s="147" t="s">
        <v>2246</v>
      </c>
      <c r="G166" s="2" t="s">
        <v>2360</v>
      </c>
      <c r="H166" s="2" t="s">
        <v>2361</v>
      </c>
    </row>
    <row r="167" spans="1:8" ht="43.2" x14ac:dyDescent="0.3">
      <c r="A167" s="144" t="s">
        <v>343</v>
      </c>
      <c r="B167" s="144" t="s">
        <v>57</v>
      </c>
      <c r="C167" s="144" t="s">
        <v>2359</v>
      </c>
      <c r="D167" s="144" t="s">
        <v>2384</v>
      </c>
      <c r="E167" s="144" t="s">
        <v>2384</v>
      </c>
      <c r="F167" s="147" t="s">
        <v>2246</v>
      </c>
      <c r="G167" s="2" t="s">
        <v>2360</v>
      </c>
      <c r="H167" s="2" t="s">
        <v>2361</v>
      </c>
    </row>
    <row r="168" spans="1:8" ht="43.2" x14ac:dyDescent="0.3">
      <c r="A168" s="144" t="s">
        <v>343</v>
      </c>
      <c r="B168" s="144" t="s">
        <v>57</v>
      </c>
      <c r="C168" s="144" t="s">
        <v>2359</v>
      </c>
      <c r="D168" s="144" t="s">
        <v>2385</v>
      </c>
      <c r="E168" s="144" t="s">
        <v>2385</v>
      </c>
      <c r="F168" s="148" t="s">
        <v>2248</v>
      </c>
      <c r="G168" s="2" t="s">
        <v>2360</v>
      </c>
      <c r="H168" s="2" t="s">
        <v>2361</v>
      </c>
    </row>
    <row r="169" spans="1:8" ht="43.2" x14ac:dyDescent="0.3">
      <c r="A169" s="144" t="s">
        <v>343</v>
      </c>
      <c r="B169" s="144" t="s">
        <v>57</v>
      </c>
      <c r="C169" s="144" t="s">
        <v>2359</v>
      </c>
      <c r="D169" s="144" t="s">
        <v>2290</v>
      </c>
      <c r="E169" s="144" t="s">
        <v>2290</v>
      </c>
      <c r="F169" s="148" t="s">
        <v>2248</v>
      </c>
      <c r="G169" s="2" t="s">
        <v>2360</v>
      </c>
      <c r="H169" s="2" t="s">
        <v>2361</v>
      </c>
    </row>
    <row r="170" spans="1:8" ht="43.2" x14ac:dyDescent="0.3">
      <c r="A170" s="144" t="s">
        <v>343</v>
      </c>
      <c r="B170" s="144" t="s">
        <v>57</v>
      </c>
      <c r="C170" s="144" t="s">
        <v>2359</v>
      </c>
      <c r="D170" s="144" t="s">
        <v>2386</v>
      </c>
      <c r="E170" s="144" t="s">
        <v>2386</v>
      </c>
      <c r="F170" s="148" t="s">
        <v>2248</v>
      </c>
      <c r="G170" s="2" t="s">
        <v>2360</v>
      </c>
      <c r="H170" s="2" t="s">
        <v>2361</v>
      </c>
    </row>
    <row r="171" spans="1:8" ht="43.2" x14ac:dyDescent="0.3">
      <c r="A171" s="144" t="s">
        <v>343</v>
      </c>
      <c r="B171" s="144" t="s">
        <v>57</v>
      </c>
      <c r="C171" s="144" t="s">
        <v>2359</v>
      </c>
      <c r="D171" s="144" t="s">
        <v>2387</v>
      </c>
      <c r="E171" s="144" t="s">
        <v>2387</v>
      </c>
      <c r="F171" s="148" t="s">
        <v>2248</v>
      </c>
      <c r="G171" s="2" t="s">
        <v>2360</v>
      </c>
      <c r="H171" s="2" t="s">
        <v>2361</v>
      </c>
    </row>
    <row r="172" spans="1:8" ht="43.2" x14ac:dyDescent="0.3">
      <c r="A172" s="144" t="s">
        <v>343</v>
      </c>
      <c r="B172" s="144" t="s">
        <v>57</v>
      </c>
      <c r="C172" s="144" t="s">
        <v>2359</v>
      </c>
      <c r="D172" s="144" t="s">
        <v>1571</v>
      </c>
      <c r="E172" s="144" t="s">
        <v>1571</v>
      </c>
      <c r="F172" s="148" t="s">
        <v>2248</v>
      </c>
      <c r="G172" s="2" t="s">
        <v>2360</v>
      </c>
      <c r="H172" s="2" t="s">
        <v>2361</v>
      </c>
    </row>
    <row r="173" spans="1:8" ht="43.2" x14ac:dyDescent="0.3">
      <c r="A173" s="144" t="s">
        <v>343</v>
      </c>
      <c r="B173" s="144" t="s">
        <v>57</v>
      </c>
      <c r="C173" s="144" t="s">
        <v>2359</v>
      </c>
      <c r="D173" s="144" t="s">
        <v>2388</v>
      </c>
      <c r="E173" s="144" t="s">
        <v>2388</v>
      </c>
      <c r="F173" s="148" t="s">
        <v>2248</v>
      </c>
      <c r="G173" s="2" t="s">
        <v>2360</v>
      </c>
      <c r="H173" s="2" t="s">
        <v>2361</v>
      </c>
    </row>
    <row r="174" spans="1:8" ht="43.2" x14ac:dyDescent="0.3">
      <c r="A174" s="144" t="s">
        <v>343</v>
      </c>
      <c r="B174" s="144" t="s">
        <v>57</v>
      </c>
      <c r="C174" s="144" t="s">
        <v>2359</v>
      </c>
      <c r="D174" s="144" t="s">
        <v>2389</v>
      </c>
      <c r="E174" s="144" t="s">
        <v>2389</v>
      </c>
      <c r="F174" s="148" t="s">
        <v>2248</v>
      </c>
      <c r="G174" s="2" t="s">
        <v>2360</v>
      </c>
      <c r="H174" s="2" t="s">
        <v>2361</v>
      </c>
    </row>
    <row r="175" spans="1:8" ht="43.2" x14ac:dyDescent="0.3">
      <c r="A175" s="144" t="s">
        <v>343</v>
      </c>
      <c r="B175" s="144" t="s">
        <v>57</v>
      </c>
      <c r="C175" s="144" t="s">
        <v>2359</v>
      </c>
      <c r="D175" s="144" t="s">
        <v>2390</v>
      </c>
      <c r="E175" s="144" t="s">
        <v>2390</v>
      </c>
      <c r="F175" s="148" t="s">
        <v>2248</v>
      </c>
      <c r="G175" s="2" t="s">
        <v>2360</v>
      </c>
      <c r="H175" s="2" t="s">
        <v>2361</v>
      </c>
    </row>
    <row r="176" spans="1:8" ht="43.2" x14ac:dyDescent="0.3">
      <c r="A176" s="144" t="s">
        <v>343</v>
      </c>
      <c r="B176" s="144" t="s">
        <v>57</v>
      </c>
      <c r="C176" s="144" t="s">
        <v>2359</v>
      </c>
      <c r="D176" s="144" t="s">
        <v>2391</v>
      </c>
      <c r="E176" s="144" t="s">
        <v>2391</v>
      </c>
      <c r="F176" s="149" t="s">
        <v>2250</v>
      </c>
      <c r="G176" s="2" t="s">
        <v>2360</v>
      </c>
      <c r="H176" s="2" t="s">
        <v>2361</v>
      </c>
    </row>
    <row r="177" spans="1:8" ht="43.2" x14ac:dyDescent="0.3">
      <c r="A177" s="144" t="s">
        <v>343</v>
      </c>
      <c r="B177" s="144" t="s">
        <v>57</v>
      </c>
      <c r="C177" s="144" t="s">
        <v>2359</v>
      </c>
      <c r="D177" s="144" t="s">
        <v>677</v>
      </c>
      <c r="E177" s="144" t="s">
        <v>677</v>
      </c>
      <c r="F177" s="149" t="s">
        <v>2250</v>
      </c>
      <c r="G177" s="2" t="s">
        <v>2360</v>
      </c>
      <c r="H177" s="2" t="s">
        <v>2361</v>
      </c>
    </row>
    <row r="178" spans="1:8" ht="43.2" x14ac:dyDescent="0.3">
      <c r="A178" s="144" t="s">
        <v>343</v>
      </c>
      <c r="B178" s="144" t="s">
        <v>57</v>
      </c>
      <c r="C178" s="144" t="s">
        <v>2359</v>
      </c>
      <c r="D178" s="144" t="s">
        <v>725</v>
      </c>
      <c r="E178" s="144" t="s">
        <v>725</v>
      </c>
      <c r="F178" s="149" t="s">
        <v>2250</v>
      </c>
      <c r="G178" s="2" t="s">
        <v>2360</v>
      </c>
      <c r="H178" s="2" t="s">
        <v>2361</v>
      </c>
    </row>
    <row r="179" spans="1:8" ht="43.2" x14ac:dyDescent="0.3">
      <c r="A179" s="144" t="s">
        <v>343</v>
      </c>
      <c r="B179" s="144" t="s">
        <v>57</v>
      </c>
      <c r="C179" s="144" t="s">
        <v>2359</v>
      </c>
      <c r="D179" s="144" t="s">
        <v>2392</v>
      </c>
      <c r="E179" s="144" t="s">
        <v>2392</v>
      </c>
      <c r="F179" s="149" t="s">
        <v>2250</v>
      </c>
      <c r="G179" s="2" t="s">
        <v>2360</v>
      </c>
      <c r="H179" s="2" t="s">
        <v>2361</v>
      </c>
    </row>
    <row r="180" spans="1:8" ht="43.2" x14ac:dyDescent="0.3">
      <c r="A180" s="144" t="s">
        <v>343</v>
      </c>
      <c r="B180" s="144" t="s">
        <v>57</v>
      </c>
      <c r="C180" s="144" t="s">
        <v>2359</v>
      </c>
      <c r="D180" s="144" t="s">
        <v>2393</v>
      </c>
      <c r="E180" s="144" t="s">
        <v>2393</v>
      </c>
      <c r="F180" s="149" t="s">
        <v>2250</v>
      </c>
      <c r="G180" s="2" t="s">
        <v>2360</v>
      </c>
      <c r="H180" s="2" t="s">
        <v>2361</v>
      </c>
    </row>
    <row r="181" spans="1:8" ht="43.2" x14ac:dyDescent="0.3">
      <c r="A181" s="144" t="s">
        <v>343</v>
      </c>
      <c r="B181" s="144" t="s">
        <v>57</v>
      </c>
      <c r="C181" s="144" t="s">
        <v>2359</v>
      </c>
      <c r="D181" s="144" t="s">
        <v>1571</v>
      </c>
      <c r="E181" s="144" t="s">
        <v>1571</v>
      </c>
      <c r="F181" s="149" t="s">
        <v>2250</v>
      </c>
      <c r="G181" s="2" t="s">
        <v>2360</v>
      </c>
      <c r="H181" s="2" t="s">
        <v>2361</v>
      </c>
    </row>
    <row r="182" spans="1:8" ht="43.2" x14ac:dyDescent="0.3">
      <c r="A182" s="144" t="s">
        <v>343</v>
      </c>
      <c r="B182" s="144" t="s">
        <v>57</v>
      </c>
      <c r="C182" s="144" t="s">
        <v>2359</v>
      </c>
      <c r="D182" s="144" t="s">
        <v>2394</v>
      </c>
      <c r="E182" s="144" t="s">
        <v>2394</v>
      </c>
      <c r="F182" s="149" t="s">
        <v>2250</v>
      </c>
      <c r="G182" s="2" t="s">
        <v>2360</v>
      </c>
      <c r="H182" s="2" t="s">
        <v>2361</v>
      </c>
    </row>
    <row r="183" spans="1:8" ht="43.2" x14ac:dyDescent="0.3">
      <c r="A183" s="144" t="s">
        <v>343</v>
      </c>
      <c r="B183" s="144" t="s">
        <v>57</v>
      </c>
      <c r="C183" s="144" t="s">
        <v>2359</v>
      </c>
      <c r="D183" s="144" t="s">
        <v>2301</v>
      </c>
      <c r="E183" s="144" t="s">
        <v>2301</v>
      </c>
      <c r="F183" s="149" t="s">
        <v>2250</v>
      </c>
      <c r="G183" s="2" t="s">
        <v>2360</v>
      </c>
      <c r="H183" s="2" t="s">
        <v>2361</v>
      </c>
    </row>
    <row r="184" spans="1:8" ht="43.2" x14ac:dyDescent="0.3">
      <c r="A184" s="144" t="s">
        <v>343</v>
      </c>
      <c r="B184" s="144" t="s">
        <v>57</v>
      </c>
      <c r="C184" s="144" t="s">
        <v>2359</v>
      </c>
      <c r="D184" s="144" t="s">
        <v>2395</v>
      </c>
      <c r="E184" s="144" t="s">
        <v>2395</v>
      </c>
      <c r="F184" s="149" t="s">
        <v>2250</v>
      </c>
      <c r="G184" s="2" t="s">
        <v>2360</v>
      </c>
      <c r="H184" s="2" t="s">
        <v>2361</v>
      </c>
    </row>
    <row r="185" spans="1:8" ht="43.2" x14ac:dyDescent="0.3">
      <c r="A185" s="144" t="s">
        <v>343</v>
      </c>
      <c r="B185" s="144" t="s">
        <v>57</v>
      </c>
      <c r="C185" s="144" t="s">
        <v>2359</v>
      </c>
      <c r="D185" s="144" t="s">
        <v>2396</v>
      </c>
      <c r="E185" s="144" t="s">
        <v>2396</v>
      </c>
      <c r="F185" s="150" t="s">
        <v>2252</v>
      </c>
      <c r="G185" s="2" t="s">
        <v>2360</v>
      </c>
      <c r="H185" s="2" t="s">
        <v>2361</v>
      </c>
    </row>
    <row r="186" spans="1:8" ht="43.2" x14ac:dyDescent="0.3">
      <c r="A186" s="144" t="s">
        <v>343</v>
      </c>
      <c r="B186" s="144" t="s">
        <v>57</v>
      </c>
      <c r="C186" s="144" t="s">
        <v>2359</v>
      </c>
      <c r="D186" s="144" t="s">
        <v>2397</v>
      </c>
      <c r="E186" s="144" t="s">
        <v>2397</v>
      </c>
      <c r="F186" s="150" t="s">
        <v>2252</v>
      </c>
      <c r="G186" s="2" t="s">
        <v>2360</v>
      </c>
      <c r="H186" s="2" t="s">
        <v>2361</v>
      </c>
    </row>
    <row r="187" spans="1:8" ht="43.2" x14ac:dyDescent="0.3">
      <c r="A187" s="144" t="s">
        <v>343</v>
      </c>
      <c r="B187" s="144" t="s">
        <v>57</v>
      </c>
      <c r="C187" s="144" t="s">
        <v>2359</v>
      </c>
      <c r="D187" s="144" t="s">
        <v>883</v>
      </c>
      <c r="E187" s="144" t="s">
        <v>883</v>
      </c>
      <c r="F187" s="150" t="s">
        <v>2252</v>
      </c>
      <c r="G187" s="2" t="s">
        <v>2360</v>
      </c>
      <c r="H187" s="2" t="s">
        <v>2361</v>
      </c>
    </row>
    <row r="188" spans="1:8" ht="43.2" x14ac:dyDescent="0.3">
      <c r="A188" s="144" t="s">
        <v>343</v>
      </c>
      <c r="B188" s="144" t="s">
        <v>57</v>
      </c>
      <c r="C188" s="144" t="s">
        <v>2359</v>
      </c>
      <c r="D188" s="144" t="s">
        <v>1050</v>
      </c>
      <c r="E188" s="144" t="s">
        <v>1050</v>
      </c>
      <c r="F188" s="150" t="s">
        <v>2252</v>
      </c>
      <c r="G188" s="2" t="s">
        <v>2360</v>
      </c>
      <c r="H188" s="2" t="s">
        <v>2361</v>
      </c>
    </row>
    <row r="189" spans="1:8" ht="43.2" x14ac:dyDescent="0.3">
      <c r="A189" s="144" t="s">
        <v>343</v>
      </c>
      <c r="B189" s="144" t="s">
        <v>57</v>
      </c>
      <c r="C189" s="144" t="s">
        <v>2359</v>
      </c>
      <c r="D189" s="144" t="s">
        <v>2398</v>
      </c>
      <c r="E189" s="144" t="s">
        <v>2398</v>
      </c>
      <c r="F189" s="150" t="s">
        <v>2252</v>
      </c>
      <c r="G189" s="2" t="s">
        <v>2360</v>
      </c>
      <c r="H189" s="2" t="s">
        <v>2361</v>
      </c>
    </row>
    <row r="190" spans="1:8" ht="43.2" x14ac:dyDescent="0.3">
      <c r="A190" s="144" t="s">
        <v>343</v>
      </c>
      <c r="B190" s="144" t="s">
        <v>57</v>
      </c>
      <c r="C190" s="144" t="s">
        <v>2359</v>
      </c>
      <c r="D190" s="144" t="s">
        <v>2399</v>
      </c>
      <c r="E190" s="144" t="s">
        <v>2399</v>
      </c>
      <c r="F190" s="150" t="s">
        <v>2252</v>
      </c>
      <c r="G190" s="2" t="s">
        <v>2360</v>
      </c>
      <c r="H190" s="2" t="s">
        <v>2361</v>
      </c>
    </row>
    <row r="191" spans="1:8" ht="43.2" x14ac:dyDescent="0.3">
      <c r="A191" s="144" t="s">
        <v>343</v>
      </c>
      <c r="B191" s="144" t="s">
        <v>57</v>
      </c>
      <c r="C191" s="144" t="s">
        <v>2359</v>
      </c>
      <c r="D191" s="144" t="s">
        <v>2400</v>
      </c>
      <c r="E191" s="144" t="s">
        <v>2400</v>
      </c>
      <c r="F191" s="150" t="s">
        <v>2252</v>
      </c>
      <c r="G191" s="2" t="s">
        <v>2360</v>
      </c>
      <c r="H191" s="2" t="s">
        <v>2361</v>
      </c>
    </row>
    <row r="192" spans="1:8" ht="43.2" x14ac:dyDescent="0.3">
      <c r="A192" s="144" t="s">
        <v>343</v>
      </c>
      <c r="B192" s="144" t="s">
        <v>57</v>
      </c>
      <c r="C192" s="144" t="s">
        <v>2359</v>
      </c>
      <c r="D192" s="144" t="s">
        <v>2401</v>
      </c>
      <c r="E192" s="144" t="s">
        <v>2401</v>
      </c>
      <c r="F192" s="150" t="s">
        <v>2252</v>
      </c>
      <c r="G192" s="2" t="s">
        <v>2360</v>
      </c>
      <c r="H192" s="2" t="s">
        <v>2361</v>
      </c>
    </row>
    <row r="193" spans="1:8" ht="43.2" x14ac:dyDescent="0.3">
      <c r="A193" s="144" t="s">
        <v>343</v>
      </c>
      <c r="B193" s="144" t="s">
        <v>57</v>
      </c>
      <c r="C193" s="144" t="s">
        <v>2359</v>
      </c>
      <c r="D193" s="144" t="s">
        <v>2402</v>
      </c>
      <c r="E193" s="144" t="s">
        <v>2402</v>
      </c>
      <c r="F193" s="150" t="s">
        <v>2252</v>
      </c>
      <c r="G193" s="2" t="s">
        <v>2360</v>
      </c>
      <c r="H193" s="2" t="s">
        <v>2361</v>
      </c>
    </row>
    <row r="194" spans="1:8" ht="43.2" x14ac:dyDescent="0.3">
      <c r="A194" s="144" t="s">
        <v>343</v>
      </c>
      <c r="B194" s="144" t="s">
        <v>57</v>
      </c>
      <c r="C194" s="144" t="s">
        <v>2359</v>
      </c>
      <c r="D194" s="144" t="s">
        <v>2403</v>
      </c>
      <c r="E194" s="144" t="s">
        <v>2403</v>
      </c>
      <c r="F194" s="150" t="s">
        <v>2252</v>
      </c>
      <c r="G194" s="2" t="s">
        <v>2360</v>
      </c>
      <c r="H194" s="2" t="s">
        <v>2361</v>
      </c>
    </row>
    <row r="195" spans="1:8" ht="43.2" x14ac:dyDescent="0.3">
      <c r="A195" s="144" t="s">
        <v>343</v>
      </c>
      <c r="B195" s="144" t="s">
        <v>57</v>
      </c>
      <c r="C195" s="144" t="s">
        <v>2359</v>
      </c>
      <c r="D195" s="144" t="s">
        <v>884</v>
      </c>
      <c r="E195" s="144" t="s">
        <v>884</v>
      </c>
      <c r="F195" s="150" t="s">
        <v>2252</v>
      </c>
      <c r="G195" s="2" t="s">
        <v>2360</v>
      </c>
      <c r="H195" s="2" t="s">
        <v>2361</v>
      </c>
    </row>
    <row r="196" spans="1:8" ht="43.2" x14ac:dyDescent="0.3">
      <c r="A196" s="144" t="s">
        <v>343</v>
      </c>
      <c r="B196" s="144" t="s">
        <v>57</v>
      </c>
      <c r="C196" s="144" t="s">
        <v>2359</v>
      </c>
      <c r="D196" s="144" t="s">
        <v>886</v>
      </c>
      <c r="E196" s="144" t="s">
        <v>886</v>
      </c>
      <c r="F196" s="150" t="s">
        <v>2252</v>
      </c>
      <c r="G196" s="2" t="s">
        <v>2360</v>
      </c>
      <c r="H196" s="2" t="s">
        <v>2361</v>
      </c>
    </row>
    <row r="197" spans="1:8" ht="43.2" x14ac:dyDescent="0.3">
      <c r="A197" s="144" t="s">
        <v>343</v>
      </c>
      <c r="B197" s="144" t="s">
        <v>57</v>
      </c>
      <c r="C197" s="144" t="s">
        <v>2359</v>
      </c>
      <c r="D197" s="144" t="s">
        <v>2404</v>
      </c>
      <c r="E197" s="144" t="s">
        <v>2404</v>
      </c>
      <c r="F197" s="150" t="s">
        <v>2252</v>
      </c>
      <c r="G197" s="2" t="s">
        <v>2360</v>
      </c>
      <c r="H197" s="2" t="s">
        <v>2361</v>
      </c>
    </row>
    <row r="198" spans="1:8" ht="43.2" x14ac:dyDescent="0.3">
      <c r="A198" s="144" t="s">
        <v>343</v>
      </c>
      <c r="B198" s="144" t="s">
        <v>57</v>
      </c>
      <c r="C198" s="144" t="s">
        <v>2359</v>
      </c>
      <c r="D198" s="144" t="s">
        <v>885</v>
      </c>
      <c r="E198" s="144" t="s">
        <v>885</v>
      </c>
      <c r="F198" s="150" t="s">
        <v>2252</v>
      </c>
      <c r="G198" s="2" t="s">
        <v>2360</v>
      </c>
      <c r="H198" s="2" t="s">
        <v>2361</v>
      </c>
    </row>
    <row r="199" spans="1:8" ht="43.2" x14ac:dyDescent="0.3">
      <c r="A199" s="144" t="s">
        <v>343</v>
      </c>
      <c r="B199" s="144" t="s">
        <v>57</v>
      </c>
      <c r="C199" s="144" t="s">
        <v>2359</v>
      </c>
      <c r="D199" s="144" t="s">
        <v>2405</v>
      </c>
      <c r="E199" s="144" t="s">
        <v>2405</v>
      </c>
      <c r="F199" s="150" t="s">
        <v>2252</v>
      </c>
      <c r="G199" s="2" t="s">
        <v>2360</v>
      </c>
      <c r="H199" s="2" t="s">
        <v>2361</v>
      </c>
    </row>
    <row r="200" spans="1:8" ht="43.2" x14ac:dyDescent="0.3">
      <c r="A200" s="144" t="s">
        <v>343</v>
      </c>
      <c r="B200" s="144" t="s">
        <v>57</v>
      </c>
      <c r="C200" s="144" t="s">
        <v>2359</v>
      </c>
      <c r="D200" s="144" t="s">
        <v>2406</v>
      </c>
      <c r="E200" s="144" t="s">
        <v>2406</v>
      </c>
      <c r="F200" s="150" t="s">
        <v>2252</v>
      </c>
      <c r="G200" s="2" t="s">
        <v>2360</v>
      </c>
      <c r="H200" s="2" t="s">
        <v>2361</v>
      </c>
    </row>
    <row r="201" spans="1:8" ht="28.8" x14ac:dyDescent="0.3">
      <c r="A201" s="144" t="s">
        <v>345</v>
      </c>
      <c r="B201" s="144" t="s">
        <v>63</v>
      </c>
      <c r="C201" s="144" t="s">
        <v>2407</v>
      </c>
      <c r="D201" s="144" t="s">
        <v>345</v>
      </c>
      <c r="E201" s="144" t="s">
        <v>345</v>
      </c>
      <c r="F201" s="145" t="s">
        <v>2242</v>
      </c>
      <c r="G201" s="2" t="s">
        <v>2408</v>
      </c>
      <c r="H201" s="2" t="s">
        <v>2409</v>
      </c>
    </row>
    <row r="202" spans="1:8" ht="28.8" x14ac:dyDescent="0.3">
      <c r="A202" s="144" t="s">
        <v>345</v>
      </c>
      <c r="B202" s="144" t="s">
        <v>63</v>
      </c>
      <c r="C202" s="144" t="s">
        <v>2407</v>
      </c>
      <c r="D202" s="144" t="s">
        <v>2410</v>
      </c>
      <c r="E202" s="144" t="s">
        <v>2410</v>
      </c>
      <c r="F202" s="145" t="s">
        <v>2242</v>
      </c>
      <c r="G202" s="2" t="s">
        <v>2408</v>
      </c>
      <c r="H202" s="2" t="s">
        <v>2409</v>
      </c>
    </row>
    <row r="203" spans="1:8" ht="28.8" x14ac:dyDescent="0.3">
      <c r="A203" s="144" t="s">
        <v>345</v>
      </c>
      <c r="B203" s="144" t="s">
        <v>63</v>
      </c>
      <c r="C203" s="144" t="s">
        <v>2407</v>
      </c>
      <c r="D203" s="144" t="s">
        <v>708</v>
      </c>
      <c r="E203" s="144" t="s">
        <v>708</v>
      </c>
      <c r="F203" s="145" t="s">
        <v>2242</v>
      </c>
      <c r="G203" s="2" t="s">
        <v>2408</v>
      </c>
      <c r="H203" s="2" t="s">
        <v>2409</v>
      </c>
    </row>
    <row r="204" spans="1:8" ht="28.8" x14ac:dyDescent="0.3">
      <c r="A204" s="144" t="s">
        <v>345</v>
      </c>
      <c r="B204" s="144" t="s">
        <v>63</v>
      </c>
      <c r="C204" s="144" t="s">
        <v>2407</v>
      </c>
      <c r="D204" s="144" t="s">
        <v>872</v>
      </c>
      <c r="E204" s="144" t="s">
        <v>872</v>
      </c>
      <c r="F204" s="145" t="s">
        <v>2242</v>
      </c>
      <c r="G204" s="2" t="s">
        <v>2408</v>
      </c>
      <c r="H204" s="2" t="s">
        <v>2409</v>
      </c>
    </row>
    <row r="205" spans="1:8" ht="28.8" x14ac:dyDescent="0.3">
      <c r="A205" s="144" t="s">
        <v>345</v>
      </c>
      <c r="B205" s="144" t="s">
        <v>63</v>
      </c>
      <c r="C205" s="144" t="s">
        <v>2407</v>
      </c>
      <c r="D205" s="144" t="s">
        <v>2411</v>
      </c>
      <c r="E205" s="144" t="s">
        <v>2411</v>
      </c>
      <c r="F205" s="146" t="s">
        <v>2244</v>
      </c>
      <c r="G205" s="2" t="s">
        <v>2408</v>
      </c>
      <c r="H205" s="2" t="s">
        <v>2409</v>
      </c>
    </row>
    <row r="206" spans="1:8" ht="28.8" x14ac:dyDescent="0.3">
      <c r="A206" s="144" t="s">
        <v>345</v>
      </c>
      <c r="B206" s="144" t="s">
        <v>63</v>
      </c>
      <c r="C206" s="144" t="s">
        <v>2407</v>
      </c>
      <c r="D206" s="144" t="s">
        <v>1579</v>
      </c>
      <c r="E206" s="144" t="s">
        <v>1579</v>
      </c>
      <c r="F206" s="146" t="s">
        <v>2244</v>
      </c>
      <c r="G206" s="2" t="s">
        <v>2408</v>
      </c>
      <c r="H206" s="2" t="s">
        <v>2409</v>
      </c>
    </row>
    <row r="207" spans="1:8" ht="28.8" x14ac:dyDescent="0.3">
      <c r="A207" s="144" t="s">
        <v>345</v>
      </c>
      <c r="B207" s="144" t="s">
        <v>63</v>
      </c>
      <c r="C207" s="144" t="s">
        <v>2407</v>
      </c>
      <c r="D207" s="144" t="s">
        <v>2412</v>
      </c>
      <c r="E207" s="144" t="s">
        <v>2412</v>
      </c>
      <c r="F207" s="146" t="s">
        <v>2244</v>
      </c>
      <c r="G207" s="2" t="s">
        <v>2408</v>
      </c>
      <c r="H207" s="2" t="s">
        <v>2409</v>
      </c>
    </row>
    <row r="208" spans="1:8" ht="28.8" x14ac:dyDescent="0.3">
      <c r="A208" s="144" t="s">
        <v>345</v>
      </c>
      <c r="B208" s="144" t="s">
        <v>63</v>
      </c>
      <c r="C208" s="144" t="s">
        <v>2407</v>
      </c>
      <c r="D208" s="144" t="s">
        <v>2413</v>
      </c>
      <c r="E208" s="144" t="s">
        <v>2413</v>
      </c>
      <c r="F208" s="146" t="s">
        <v>2244</v>
      </c>
      <c r="G208" s="2" t="s">
        <v>2408</v>
      </c>
      <c r="H208" s="2" t="s">
        <v>2409</v>
      </c>
    </row>
    <row r="209" spans="1:8" ht="28.8" x14ac:dyDescent="0.3">
      <c r="A209" s="144" t="s">
        <v>345</v>
      </c>
      <c r="B209" s="144" t="s">
        <v>63</v>
      </c>
      <c r="C209" s="144" t="s">
        <v>2407</v>
      </c>
      <c r="D209" s="144" t="s">
        <v>1594</v>
      </c>
      <c r="E209" s="144" t="s">
        <v>1594</v>
      </c>
      <c r="F209" s="146" t="s">
        <v>2244</v>
      </c>
      <c r="G209" s="2" t="s">
        <v>2408</v>
      </c>
      <c r="H209" s="2" t="s">
        <v>2409</v>
      </c>
    </row>
    <row r="210" spans="1:8" ht="28.8" x14ac:dyDescent="0.3">
      <c r="A210" s="144" t="s">
        <v>345</v>
      </c>
      <c r="B210" s="144" t="s">
        <v>63</v>
      </c>
      <c r="C210" s="144" t="s">
        <v>2407</v>
      </c>
      <c r="D210" s="144" t="s">
        <v>2301</v>
      </c>
      <c r="E210" s="144" t="s">
        <v>2301</v>
      </c>
      <c r="F210" s="146" t="s">
        <v>2244</v>
      </c>
      <c r="G210" s="2" t="s">
        <v>2408</v>
      </c>
      <c r="H210" s="2" t="s">
        <v>2409</v>
      </c>
    </row>
    <row r="211" spans="1:8" ht="28.8" x14ac:dyDescent="0.3">
      <c r="A211" s="144" t="s">
        <v>345</v>
      </c>
      <c r="B211" s="144" t="s">
        <v>63</v>
      </c>
      <c r="C211" s="144" t="s">
        <v>2407</v>
      </c>
      <c r="D211" s="144" t="s">
        <v>2370</v>
      </c>
      <c r="E211" s="144" t="s">
        <v>2370</v>
      </c>
      <c r="F211" s="146" t="s">
        <v>2244</v>
      </c>
      <c r="G211" s="2" t="s">
        <v>2408</v>
      </c>
      <c r="H211" s="2" t="s">
        <v>2409</v>
      </c>
    </row>
    <row r="212" spans="1:8" ht="28.8" x14ac:dyDescent="0.3">
      <c r="A212" s="144" t="s">
        <v>345</v>
      </c>
      <c r="B212" s="144" t="s">
        <v>63</v>
      </c>
      <c r="C212" s="144" t="s">
        <v>2407</v>
      </c>
      <c r="D212" s="144" t="s">
        <v>2414</v>
      </c>
      <c r="E212" s="144" t="s">
        <v>2414</v>
      </c>
      <c r="F212" s="146" t="s">
        <v>2244</v>
      </c>
      <c r="G212" s="2" t="s">
        <v>2408</v>
      </c>
      <c r="H212" s="2" t="s">
        <v>2409</v>
      </c>
    </row>
    <row r="213" spans="1:8" ht="28.8" x14ac:dyDescent="0.3">
      <c r="A213" s="144" t="s">
        <v>345</v>
      </c>
      <c r="B213" s="144" t="s">
        <v>63</v>
      </c>
      <c r="C213" s="144" t="s">
        <v>2407</v>
      </c>
      <c r="D213" s="144" t="s">
        <v>1577</v>
      </c>
      <c r="E213" s="144" t="s">
        <v>1577</v>
      </c>
      <c r="F213" s="146" t="s">
        <v>2244</v>
      </c>
      <c r="G213" s="2" t="s">
        <v>2408</v>
      </c>
      <c r="H213" s="2" t="s">
        <v>2409</v>
      </c>
    </row>
    <row r="214" spans="1:8" ht="28.8" x14ac:dyDescent="0.3">
      <c r="A214" s="144" t="s">
        <v>345</v>
      </c>
      <c r="B214" s="144" t="s">
        <v>63</v>
      </c>
      <c r="C214" s="144" t="s">
        <v>2407</v>
      </c>
      <c r="D214" s="144" t="s">
        <v>2415</v>
      </c>
      <c r="E214" s="144" t="s">
        <v>2415</v>
      </c>
      <c r="F214" s="146" t="s">
        <v>2244</v>
      </c>
      <c r="G214" s="2" t="s">
        <v>2408</v>
      </c>
      <c r="H214" s="2" t="s">
        <v>2409</v>
      </c>
    </row>
    <row r="215" spans="1:8" ht="28.8" x14ac:dyDescent="0.3">
      <c r="A215" s="144" t="s">
        <v>345</v>
      </c>
      <c r="B215" s="144" t="s">
        <v>63</v>
      </c>
      <c r="C215" s="144" t="s">
        <v>2407</v>
      </c>
      <c r="D215" s="144" t="s">
        <v>2416</v>
      </c>
      <c r="E215" s="144" t="s">
        <v>2416</v>
      </c>
      <c r="F215" s="146" t="s">
        <v>2244</v>
      </c>
      <c r="G215" s="2" t="s">
        <v>2408</v>
      </c>
      <c r="H215" s="2" t="s">
        <v>2409</v>
      </c>
    </row>
    <row r="216" spans="1:8" ht="28.8" x14ac:dyDescent="0.3">
      <c r="A216" s="144" t="s">
        <v>345</v>
      </c>
      <c r="B216" s="144" t="s">
        <v>63</v>
      </c>
      <c r="C216" s="144" t="s">
        <v>2407</v>
      </c>
      <c r="D216" s="144" t="s">
        <v>2417</v>
      </c>
      <c r="E216" s="144" t="s">
        <v>2417</v>
      </c>
      <c r="F216" s="147" t="s">
        <v>2246</v>
      </c>
      <c r="G216" s="2" t="s">
        <v>2408</v>
      </c>
      <c r="H216" s="2" t="s">
        <v>2409</v>
      </c>
    </row>
    <row r="217" spans="1:8" ht="28.8" x14ac:dyDescent="0.3">
      <c r="A217" s="144" t="s">
        <v>345</v>
      </c>
      <c r="B217" s="144" t="s">
        <v>63</v>
      </c>
      <c r="C217" s="144" t="s">
        <v>2407</v>
      </c>
      <c r="D217" s="144" t="s">
        <v>2418</v>
      </c>
      <c r="E217" s="144" t="s">
        <v>2418</v>
      </c>
      <c r="F217" s="147" t="s">
        <v>2246</v>
      </c>
      <c r="G217" s="2" t="s">
        <v>2408</v>
      </c>
      <c r="H217" s="2" t="s">
        <v>2409</v>
      </c>
    </row>
    <row r="218" spans="1:8" ht="28.8" x14ac:dyDescent="0.3">
      <c r="A218" s="144" t="s">
        <v>345</v>
      </c>
      <c r="B218" s="144" t="s">
        <v>63</v>
      </c>
      <c r="C218" s="144" t="s">
        <v>2407</v>
      </c>
      <c r="D218" s="144" t="s">
        <v>2419</v>
      </c>
      <c r="E218" s="144" t="s">
        <v>2419</v>
      </c>
      <c r="F218" s="147" t="s">
        <v>2246</v>
      </c>
      <c r="G218" s="2" t="s">
        <v>2408</v>
      </c>
      <c r="H218" s="2" t="s">
        <v>2409</v>
      </c>
    </row>
    <row r="219" spans="1:8" ht="28.8" x14ac:dyDescent="0.3">
      <c r="A219" s="144" t="s">
        <v>345</v>
      </c>
      <c r="B219" s="144" t="s">
        <v>63</v>
      </c>
      <c r="C219" s="144" t="s">
        <v>2407</v>
      </c>
      <c r="D219" s="144" t="s">
        <v>2420</v>
      </c>
      <c r="E219" s="144" t="s">
        <v>2420</v>
      </c>
      <c r="F219" s="147" t="s">
        <v>2246</v>
      </c>
      <c r="G219" s="2" t="s">
        <v>2408</v>
      </c>
      <c r="H219" s="2" t="s">
        <v>2409</v>
      </c>
    </row>
    <row r="220" spans="1:8" ht="28.8" x14ac:dyDescent="0.3">
      <c r="A220" s="144" t="s">
        <v>345</v>
      </c>
      <c r="B220" s="144" t="s">
        <v>63</v>
      </c>
      <c r="C220" s="144" t="s">
        <v>2407</v>
      </c>
      <c r="D220" s="144" t="s">
        <v>2421</v>
      </c>
      <c r="E220" s="144" t="s">
        <v>2421</v>
      </c>
      <c r="F220" s="147" t="s">
        <v>2246</v>
      </c>
      <c r="G220" s="2" t="s">
        <v>2408</v>
      </c>
      <c r="H220" s="2" t="s">
        <v>2409</v>
      </c>
    </row>
    <row r="221" spans="1:8" ht="28.8" x14ac:dyDescent="0.3">
      <c r="A221" s="144" t="s">
        <v>345</v>
      </c>
      <c r="B221" s="144" t="s">
        <v>63</v>
      </c>
      <c r="C221" s="144" t="s">
        <v>2407</v>
      </c>
      <c r="D221" s="144" t="s">
        <v>2422</v>
      </c>
      <c r="E221" s="144" t="s">
        <v>2422</v>
      </c>
      <c r="F221" s="147" t="s">
        <v>2246</v>
      </c>
      <c r="G221" s="2" t="s">
        <v>2408</v>
      </c>
      <c r="H221" s="2" t="s">
        <v>2409</v>
      </c>
    </row>
    <row r="222" spans="1:8" ht="28.8" x14ac:dyDescent="0.3">
      <c r="A222" s="144" t="s">
        <v>345</v>
      </c>
      <c r="B222" s="144" t="s">
        <v>63</v>
      </c>
      <c r="C222" s="144" t="s">
        <v>2407</v>
      </c>
      <c r="D222" s="144" t="s">
        <v>2423</v>
      </c>
      <c r="E222" s="144" t="s">
        <v>2423</v>
      </c>
      <c r="F222" s="147" t="s">
        <v>2246</v>
      </c>
      <c r="G222" s="2" t="s">
        <v>2408</v>
      </c>
      <c r="H222" s="2" t="s">
        <v>2409</v>
      </c>
    </row>
    <row r="223" spans="1:8" ht="28.8" x14ac:dyDescent="0.3">
      <c r="A223" s="144" t="s">
        <v>345</v>
      </c>
      <c r="B223" s="144" t="s">
        <v>63</v>
      </c>
      <c r="C223" s="144" t="s">
        <v>2407</v>
      </c>
      <c r="D223" s="144" t="s">
        <v>2424</v>
      </c>
      <c r="E223" s="144" t="s">
        <v>2424</v>
      </c>
      <c r="F223" s="147" t="s">
        <v>2246</v>
      </c>
      <c r="G223" s="2" t="s">
        <v>2408</v>
      </c>
      <c r="H223" s="2" t="s">
        <v>2409</v>
      </c>
    </row>
    <row r="224" spans="1:8" ht="28.8" x14ac:dyDescent="0.3">
      <c r="A224" s="144" t="s">
        <v>345</v>
      </c>
      <c r="B224" s="144" t="s">
        <v>63</v>
      </c>
      <c r="C224" s="144" t="s">
        <v>2407</v>
      </c>
      <c r="D224" s="144" t="s">
        <v>2425</v>
      </c>
      <c r="E224" s="144" t="s">
        <v>2425</v>
      </c>
      <c r="F224" s="147" t="s">
        <v>2246</v>
      </c>
      <c r="G224" s="2" t="s">
        <v>2408</v>
      </c>
      <c r="H224" s="2" t="s">
        <v>2409</v>
      </c>
    </row>
    <row r="225" spans="1:8" ht="28.8" x14ac:dyDescent="0.3">
      <c r="A225" s="144" t="s">
        <v>345</v>
      </c>
      <c r="B225" s="144" t="s">
        <v>63</v>
      </c>
      <c r="C225" s="144" t="s">
        <v>2407</v>
      </c>
      <c r="D225" s="144" t="s">
        <v>2426</v>
      </c>
      <c r="E225" s="144" t="s">
        <v>2426</v>
      </c>
      <c r="F225" s="147" t="s">
        <v>2246</v>
      </c>
      <c r="G225" s="2" t="s">
        <v>2408</v>
      </c>
      <c r="H225" s="2" t="s">
        <v>2409</v>
      </c>
    </row>
    <row r="226" spans="1:8" ht="28.8" x14ac:dyDescent="0.3">
      <c r="A226" s="144" t="s">
        <v>345</v>
      </c>
      <c r="B226" s="144" t="s">
        <v>63</v>
      </c>
      <c r="C226" s="144" t="s">
        <v>2407</v>
      </c>
      <c r="D226" s="144" t="s">
        <v>2427</v>
      </c>
      <c r="E226" s="144" t="s">
        <v>2427</v>
      </c>
      <c r="F226" s="147" t="s">
        <v>2246</v>
      </c>
      <c r="G226" s="2" t="s">
        <v>2408</v>
      </c>
      <c r="H226" s="2" t="s">
        <v>2409</v>
      </c>
    </row>
    <row r="227" spans="1:8" ht="28.8" x14ac:dyDescent="0.3">
      <c r="A227" s="144" t="s">
        <v>345</v>
      </c>
      <c r="B227" s="144" t="s">
        <v>63</v>
      </c>
      <c r="C227" s="144" t="s">
        <v>2407</v>
      </c>
      <c r="D227" s="144" t="s">
        <v>2428</v>
      </c>
      <c r="E227" s="144" t="s">
        <v>2428</v>
      </c>
      <c r="F227" s="147" t="s">
        <v>2246</v>
      </c>
      <c r="G227" s="2" t="s">
        <v>2408</v>
      </c>
      <c r="H227" s="2" t="s">
        <v>2409</v>
      </c>
    </row>
    <row r="228" spans="1:8" ht="28.8" x14ac:dyDescent="0.3">
      <c r="A228" s="144" t="s">
        <v>345</v>
      </c>
      <c r="B228" s="144" t="s">
        <v>63</v>
      </c>
      <c r="C228" s="144" t="s">
        <v>2407</v>
      </c>
      <c r="D228" s="144" t="s">
        <v>2429</v>
      </c>
      <c r="E228" s="144" t="s">
        <v>2429</v>
      </c>
      <c r="F228" s="147" t="s">
        <v>2246</v>
      </c>
      <c r="G228" s="2" t="s">
        <v>2408</v>
      </c>
      <c r="H228" s="2" t="s">
        <v>2409</v>
      </c>
    </row>
    <row r="229" spans="1:8" ht="28.8" x14ac:dyDescent="0.3">
      <c r="A229" s="144" t="s">
        <v>345</v>
      </c>
      <c r="B229" s="144" t="s">
        <v>63</v>
      </c>
      <c r="C229" s="144" t="s">
        <v>2407</v>
      </c>
      <c r="D229" s="144" t="s">
        <v>2430</v>
      </c>
      <c r="E229" s="144" t="s">
        <v>2430</v>
      </c>
      <c r="F229" s="148" t="s">
        <v>2248</v>
      </c>
      <c r="G229" s="2" t="s">
        <v>2408</v>
      </c>
      <c r="H229" s="2" t="s">
        <v>2409</v>
      </c>
    </row>
    <row r="230" spans="1:8" ht="28.8" x14ac:dyDescent="0.3">
      <c r="A230" s="144" t="s">
        <v>345</v>
      </c>
      <c r="B230" s="144" t="s">
        <v>63</v>
      </c>
      <c r="C230" s="144" t="s">
        <v>2407</v>
      </c>
      <c r="D230" s="144" t="s">
        <v>2431</v>
      </c>
      <c r="E230" s="144" t="s">
        <v>2431</v>
      </c>
      <c r="F230" s="148" t="s">
        <v>2248</v>
      </c>
      <c r="G230" s="2" t="s">
        <v>2408</v>
      </c>
      <c r="H230" s="2" t="s">
        <v>2409</v>
      </c>
    </row>
    <row r="231" spans="1:8" ht="28.8" x14ac:dyDescent="0.3">
      <c r="A231" s="144" t="s">
        <v>345</v>
      </c>
      <c r="B231" s="144" t="s">
        <v>63</v>
      </c>
      <c r="C231" s="144" t="s">
        <v>2407</v>
      </c>
      <c r="D231" s="144" t="s">
        <v>2432</v>
      </c>
      <c r="E231" s="144" t="s">
        <v>2432</v>
      </c>
      <c r="F231" s="148" t="s">
        <v>2248</v>
      </c>
      <c r="G231" s="2" t="s">
        <v>2408</v>
      </c>
      <c r="H231" s="2" t="s">
        <v>2409</v>
      </c>
    </row>
    <row r="232" spans="1:8" ht="28.8" x14ac:dyDescent="0.3">
      <c r="A232" s="144" t="s">
        <v>345</v>
      </c>
      <c r="B232" s="144" t="s">
        <v>63</v>
      </c>
      <c r="C232" s="144" t="s">
        <v>2407</v>
      </c>
      <c r="D232" s="144" t="s">
        <v>2433</v>
      </c>
      <c r="E232" s="144" t="s">
        <v>2433</v>
      </c>
      <c r="F232" s="148" t="s">
        <v>2248</v>
      </c>
      <c r="G232" s="2" t="s">
        <v>2408</v>
      </c>
      <c r="H232" s="2" t="s">
        <v>2409</v>
      </c>
    </row>
    <row r="233" spans="1:8" ht="28.8" x14ac:dyDescent="0.3">
      <c r="A233" s="144" t="s">
        <v>345</v>
      </c>
      <c r="B233" s="144" t="s">
        <v>63</v>
      </c>
      <c r="C233" s="144" t="s">
        <v>2407</v>
      </c>
      <c r="D233" s="144" t="s">
        <v>1602</v>
      </c>
      <c r="E233" s="144" t="s">
        <v>1602</v>
      </c>
      <c r="F233" s="148" t="s">
        <v>2248</v>
      </c>
      <c r="G233" s="2" t="s">
        <v>2408</v>
      </c>
      <c r="H233" s="2" t="s">
        <v>2409</v>
      </c>
    </row>
    <row r="234" spans="1:8" ht="28.8" x14ac:dyDescent="0.3">
      <c r="A234" s="144" t="s">
        <v>345</v>
      </c>
      <c r="B234" s="144" t="s">
        <v>63</v>
      </c>
      <c r="C234" s="144" t="s">
        <v>2407</v>
      </c>
      <c r="D234" s="144" t="s">
        <v>2434</v>
      </c>
      <c r="E234" s="144" t="s">
        <v>2434</v>
      </c>
      <c r="F234" s="148" t="s">
        <v>2248</v>
      </c>
      <c r="G234" s="2" t="s">
        <v>2408</v>
      </c>
      <c r="H234" s="2" t="s">
        <v>2409</v>
      </c>
    </row>
    <row r="235" spans="1:8" ht="28.8" x14ac:dyDescent="0.3">
      <c r="A235" s="144" t="s">
        <v>345</v>
      </c>
      <c r="B235" s="144" t="s">
        <v>63</v>
      </c>
      <c r="C235" s="144" t="s">
        <v>2407</v>
      </c>
      <c r="D235" s="144" t="s">
        <v>2301</v>
      </c>
      <c r="E235" s="144" t="s">
        <v>2301</v>
      </c>
      <c r="F235" s="149" t="s">
        <v>2250</v>
      </c>
      <c r="G235" s="2" t="s">
        <v>2408</v>
      </c>
      <c r="H235" s="2" t="s">
        <v>2409</v>
      </c>
    </row>
    <row r="236" spans="1:8" ht="28.8" x14ac:dyDescent="0.3">
      <c r="A236" s="144" t="s">
        <v>345</v>
      </c>
      <c r="B236" s="144" t="s">
        <v>63</v>
      </c>
      <c r="C236" s="144" t="s">
        <v>2407</v>
      </c>
      <c r="D236" s="144" t="s">
        <v>2435</v>
      </c>
      <c r="E236" s="144" t="s">
        <v>2435</v>
      </c>
      <c r="F236" s="149" t="s">
        <v>2250</v>
      </c>
      <c r="G236" s="2" t="s">
        <v>2408</v>
      </c>
      <c r="H236" s="2" t="s">
        <v>2409</v>
      </c>
    </row>
    <row r="237" spans="1:8" ht="28.8" x14ac:dyDescent="0.3">
      <c r="A237" s="144" t="s">
        <v>345</v>
      </c>
      <c r="B237" s="144" t="s">
        <v>63</v>
      </c>
      <c r="C237" s="144" t="s">
        <v>2407</v>
      </c>
      <c r="D237" s="144" t="s">
        <v>2297</v>
      </c>
      <c r="E237" s="144" t="s">
        <v>2297</v>
      </c>
      <c r="F237" s="149" t="s">
        <v>2250</v>
      </c>
      <c r="G237" s="2" t="s">
        <v>2408</v>
      </c>
      <c r="H237" s="2" t="s">
        <v>2409</v>
      </c>
    </row>
    <row r="238" spans="1:8" ht="28.8" x14ac:dyDescent="0.3">
      <c r="A238" s="144" t="s">
        <v>345</v>
      </c>
      <c r="B238" s="144" t="s">
        <v>63</v>
      </c>
      <c r="C238" s="144" t="s">
        <v>2407</v>
      </c>
      <c r="D238" s="144" t="s">
        <v>2436</v>
      </c>
      <c r="E238" s="144" t="s">
        <v>2436</v>
      </c>
      <c r="F238" s="149" t="s">
        <v>2250</v>
      </c>
      <c r="G238" s="2" t="s">
        <v>2408</v>
      </c>
      <c r="H238" s="2" t="s">
        <v>2409</v>
      </c>
    </row>
    <row r="239" spans="1:8" ht="28.8" x14ac:dyDescent="0.3">
      <c r="A239" s="144" t="s">
        <v>345</v>
      </c>
      <c r="B239" s="144" t="s">
        <v>63</v>
      </c>
      <c r="C239" s="144" t="s">
        <v>2407</v>
      </c>
      <c r="D239" s="144" t="s">
        <v>2437</v>
      </c>
      <c r="E239" s="144" t="s">
        <v>2437</v>
      </c>
      <c r="F239" s="149" t="s">
        <v>2250</v>
      </c>
      <c r="G239" s="2" t="s">
        <v>2408</v>
      </c>
      <c r="H239" s="2" t="s">
        <v>2409</v>
      </c>
    </row>
    <row r="240" spans="1:8" ht="28.8" x14ac:dyDescent="0.3">
      <c r="A240" s="144" t="s">
        <v>345</v>
      </c>
      <c r="B240" s="144" t="s">
        <v>63</v>
      </c>
      <c r="C240" s="144" t="s">
        <v>2407</v>
      </c>
      <c r="D240" s="144" t="s">
        <v>2438</v>
      </c>
      <c r="E240" s="144" t="s">
        <v>2438</v>
      </c>
      <c r="F240" s="149" t="s">
        <v>2250</v>
      </c>
      <c r="G240" s="2" t="s">
        <v>2408</v>
      </c>
      <c r="H240" s="2" t="s">
        <v>2409</v>
      </c>
    </row>
    <row r="241" spans="1:8" ht="28.8" x14ac:dyDescent="0.3">
      <c r="A241" s="144" t="s">
        <v>345</v>
      </c>
      <c r="B241" s="144" t="s">
        <v>63</v>
      </c>
      <c r="C241" s="144" t="s">
        <v>2407</v>
      </c>
      <c r="D241" s="144" t="s">
        <v>1579</v>
      </c>
      <c r="E241" s="144" t="s">
        <v>1579</v>
      </c>
      <c r="F241" s="149" t="s">
        <v>2250</v>
      </c>
      <c r="G241" s="2" t="s">
        <v>2408</v>
      </c>
      <c r="H241" s="2" t="s">
        <v>2409</v>
      </c>
    </row>
    <row r="242" spans="1:8" ht="28.8" x14ac:dyDescent="0.3">
      <c r="A242" s="144" t="s">
        <v>345</v>
      </c>
      <c r="B242" s="144" t="s">
        <v>63</v>
      </c>
      <c r="C242" s="144" t="s">
        <v>2407</v>
      </c>
      <c r="D242" s="144" t="s">
        <v>889</v>
      </c>
      <c r="E242" s="144" t="s">
        <v>889</v>
      </c>
      <c r="F242" s="150" t="s">
        <v>2252</v>
      </c>
      <c r="G242" s="2" t="s">
        <v>2408</v>
      </c>
      <c r="H242" s="2" t="s">
        <v>2409</v>
      </c>
    </row>
    <row r="243" spans="1:8" ht="28.8" x14ac:dyDescent="0.3">
      <c r="A243" s="144" t="s">
        <v>345</v>
      </c>
      <c r="B243" s="144" t="s">
        <v>63</v>
      </c>
      <c r="C243" s="144" t="s">
        <v>2407</v>
      </c>
      <c r="D243" s="144" t="s">
        <v>2439</v>
      </c>
      <c r="E243" s="144" t="s">
        <v>2439</v>
      </c>
      <c r="F243" s="150" t="s">
        <v>2252</v>
      </c>
      <c r="G243" s="2" t="s">
        <v>2408</v>
      </c>
      <c r="H243" s="2" t="s">
        <v>2409</v>
      </c>
    </row>
    <row r="244" spans="1:8" ht="28.8" x14ac:dyDescent="0.3">
      <c r="A244" s="144" t="s">
        <v>345</v>
      </c>
      <c r="B244" s="144" t="s">
        <v>63</v>
      </c>
      <c r="C244" s="144" t="s">
        <v>2407</v>
      </c>
      <c r="D244" s="144" t="s">
        <v>2440</v>
      </c>
      <c r="E244" s="144" t="s">
        <v>2440</v>
      </c>
      <c r="F244" s="150" t="s">
        <v>2252</v>
      </c>
      <c r="G244" s="2" t="s">
        <v>2408</v>
      </c>
      <c r="H244" s="2" t="s">
        <v>2409</v>
      </c>
    </row>
    <row r="245" spans="1:8" ht="28.8" x14ac:dyDescent="0.3">
      <c r="A245" s="144" t="s">
        <v>345</v>
      </c>
      <c r="B245" s="144" t="s">
        <v>63</v>
      </c>
      <c r="C245" s="144" t="s">
        <v>2407</v>
      </c>
      <c r="D245" s="144" t="s">
        <v>2441</v>
      </c>
      <c r="E245" s="144" t="s">
        <v>2441</v>
      </c>
      <c r="F245" s="150" t="s">
        <v>2252</v>
      </c>
      <c r="G245" s="2" t="s">
        <v>2408</v>
      </c>
      <c r="H245" s="2" t="s">
        <v>2409</v>
      </c>
    </row>
    <row r="246" spans="1:8" ht="28.8" x14ac:dyDescent="0.3">
      <c r="A246" s="144" t="s">
        <v>345</v>
      </c>
      <c r="B246" s="144" t="s">
        <v>63</v>
      </c>
      <c r="C246" s="144" t="s">
        <v>2407</v>
      </c>
      <c r="D246" s="144" t="s">
        <v>2442</v>
      </c>
      <c r="E246" s="144" t="s">
        <v>2442</v>
      </c>
      <c r="F246" s="150" t="s">
        <v>2252</v>
      </c>
      <c r="G246" s="2" t="s">
        <v>2408</v>
      </c>
      <c r="H246" s="2" t="s">
        <v>2409</v>
      </c>
    </row>
    <row r="247" spans="1:8" ht="28.8" x14ac:dyDescent="0.3">
      <c r="A247" s="144" t="s">
        <v>345</v>
      </c>
      <c r="B247" s="144" t="s">
        <v>63</v>
      </c>
      <c r="C247" s="144" t="s">
        <v>2407</v>
      </c>
      <c r="D247" s="144" t="s">
        <v>2443</v>
      </c>
      <c r="E247" s="144" t="s">
        <v>2443</v>
      </c>
      <c r="F247" s="150" t="s">
        <v>2252</v>
      </c>
      <c r="G247" s="2" t="s">
        <v>2408</v>
      </c>
      <c r="H247" s="2" t="s">
        <v>2409</v>
      </c>
    </row>
    <row r="248" spans="1:8" ht="28.8" x14ac:dyDescent="0.3">
      <c r="A248" s="144" t="s">
        <v>345</v>
      </c>
      <c r="B248" s="144" t="s">
        <v>63</v>
      </c>
      <c r="C248" s="144" t="s">
        <v>2407</v>
      </c>
      <c r="D248" s="144" t="s">
        <v>2444</v>
      </c>
      <c r="E248" s="144" t="s">
        <v>2444</v>
      </c>
      <c r="F248" s="150" t="s">
        <v>2252</v>
      </c>
      <c r="G248" s="2" t="s">
        <v>2408</v>
      </c>
      <c r="H248" s="2" t="s">
        <v>2409</v>
      </c>
    </row>
    <row r="249" spans="1:8" ht="28.8" x14ac:dyDescent="0.3">
      <c r="A249" s="144" t="s">
        <v>345</v>
      </c>
      <c r="B249" s="144" t="s">
        <v>63</v>
      </c>
      <c r="C249" s="144" t="s">
        <v>2407</v>
      </c>
      <c r="D249" s="144" t="s">
        <v>2404</v>
      </c>
      <c r="E249" s="144" t="s">
        <v>2404</v>
      </c>
      <c r="F249" s="150" t="s">
        <v>2252</v>
      </c>
      <c r="G249" s="2" t="s">
        <v>2408</v>
      </c>
      <c r="H249" s="2" t="s">
        <v>2409</v>
      </c>
    </row>
    <row r="250" spans="1:8" ht="28.8" x14ac:dyDescent="0.3">
      <c r="A250" s="144" t="s">
        <v>345</v>
      </c>
      <c r="B250" s="144" t="s">
        <v>63</v>
      </c>
      <c r="C250" s="144" t="s">
        <v>2407</v>
      </c>
      <c r="D250" s="144" t="s">
        <v>2405</v>
      </c>
      <c r="E250" s="144" t="s">
        <v>2405</v>
      </c>
      <c r="F250" s="150" t="s">
        <v>2252</v>
      </c>
      <c r="G250" s="2" t="s">
        <v>2408</v>
      </c>
      <c r="H250" s="2" t="s">
        <v>2409</v>
      </c>
    </row>
    <row r="251" spans="1:8" ht="28.8" x14ac:dyDescent="0.3">
      <c r="A251" s="144" t="s">
        <v>345</v>
      </c>
      <c r="B251" s="144" t="s">
        <v>63</v>
      </c>
      <c r="C251" s="144" t="s">
        <v>2407</v>
      </c>
      <c r="D251" s="144" t="s">
        <v>2445</v>
      </c>
      <c r="E251" s="144" t="s">
        <v>2445</v>
      </c>
      <c r="F251" s="150" t="s">
        <v>2252</v>
      </c>
      <c r="G251" s="2" t="s">
        <v>2408</v>
      </c>
      <c r="H251" s="2" t="s">
        <v>2409</v>
      </c>
    </row>
    <row r="252" spans="1:8" ht="28.8" x14ac:dyDescent="0.3">
      <c r="A252" s="144" t="s">
        <v>345</v>
      </c>
      <c r="B252" s="144" t="s">
        <v>63</v>
      </c>
      <c r="C252" s="144" t="s">
        <v>2407</v>
      </c>
      <c r="D252" s="144" t="s">
        <v>2446</v>
      </c>
      <c r="E252" s="144" t="s">
        <v>2446</v>
      </c>
      <c r="F252" s="150" t="s">
        <v>2252</v>
      </c>
      <c r="G252" s="2" t="s">
        <v>2408</v>
      </c>
      <c r="H252" s="2" t="s">
        <v>2409</v>
      </c>
    </row>
    <row r="253" spans="1:8" ht="28.8" x14ac:dyDescent="0.3">
      <c r="A253" s="144" t="s">
        <v>345</v>
      </c>
      <c r="B253" s="144" t="s">
        <v>63</v>
      </c>
      <c r="C253" s="144" t="s">
        <v>2407</v>
      </c>
      <c r="D253" s="144" t="s">
        <v>2447</v>
      </c>
      <c r="E253" s="144" t="s">
        <v>2447</v>
      </c>
      <c r="F253" s="150" t="s">
        <v>2252</v>
      </c>
      <c r="G253" s="2" t="s">
        <v>2408</v>
      </c>
      <c r="H253" s="2" t="s">
        <v>2409</v>
      </c>
    </row>
    <row r="254" spans="1:8" ht="28.8" x14ac:dyDescent="0.3">
      <c r="A254" s="144" t="s">
        <v>345</v>
      </c>
      <c r="B254" s="144" t="s">
        <v>63</v>
      </c>
      <c r="C254" s="144" t="s">
        <v>2407</v>
      </c>
      <c r="D254" s="144" t="s">
        <v>1612</v>
      </c>
      <c r="E254" s="144" t="s">
        <v>1612</v>
      </c>
      <c r="F254" s="150" t="s">
        <v>2252</v>
      </c>
      <c r="G254" s="2" t="s">
        <v>2408</v>
      </c>
      <c r="H254" s="2" t="s">
        <v>2409</v>
      </c>
    </row>
    <row r="255" spans="1:8" ht="28.8" x14ac:dyDescent="0.3">
      <c r="A255" s="144" t="s">
        <v>345</v>
      </c>
      <c r="B255" s="144" t="s">
        <v>63</v>
      </c>
      <c r="C255" s="144" t="s">
        <v>2407</v>
      </c>
      <c r="D255" s="144" t="s">
        <v>2448</v>
      </c>
      <c r="E255" s="144" t="s">
        <v>2448</v>
      </c>
      <c r="F255" s="150" t="s">
        <v>2252</v>
      </c>
      <c r="G255" s="2" t="s">
        <v>2408</v>
      </c>
      <c r="H255" s="2" t="s">
        <v>2409</v>
      </c>
    </row>
    <row r="256" spans="1:8" ht="28.8" x14ac:dyDescent="0.3">
      <c r="A256" s="144" t="s">
        <v>347</v>
      </c>
      <c r="B256" s="144" t="s">
        <v>69</v>
      </c>
      <c r="C256" s="144" t="s">
        <v>2449</v>
      </c>
      <c r="D256" s="144" t="s">
        <v>347</v>
      </c>
      <c r="E256" s="144" t="s">
        <v>347</v>
      </c>
      <c r="F256" s="145" t="s">
        <v>2242</v>
      </c>
      <c r="G256" s="2" t="s">
        <v>2450</v>
      </c>
      <c r="H256" s="2" t="s">
        <v>2451</v>
      </c>
    </row>
    <row r="257" spans="1:8" ht="28.8" x14ac:dyDescent="0.3">
      <c r="A257" s="144" t="s">
        <v>347</v>
      </c>
      <c r="B257" s="144" t="s">
        <v>69</v>
      </c>
      <c r="C257" s="144" t="s">
        <v>2449</v>
      </c>
      <c r="D257" s="144" t="s">
        <v>709</v>
      </c>
      <c r="E257" s="144" t="s">
        <v>709</v>
      </c>
      <c r="F257" s="145" t="s">
        <v>2242</v>
      </c>
      <c r="G257" s="2" t="s">
        <v>2450</v>
      </c>
      <c r="H257" s="2" t="s">
        <v>2451</v>
      </c>
    </row>
    <row r="258" spans="1:8" ht="28.8" x14ac:dyDescent="0.3">
      <c r="A258" s="144" t="s">
        <v>347</v>
      </c>
      <c r="B258" s="144" t="s">
        <v>69</v>
      </c>
      <c r="C258" s="144" t="s">
        <v>2449</v>
      </c>
      <c r="D258" s="144" t="s">
        <v>2268</v>
      </c>
      <c r="E258" s="144" t="s">
        <v>2268</v>
      </c>
      <c r="F258" s="146" t="s">
        <v>2244</v>
      </c>
      <c r="G258" s="2" t="s">
        <v>2450</v>
      </c>
      <c r="H258" s="2" t="s">
        <v>2451</v>
      </c>
    </row>
    <row r="259" spans="1:8" ht="28.8" x14ac:dyDescent="0.3">
      <c r="A259" s="144" t="s">
        <v>347</v>
      </c>
      <c r="B259" s="144" t="s">
        <v>69</v>
      </c>
      <c r="C259" s="144" t="s">
        <v>2449</v>
      </c>
      <c r="D259" s="144" t="s">
        <v>711</v>
      </c>
      <c r="E259" s="144" t="s">
        <v>711</v>
      </c>
      <c r="F259" s="146" t="s">
        <v>2244</v>
      </c>
      <c r="G259" s="2" t="s">
        <v>2450</v>
      </c>
      <c r="H259" s="2" t="s">
        <v>2451</v>
      </c>
    </row>
    <row r="260" spans="1:8" ht="28.8" x14ac:dyDescent="0.3">
      <c r="A260" s="144" t="s">
        <v>347</v>
      </c>
      <c r="B260" s="144" t="s">
        <v>69</v>
      </c>
      <c r="C260" s="144" t="s">
        <v>2449</v>
      </c>
      <c r="D260" s="144" t="s">
        <v>712</v>
      </c>
      <c r="E260" s="144" t="s">
        <v>712</v>
      </c>
      <c r="F260" s="146" t="s">
        <v>2244</v>
      </c>
      <c r="G260" s="2" t="s">
        <v>2450</v>
      </c>
      <c r="H260" s="2" t="s">
        <v>2451</v>
      </c>
    </row>
    <row r="261" spans="1:8" ht="28.8" x14ac:dyDescent="0.3">
      <c r="A261" s="144" t="s">
        <v>347</v>
      </c>
      <c r="B261" s="144" t="s">
        <v>69</v>
      </c>
      <c r="C261" s="144" t="s">
        <v>2449</v>
      </c>
      <c r="D261" s="144" t="s">
        <v>2452</v>
      </c>
      <c r="E261" s="144" t="s">
        <v>2452</v>
      </c>
      <c r="F261" s="146" t="s">
        <v>2244</v>
      </c>
      <c r="G261" s="2" t="s">
        <v>2450</v>
      </c>
      <c r="H261" s="2" t="s">
        <v>2451</v>
      </c>
    </row>
    <row r="262" spans="1:8" ht="28.8" x14ac:dyDescent="0.3">
      <c r="A262" s="144" t="s">
        <v>347</v>
      </c>
      <c r="B262" s="144" t="s">
        <v>69</v>
      </c>
      <c r="C262" s="144" t="s">
        <v>2449</v>
      </c>
      <c r="D262" s="144" t="s">
        <v>2453</v>
      </c>
      <c r="E262" s="144" t="s">
        <v>2453</v>
      </c>
      <c r="F262" s="146" t="s">
        <v>2244</v>
      </c>
      <c r="G262" s="2" t="s">
        <v>2450</v>
      </c>
      <c r="H262" s="2" t="s">
        <v>2451</v>
      </c>
    </row>
    <row r="263" spans="1:8" ht="28.8" x14ac:dyDescent="0.3">
      <c r="A263" s="144" t="s">
        <v>347</v>
      </c>
      <c r="B263" s="144" t="s">
        <v>69</v>
      </c>
      <c r="C263" s="144" t="s">
        <v>2449</v>
      </c>
      <c r="D263" s="144" t="s">
        <v>2454</v>
      </c>
      <c r="E263" s="144" t="s">
        <v>2454</v>
      </c>
      <c r="F263" s="146" t="s">
        <v>2244</v>
      </c>
      <c r="G263" s="2" t="s">
        <v>2450</v>
      </c>
      <c r="H263" s="2" t="s">
        <v>2451</v>
      </c>
    </row>
    <row r="264" spans="1:8" ht="28.8" x14ac:dyDescent="0.3">
      <c r="A264" s="144" t="s">
        <v>347</v>
      </c>
      <c r="B264" s="144" t="s">
        <v>69</v>
      </c>
      <c r="C264" s="144" t="s">
        <v>2449</v>
      </c>
      <c r="D264" s="144" t="s">
        <v>2455</v>
      </c>
      <c r="E264" s="144" t="s">
        <v>2455</v>
      </c>
      <c r="F264" s="146" t="s">
        <v>2244</v>
      </c>
      <c r="G264" s="2" t="s">
        <v>2450</v>
      </c>
      <c r="H264" s="2" t="s">
        <v>2451</v>
      </c>
    </row>
    <row r="265" spans="1:8" ht="28.8" x14ac:dyDescent="0.3">
      <c r="A265" s="144" t="s">
        <v>347</v>
      </c>
      <c r="B265" s="144" t="s">
        <v>69</v>
      </c>
      <c r="C265" s="144" t="s">
        <v>2449</v>
      </c>
      <c r="D265" s="144" t="s">
        <v>1585</v>
      </c>
      <c r="E265" s="144" t="s">
        <v>1585</v>
      </c>
      <c r="F265" s="146" t="s">
        <v>2244</v>
      </c>
      <c r="G265" s="2" t="s">
        <v>2450</v>
      </c>
      <c r="H265" s="2" t="s">
        <v>2451</v>
      </c>
    </row>
    <row r="266" spans="1:8" ht="28.8" x14ac:dyDescent="0.3">
      <c r="A266" s="144" t="s">
        <v>347</v>
      </c>
      <c r="B266" s="144" t="s">
        <v>69</v>
      </c>
      <c r="C266" s="144" t="s">
        <v>2449</v>
      </c>
      <c r="D266" s="144" t="s">
        <v>2456</v>
      </c>
      <c r="E266" s="144" t="s">
        <v>2456</v>
      </c>
      <c r="F266" s="146" t="s">
        <v>2244</v>
      </c>
      <c r="G266" s="2" t="s">
        <v>2450</v>
      </c>
      <c r="H266" s="2" t="s">
        <v>2451</v>
      </c>
    </row>
    <row r="267" spans="1:8" ht="28.8" x14ac:dyDescent="0.3">
      <c r="A267" s="144" t="s">
        <v>347</v>
      </c>
      <c r="B267" s="144" t="s">
        <v>69</v>
      </c>
      <c r="C267" s="144" t="s">
        <v>2449</v>
      </c>
      <c r="D267" s="144" t="s">
        <v>1584</v>
      </c>
      <c r="E267" s="144" t="s">
        <v>1584</v>
      </c>
      <c r="F267" s="146" t="s">
        <v>2244</v>
      </c>
      <c r="G267" s="2" t="s">
        <v>2450</v>
      </c>
      <c r="H267" s="2" t="s">
        <v>2451</v>
      </c>
    </row>
    <row r="268" spans="1:8" ht="28.8" x14ac:dyDescent="0.3">
      <c r="A268" s="144" t="s">
        <v>347</v>
      </c>
      <c r="B268" s="144" t="s">
        <v>69</v>
      </c>
      <c r="C268" s="144" t="s">
        <v>2449</v>
      </c>
      <c r="D268" s="144" t="s">
        <v>2457</v>
      </c>
      <c r="E268" s="144" t="s">
        <v>2457</v>
      </c>
      <c r="F268" s="146" t="s">
        <v>2244</v>
      </c>
      <c r="G268" s="2" t="s">
        <v>2450</v>
      </c>
      <c r="H268" s="2" t="s">
        <v>2451</v>
      </c>
    </row>
    <row r="269" spans="1:8" ht="28.8" x14ac:dyDescent="0.3">
      <c r="A269" s="144" t="s">
        <v>347</v>
      </c>
      <c r="B269" s="144" t="s">
        <v>69</v>
      </c>
      <c r="C269" s="144" t="s">
        <v>2449</v>
      </c>
      <c r="D269" s="144" t="s">
        <v>2458</v>
      </c>
      <c r="E269" s="144" t="s">
        <v>2458</v>
      </c>
      <c r="F269" s="146" t="s">
        <v>2244</v>
      </c>
      <c r="G269" s="2" t="s">
        <v>2450</v>
      </c>
      <c r="H269" s="2" t="s">
        <v>2451</v>
      </c>
    </row>
    <row r="270" spans="1:8" ht="28.8" x14ac:dyDescent="0.3">
      <c r="A270" s="144" t="s">
        <v>347</v>
      </c>
      <c r="B270" s="144" t="s">
        <v>69</v>
      </c>
      <c r="C270" s="144" t="s">
        <v>2449</v>
      </c>
      <c r="D270" s="144" t="s">
        <v>2273</v>
      </c>
      <c r="E270" s="144" t="s">
        <v>2273</v>
      </c>
      <c r="F270" s="146" t="s">
        <v>2244</v>
      </c>
      <c r="G270" s="2" t="s">
        <v>2450</v>
      </c>
      <c r="H270" s="2" t="s">
        <v>2451</v>
      </c>
    </row>
    <row r="271" spans="1:8" ht="28.8" x14ac:dyDescent="0.3">
      <c r="A271" s="144" t="s">
        <v>347</v>
      </c>
      <c r="B271" s="144" t="s">
        <v>69</v>
      </c>
      <c r="C271" s="144" t="s">
        <v>2449</v>
      </c>
      <c r="D271" s="144" t="s">
        <v>2459</v>
      </c>
      <c r="E271" s="144" t="s">
        <v>2459</v>
      </c>
      <c r="F271" s="146" t="s">
        <v>2244</v>
      </c>
      <c r="G271" s="2" t="s">
        <v>2450</v>
      </c>
      <c r="H271" s="2" t="s">
        <v>2451</v>
      </c>
    </row>
    <row r="272" spans="1:8" ht="28.8" x14ac:dyDescent="0.3">
      <c r="A272" s="144" t="s">
        <v>347</v>
      </c>
      <c r="B272" s="144" t="s">
        <v>69</v>
      </c>
      <c r="C272" s="144" t="s">
        <v>2449</v>
      </c>
      <c r="D272" s="144" t="s">
        <v>2460</v>
      </c>
      <c r="E272" s="144" t="s">
        <v>2460</v>
      </c>
      <c r="F272" s="147" t="s">
        <v>2246</v>
      </c>
      <c r="G272" s="2" t="s">
        <v>2450</v>
      </c>
      <c r="H272" s="2" t="s">
        <v>2451</v>
      </c>
    </row>
    <row r="273" spans="1:8" ht="28.8" x14ac:dyDescent="0.3">
      <c r="A273" s="144" t="s">
        <v>347</v>
      </c>
      <c r="B273" s="144" t="s">
        <v>69</v>
      </c>
      <c r="C273" s="144" t="s">
        <v>2449</v>
      </c>
      <c r="D273" s="144" t="s">
        <v>2461</v>
      </c>
      <c r="E273" s="144" t="s">
        <v>2461</v>
      </c>
      <c r="F273" s="147" t="s">
        <v>2246</v>
      </c>
      <c r="G273" s="2" t="s">
        <v>2450</v>
      </c>
      <c r="H273" s="2" t="s">
        <v>2451</v>
      </c>
    </row>
    <row r="274" spans="1:8" ht="28.8" x14ac:dyDescent="0.3">
      <c r="A274" s="144" t="s">
        <v>347</v>
      </c>
      <c r="B274" s="144" t="s">
        <v>69</v>
      </c>
      <c r="C274" s="144" t="s">
        <v>2449</v>
      </c>
      <c r="D274" s="144" t="s">
        <v>2462</v>
      </c>
      <c r="E274" s="144" t="s">
        <v>2462</v>
      </c>
      <c r="F274" s="147" t="s">
        <v>2246</v>
      </c>
      <c r="G274" s="2" t="s">
        <v>2450</v>
      </c>
      <c r="H274" s="2" t="s">
        <v>2451</v>
      </c>
    </row>
    <row r="275" spans="1:8" ht="28.8" x14ac:dyDescent="0.3">
      <c r="A275" s="144" t="s">
        <v>347</v>
      </c>
      <c r="B275" s="144" t="s">
        <v>69</v>
      </c>
      <c r="C275" s="144" t="s">
        <v>2449</v>
      </c>
      <c r="D275" s="144" t="s">
        <v>2463</v>
      </c>
      <c r="E275" s="144" t="s">
        <v>2463</v>
      </c>
      <c r="F275" s="147" t="s">
        <v>2246</v>
      </c>
      <c r="G275" s="2" t="s">
        <v>2450</v>
      </c>
      <c r="H275" s="2" t="s">
        <v>2451</v>
      </c>
    </row>
    <row r="276" spans="1:8" ht="28.8" x14ac:dyDescent="0.3">
      <c r="A276" s="144" t="s">
        <v>347</v>
      </c>
      <c r="B276" s="144" t="s">
        <v>69</v>
      </c>
      <c r="C276" s="144" t="s">
        <v>2449</v>
      </c>
      <c r="D276" s="144" t="s">
        <v>2464</v>
      </c>
      <c r="E276" s="144" t="s">
        <v>2464</v>
      </c>
      <c r="F276" s="147" t="s">
        <v>2246</v>
      </c>
      <c r="G276" s="2" t="s">
        <v>2450</v>
      </c>
      <c r="H276" s="2" t="s">
        <v>2451</v>
      </c>
    </row>
    <row r="277" spans="1:8" ht="28.8" x14ac:dyDescent="0.3">
      <c r="A277" s="144" t="s">
        <v>347</v>
      </c>
      <c r="B277" s="144" t="s">
        <v>69</v>
      </c>
      <c r="C277" s="144" t="s">
        <v>2449</v>
      </c>
      <c r="D277" s="144" t="s">
        <v>2465</v>
      </c>
      <c r="E277" s="144" t="s">
        <v>2465</v>
      </c>
      <c r="F277" s="147" t="s">
        <v>2246</v>
      </c>
      <c r="G277" s="2" t="s">
        <v>2450</v>
      </c>
      <c r="H277" s="2" t="s">
        <v>2451</v>
      </c>
    </row>
    <row r="278" spans="1:8" ht="28.8" x14ac:dyDescent="0.3">
      <c r="A278" s="144" t="s">
        <v>347</v>
      </c>
      <c r="B278" s="144" t="s">
        <v>69</v>
      </c>
      <c r="C278" s="144" t="s">
        <v>2449</v>
      </c>
      <c r="D278" s="144" t="s">
        <v>2279</v>
      </c>
      <c r="E278" s="144" t="s">
        <v>2279</v>
      </c>
      <c r="F278" s="147" t="s">
        <v>2246</v>
      </c>
      <c r="G278" s="2" t="s">
        <v>2450</v>
      </c>
      <c r="H278" s="2" t="s">
        <v>2451</v>
      </c>
    </row>
    <row r="279" spans="1:8" ht="28.8" x14ac:dyDescent="0.3">
      <c r="A279" s="144" t="s">
        <v>347</v>
      </c>
      <c r="B279" s="144" t="s">
        <v>69</v>
      </c>
      <c r="C279" s="144" t="s">
        <v>2449</v>
      </c>
      <c r="D279" s="144" t="s">
        <v>2466</v>
      </c>
      <c r="E279" s="144" t="s">
        <v>2466</v>
      </c>
      <c r="F279" s="147" t="s">
        <v>2246</v>
      </c>
      <c r="G279" s="2" t="s">
        <v>2450</v>
      </c>
      <c r="H279" s="2" t="s">
        <v>2451</v>
      </c>
    </row>
    <row r="280" spans="1:8" ht="28.8" x14ac:dyDescent="0.3">
      <c r="A280" s="144" t="s">
        <v>347</v>
      </c>
      <c r="B280" s="144" t="s">
        <v>69</v>
      </c>
      <c r="C280" s="144" t="s">
        <v>2449</v>
      </c>
      <c r="D280" s="144" t="s">
        <v>2467</v>
      </c>
      <c r="E280" s="144" t="s">
        <v>2467</v>
      </c>
      <c r="F280" s="147" t="s">
        <v>2246</v>
      </c>
      <c r="G280" s="2" t="s">
        <v>2450</v>
      </c>
      <c r="H280" s="2" t="s">
        <v>2451</v>
      </c>
    </row>
    <row r="281" spans="1:8" ht="28.8" x14ac:dyDescent="0.3">
      <c r="A281" s="144" t="s">
        <v>347</v>
      </c>
      <c r="B281" s="144" t="s">
        <v>69</v>
      </c>
      <c r="C281" s="144" t="s">
        <v>2449</v>
      </c>
      <c r="D281" s="144" t="s">
        <v>2468</v>
      </c>
      <c r="E281" s="144" t="s">
        <v>2468</v>
      </c>
      <c r="F281" s="147" t="s">
        <v>2246</v>
      </c>
      <c r="G281" s="2" t="s">
        <v>2450</v>
      </c>
      <c r="H281" s="2" t="s">
        <v>2451</v>
      </c>
    </row>
    <row r="282" spans="1:8" ht="28.8" x14ac:dyDescent="0.3">
      <c r="A282" s="144" t="s">
        <v>347</v>
      </c>
      <c r="B282" s="144" t="s">
        <v>69</v>
      </c>
      <c r="C282" s="144" t="s">
        <v>2449</v>
      </c>
      <c r="D282" s="144" t="s">
        <v>2469</v>
      </c>
      <c r="E282" s="144" t="s">
        <v>2469</v>
      </c>
      <c r="F282" s="147" t="s">
        <v>2246</v>
      </c>
      <c r="G282" s="2" t="s">
        <v>2450</v>
      </c>
      <c r="H282" s="2" t="s">
        <v>2451</v>
      </c>
    </row>
    <row r="283" spans="1:8" ht="28.8" x14ac:dyDescent="0.3">
      <c r="A283" s="144" t="s">
        <v>347</v>
      </c>
      <c r="B283" s="144" t="s">
        <v>69</v>
      </c>
      <c r="C283" s="144" t="s">
        <v>2449</v>
      </c>
      <c r="D283" s="144" t="s">
        <v>2470</v>
      </c>
      <c r="E283" s="144" t="s">
        <v>2470</v>
      </c>
      <c r="F283" s="147" t="s">
        <v>2246</v>
      </c>
      <c r="G283" s="2" t="s">
        <v>2450</v>
      </c>
      <c r="H283" s="2" t="s">
        <v>2451</v>
      </c>
    </row>
    <row r="284" spans="1:8" ht="28.8" x14ac:dyDescent="0.3">
      <c r="A284" s="144" t="s">
        <v>347</v>
      </c>
      <c r="B284" s="144" t="s">
        <v>69</v>
      </c>
      <c r="C284" s="144" t="s">
        <v>2449</v>
      </c>
      <c r="D284" s="144" t="s">
        <v>2471</v>
      </c>
      <c r="E284" s="144" t="s">
        <v>2471</v>
      </c>
      <c r="F284" s="147" t="s">
        <v>2246</v>
      </c>
      <c r="G284" s="2" t="s">
        <v>2450</v>
      </c>
      <c r="H284" s="2" t="s">
        <v>2451</v>
      </c>
    </row>
    <row r="285" spans="1:8" ht="28.8" x14ac:dyDescent="0.3">
      <c r="A285" s="144" t="s">
        <v>347</v>
      </c>
      <c r="B285" s="144" t="s">
        <v>69</v>
      </c>
      <c r="C285" s="144" t="s">
        <v>2449</v>
      </c>
      <c r="D285" s="144" t="s">
        <v>2472</v>
      </c>
      <c r="E285" s="144" t="s">
        <v>2472</v>
      </c>
      <c r="F285" s="147" t="s">
        <v>2246</v>
      </c>
      <c r="G285" s="2" t="s">
        <v>2450</v>
      </c>
      <c r="H285" s="2" t="s">
        <v>2451</v>
      </c>
    </row>
    <row r="286" spans="1:8" ht="28.8" x14ac:dyDescent="0.3">
      <c r="A286" s="144" t="s">
        <v>347</v>
      </c>
      <c r="B286" s="144" t="s">
        <v>69</v>
      </c>
      <c r="C286" s="144" t="s">
        <v>2449</v>
      </c>
      <c r="D286" s="144" t="s">
        <v>2473</v>
      </c>
      <c r="E286" s="144" t="s">
        <v>2473</v>
      </c>
      <c r="F286" s="148" t="s">
        <v>2248</v>
      </c>
      <c r="G286" s="2" t="s">
        <v>2450</v>
      </c>
      <c r="H286" s="2" t="s">
        <v>2451</v>
      </c>
    </row>
    <row r="287" spans="1:8" ht="28.8" x14ac:dyDescent="0.3">
      <c r="A287" s="144" t="s">
        <v>347</v>
      </c>
      <c r="B287" s="144" t="s">
        <v>69</v>
      </c>
      <c r="C287" s="144" t="s">
        <v>2449</v>
      </c>
      <c r="D287" s="144" t="s">
        <v>2474</v>
      </c>
      <c r="E287" s="144" t="s">
        <v>2474</v>
      </c>
      <c r="F287" s="148" t="s">
        <v>2248</v>
      </c>
      <c r="G287" s="2" t="s">
        <v>2450</v>
      </c>
      <c r="H287" s="2" t="s">
        <v>2451</v>
      </c>
    </row>
    <row r="288" spans="1:8" ht="28.8" x14ac:dyDescent="0.3">
      <c r="A288" s="144" t="s">
        <v>347</v>
      </c>
      <c r="B288" s="144" t="s">
        <v>69</v>
      </c>
      <c r="C288" s="144" t="s">
        <v>2449</v>
      </c>
      <c r="D288" s="144" t="s">
        <v>868</v>
      </c>
      <c r="E288" s="144" t="s">
        <v>868</v>
      </c>
      <c r="F288" s="148" t="s">
        <v>2248</v>
      </c>
      <c r="G288" s="2" t="s">
        <v>2450</v>
      </c>
      <c r="H288" s="2" t="s">
        <v>2451</v>
      </c>
    </row>
    <row r="289" spans="1:8" ht="28.8" x14ac:dyDescent="0.3">
      <c r="A289" s="144" t="s">
        <v>347</v>
      </c>
      <c r="B289" s="144" t="s">
        <v>69</v>
      </c>
      <c r="C289" s="144" t="s">
        <v>2449</v>
      </c>
      <c r="D289" s="144" t="s">
        <v>2475</v>
      </c>
      <c r="E289" s="144" t="s">
        <v>2475</v>
      </c>
      <c r="F289" s="148" t="s">
        <v>2248</v>
      </c>
      <c r="G289" s="2" t="s">
        <v>2450</v>
      </c>
      <c r="H289" s="2" t="s">
        <v>2451</v>
      </c>
    </row>
    <row r="290" spans="1:8" ht="28.8" x14ac:dyDescent="0.3">
      <c r="A290" s="144" t="s">
        <v>347</v>
      </c>
      <c r="B290" s="144" t="s">
        <v>69</v>
      </c>
      <c r="C290" s="144" t="s">
        <v>2449</v>
      </c>
      <c r="D290" s="144" t="s">
        <v>2476</v>
      </c>
      <c r="E290" s="144" t="s">
        <v>2476</v>
      </c>
      <c r="F290" s="148" t="s">
        <v>2248</v>
      </c>
      <c r="G290" s="2" t="s">
        <v>2450</v>
      </c>
      <c r="H290" s="2" t="s">
        <v>2451</v>
      </c>
    </row>
    <row r="291" spans="1:8" ht="28.8" x14ac:dyDescent="0.3">
      <c r="A291" s="144" t="s">
        <v>347</v>
      </c>
      <c r="B291" s="144" t="s">
        <v>69</v>
      </c>
      <c r="C291" s="144" t="s">
        <v>2449</v>
      </c>
      <c r="D291" s="144" t="s">
        <v>2302</v>
      </c>
      <c r="E291" s="144" t="s">
        <v>2302</v>
      </c>
      <c r="F291" s="148" t="s">
        <v>2248</v>
      </c>
      <c r="G291" s="2" t="s">
        <v>2450</v>
      </c>
      <c r="H291" s="2" t="s">
        <v>2451</v>
      </c>
    </row>
    <row r="292" spans="1:8" ht="28.8" x14ac:dyDescent="0.3">
      <c r="A292" s="144" t="s">
        <v>347</v>
      </c>
      <c r="B292" s="144" t="s">
        <v>69</v>
      </c>
      <c r="C292" s="144" t="s">
        <v>2449</v>
      </c>
      <c r="D292" s="144" t="s">
        <v>2477</v>
      </c>
      <c r="E292" s="144" t="s">
        <v>2477</v>
      </c>
      <c r="F292" s="148" t="s">
        <v>2248</v>
      </c>
      <c r="G292" s="2" t="s">
        <v>2450</v>
      </c>
      <c r="H292" s="2" t="s">
        <v>2451</v>
      </c>
    </row>
    <row r="293" spans="1:8" ht="28.8" x14ac:dyDescent="0.3">
      <c r="A293" s="144" t="s">
        <v>347</v>
      </c>
      <c r="B293" s="144" t="s">
        <v>69</v>
      </c>
      <c r="C293" s="144" t="s">
        <v>2449</v>
      </c>
      <c r="D293" s="144" t="s">
        <v>2478</v>
      </c>
      <c r="E293" s="144" t="s">
        <v>2478</v>
      </c>
      <c r="F293" s="149" t="s">
        <v>2250</v>
      </c>
      <c r="G293" s="2" t="s">
        <v>2450</v>
      </c>
      <c r="H293" s="2" t="s">
        <v>2451</v>
      </c>
    </row>
    <row r="294" spans="1:8" ht="28.8" x14ac:dyDescent="0.3">
      <c r="A294" s="144" t="s">
        <v>347</v>
      </c>
      <c r="B294" s="144" t="s">
        <v>69</v>
      </c>
      <c r="C294" s="144" t="s">
        <v>2449</v>
      </c>
      <c r="D294" s="144" t="s">
        <v>2479</v>
      </c>
      <c r="E294" s="144" t="s">
        <v>2479</v>
      </c>
      <c r="F294" s="149" t="s">
        <v>2250</v>
      </c>
      <c r="G294" s="2" t="s">
        <v>2450</v>
      </c>
      <c r="H294" s="2" t="s">
        <v>2451</v>
      </c>
    </row>
    <row r="295" spans="1:8" ht="28.8" x14ac:dyDescent="0.3">
      <c r="A295" s="144" t="s">
        <v>347</v>
      </c>
      <c r="B295" s="144" t="s">
        <v>69</v>
      </c>
      <c r="C295" s="144" t="s">
        <v>2449</v>
      </c>
      <c r="D295" s="144" t="s">
        <v>2480</v>
      </c>
      <c r="E295" s="144" t="s">
        <v>2480</v>
      </c>
      <c r="F295" s="149" t="s">
        <v>2250</v>
      </c>
      <c r="G295" s="2" t="s">
        <v>2450</v>
      </c>
      <c r="H295" s="2" t="s">
        <v>2451</v>
      </c>
    </row>
    <row r="296" spans="1:8" ht="28.8" x14ac:dyDescent="0.3">
      <c r="A296" s="144" t="s">
        <v>347</v>
      </c>
      <c r="B296" s="144" t="s">
        <v>69</v>
      </c>
      <c r="C296" s="144" t="s">
        <v>2449</v>
      </c>
      <c r="D296" s="144" t="s">
        <v>2481</v>
      </c>
      <c r="E296" s="144" t="s">
        <v>2481</v>
      </c>
      <c r="F296" s="149" t="s">
        <v>2250</v>
      </c>
      <c r="G296" s="2" t="s">
        <v>2450</v>
      </c>
      <c r="H296" s="2" t="s">
        <v>2451</v>
      </c>
    </row>
    <row r="297" spans="1:8" ht="28.8" x14ac:dyDescent="0.3">
      <c r="A297" s="144" t="s">
        <v>347</v>
      </c>
      <c r="B297" s="144" t="s">
        <v>69</v>
      </c>
      <c r="C297" s="144" t="s">
        <v>2449</v>
      </c>
      <c r="D297" s="144" t="s">
        <v>2300</v>
      </c>
      <c r="E297" s="144" t="s">
        <v>2300</v>
      </c>
      <c r="F297" s="149" t="s">
        <v>2250</v>
      </c>
      <c r="G297" s="2" t="s">
        <v>2450</v>
      </c>
      <c r="H297" s="2" t="s">
        <v>2451</v>
      </c>
    </row>
    <row r="298" spans="1:8" ht="28.8" x14ac:dyDescent="0.3">
      <c r="A298" s="144" t="s">
        <v>347</v>
      </c>
      <c r="B298" s="144" t="s">
        <v>69</v>
      </c>
      <c r="C298" s="144" t="s">
        <v>2449</v>
      </c>
      <c r="D298" s="144" t="s">
        <v>2482</v>
      </c>
      <c r="E298" s="144" t="s">
        <v>2482</v>
      </c>
      <c r="F298" s="149" t="s">
        <v>2250</v>
      </c>
      <c r="G298" s="2" t="s">
        <v>2450</v>
      </c>
      <c r="H298" s="2" t="s">
        <v>2451</v>
      </c>
    </row>
    <row r="299" spans="1:8" ht="28.8" x14ac:dyDescent="0.3">
      <c r="A299" s="144" t="s">
        <v>347</v>
      </c>
      <c r="B299" s="144" t="s">
        <v>69</v>
      </c>
      <c r="C299" s="144" t="s">
        <v>2449</v>
      </c>
      <c r="D299" s="144" t="s">
        <v>2483</v>
      </c>
      <c r="E299" s="144" t="s">
        <v>2483</v>
      </c>
      <c r="F299" s="149" t="s">
        <v>2250</v>
      </c>
      <c r="G299" s="2" t="s">
        <v>2450</v>
      </c>
      <c r="H299" s="2" t="s">
        <v>2451</v>
      </c>
    </row>
    <row r="300" spans="1:8" ht="28.8" x14ac:dyDescent="0.3">
      <c r="A300" s="144" t="s">
        <v>347</v>
      </c>
      <c r="B300" s="144" t="s">
        <v>69</v>
      </c>
      <c r="C300" s="144" t="s">
        <v>2449</v>
      </c>
      <c r="D300" s="144" t="s">
        <v>353</v>
      </c>
      <c r="E300" s="144" t="s">
        <v>353</v>
      </c>
      <c r="F300" s="149" t="s">
        <v>2250</v>
      </c>
      <c r="G300" s="2" t="s">
        <v>2450</v>
      </c>
      <c r="H300" s="2" t="s">
        <v>2451</v>
      </c>
    </row>
    <row r="301" spans="1:8" ht="28.8" x14ac:dyDescent="0.3">
      <c r="A301" s="144" t="s">
        <v>347</v>
      </c>
      <c r="B301" s="144" t="s">
        <v>69</v>
      </c>
      <c r="C301" s="144" t="s">
        <v>2449</v>
      </c>
      <c r="D301" s="144" t="s">
        <v>876</v>
      </c>
      <c r="E301" s="144" t="s">
        <v>876</v>
      </c>
      <c r="F301" s="150" t="s">
        <v>2252</v>
      </c>
      <c r="G301" s="2" t="s">
        <v>2450</v>
      </c>
      <c r="H301" s="2" t="s">
        <v>2451</v>
      </c>
    </row>
    <row r="302" spans="1:8" ht="28.8" x14ac:dyDescent="0.3">
      <c r="A302" s="144" t="s">
        <v>347</v>
      </c>
      <c r="B302" s="144" t="s">
        <v>69</v>
      </c>
      <c r="C302" s="144" t="s">
        <v>2449</v>
      </c>
      <c r="D302" s="144" t="s">
        <v>1053</v>
      </c>
      <c r="E302" s="144" t="s">
        <v>1053</v>
      </c>
      <c r="F302" s="150" t="s">
        <v>2252</v>
      </c>
      <c r="G302" s="2" t="s">
        <v>2450</v>
      </c>
      <c r="H302" s="2" t="s">
        <v>2451</v>
      </c>
    </row>
    <row r="303" spans="1:8" ht="28.8" x14ac:dyDescent="0.3">
      <c r="A303" s="144" t="s">
        <v>347</v>
      </c>
      <c r="B303" s="144" t="s">
        <v>69</v>
      </c>
      <c r="C303" s="144" t="s">
        <v>2449</v>
      </c>
      <c r="D303" s="144" t="s">
        <v>2484</v>
      </c>
      <c r="E303" s="144" t="s">
        <v>2484</v>
      </c>
      <c r="F303" s="150" t="s">
        <v>2252</v>
      </c>
      <c r="G303" s="2" t="s">
        <v>2450</v>
      </c>
      <c r="H303" s="2" t="s">
        <v>2451</v>
      </c>
    </row>
    <row r="304" spans="1:8" ht="28.8" x14ac:dyDescent="0.3">
      <c r="A304" s="144" t="s">
        <v>347</v>
      </c>
      <c r="B304" s="144" t="s">
        <v>69</v>
      </c>
      <c r="C304" s="144" t="s">
        <v>2449</v>
      </c>
      <c r="D304" s="144" t="s">
        <v>2485</v>
      </c>
      <c r="E304" s="144" t="s">
        <v>2485</v>
      </c>
      <c r="F304" s="150" t="s">
        <v>2252</v>
      </c>
      <c r="G304" s="2" t="s">
        <v>2450</v>
      </c>
      <c r="H304" s="2" t="s">
        <v>2451</v>
      </c>
    </row>
    <row r="305" spans="1:8" ht="28.8" x14ac:dyDescent="0.3">
      <c r="A305" s="144" t="s">
        <v>347</v>
      </c>
      <c r="B305" s="144" t="s">
        <v>69</v>
      </c>
      <c r="C305" s="144" t="s">
        <v>2449</v>
      </c>
      <c r="D305" s="144" t="s">
        <v>2486</v>
      </c>
      <c r="E305" s="144" t="s">
        <v>2486</v>
      </c>
      <c r="F305" s="150" t="s">
        <v>2252</v>
      </c>
      <c r="G305" s="2" t="s">
        <v>2450</v>
      </c>
      <c r="H305" s="2" t="s">
        <v>2451</v>
      </c>
    </row>
    <row r="306" spans="1:8" ht="28.8" x14ac:dyDescent="0.3">
      <c r="A306" s="144" t="s">
        <v>347</v>
      </c>
      <c r="B306" s="144" t="s">
        <v>69</v>
      </c>
      <c r="C306" s="144" t="s">
        <v>2449</v>
      </c>
      <c r="D306" s="144" t="s">
        <v>877</v>
      </c>
      <c r="E306" s="144" t="s">
        <v>877</v>
      </c>
      <c r="F306" s="150" t="s">
        <v>2252</v>
      </c>
      <c r="G306" s="2" t="s">
        <v>2450</v>
      </c>
      <c r="H306" s="2" t="s">
        <v>2451</v>
      </c>
    </row>
    <row r="307" spans="1:8" ht="28.8" x14ac:dyDescent="0.3">
      <c r="A307" s="144" t="s">
        <v>347</v>
      </c>
      <c r="B307" s="144" t="s">
        <v>69</v>
      </c>
      <c r="C307" s="144" t="s">
        <v>2449</v>
      </c>
      <c r="D307" s="144" t="s">
        <v>2487</v>
      </c>
      <c r="E307" s="144" t="s">
        <v>2487</v>
      </c>
      <c r="F307" s="150" t="s">
        <v>2252</v>
      </c>
      <c r="G307" s="2" t="s">
        <v>2450</v>
      </c>
      <c r="H307" s="2" t="s">
        <v>2451</v>
      </c>
    </row>
    <row r="308" spans="1:8" ht="28.8" x14ac:dyDescent="0.3">
      <c r="A308" s="144" t="s">
        <v>347</v>
      </c>
      <c r="B308" s="144" t="s">
        <v>69</v>
      </c>
      <c r="C308" s="144" t="s">
        <v>2449</v>
      </c>
      <c r="D308" s="144" t="s">
        <v>2311</v>
      </c>
      <c r="E308" s="144" t="s">
        <v>2311</v>
      </c>
      <c r="F308" s="150" t="s">
        <v>2252</v>
      </c>
      <c r="G308" s="2" t="s">
        <v>2450</v>
      </c>
      <c r="H308" s="2" t="s">
        <v>2451</v>
      </c>
    </row>
    <row r="309" spans="1:8" ht="28.8" x14ac:dyDescent="0.3">
      <c r="A309" s="144" t="s">
        <v>347</v>
      </c>
      <c r="B309" s="144" t="s">
        <v>69</v>
      </c>
      <c r="C309" s="144" t="s">
        <v>2449</v>
      </c>
      <c r="D309" s="144" t="s">
        <v>2488</v>
      </c>
      <c r="E309" s="144" t="s">
        <v>2488</v>
      </c>
      <c r="F309" s="150" t="s">
        <v>2252</v>
      </c>
      <c r="G309" s="2" t="s">
        <v>2450</v>
      </c>
      <c r="H309" s="2" t="s">
        <v>2451</v>
      </c>
    </row>
    <row r="310" spans="1:8" ht="28.8" x14ac:dyDescent="0.3">
      <c r="A310" s="144" t="s">
        <v>347</v>
      </c>
      <c r="B310" s="144" t="s">
        <v>69</v>
      </c>
      <c r="C310" s="144" t="s">
        <v>2449</v>
      </c>
      <c r="D310" s="144" t="s">
        <v>2489</v>
      </c>
      <c r="E310" s="144" t="s">
        <v>2489</v>
      </c>
      <c r="F310" s="150" t="s">
        <v>2252</v>
      </c>
      <c r="G310" s="2" t="s">
        <v>2450</v>
      </c>
      <c r="H310" s="2" t="s">
        <v>2451</v>
      </c>
    </row>
    <row r="311" spans="1:8" ht="28.8" x14ac:dyDescent="0.3">
      <c r="A311" s="144" t="s">
        <v>347</v>
      </c>
      <c r="B311" s="144" t="s">
        <v>69</v>
      </c>
      <c r="C311" s="144" t="s">
        <v>2449</v>
      </c>
      <c r="D311" s="144" t="s">
        <v>2490</v>
      </c>
      <c r="E311" s="144" t="s">
        <v>2490</v>
      </c>
      <c r="F311" s="150" t="s">
        <v>2252</v>
      </c>
      <c r="G311" s="2" t="s">
        <v>2450</v>
      </c>
      <c r="H311" s="2" t="s">
        <v>2451</v>
      </c>
    </row>
    <row r="312" spans="1:8" ht="28.8" x14ac:dyDescent="0.3">
      <c r="A312" s="144" t="s">
        <v>347</v>
      </c>
      <c r="B312" s="144" t="s">
        <v>69</v>
      </c>
      <c r="C312" s="144" t="s">
        <v>2449</v>
      </c>
      <c r="D312" s="144" t="s">
        <v>2491</v>
      </c>
      <c r="E312" s="144" t="s">
        <v>2491</v>
      </c>
      <c r="F312" s="150" t="s">
        <v>2252</v>
      </c>
      <c r="G312" s="2" t="s">
        <v>2450</v>
      </c>
      <c r="H312" s="2" t="s">
        <v>2451</v>
      </c>
    </row>
    <row r="313" spans="1:8" ht="28.8" x14ac:dyDescent="0.3">
      <c r="A313" s="144" t="s">
        <v>347</v>
      </c>
      <c r="B313" s="144" t="s">
        <v>69</v>
      </c>
      <c r="C313" s="144" t="s">
        <v>2449</v>
      </c>
      <c r="D313" s="144" t="s">
        <v>2492</v>
      </c>
      <c r="E313" s="144" t="s">
        <v>2492</v>
      </c>
      <c r="F313" s="150" t="s">
        <v>2252</v>
      </c>
      <c r="G313" s="2" t="s">
        <v>2450</v>
      </c>
      <c r="H313" s="2" t="s">
        <v>2451</v>
      </c>
    </row>
    <row r="314" spans="1:8" ht="28.8" x14ac:dyDescent="0.3">
      <c r="A314" s="144" t="s">
        <v>347</v>
      </c>
      <c r="B314" s="144" t="s">
        <v>69</v>
      </c>
      <c r="C314" s="144" t="s">
        <v>2449</v>
      </c>
      <c r="D314" s="144" t="s">
        <v>2493</v>
      </c>
      <c r="E314" s="144" t="s">
        <v>2493</v>
      </c>
      <c r="F314" s="150" t="s">
        <v>2252</v>
      </c>
      <c r="G314" s="2" t="s">
        <v>2450</v>
      </c>
      <c r="H314" s="2" t="s">
        <v>2451</v>
      </c>
    </row>
    <row r="315" spans="1:8" ht="28.8" x14ac:dyDescent="0.3">
      <c r="A315" s="144" t="s">
        <v>347</v>
      </c>
      <c r="B315" s="144" t="s">
        <v>69</v>
      </c>
      <c r="C315" s="144" t="s">
        <v>2449</v>
      </c>
      <c r="D315" s="144" t="s">
        <v>2494</v>
      </c>
      <c r="E315" s="144" t="s">
        <v>2494</v>
      </c>
      <c r="F315" s="150" t="s">
        <v>2252</v>
      </c>
      <c r="G315" s="2" t="s">
        <v>2450</v>
      </c>
      <c r="H315" s="2" t="s">
        <v>2451</v>
      </c>
    </row>
    <row r="316" spans="1:8" ht="43.2" x14ac:dyDescent="0.3">
      <c r="A316" s="144" t="s">
        <v>349</v>
      </c>
      <c r="B316" s="144" t="s">
        <v>75</v>
      </c>
      <c r="C316" s="144" t="s">
        <v>2495</v>
      </c>
      <c r="D316" s="144" t="s">
        <v>349</v>
      </c>
      <c r="E316" s="144" t="s">
        <v>349</v>
      </c>
      <c r="F316" s="145" t="s">
        <v>2242</v>
      </c>
      <c r="G316" s="2" t="s">
        <v>2496</v>
      </c>
      <c r="H316" s="2" t="s">
        <v>2497</v>
      </c>
    </row>
    <row r="317" spans="1:8" ht="43.2" x14ac:dyDescent="0.3">
      <c r="A317" s="144" t="s">
        <v>349</v>
      </c>
      <c r="B317" s="144" t="s">
        <v>75</v>
      </c>
      <c r="C317" s="144" t="s">
        <v>2495</v>
      </c>
      <c r="D317" s="144" t="s">
        <v>714</v>
      </c>
      <c r="E317" s="144" t="s">
        <v>714</v>
      </c>
      <c r="F317" s="145" t="s">
        <v>2242</v>
      </c>
      <c r="G317" s="2" t="s">
        <v>2496</v>
      </c>
      <c r="H317" s="2" t="s">
        <v>2497</v>
      </c>
    </row>
    <row r="318" spans="1:8" ht="43.2" x14ac:dyDescent="0.3">
      <c r="A318" s="144" t="s">
        <v>349</v>
      </c>
      <c r="B318" s="144" t="s">
        <v>75</v>
      </c>
      <c r="C318" s="144" t="s">
        <v>2495</v>
      </c>
      <c r="D318" s="144" t="s">
        <v>634</v>
      </c>
      <c r="E318" s="144" t="s">
        <v>634</v>
      </c>
      <c r="F318" s="146" t="s">
        <v>2244</v>
      </c>
      <c r="G318" s="2" t="s">
        <v>2496</v>
      </c>
      <c r="H318" s="2" t="s">
        <v>2497</v>
      </c>
    </row>
    <row r="319" spans="1:8" ht="43.2" x14ac:dyDescent="0.3">
      <c r="A319" s="144" t="s">
        <v>349</v>
      </c>
      <c r="B319" s="144" t="s">
        <v>75</v>
      </c>
      <c r="C319" s="144" t="s">
        <v>2495</v>
      </c>
      <c r="D319" s="144" t="s">
        <v>716</v>
      </c>
      <c r="E319" s="144" t="s">
        <v>716</v>
      </c>
      <c r="F319" s="146" t="s">
        <v>2244</v>
      </c>
      <c r="G319" s="2" t="s">
        <v>2496</v>
      </c>
      <c r="H319" s="2" t="s">
        <v>2497</v>
      </c>
    </row>
    <row r="320" spans="1:8" ht="43.2" x14ac:dyDescent="0.3">
      <c r="A320" s="144" t="s">
        <v>349</v>
      </c>
      <c r="B320" s="144" t="s">
        <v>75</v>
      </c>
      <c r="C320" s="144" t="s">
        <v>2495</v>
      </c>
      <c r="D320" s="144" t="s">
        <v>635</v>
      </c>
      <c r="E320" s="144" t="s">
        <v>635</v>
      </c>
      <c r="F320" s="146" t="s">
        <v>2244</v>
      </c>
      <c r="G320" s="2" t="s">
        <v>2496</v>
      </c>
      <c r="H320" s="2" t="s">
        <v>2497</v>
      </c>
    </row>
    <row r="321" spans="1:8" ht="43.2" x14ac:dyDescent="0.3">
      <c r="A321" s="144" t="s">
        <v>349</v>
      </c>
      <c r="B321" s="144" t="s">
        <v>75</v>
      </c>
      <c r="C321" s="144" t="s">
        <v>2495</v>
      </c>
      <c r="D321" s="144" t="s">
        <v>1587</v>
      </c>
      <c r="E321" s="144" t="s">
        <v>1587</v>
      </c>
      <c r="F321" s="146" t="s">
        <v>2244</v>
      </c>
      <c r="G321" s="2" t="s">
        <v>2496</v>
      </c>
      <c r="H321" s="2" t="s">
        <v>2497</v>
      </c>
    </row>
    <row r="322" spans="1:8" ht="43.2" x14ac:dyDescent="0.3">
      <c r="A322" s="144" t="s">
        <v>349</v>
      </c>
      <c r="B322" s="144" t="s">
        <v>75</v>
      </c>
      <c r="C322" s="144" t="s">
        <v>2495</v>
      </c>
      <c r="D322" s="144" t="s">
        <v>2498</v>
      </c>
      <c r="E322" s="144" t="s">
        <v>2498</v>
      </c>
      <c r="F322" s="146" t="s">
        <v>2244</v>
      </c>
      <c r="G322" s="2" t="s">
        <v>2496</v>
      </c>
      <c r="H322" s="2" t="s">
        <v>2497</v>
      </c>
    </row>
    <row r="323" spans="1:8" ht="43.2" x14ac:dyDescent="0.3">
      <c r="A323" s="144" t="s">
        <v>349</v>
      </c>
      <c r="B323" s="144" t="s">
        <v>75</v>
      </c>
      <c r="C323" s="144" t="s">
        <v>2495</v>
      </c>
      <c r="D323" s="144" t="s">
        <v>2499</v>
      </c>
      <c r="E323" s="144" t="s">
        <v>2499</v>
      </c>
      <c r="F323" s="146" t="s">
        <v>2244</v>
      </c>
      <c r="G323" s="2" t="s">
        <v>2496</v>
      </c>
      <c r="H323" s="2" t="s">
        <v>2497</v>
      </c>
    </row>
    <row r="324" spans="1:8" ht="43.2" x14ac:dyDescent="0.3">
      <c r="A324" s="144" t="s">
        <v>349</v>
      </c>
      <c r="B324" s="144" t="s">
        <v>75</v>
      </c>
      <c r="C324" s="144" t="s">
        <v>2495</v>
      </c>
      <c r="D324" s="144" t="s">
        <v>2500</v>
      </c>
      <c r="E324" s="144" t="s">
        <v>2500</v>
      </c>
      <c r="F324" s="146" t="s">
        <v>2244</v>
      </c>
      <c r="G324" s="2" t="s">
        <v>2496</v>
      </c>
      <c r="H324" s="2" t="s">
        <v>2497</v>
      </c>
    </row>
    <row r="325" spans="1:8" ht="43.2" x14ac:dyDescent="0.3">
      <c r="A325" s="144" t="s">
        <v>349</v>
      </c>
      <c r="B325" s="144" t="s">
        <v>75</v>
      </c>
      <c r="C325" s="144" t="s">
        <v>2495</v>
      </c>
      <c r="D325" s="144" t="s">
        <v>2501</v>
      </c>
      <c r="E325" s="144" t="s">
        <v>2501</v>
      </c>
      <c r="F325" s="146" t="s">
        <v>2244</v>
      </c>
      <c r="G325" s="2" t="s">
        <v>2496</v>
      </c>
      <c r="H325" s="2" t="s">
        <v>2497</v>
      </c>
    </row>
    <row r="326" spans="1:8" ht="43.2" x14ac:dyDescent="0.3">
      <c r="A326" s="144" t="s">
        <v>349</v>
      </c>
      <c r="B326" s="144" t="s">
        <v>75</v>
      </c>
      <c r="C326" s="144" t="s">
        <v>2495</v>
      </c>
      <c r="D326" s="144" t="s">
        <v>2502</v>
      </c>
      <c r="E326" s="144" t="s">
        <v>2502</v>
      </c>
      <c r="F326" s="146" t="s">
        <v>2244</v>
      </c>
      <c r="G326" s="2" t="s">
        <v>2496</v>
      </c>
      <c r="H326" s="2" t="s">
        <v>2497</v>
      </c>
    </row>
    <row r="327" spans="1:8" ht="43.2" x14ac:dyDescent="0.3">
      <c r="A327" s="144" t="s">
        <v>349</v>
      </c>
      <c r="B327" s="144" t="s">
        <v>75</v>
      </c>
      <c r="C327" s="144" t="s">
        <v>2495</v>
      </c>
      <c r="D327" s="144" t="s">
        <v>2503</v>
      </c>
      <c r="E327" s="144" t="s">
        <v>2503</v>
      </c>
      <c r="F327" s="146" t="s">
        <v>2244</v>
      </c>
      <c r="G327" s="2" t="s">
        <v>2496</v>
      </c>
      <c r="H327" s="2" t="s">
        <v>2497</v>
      </c>
    </row>
    <row r="328" spans="1:8" ht="43.2" x14ac:dyDescent="0.3">
      <c r="A328" s="144" t="s">
        <v>349</v>
      </c>
      <c r="B328" s="144" t="s">
        <v>75</v>
      </c>
      <c r="C328" s="144" t="s">
        <v>2495</v>
      </c>
      <c r="D328" s="144" t="s">
        <v>2504</v>
      </c>
      <c r="E328" s="144" t="s">
        <v>2504</v>
      </c>
      <c r="F328" s="146" t="s">
        <v>2244</v>
      </c>
      <c r="G328" s="2" t="s">
        <v>2496</v>
      </c>
      <c r="H328" s="2" t="s">
        <v>2497</v>
      </c>
    </row>
    <row r="329" spans="1:8" ht="43.2" x14ac:dyDescent="0.3">
      <c r="A329" s="144" t="s">
        <v>349</v>
      </c>
      <c r="B329" s="144" t="s">
        <v>75</v>
      </c>
      <c r="C329" s="144" t="s">
        <v>2495</v>
      </c>
      <c r="D329" s="144" t="s">
        <v>1094</v>
      </c>
      <c r="E329" s="144" t="s">
        <v>1094</v>
      </c>
      <c r="F329" s="146" t="s">
        <v>2244</v>
      </c>
      <c r="G329" s="2" t="s">
        <v>2496</v>
      </c>
      <c r="H329" s="2" t="s">
        <v>2497</v>
      </c>
    </row>
    <row r="330" spans="1:8" ht="43.2" x14ac:dyDescent="0.3">
      <c r="A330" s="144" t="s">
        <v>349</v>
      </c>
      <c r="B330" s="144" t="s">
        <v>75</v>
      </c>
      <c r="C330" s="144" t="s">
        <v>2495</v>
      </c>
      <c r="D330" s="144" t="s">
        <v>2505</v>
      </c>
      <c r="E330" s="144" t="s">
        <v>2505</v>
      </c>
      <c r="F330" s="146" t="s">
        <v>2244</v>
      </c>
      <c r="G330" s="2" t="s">
        <v>2496</v>
      </c>
      <c r="H330" s="2" t="s">
        <v>2497</v>
      </c>
    </row>
    <row r="331" spans="1:8" ht="43.2" x14ac:dyDescent="0.3">
      <c r="A331" s="144" t="s">
        <v>349</v>
      </c>
      <c r="B331" s="144" t="s">
        <v>75</v>
      </c>
      <c r="C331" s="144" t="s">
        <v>2495</v>
      </c>
      <c r="D331" s="144" t="s">
        <v>2506</v>
      </c>
      <c r="E331" s="144" t="s">
        <v>2506</v>
      </c>
      <c r="F331" s="146" t="s">
        <v>2244</v>
      </c>
      <c r="G331" s="2" t="s">
        <v>2496</v>
      </c>
      <c r="H331" s="2" t="s">
        <v>2497</v>
      </c>
    </row>
    <row r="332" spans="1:8" ht="43.2" x14ac:dyDescent="0.3">
      <c r="A332" s="144" t="s">
        <v>349</v>
      </c>
      <c r="B332" s="144" t="s">
        <v>75</v>
      </c>
      <c r="C332" s="144" t="s">
        <v>2495</v>
      </c>
      <c r="D332" s="144" t="s">
        <v>2507</v>
      </c>
      <c r="E332" s="144" t="s">
        <v>2507</v>
      </c>
      <c r="F332" s="146" t="s">
        <v>2244</v>
      </c>
      <c r="G332" s="2" t="s">
        <v>2496</v>
      </c>
      <c r="H332" s="2" t="s">
        <v>2497</v>
      </c>
    </row>
    <row r="333" spans="1:8" ht="43.2" x14ac:dyDescent="0.3">
      <c r="A333" s="144" t="s">
        <v>349</v>
      </c>
      <c r="B333" s="144" t="s">
        <v>75</v>
      </c>
      <c r="C333" s="144" t="s">
        <v>2495</v>
      </c>
      <c r="D333" s="144" t="s">
        <v>2508</v>
      </c>
      <c r="E333" s="144" t="s">
        <v>2508</v>
      </c>
      <c r="F333" s="147" t="s">
        <v>2246</v>
      </c>
      <c r="G333" s="2" t="s">
        <v>2496</v>
      </c>
      <c r="H333" s="2" t="s">
        <v>2497</v>
      </c>
    </row>
    <row r="334" spans="1:8" ht="43.2" x14ac:dyDescent="0.3">
      <c r="A334" s="144" t="s">
        <v>349</v>
      </c>
      <c r="B334" s="144" t="s">
        <v>75</v>
      </c>
      <c r="C334" s="144" t="s">
        <v>2495</v>
      </c>
      <c r="D334" s="144" t="s">
        <v>2509</v>
      </c>
      <c r="E334" s="144" t="s">
        <v>2509</v>
      </c>
      <c r="F334" s="147" t="s">
        <v>2246</v>
      </c>
      <c r="G334" s="2" t="s">
        <v>2496</v>
      </c>
      <c r="H334" s="2" t="s">
        <v>2497</v>
      </c>
    </row>
    <row r="335" spans="1:8" ht="43.2" x14ac:dyDescent="0.3">
      <c r="A335" s="144" t="s">
        <v>349</v>
      </c>
      <c r="B335" s="144" t="s">
        <v>75</v>
      </c>
      <c r="C335" s="144" t="s">
        <v>2495</v>
      </c>
      <c r="D335" s="144" t="s">
        <v>2510</v>
      </c>
      <c r="E335" s="144" t="s">
        <v>2510</v>
      </c>
      <c r="F335" s="147" t="s">
        <v>2246</v>
      </c>
      <c r="G335" s="2" t="s">
        <v>2496</v>
      </c>
      <c r="H335" s="2" t="s">
        <v>2497</v>
      </c>
    </row>
    <row r="336" spans="1:8" ht="43.2" x14ac:dyDescent="0.3">
      <c r="A336" s="144" t="s">
        <v>349</v>
      </c>
      <c r="B336" s="144" t="s">
        <v>75</v>
      </c>
      <c r="C336" s="144" t="s">
        <v>2495</v>
      </c>
      <c r="D336" s="144" t="s">
        <v>2511</v>
      </c>
      <c r="E336" s="144" t="s">
        <v>2511</v>
      </c>
      <c r="F336" s="147" t="s">
        <v>2246</v>
      </c>
      <c r="G336" s="2" t="s">
        <v>2496</v>
      </c>
      <c r="H336" s="2" t="s">
        <v>2497</v>
      </c>
    </row>
    <row r="337" spans="1:8" ht="43.2" x14ac:dyDescent="0.3">
      <c r="A337" s="144" t="s">
        <v>349</v>
      </c>
      <c r="B337" s="144" t="s">
        <v>75</v>
      </c>
      <c r="C337" s="144" t="s">
        <v>2495</v>
      </c>
      <c r="D337" s="144" t="s">
        <v>2512</v>
      </c>
      <c r="E337" s="144" t="s">
        <v>2512</v>
      </c>
      <c r="F337" s="147" t="s">
        <v>2246</v>
      </c>
      <c r="G337" s="2" t="s">
        <v>2496</v>
      </c>
      <c r="H337" s="2" t="s">
        <v>2497</v>
      </c>
    </row>
    <row r="338" spans="1:8" ht="43.2" x14ac:dyDescent="0.3">
      <c r="A338" s="144" t="s">
        <v>349</v>
      </c>
      <c r="B338" s="144" t="s">
        <v>75</v>
      </c>
      <c r="C338" s="144" t="s">
        <v>2495</v>
      </c>
      <c r="D338" s="144" t="s">
        <v>2513</v>
      </c>
      <c r="E338" s="144" t="s">
        <v>2513</v>
      </c>
      <c r="F338" s="147" t="s">
        <v>2246</v>
      </c>
      <c r="G338" s="2" t="s">
        <v>2496</v>
      </c>
      <c r="H338" s="2" t="s">
        <v>2497</v>
      </c>
    </row>
    <row r="339" spans="1:8" ht="43.2" x14ac:dyDescent="0.3">
      <c r="A339" s="144" t="s">
        <v>349</v>
      </c>
      <c r="B339" s="144" t="s">
        <v>75</v>
      </c>
      <c r="C339" s="144" t="s">
        <v>2495</v>
      </c>
      <c r="D339" s="144" t="s">
        <v>2514</v>
      </c>
      <c r="E339" s="144" t="s">
        <v>2514</v>
      </c>
      <c r="F339" s="147" t="s">
        <v>2246</v>
      </c>
      <c r="G339" s="2" t="s">
        <v>2496</v>
      </c>
      <c r="H339" s="2" t="s">
        <v>2497</v>
      </c>
    </row>
    <row r="340" spans="1:8" ht="43.2" x14ac:dyDescent="0.3">
      <c r="A340" s="144" t="s">
        <v>349</v>
      </c>
      <c r="B340" s="144" t="s">
        <v>75</v>
      </c>
      <c r="C340" s="144" t="s">
        <v>2495</v>
      </c>
      <c r="D340" s="144" t="s">
        <v>2515</v>
      </c>
      <c r="E340" s="144" t="s">
        <v>2515</v>
      </c>
      <c r="F340" s="147" t="s">
        <v>2246</v>
      </c>
      <c r="G340" s="2" t="s">
        <v>2496</v>
      </c>
      <c r="H340" s="2" t="s">
        <v>2497</v>
      </c>
    </row>
    <row r="341" spans="1:8" ht="43.2" x14ac:dyDescent="0.3">
      <c r="A341" s="144" t="s">
        <v>349</v>
      </c>
      <c r="B341" s="144" t="s">
        <v>75</v>
      </c>
      <c r="C341" s="144" t="s">
        <v>2495</v>
      </c>
      <c r="D341" s="144" t="s">
        <v>2516</v>
      </c>
      <c r="E341" s="144" t="s">
        <v>2516</v>
      </c>
      <c r="F341" s="147" t="s">
        <v>2246</v>
      </c>
      <c r="G341" s="2" t="s">
        <v>2496</v>
      </c>
      <c r="H341" s="2" t="s">
        <v>2497</v>
      </c>
    </row>
    <row r="342" spans="1:8" ht="43.2" x14ac:dyDescent="0.3">
      <c r="A342" s="144" t="s">
        <v>349</v>
      </c>
      <c r="B342" s="144" t="s">
        <v>75</v>
      </c>
      <c r="C342" s="144" t="s">
        <v>2495</v>
      </c>
      <c r="D342" s="144" t="s">
        <v>2517</v>
      </c>
      <c r="E342" s="144" t="s">
        <v>2517</v>
      </c>
      <c r="F342" s="147" t="s">
        <v>2246</v>
      </c>
      <c r="G342" s="2" t="s">
        <v>2496</v>
      </c>
      <c r="H342" s="2" t="s">
        <v>2497</v>
      </c>
    </row>
    <row r="343" spans="1:8" ht="43.2" x14ac:dyDescent="0.3">
      <c r="A343" s="144" t="s">
        <v>349</v>
      </c>
      <c r="B343" s="144" t="s">
        <v>75</v>
      </c>
      <c r="C343" s="144" t="s">
        <v>2495</v>
      </c>
      <c r="D343" s="144" t="s">
        <v>2518</v>
      </c>
      <c r="E343" s="144" t="s">
        <v>2518</v>
      </c>
      <c r="F343" s="147" t="s">
        <v>2246</v>
      </c>
      <c r="G343" s="2" t="s">
        <v>2496</v>
      </c>
      <c r="H343" s="2" t="s">
        <v>2497</v>
      </c>
    </row>
    <row r="344" spans="1:8" ht="43.2" x14ac:dyDescent="0.3">
      <c r="A344" s="144" t="s">
        <v>349</v>
      </c>
      <c r="B344" s="144" t="s">
        <v>75</v>
      </c>
      <c r="C344" s="144" t="s">
        <v>2495</v>
      </c>
      <c r="D344" s="144" t="s">
        <v>2519</v>
      </c>
      <c r="E344" s="144" t="s">
        <v>2519</v>
      </c>
      <c r="F344" s="147" t="s">
        <v>2246</v>
      </c>
      <c r="G344" s="2" t="s">
        <v>2496</v>
      </c>
      <c r="H344" s="2" t="s">
        <v>2497</v>
      </c>
    </row>
    <row r="345" spans="1:8" ht="43.2" x14ac:dyDescent="0.3">
      <c r="A345" s="144" t="s">
        <v>349</v>
      </c>
      <c r="B345" s="144" t="s">
        <v>75</v>
      </c>
      <c r="C345" s="144" t="s">
        <v>2495</v>
      </c>
      <c r="D345" s="144" t="s">
        <v>2520</v>
      </c>
      <c r="E345" s="144" t="s">
        <v>2520</v>
      </c>
      <c r="F345" s="148" t="s">
        <v>2248</v>
      </c>
      <c r="G345" s="2" t="s">
        <v>2496</v>
      </c>
      <c r="H345" s="2" t="s">
        <v>2497</v>
      </c>
    </row>
    <row r="346" spans="1:8" ht="43.2" x14ac:dyDescent="0.3">
      <c r="A346" s="144" t="s">
        <v>349</v>
      </c>
      <c r="B346" s="144" t="s">
        <v>75</v>
      </c>
      <c r="C346" s="144" t="s">
        <v>2495</v>
      </c>
      <c r="D346" s="144" t="s">
        <v>2521</v>
      </c>
      <c r="E346" s="144" t="s">
        <v>2521</v>
      </c>
      <c r="F346" s="148" t="s">
        <v>2248</v>
      </c>
      <c r="G346" s="2" t="s">
        <v>2496</v>
      </c>
      <c r="H346" s="2" t="s">
        <v>2497</v>
      </c>
    </row>
    <row r="347" spans="1:8" ht="43.2" x14ac:dyDescent="0.3">
      <c r="A347" s="144" t="s">
        <v>349</v>
      </c>
      <c r="B347" s="144" t="s">
        <v>75</v>
      </c>
      <c r="C347" s="144" t="s">
        <v>2495</v>
      </c>
      <c r="D347" s="144" t="s">
        <v>2522</v>
      </c>
      <c r="E347" s="144" t="s">
        <v>2522</v>
      </c>
      <c r="F347" s="148" t="s">
        <v>2248</v>
      </c>
      <c r="G347" s="2" t="s">
        <v>2496</v>
      </c>
      <c r="H347" s="2" t="s">
        <v>2497</v>
      </c>
    </row>
    <row r="348" spans="1:8" ht="43.2" x14ac:dyDescent="0.3">
      <c r="A348" s="144" t="s">
        <v>349</v>
      </c>
      <c r="B348" s="144" t="s">
        <v>75</v>
      </c>
      <c r="C348" s="144" t="s">
        <v>2495</v>
      </c>
      <c r="D348" s="144" t="s">
        <v>2523</v>
      </c>
      <c r="E348" s="144" t="s">
        <v>2523</v>
      </c>
      <c r="F348" s="148" t="s">
        <v>2248</v>
      </c>
      <c r="G348" s="2" t="s">
        <v>2496</v>
      </c>
      <c r="H348" s="2" t="s">
        <v>2497</v>
      </c>
    </row>
    <row r="349" spans="1:8" ht="43.2" x14ac:dyDescent="0.3">
      <c r="A349" s="144" t="s">
        <v>349</v>
      </c>
      <c r="B349" s="144" t="s">
        <v>75</v>
      </c>
      <c r="C349" s="144" t="s">
        <v>2495</v>
      </c>
      <c r="D349" s="144" t="s">
        <v>2524</v>
      </c>
      <c r="E349" s="144" t="s">
        <v>2524</v>
      </c>
      <c r="F349" s="148" t="s">
        <v>2248</v>
      </c>
      <c r="G349" s="2" t="s">
        <v>2496</v>
      </c>
      <c r="H349" s="2" t="s">
        <v>2497</v>
      </c>
    </row>
    <row r="350" spans="1:8" ht="43.2" x14ac:dyDescent="0.3">
      <c r="A350" s="144" t="s">
        <v>349</v>
      </c>
      <c r="B350" s="144" t="s">
        <v>75</v>
      </c>
      <c r="C350" s="144" t="s">
        <v>2495</v>
      </c>
      <c r="D350" s="144" t="s">
        <v>1589</v>
      </c>
      <c r="E350" s="144" t="s">
        <v>1589</v>
      </c>
      <c r="F350" s="148" t="s">
        <v>2248</v>
      </c>
      <c r="G350" s="2" t="s">
        <v>2496</v>
      </c>
      <c r="H350" s="2" t="s">
        <v>2497</v>
      </c>
    </row>
    <row r="351" spans="1:8" ht="43.2" x14ac:dyDescent="0.3">
      <c r="A351" s="144" t="s">
        <v>349</v>
      </c>
      <c r="B351" s="144" t="s">
        <v>75</v>
      </c>
      <c r="C351" s="144" t="s">
        <v>2495</v>
      </c>
      <c r="D351" s="144" t="s">
        <v>2525</v>
      </c>
      <c r="E351" s="144" t="s">
        <v>2525</v>
      </c>
      <c r="F351" s="148" t="s">
        <v>2248</v>
      </c>
      <c r="G351" s="2" t="s">
        <v>2496</v>
      </c>
      <c r="H351" s="2" t="s">
        <v>2497</v>
      </c>
    </row>
    <row r="352" spans="1:8" ht="43.2" x14ac:dyDescent="0.3">
      <c r="A352" s="144" t="s">
        <v>349</v>
      </c>
      <c r="B352" s="144" t="s">
        <v>75</v>
      </c>
      <c r="C352" s="144" t="s">
        <v>2495</v>
      </c>
      <c r="D352" s="144" t="s">
        <v>2526</v>
      </c>
      <c r="E352" s="144" t="s">
        <v>2526</v>
      </c>
      <c r="F352" s="149" t="s">
        <v>2250</v>
      </c>
      <c r="G352" s="2" t="s">
        <v>2496</v>
      </c>
      <c r="H352" s="2" t="s">
        <v>2497</v>
      </c>
    </row>
    <row r="353" spans="1:8" ht="43.2" x14ac:dyDescent="0.3">
      <c r="A353" s="144" t="s">
        <v>349</v>
      </c>
      <c r="B353" s="144" t="s">
        <v>75</v>
      </c>
      <c r="C353" s="144" t="s">
        <v>2495</v>
      </c>
      <c r="D353" s="144" t="s">
        <v>2527</v>
      </c>
      <c r="E353" s="144" t="s">
        <v>2527</v>
      </c>
      <c r="F353" s="149" t="s">
        <v>2250</v>
      </c>
      <c r="G353" s="2" t="s">
        <v>2496</v>
      </c>
      <c r="H353" s="2" t="s">
        <v>2497</v>
      </c>
    </row>
    <row r="354" spans="1:8" ht="43.2" x14ac:dyDescent="0.3">
      <c r="A354" s="144" t="s">
        <v>349</v>
      </c>
      <c r="B354" s="144" t="s">
        <v>75</v>
      </c>
      <c r="C354" s="144" t="s">
        <v>2495</v>
      </c>
      <c r="D354" s="144" t="s">
        <v>2528</v>
      </c>
      <c r="E354" s="144" t="s">
        <v>2528</v>
      </c>
      <c r="F354" s="149" t="s">
        <v>2250</v>
      </c>
      <c r="G354" s="2" t="s">
        <v>2496</v>
      </c>
      <c r="H354" s="2" t="s">
        <v>2497</v>
      </c>
    </row>
    <row r="355" spans="1:8" ht="43.2" x14ac:dyDescent="0.3">
      <c r="A355" s="144" t="s">
        <v>349</v>
      </c>
      <c r="B355" s="144" t="s">
        <v>75</v>
      </c>
      <c r="C355" s="144" t="s">
        <v>2495</v>
      </c>
      <c r="D355" s="144" t="s">
        <v>1094</v>
      </c>
      <c r="E355" s="144" t="s">
        <v>1094</v>
      </c>
      <c r="F355" s="149" t="s">
        <v>2250</v>
      </c>
      <c r="G355" s="2" t="s">
        <v>2496</v>
      </c>
      <c r="H355" s="2" t="s">
        <v>2497</v>
      </c>
    </row>
    <row r="356" spans="1:8" ht="43.2" x14ac:dyDescent="0.3">
      <c r="A356" s="144" t="s">
        <v>349</v>
      </c>
      <c r="B356" s="144" t="s">
        <v>75</v>
      </c>
      <c r="C356" s="144" t="s">
        <v>2495</v>
      </c>
      <c r="D356" s="144" t="s">
        <v>2520</v>
      </c>
      <c r="E356" s="144" t="s">
        <v>2520</v>
      </c>
      <c r="F356" s="149" t="s">
        <v>2250</v>
      </c>
      <c r="G356" s="2" t="s">
        <v>2496</v>
      </c>
      <c r="H356" s="2" t="s">
        <v>2497</v>
      </c>
    </row>
    <row r="357" spans="1:8" ht="43.2" x14ac:dyDescent="0.3">
      <c r="A357" s="144" t="s">
        <v>349</v>
      </c>
      <c r="B357" s="144" t="s">
        <v>75</v>
      </c>
      <c r="C357" s="144" t="s">
        <v>2495</v>
      </c>
      <c r="D357" s="144" t="s">
        <v>2529</v>
      </c>
      <c r="E357" s="144" t="s">
        <v>2529</v>
      </c>
      <c r="F357" s="149" t="s">
        <v>2250</v>
      </c>
      <c r="G357" s="2" t="s">
        <v>2496</v>
      </c>
      <c r="H357" s="2" t="s">
        <v>2497</v>
      </c>
    </row>
    <row r="358" spans="1:8" ht="43.2" x14ac:dyDescent="0.3">
      <c r="A358" s="144" t="s">
        <v>349</v>
      </c>
      <c r="B358" s="144" t="s">
        <v>75</v>
      </c>
      <c r="C358" s="144" t="s">
        <v>2495</v>
      </c>
      <c r="D358" s="144" t="s">
        <v>2503</v>
      </c>
      <c r="E358" s="144" t="s">
        <v>2503</v>
      </c>
      <c r="F358" s="149" t="s">
        <v>2250</v>
      </c>
      <c r="G358" s="2" t="s">
        <v>2496</v>
      </c>
      <c r="H358" s="2" t="s">
        <v>2497</v>
      </c>
    </row>
    <row r="359" spans="1:8" ht="43.2" x14ac:dyDescent="0.3">
      <c r="A359" s="144" t="s">
        <v>349</v>
      </c>
      <c r="B359" s="144" t="s">
        <v>75</v>
      </c>
      <c r="C359" s="144" t="s">
        <v>2495</v>
      </c>
      <c r="D359" s="144" t="s">
        <v>2530</v>
      </c>
      <c r="E359" s="144" t="s">
        <v>2530</v>
      </c>
      <c r="F359" s="149" t="s">
        <v>2250</v>
      </c>
      <c r="G359" s="2" t="s">
        <v>2496</v>
      </c>
      <c r="H359" s="2" t="s">
        <v>2497</v>
      </c>
    </row>
    <row r="360" spans="1:8" ht="43.2" x14ac:dyDescent="0.3">
      <c r="A360" s="144" t="s">
        <v>349</v>
      </c>
      <c r="B360" s="144" t="s">
        <v>75</v>
      </c>
      <c r="C360" s="144" t="s">
        <v>2495</v>
      </c>
      <c r="D360" s="144" t="s">
        <v>2521</v>
      </c>
      <c r="E360" s="144" t="s">
        <v>2521</v>
      </c>
      <c r="F360" s="149" t="s">
        <v>2250</v>
      </c>
      <c r="G360" s="2" t="s">
        <v>2496</v>
      </c>
      <c r="H360" s="2" t="s">
        <v>2497</v>
      </c>
    </row>
    <row r="361" spans="1:8" ht="43.2" x14ac:dyDescent="0.3">
      <c r="A361" s="144" t="s">
        <v>349</v>
      </c>
      <c r="B361" s="144" t="s">
        <v>75</v>
      </c>
      <c r="C361" s="144" t="s">
        <v>2495</v>
      </c>
      <c r="D361" s="144" t="s">
        <v>1051</v>
      </c>
      <c r="E361" s="144" t="s">
        <v>1051</v>
      </c>
      <c r="F361" s="150" t="s">
        <v>2252</v>
      </c>
      <c r="G361" s="2" t="s">
        <v>2496</v>
      </c>
      <c r="H361" s="2" t="s">
        <v>2497</v>
      </c>
    </row>
    <row r="362" spans="1:8" ht="43.2" x14ac:dyDescent="0.3">
      <c r="A362" s="144" t="s">
        <v>349</v>
      </c>
      <c r="B362" s="144" t="s">
        <v>75</v>
      </c>
      <c r="C362" s="144" t="s">
        <v>2495</v>
      </c>
      <c r="D362" s="144" t="s">
        <v>2531</v>
      </c>
      <c r="E362" s="144" t="s">
        <v>2531</v>
      </c>
      <c r="F362" s="150" t="s">
        <v>2252</v>
      </c>
      <c r="G362" s="2" t="s">
        <v>2496</v>
      </c>
      <c r="H362" s="2" t="s">
        <v>2497</v>
      </c>
    </row>
    <row r="363" spans="1:8" ht="43.2" x14ac:dyDescent="0.3">
      <c r="A363" s="144" t="s">
        <v>349</v>
      </c>
      <c r="B363" s="144" t="s">
        <v>75</v>
      </c>
      <c r="C363" s="144" t="s">
        <v>2495</v>
      </c>
      <c r="D363" s="144" t="s">
        <v>2532</v>
      </c>
      <c r="E363" s="144" t="s">
        <v>2532</v>
      </c>
      <c r="F363" s="150" t="s">
        <v>2252</v>
      </c>
      <c r="G363" s="2" t="s">
        <v>2496</v>
      </c>
      <c r="H363" s="2" t="s">
        <v>2497</v>
      </c>
    </row>
    <row r="364" spans="1:8" ht="43.2" x14ac:dyDescent="0.3">
      <c r="A364" s="144" t="s">
        <v>349</v>
      </c>
      <c r="B364" s="144" t="s">
        <v>75</v>
      </c>
      <c r="C364" s="144" t="s">
        <v>2495</v>
      </c>
      <c r="D364" s="144" t="s">
        <v>2533</v>
      </c>
      <c r="E364" s="144" t="s">
        <v>2533</v>
      </c>
      <c r="F364" s="150" t="s">
        <v>2252</v>
      </c>
      <c r="G364" s="2" t="s">
        <v>2496</v>
      </c>
      <c r="H364" s="2" t="s">
        <v>2497</v>
      </c>
    </row>
    <row r="365" spans="1:8" ht="43.2" x14ac:dyDescent="0.3">
      <c r="A365" s="144" t="s">
        <v>349</v>
      </c>
      <c r="B365" s="144" t="s">
        <v>75</v>
      </c>
      <c r="C365" s="144" t="s">
        <v>2495</v>
      </c>
      <c r="D365" s="144" t="s">
        <v>2534</v>
      </c>
      <c r="E365" s="144" t="s">
        <v>2534</v>
      </c>
      <c r="F365" s="150" t="s">
        <v>2252</v>
      </c>
      <c r="G365" s="2" t="s">
        <v>2496</v>
      </c>
      <c r="H365" s="2" t="s">
        <v>2497</v>
      </c>
    </row>
    <row r="366" spans="1:8" ht="43.2" x14ac:dyDescent="0.3">
      <c r="A366" s="144" t="s">
        <v>349</v>
      </c>
      <c r="B366" s="144" t="s">
        <v>75</v>
      </c>
      <c r="C366" s="144" t="s">
        <v>2495</v>
      </c>
      <c r="D366" s="144" t="s">
        <v>2535</v>
      </c>
      <c r="E366" s="144" t="s">
        <v>2535</v>
      </c>
      <c r="F366" s="150" t="s">
        <v>2252</v>
      </c>
      <c r="G366" s="2" t="s">
        <v>2496</v>
      </c>
      <c r="H366" s="2" t="s">
        <v>2497</v>
      </c>
    </row>
    <row r="367" spans="1:8" ht="43.2" x14ac:dyDescent="0.3">
      <c r="A367" s="144" t="s">
        <v>349</v>
      </c>
      <c r="B367" s="144" t="s">
        <v>75</v>
      </c>
      <c r="C367" s="144" t="s">
        <v>2495</v>
      </c>
      <c r="D367" s="144" t="s">
        <v>2536</v>
      </c>
      <c r="E367" s="144" t="s">
        <v>2536</v>
      </c>
      <c r="F367" s="150" t="s">
        <v>2252</v>
      </c>
      <c r="G367" s="2" t="s">
        <v>2496</v>
      </c>
      <c r="H367" s="2" t="s">
        <v>2497</v>
      </c>
    </row>
    <row r="368" spans="1:8" ht="43.2" x14ac:dyDescent="0.3">
      <c r="A368" s="144" t="s">
        <v>349</v>
      </c>
      <c r="B368" s="144" t="s">
        <v>75</v>
      </c>
      <c r="C368" s="144" t="s">
        <v>2495</v>
      </c>
      <c r="D368" s="144" t="s">
        <v>2537</v>
      </c>
      <c r="E368" s="144" t="s">
        <v>2537</v>
      </c>
      <c r="F368" s="150" t="s">
        <v>2252</v>
      </c>
      <c r="G368" s="2" t="s">
        <v>2496</v>
      </c>
      <c r="H368" s="2" t="s">
        <v>2497</v>
      </c>
    </row>
    <row r="369" spans="1:8" ht="43.2" x14ac:dyDescent="0.3">
      <c r="A369" s="144" t="s">
        <v>349</v>
      </c>
      <c r="B369" s="144" t="s">
        <v>75</v>
      </c>
      <c r="C369" s="144" t="s">
        <v>2495</v>
      </c>
      <c r="D369" s="144" t="s">
        <v>2538</v>
      </c>
      <c r="E369" s="144" t="s">
        <v>2538</v>
      </c>
      <c r="F369" s="150" t="s">
        <v>2252</v>
      </c>
      <c r="G369" s="2" t="s">
        <v>2496</v>
      </c>
      <c r="H369" s="2" t="s">
        <v>2497</v>
      </c>
    </row>
    <row r="370" spans="1:8" ht="43.2" x14ac:dyDescent="0.3">
      <c r="A370" s="144" t="s">
        <v>349</v>
      </c>
      <c r="B370" s="144" t="s">
        <v>75</v>
      </c>
      <c r="C370" s="144" t="s">
        <v>2495</v>
      </c>
      <c r="D370" s="144" t="s">
        <v>2539</v>
      </c>
      <c r="E370" s="144" t="s">
        <v>2539</v>
      </c>
      <c r="F370" s="150" t="s">
        <v>2252</v>
      </c>
      <c r="G370" s="2" t="s">
        <v>2496</v>
      </c>
      <c r="H370" s="2" t="s">
        <v>2497</v>
      </c>
    </row>
    <row r="371" spans="1:8" ht="43.2" x14ac:dyDescent="0.3">
      <c r="A371" s="144" t="s">
        <v>349</v>
      </c>
      <c r="B371" s="144" t="s">
        <v>75</v>
      </c>
      <c r="C371" s="144" t="s">
        <v>2495</v>
      </c>
      <c r="D371" s="144" t="s">
        <v>1615</v>
      </c>
      <c r="E371" s="144" t="s">
        <v>1615</v>
      </c>
      <c r="F371" s="150" t="s">
        <v>2252</v>
      </c>
      <c r="G371" s="2" t="s">
        <v>2496</v>
      </c>
      <c r="H371" s="2" t="s">
        <v>2497</v>
      </c>
    </row>
    <row r="372" spans="1:8" ht="43.2" x14ac:dyDescent="0.3">
      <c r="A372" s="144" t="s">
        <v>349</v>
      </c>
      <c r="B372" s="144" t="s">
        <v>75</v>
      </c>
      <c r="C372" s="144" t="s">
        <v>2495</v>
      </c>
      <c r="D372" s="144" t="s">
        <v>2540</v>
      </c>
      <c r="E372" s="144" t="s">
        <v>2540</v>
      </c>
      <c r="F372" s="150" t="s">
        <v>2252</v>
      </c>
      <c r="G372" s="2" t="s">
        <v>2496</v>
      </c>
      <c r="H372" s="2" t="s">
        <v>2497</v>
      </c>
    </row>
    <row r="373" spans="1:8" ht="43.2" x14ac:dyDescent="0.3">
      <c r="A373" s="144" t="s">
        <v>349</v>
      </c>
      <c r="B373" s="144" t="s">
        <v>75</v>
      </c>
      <c r="C373" s="144" t="s">
        <v>2495</v>
      </c>
      <c r="D373" s="144" t="s">
        <v>2541</v>
      </c>
      <c r="E373" s="144" t="s">
        <v>2541</v>
      </c>
      <c r="F373" s="150" t="s">
        <v>2252</v>
      </c>
      <c r="G373" s="2" t="s">
        <v>2496</v>
      </c>
      <c r="H373" s="2" t="s">
        <v>2497</v>
      </c>
    </row>
    <row r="374" spans="1:8" ht="43.2" x14ac:dyDescent="0.3">
      <c r="A374" s="144" t="s">
        <v>349</v>
      </c>
      <c r="B374" s="144" t="s">
        <v>75</v>
      </c>
      <c r="C374" s="144" t="s">
        <v>2495</v>
      </c>
      <c r="D374" s="144" t="s">
        <v>2542</v>
      </c>
      <c r="E374" s="144" t="s">
        <v>2542</v>
      </c>
      <c r="F374" s="150" t="s">
        <v>2252</v>
      </c>
      <c r="G374" s="2" t="s">
        <v>2496</v>
      </c>
      <c r="H374" s="2" t="s">
        <v>2497</v>
      </c>
    </row>
    <row r="375" spans="1:8" ht="43.2" x14ac:dyDescent="0.3">
      <c r="A375" s="144" t="s">
        <v>349</v>
      </c>
      <c r="B375" s="144" t="s">
        <v>75</v>
      </c>
      <c r="C375" s="144" t="s">
        <v>2495</v>
      </c>
      <c r="D375" s="144" t="s">
        <v>2543</v>
      </c>
      <c r="E375" s="144" t="s">
        <v>2543</v>
      </c>
      <c r="F375" s="150" t="s">
        <v>2252</v>
      </c>
      <c r="G375" s="2" t="s">
        <v>2496</v>
      </c>
      <c r="H375" s="2" t="s">
        <v>2497</v>
      </c>
    </row>
    <row r="376" spans="1:8" ht="43.2" x14ac:dyDescent="0.3">
      <c r="A376" s="144" t="s">
        <v>349</v>
      </c>
      <c r="B376" s="144" t="s">
        <v>75</v>
      </c>
      <c r="C376" s="144" t="s">
        <v>2495</v>
      </c>
      <c r="D376" s="144" t="s">
        <v>2544</v>
      </c>
      <c r="E376" s="144" t="s">
        <v>2544</v>
      </c>
      <c r="F376" s="150" t="s">
        <v>2252</v>
      </c>
      <c r="G376" s="2" t="s">
        <v>2496</v>
      </c>
      <c r="H376" s="2" t="s">
        <v>2497</v>
      </c>
    </row>
    <row r="377" spans="1:8" ht="43.2" x14ac:dyDescent="0.3">
      <c r="A377" s="144" t="s">
        <v>349</v>
      </c>
      <c r="B377" s="144" t="s">
        <v>75</v>
      </c>
      <c r="C377" s="144" t="s">
        <v>2495</v>
      </c>
      <c r="D377" s="144" t="s">
        <v>757</v>
      </c>
      <c r="E377" s="144" t="s">
        <v>757</v>
      </c>
      <c r="F377" s="150" t="s">
        <v>2252</v>
      </c>
      <c r="G377" s="2" t="s">
        <v>2496</v>
      </c>
      <c r="H377" s="2" t="s">
        <v>2497</v>
      </c>
    </row>
    <row r="378" spans="1:8" ht="28.8" x14ac:dyDescent="0.3">
      <c r="A378" s="144" t="s">
        <v>351</v>
      </c>
      <c r="B378" s="144" t="s">
        <v>81</v>
      </c>
      <c r="C378" s="144" t="s">
        <v>446</v>
      </c>
      <c r="D378" s="144" t="s">
        <v>351</v>
      </c>
      <c r="E378" s="144" t="s">
        <v>351</v>
      </c>
      <c r="F378" s="145" t="s">
        <v>2242</v>
      </c>
      <c r="G378" s="2" t="s">
        <v>2545</v>
      </c>
      <c r="H378" s="2" t="s">
        <v>2546</v>
      </c>
    </row>
    <row r="379" spans="1:8" ht="28.8" x14ac:dyDescent="0.3">
      <c r="A379" s="144" t="s">
        <v>351</v>
      </c>
      <c r="B379" s="144" t="s">
        <v>81</v>
      </c>
      <c r="C379" s="144" t="s">
        <v>446</v>
      </c>
      <c r="D379" s="144" t="s">
        <v>718</v>
      </c>
      <c r="E379" s="144" t="s">
        <v>718</v>
      </c>
      <c r="F379" s="145" t="s">
        <v>2242</v>
      </c>
      <c r="G379" s="2" t="s">
        <v>2545</v>
      </c>
      <c r="H379" s="2" t="s">
        <v>2546</v>
      </c>
    </row>
    <row r="380" spans="1:8" ht="28.8" x14ac:dyDescent="0.3">
      <c r="A380" s="144" t="s">
        <v>351</v>
      </c>
      <c r="B380" s="144" t="s">
        <v>81</v>
      </c>
      <c r="C380" s="144" t="s">
        <v>446</v>
      </c>
      <c r="D380" s="144" t="s">
        <v>2547</v>
      </c>
      <c r="E380" s="144" t="s">
        <v>2547</v>
      </c>
      <c r="F380" s="146" t="s">
        <v>2244</v>
      </c>
      <c r="G380" s="2" t="s">
        <v>2545</v>
      </c>
      <c r="H380" s="2" t="s">
        <v>2546</v>
      </c>
    </row>
    <row r="381" spans="1:8" ht="28.8" x14ac:dyDescent="0.3">
      <c r="A381" s="144" t="s">
        <v>351</v>
      </c>
      <c r="B381" s="144" t="s">
        <v>81</v>
      </c>
      <c r="C381" s="144" t="s">
        <v>446</v>
      </c>
      <c r="D381" s="144" t="s">
        <v>1592</v>
      </c>
      <c r="E381" s="144" t="s">
        <v>1592</v>
      </c>
      <c r="F381" s="146" t="s">
        <v>2244</v>
      </c>
      <c r="G381" s="2" t="s">
        <v>2545</v>
      </c>
      <c r="H381" s="2" t="s">
        <v>2546</v>
      </c>
    </row>
    <row r="382" spans="1:8" ht="28.8" x14ac:dyDescent="0.3">
      <c r="A382" s="144" t="s">
        <v>351</v>
      </c>
      <c r="B382" s="144" t="s">
        <v>81</v>
      </c>
      <c r="C382" s="144" t="s">
        <v>446</v>
      </c>
      <c r="D382" s="144" t="s">
        <v>1594</v>
      </c>
      <c r="E382" s="144" t="s">
        <v>1594</v>
      </c>
      <c r="F382" s="146" t="s">
        <v>2244</v>
      </c>
      <c r="G382" s="2" t="s">
        <v>2545</v>
      </c>
      <c r="H382" s="2" t="s">
        <v>2546</v>
      </c>
    </row>
    <row r="383" spans="1:8" ht="28.8" x14ac:dyDescent="0.3">
      <c r="A383" s="144" t="s">
        <v>351</v>
      </c>
      <c r="B383" s="144" t="s">
        <v>81</v>
      </c>
      <c r="C383" s="144" t="s">
        <v>446</v>
      </c>
      <c r="D383" s="144" t="s">
        <v>2413</v>
      </c>
      <c r="E383" s="144" t="s">
        <v>2413</v>
      </c>
      <c r="F383" s="146" t="s">
        <v>2244</v>
      </c>
      <c r="G383" s="2" t="s">
        <v>2545</v>
      </c>
      <c r="H383" s="2" t="s">
        <v>2546</v>
      </c>
    </row>
    <row r="384" spans="1:8" ht="28.8" x14ac:dyDescent="0.3">
      <c r="A384" s="144" t="s">
        <v>351</v>
      </c>
      <c r="B384" s="144" t="s">
        <v>81</v>
      </c>
      <c r="C384" s="144" t="s">
        <v>446</v>
      </c>
      <c r="D384" s="144" t="s">
        <v>1593</v>
      </c>
      <c r="E384" s="144" t="s">
        <v>1593</v>
      </c>
      <c r="F384" s="146" t="s">
        <v>2244</v>
      </c>
      <c r="G384" s="2" t="s">
        <v>2545</v>
      </c>
      <c r="H384" s="2" t="s">
        <v>2546</v>
      </c>
    </row>
    <row r="385" spans="1:8" ht="28.8" x14ac:dyDescent="0.3">
      <c r="A385" s="144" t="s">
        <v>351</v>
      </c>
      <c r="B385" s="144" t="s">
        <v>81</v>
      </c>
      <c r="C385" s="144" t="s">
        <v>446</v>
      </c>
      <c r="D385" s="144" t="s">
        <v>2548</v>
      </c>
      <c r="E385" s="144" t="s">
        <v>2548</v>
      </c>
      <c r="F385" s="146" t="s">
        <v>2244</v>
      </c>
      <c r="G385" s="2" t="s">
        <v>2545</v>
      </c>
      <c r="H385" s="2" t="s">
        <v>2546</v>
      </c>
    </row>
    <row r="386" spans="1:8" ht="28.8" x14ac:dyDescent="0.3">
      <c r="A386" s="144" t="s">
        <v>351</v>
      </c>
      <c r="B386" s="144" t="s">
        <v>81</v>
      </c>
      <c r="C386" s="144" t="s">
        <v>446</v>
      </c>
      <c r="D386" s="144" t="s">
        <v>2549</v>
      </c>
      <c r="E386" s="144" t="s">
        <v>2549</v>
      </c>
      <c r="F386" s="146" t="s">
        <v>2244</v>
      </c>
      <c r="G386" s="2" t="s">
        <v>2545</v>
      </c>
      <c r="H386" s="2" t="s">
        <v>2546</v>
      </c>
    </row>
    <row r="387" spans="1:8" ht="28.8" x14ac:dyDescent="0.3">
      <c r="A387" s="144" t="s">
        <v>351</v>
      </c>
      <c r="B387" s="144" t="s">
        <v>81</v>
      </c>
      <c r="C387" s="144" t="s">
        <v>446</v>
      </c>
      <c r="D387" s="144" t="s">
        <v>2550</v>
      </c>
      <c r="E387" s="144" t="s">
        <v>2550</v>
      </c>
      <c r="F387" s="146" t="s">
        <v>2244</v>
      </c>
      <c r="G387" s="2" t="s">
        <v>2545</v>
      </c>
      <c r="H387" s="2" t="s">
        <v>2546</v>
      </c>
    </row>
    <row r="388" spans="1:8" ht="28.8" x14ac:dyDescent="0.3">
      <c r="A388" s="144" t="s">
        <v>351</v>
      </c>
      <c r="B388" s="144" t="s">
        <v>81</v>
      </c>
      <c r="C388" s="144" t="s">
        <v>446</v>
      </c>
      <c r="D388" s="144" t="s">
        <v>2269</v>
      </c>
      <c r="E388" s="144" t="s">
        <v>2269</v>
      </c>
      <c r="F388" s="146" t="s">
        <v>2244</v>
      </c>
      <c r="G388" s="2" t="s">
        <v>2545</v>
      </c>
      <c r="H388" s="2" t="s">
        <v>2546</v>
      </c>
    </row>
    <row r="389" spans="1:8" ht="28.8" x14ac:dyDescent="0.3">
      <c r="A389" s="144" t="s">
        <v>351</v>
      </c>
      <c r="B389" s="144" t="s">
        <v>81</v>
      </c>
      <c r="C389" s="144" t="s">
        <v>446</v>
      </c>
      <c r="D389" s="144" t="s">
        <v>2551</v>
      </c>
      <c r="E389" s="144" t="s">
        <v>2551</v>
      </c>
      <c r="F389" s="146" t="s">
        <v>2244</v>
      </c>
      <c r="G389" s="2" t="s">
        <v>2545</v>
      </c>
      <c r="H389" s="2" t="s">
        <v>2546</v>
      </c>
    </row>
    <row r="390" spans="1:8" ht="28.8" x14ac:dyDescent="0.3">
      <c r="A390" s="144" t="s">
        <v>351</v>
      </c>
      <c r="B390" s="144" t="s">
        <v>81</v>
      </c>
      <c r="C390" s="144" t="s">
        <v>446</v>
      </c>
      <c r="D390" s="144" t="s">
        <v>2552</v>
      </c>
      <c r="E390" s="144" t="s">
        <v>2552</v>
      </c>
      <c r="F390" s="146" t="s">
        <v>2244</v>
      </c>
      <c r="G390" s="2" t="s">
        <v>2545</v>
      </c>
      <c r="H390" s="2" t="s">
        <v>2546</v>
      </c>
    </row>
    <row r="391" spans="1:8" ht="28.8" x14ac:dyDescent="0.3">
      <c r="A391" s="144" t="s">
        <v>351</v>
      </c>
      <c r="B391" s="144" t="s">
        <v>81</v>
      </c>
      <c r="C391" s="144" t="s">
        <v>446</v>
      </c>
      <c r="D391" s="144" t="s">
        <v>2553</v>
      </c>
      <c r="E391" s="144" t="s">
        <v>2553</v>
      </c>
      <c r="F391" s="146" t="s">
        <v>2244</v>
      </c>
      <c r="G391" s="2" t="s">
        <v>2545</v>
      </c>
      <c r="H391" s="2" t="s">
        <v>2546</v>
      </c>
    </row>
    <row r="392" spans="1:8" ht="28.8" x14ac:dyDescent="0.3">
      <c r="A392" s="144" t="s">
        <v>351</v>
      </c>
      <c r="B392" s="144" t="s">
        <v>81</v>
      </c>
      <c r="C392" s="144" t="s">
        <v>446</v>
      </c>
      <c r="D392" s="144" t="s">
        <v>2554</v>
      </c>
      <c r="E392" s="144" t="s">
        <v>2554</v>
      </c>
      <c r="F392" s="146" t="s">
        <v>2244</v>
      </c>
      <c r="G392" s="2" t="s">
        <v>2545</v>
      </c>
      <c r="H392" s="2" t="s">
        <v>2546</v>
      </c>
    </row>
    <row r="393" spans="1:8" ht="28.8" x14ac:dyDescent="0.3">
      <c r="A393" s="144" t="s">
        <v>351</v>
      </c>
      <c r="B393" s="144" t="s">
        <v>81</v>
      </c>
      <c r="C393" s="144" t="s">
        <v>446</v>
      </c>
      <c r="D393" s="144" t="s">
        <v>2555</v>
      </c>
      <c r="E393" s="144" t="s">
        <v>2555</v>
      </c>
      <c r="F393" s="147" t="s">
        <v>2246</v>
      </c>
      <c r="G393" s="2" t="s">
        <v>2545</v>
      </c>
      <c r="H393" s="2" t="s">
        <v>2546</v>
      </c>
    </row>
    <row r="394" spans="1:8" ht="28.8" x14ac:dyDescent="0.3">
      <c r="A394" s="144" t="s">
        <v>351</v>
      </c>
      <c r="B394" s="144" t="s">
        <v>81</v>
      </c>
      <c r="C394" s="144" t="s">
        <v>446</v>
      </c>
      <c r="D394" s="144" t="s">
        <v>2556</v>
      </c>
      <c r="E394" s="144" t="s">
        <v>2556</v>
      </c>
      <c r="F394" s="147" t="s">
        <v>2246</v>
      </c>
      <c r="G394" s="2" t="s">
        <v>2545</v>
      </c>
      <c r="H394" s="2" t="s">
        <v>2546</v>
      </c>
    </row>
    <row r="395" spans="1:8" ht="28.8" x14ac:dyDescent="0.3">
      <c r="A395" s="144" t="s">
        <v>351</v>
      </c>
      <c r="B395" s="144" t="s">
        <v>81</v>
      </c>
      <c r="C395" s="144" t="s">
        <v>446</v>
      </c>
      <c r="D395" s="144" t="s">
        <v>2557</v>
      </c>
      <c r="E395" s="144" t="s">
        <v>2557</v>
      </c>
      <c r="F395" s="147" t="s">
        <v>2246</v>
      </c>
      <c r="G395" s="2" t="s">
        <v>2545</v>
      </c>
      <c r="H395" s="2" t="s">
        <v>2546</v>
      </c>
    </row>
    <row r="396" spans="1:8" ht="28.8" x14ac:dyDescent="0.3">
      <c r="A396" s="144" t="s">
        <v>351</v>
      </c>
      <c r="B396" s="144" t="s">
        <v>81</v>
      </c>
      <c r="C396" s="144" t="s">
        <v>446</v>
      </c>
      <c r="D396" s="144" t="s">
        <v>2558</v>
      </c>
      <c r="E396" s="144" t="s">
        <v>2558</v>
      </c>
      <c r="F396" s="147" t="s">
        <v>2246</v>
      </c>
      <c r="G396" s="2" t="s">
        <v>2545</v>
      </c>
      <c r="H396" s="2" t="s">
        <v>2546</v>
      </c>
    </row>
    <row r="397" spans="1:8" ht="28.8" x14ac:dyDescent="0.3">
      <c r="A397" s="144" t="s">
        <v>351</v>
      </c>
      <c r="B397" s="144" t="s">
        <v>81</v>
      </c>
      <c r="C397" s="144" t="s">
        <v>446</v>
      </c>
      <c r="D397" s="144" t="s">
        <v>2559</v>
      </c>
      <c r="E397" s="144" t="s">
        <v>2559</v>
      </c>
      <c r="F397" s="147" t="s">
        <v>2246</v>
      </c>
      <c r="G397" s="2" t="s">
        <v>2545</v>
      </c>
      <c r="H397" s="2" t="s">
        <v>2546</v>
      </c>
    </row>
    <row r="398" spans="1:8" ht="28.8" x14ac:dyDescent="0.3">
      <c r="A398" s="144" t="s">
        <v>351</v>
      </c>
      <c r="B398" s="144" t="s">
        <v>81</v>
      </c>
      <c r="C398" s="144" t="s">
        <v>446</v>
      </c>
      <c r="D398" s="144" t="s">
        <v>2560</v>
      </c>
      <c r="E398" s="144" t="s">
        <v>2560</v>
      </c>
      <c r="F398" s="147" t="s">
        <v>2246</v>
      </c>
      <c r="G398" s="2" t="s">
        <v>2545</v>
      </c>
      <c r="H398" s="2" t="s">
        <v>2546</v>
      </c>
    </row>
    <row r="399" spans="1:8" ht="28.8" x14ac:dyDescent="0.3">
      <c r="A399" s="144" t="s">
        <v>351</v>
      </c>
      <c r="B399" s="144" t="s">
        <v>81</v>
      </c>
      <c r="C399" s="144" t="s">
        <v>446</v>
      </c>
      <c r="D399" s="144" t="s">
        <v>2561</v>
      </c>
      <c r="E399" s="144" t="s">
        <v>2561</v>
      </c>
      <c r="F399" s="147" t="s">
        <v>2246</v>
      </c>
      <c r="G399" s="2" t="s">
        <v>2545</v>
      </c>
      <c r="H399" s="2" t="s">
        <v>2546</v>
      </c>
    </row>
    <row r="400" spans="1:8" ht="28.8" x14ac:dyDescent="0.3">
      <c r="A400" s="144" t="s">
        <v>351</v>
      </c>
      <c r="B400" s="144" t="s">
        <v>81</v>
      </c>
      <c r="C400" s="144" t="s">
        <v>446</v>
      </c>
      <c r="D400" s="144" t="s">
        <v>2562</v>
      </c>
      <c r="E400" s="144" t="s">
        <v>2562</v>
      </c>
      <c r="F400" s="147" t="s">
        <v>2246</v>
      </c>
      <c r="G400" s="2" t="s">
        <v>2545</v>
      </c>
      <c r="H400" s="2" t="s">
        <v>2546</v>
      </c>
    </row>
    <row r="401" spans="1:8" ht="28.8" x14ac:dyDescent="0.3">
      <c r="A401" s="144" t="s">
        <v>351</v>
      </c>
      <c r="B401" s="144" t="s">
        <v>81</v>
      </c>
      <c r="C401" s="144" t="s">
        <v>446</v>
      </c>
      <c r="D401" s="144" t="s">
        <v>2563</v>
      </c>
      <c r="E401" s="144" t="s">
        <v>2563</v>
      </c>
      <c r="F401" s="147" t="s">
        <v>2246</v>
      </c>
      <c r="G401" s="2" t="s">
        <v>2545</v>
      </c>
      <c r="H401" s="2" t="s">
        <v>2546</v>
      </c>
    </row>
    <row r="402" spans="1:8" ht="28.8" x14ac:dyDescent="0.3">
      <c r="A402" s="144" t="s">
        <v>351</v>
      </c>
      <c r="B402" s="144" t="s">
        <v>81</v>
      </c>
      <c r="C402" s="144" t="s">
        <v>446</v>
      </c>
      <c r="D402" s="144" t="s">
        <v>2564</v>
      </c>
      <c r="E402" s="144" t="s">
        <v>2564</v>
      </c>
      <c r="F402" s="147" t="s">
        <v>2246</v>
      </c>
      <c r="G402" s="2" t="s">
        <v>2545</v>
      </c>
      <c r="H402" s="2" t="s">
        <v>2546</v>
      </c>
    </row>
    <row r="403" spans="1:8" ht="28.8" x14ac:dyDescent="0.3">
      <c r="A403" s="144" t="s">
        <v>351</v>
      </c>
      <c r="B403" s="144" t="s">
        <v>81</v>
      </c>
      <c r="C403" s="144" t="s">
        <v>446</v>
      </c>
      <c r="D403" s="144" t="s">
        <v>2565</v>
      </c>
      <c r="E403" s="144" t="s">
        <v>2565</v>
      </c>
      <c r="F403" s="147" t="s">
        <v>2246</v>
      </c>
      <c r="G403" s="2" t="s">
        <v>2545</v>
      </c>
      <c r="H403" s="2" t="s">
        <v>2546</v>
      </c>
    </row>
    <row r="404" spans="1:8" ht="28.8" x14ac:dyDescent="0.3">
      <c r="A404" s="144" t="s">
        <v>351</v>
      </c>
      <c r="B404" s="144" t="s">
        <v>81</v>
      </c>
      <c r="C404" s="144" t="s">
        <v>446</v>
      </c>
      <c r="D404" s="144" t="s">
        <v>2566</v>
      </c>
      <c r="E404" s="144" t="s">
        <v>2566</v>
      </c>
      <c r="F404" s="147" t="s">
        <v>2246</v>
      </c>
      <c r="G404" s="2" t="s">
        <v>2545</v>
      </c>
      <c r="H404" s="2" t="s">
        <v>2546</v>
      </c>
    </row>
    <row r="405" spans="1:8" ht="28.8" x14ac:dyDescent="0.3">
      <c r="A405" s="144" t="s">
        <v>351</v>
      </c>
      <c r="B405" s="144" t="s">
        <v>81</v>
      </c>
      <c r="C405" s="144" t="s">
        <v>446</v>
      </c>
      <c r="D405" s="144" t="s">
        <v>786</v>
      </c>
      <c r="E405" s="144" t="s">
        <v>786</v>
      </c>
      <c r="F405" s="148" t="s">
        <v>2248</v>
      </c>
      <c r="G405" s="2" t="s">
        <v>2545</v>
      </c>
      <c r="H405" s="2" t="s">
        <v>2546</v>
      </c>
    </row>
    <row r="406" spans="1:8" ht="28.8" x14ac:dyDescent="0.3">
      <c r="A406" s="144" t="s">
        <v>351</v>
      </c>
      <c r="B406" s="144" t="s">
        <v>81</v>
      </c>
      <c r="C406" s="144" t="s">
        <v>446</v>
      </c>
      <c r="D406" s="144" t="s">
        <v>2261</v>
      </c>
      <c r="E406" s="144" t="s">
        <v>2261</v>
      </c>
      <c r="F406" s="148" t="s">
        <v>2248</v>
      </c>
      <c r="G406" s="2" t="s">
        <v>2545</v>
      </c>
      <c r="H406" s="2" t="s">
        <v>2546</v>
      </c>
    </row>
    <row r="407" spans="1:8" ht="28.8" x14ac:dyDescent="0.3">
      <c r="A407" s="144" t="s">
        <v>351</v>
      </c>
      <c r="B407" s="144" t="s">
        <v>81</v>
      </c>
      <c r="C407" s="144" t="s">
        <v>446</v>
      </c>
      <c r="D407" s="144" t="s">
        <v>2567</v>
      </c>
      <c r="E407" s="144" t="s">
        <v>2567</v>
      </c>
      <c r="F407" s="148" t="s">
        <v>2248</v>
      </c>
      <c r="G407" s="2" t="s">
        <v>2545</v>
      </c>
      <c r="H407" s="2" t="s">
        <v>2546</v>
      </c>
    </row>
    <row r="408" spans="1:8" ht="28.8" x14ac:dyDescent="0.3">
      <c r="A408" s="144" t="s">
        <v>351</v>
      </c>
      <c r="B408" s="144" t="s">
        <v>81</v>
      </c>
      <c r="C408" s="144" t="s">
        <v>446</v>
      </c>
      <c r="D408" s="144" t="s">
        <v>2568</v>
      </c>
      <c r="E408" s="144" t="s">
        <v>2568</v>
      </c>
      <c r="F408" s="148" t="s">
        <v>2248</v>
      </c>
      <c r="G408" s="2" t="s">
        <v>2545</v>
      </c>
      <c r="H408" s="2" t="s">
        <v>2546</v>
      </c>
    </row>
    <row r="409" spans="1:8" ht="28.8" x14ac:dyDescent="0.3">
      <c r="A409" s="144" t="s">
        <v>351</v>
      </c>
      <c r="B409" s="144" t="s">
        <v>81</v>
      </c>
      <c r="C409" s="144" t="s">
        <v>446</v>
      </c>
      <c r="D409" s="144" t="s">
        <v>2569</v>
      </c>
      <c r="E409" s="144" t="s">
        <v>2569</v>
      </c>
      <c r="F409" s="148" t="s">
        <v>2248</v>
      </c>
      <c r="G409" s="2" t="s">
        <v>2545</v>
      </c>
      <c r="H409" s="2" t="s">
        <v>2546</v>
      </c>
    </row>
    <row r="410" spans="1:8" ht="28.8" x14ac:dyDescent="0.3">
      <c r="A410" s="144" t="s">
        <v>351</v>
      </c>
      <c r="B410" s="144" t="s">
        <v>81</v>
      </c>
      <c r="C410" s="144" t="s">
        <v>446</v>
      </c>
      <c r="D410" s="144" t="s">
        <v>2570</v>
      </c>
      <c r="E410" s="144" t="s">
        <v>2570</v>
      </c>
      <c r="F410" s="148" t="s">
        <v>2248</v>
      </c>
      <c r="G410" s="2" t="s">
        <v>2545</v>
      </c>
      <c r="H410" s="2" t="s">
        <v>2546</v>
      </c>
    </row>
    <row r="411" spans="1:8" ht="28.8" x14ac:dyDescent="0.3">
      <c r="A411" s="144" t="s">
        <v>351</v>
      </c>
      <c r="B411" s="144" t="s">
        <v>81</v>
      </c>
      <c r="C411" s="144" t="s">
        <v>446</v>
      </c>
      <c r="D411" s="144" t="s">
        <v>2548</v>
      </c>
      <c r="E411" s="144" t="s">
        <v>2548</v>
      </c>
      <c r="F411" s="148" t="s">
        <v>2248</v>
      </c>
      <c r="G411" s="2" t="s">
        <v>2545</v>
      </c>
      <c r="H411" s="2" t="s">
        <v>2546</v>
      </c>
    </row>
    <row r="412" spans="1:8" ht="28.8" x14ac:dyDescent="0.3">
      <c r="A412" s="144" t="s">
        <v>351</v>
      </c>
      <c r="B412" s="144" t="s">
        <v>81</v>
      </c>
      <c r="C412" s="144" t="s">
        <v>446</v>
      </c>
      <c r="D412" s="144" t="s">
        <v>787</v>
      </c>
      <c r="E412" s="144" t="s">
        <v>787</v>
      </c>
      <c r="F412" s="149" t="s">
        <v>2250</v>
      </c>
      <c r="G412" s="2" t="s">
        <v>2545</v>
      </c>
      <c r="H412" s="2" t="s">
        <v>2546</v>
      </c>
    </row>
    <row r="413" spans="1:8" ht="28.8" x14ac:dyDescent="0.3">
      <c r="A413" s="144" t="s">
        <v>351</v>
      </c>
      <c r="B413" s="144" t="s">
        <v>81</v>
      </c>
      <c r="C413" s="144" t="s">
        <v>446</v>
      </c>
      <c r="D413" s="144" t="s">
        <v>638</v>
      </c>
      <c r="E413" s="144" t="s">
        <v>638</v>
      </c>
      <c r="F413" s="149" t="s">
        <v>2250</v>
      </c>
      <c r="G413" s="2" t="s">
        <v>2545</v>
      </c>
      <c r="H413" s="2" t="s">
        <v>2546</v>
      </c>
    </row>
    <row r="414" spans="1:8" ht="28.8" x14ac:dyDescent="0.3">
      <c r="A414" s="144" t="s">
        <v>351</v>
      </c>
      <c r="B414" s="144" t="s">
        <v>81</v>
      </c>
      <c r="C414" s="144" t="s">
        <v>446</v>
      </c>
      <c r="D414" s="144" t="s">
        <v>1592</v>
      </c>
      <c r="E414" s="144" t="s">
        <v>1592</v>
      </c>
      <c r="F414" s="149" t="s">
        <v>2250</v>
      </c>
      <c r="G414" s="2" t="s">
        <v>2545</v>
      </c>
      <c r="H414" s="2" t="s">
        <v>2546</v>
      </c>
    </row>
    <row r="415" spans="1:8" ht="28.8" x14ac:dyDescent="0.3">
      <c r="A415" s="144" t="s">
        <v>351</v>
      </c>
      <c r="B415" s="144" t="s">
        <v>81</v>
      </c>
      <c r="C415" s="144" t="s">
        <v>446</v>
      </c>
      <c r="D415" s="144" t="s">
        <v>2571</v>
      </c>
      <c r="E415" s="144" t="s">
        <v>2571</v>
      </c>
      <c r="F415" s="149" t="s">
        <v>2250</v>
      </c>
      <c r="G415" s="2" t="s">
        <v>2545</v>
      </c>
      <c r="H415" s="2" t="s">
        <v>2546</v>
      </c>
    </row>
    <row r="416" spans="1:8" ht="28.8" x14ac:dyDescent="0.3">
      <c r="A416" s="144" t="s">
        <v>351</v>
      </c>
      <c r="B416" s="144" t="s">
        <v>81</v>
      </c>
      <c r="C416" s="144" t="s">
        <v>446</v>
      </c>
      <c r="D416" s="144" t="s">
        <v>2572</v>
      </c>
      <c r="E416" s="144" t="s">
        <v>2572</v>
      </c>
      <c r="F416" s="149" t="s">
        <v>2250</v>
      </c>
      <c r="G416" s="2" t="s">
        <v>2545</v>
      </c>
      <c r="H416" s="2" t="s">
        <v>2546</v>
      </c>
    </row>
    <row r="417" spans="1:8" ht="28.8" x14ac:dyDescent="0.3">
      <c r="A417" s="144" t="s">
        <v>351</v>
      </c>
      <c r="B417" s="144" t="s">
        <v>81</v>
      </c>
      <c r="C417" s="144" t="s">
        <v>446</v>
      </c>
      <c r="D417" s="144" t="s">
        <v>2550</v>
      </c>
      <c r="E417" s="144" t="s">
        <v>2550</v>
      </c>
      <c r="F417" s="149" t="s">
        <v>2250</v>
      </c>
      <c r="G417" s="2" t="s">
        <v>2545</v>
      </c>
      <c r="H417" s="2" t="s">
        <v>2546</v>
      </c>
    </row>
    <row r="418" spans="1:8" ht="28.8" x14ac:dyDescent="0.3">
      <c r="A418" s="144" t="s">
        <v>351</v>
      </c>
      <c r="B418" s="144" t="s">
        <v>81</v>
      </c>
      <c r="C418" s="144" t="s">
        <v>446</v>
      </c>
      <c r="D418" s="144" t="s">
        <v>2554</v>
      </c>
      <c r="E418" s="144" t="s">
        <v>2554</v>
      </c>
      <c r="F418" s="149" t="s">
        <v>2250</v>
      </c>
      <c r="G418" s="2" t="s">
        <v>2545</v>
      </c>
      <c r="H418" s="2" t="s">
        <v>2546</v>
      </c>
    </row>
    <row r="419" spans="1:8" ht="28.8" x14ac:dyDescent="0.3">
      <c r="A419" s="144" t="s">
        <v>351</v>
      </c>
      <c r="B419" s="144" t="s">
        <v>81</v>
      </c>
      <c r="C419" s="144" t="s">
        <v>446</v>
      </c>
      <c r="D419" s="144" t="s">
        <v>2412</v>
      </c>
      <c r="E419" s="144" t="s">
        <v>2412</v>
      </c>
      <c r="F419" s="149" t="s">
        <v>2250</v>
      </c>
      <c r="G419" s="2" t="s">
        <v>2545</v>
      </c>
      <c r="H419" s="2" t="s">
        <v>2546</v>
      </c>
    </row>
    <row r="420" spans="1:8" ht="28.8" x14ac:dyDescent="0.3">
      <c r="A420" s="144" t="s">
        <v>351</v>
      </c>
      <c r="B420" s="144" t="s">
        <v>81</v>
      </c>
      <c r="C420" s="144" t="s">
        <v>446</v>
      </c>
      <c r="D420" s="144" t="s">
        <v>1052</v>
      </c>
      <c r="E420" s="144" t="s">
        <v>1052</v>
      </c>
      <c r="F420" s="150" t="s">
        <v>2252</v>
      </c>
      <c r="G420" s="2" t="s">
        <v>2545</v>
      </c>
      <c r="H420" s="2" t="s">
        <v>2546</v>
      </c>
    </row>
    <row r="421" spans="1:8" ht="28.8" x14ac:dyDescent="0.3">
      <c r="A421" s="144" t="s">
        <v>351</v>
      </c>
      <c r="B421" s="144" t="s">
        <v>81</v>
      </c>
      <c r="C421" s="144" t="s">
        <v>446</v>
      </c>
      <c r="D421" s="144" t="s">
        <v>2573</v>
      </c>
      <c r="E421" s="144" t="s">
        <v>2573</v>
      </c>
      <c r="F421" s="150" t="s">
        <v>2252</v>
      </c>
      <c r="G421" s="2" t="s">
        <v>2545</v>
      </c>
      <c r="H421" s="2" t="s">
        <v>2546</v>
      </c>
    </row>
    <row r="422" spans="1:8" ht="28.8" x14ac:dyDescent="0.3">
      <c r="A422" s="144" t="s">
        <v>351</v>
      </c>
      <c r="B422" s="144" t="s">
        <v>81</v>
      </c>
      <c r="C422" s="144" t="s">
        <v>446</v>
      </c>
      <c r="D422" s="144" t="s">
        <v>2574</v>
      </c>
      <c r="E422" s="144" t="s">
        <v>2574</v>
      </c>
      <c r="F422" s="150" t="s">
        <v>2252</v>
      </c>
      <c r="G422" s="2" t="s">
        <v>2545</v>
      </c>
      <c r="H422" s="2" t="s">
        <v>2546</v>
      </c>
    </row>
    <row r="423" spans="1:8" ht="28.8" x14ac:dyDescent="0.3">
      <c r="A423" s="144" t="s">
        <v>351</v>
      </c>
      <c r="B423" s="144" t="s">
        <v>81</v>
      </c>
      <c r="C423" s="144" t="s">
        <v>446</v>
      </c>
      <c r="D423" s="144" t="s">
        <v>2575</v>
      </c>
      <c r="E423" s="144" t="s">
        <v>2575</v>
      </c>
      <c r="F423" s="150" t="s">
        <v>2252</v>
      </c>
      <c r="G423" s="2" t="s">
        <v>2545</v>
      </c>
      <c r="H423" s="2" t="s">
        <v>2546</v>
      </c>
    </row>
    <row r="424" spans="1:8" ht="28.8" x14ac:dyDescent="0.3">
      <c r="A424" s="144" t="s">
        <v>351</v>
      </c>
      <c r="B424" s="144" t="s">
        <v>81</v>
      </c>
      <c r="C424" s="144" t="s">
        <v>446</v>
      </c>
      <c r="D424" s="144" t="s">
        <v>2576</v>
      </c>
      <c r="E424" s="144" t="s">
        <v>2576</v>
      </c>
      <c r="F424" s="150" t="s">
        <v>2252</v>
      </c>
      <c r="G424" s="2" t="s">
        <v>2545</v>
      </c>
      <c r="H424" s="2" t="s">
        <v>2546</v>
      </c>
    </row>
    <row r="425" spans="1:8" ht="28.8" x14ac:dyDescent="0.3">
      <c r="A425" s="144" t="s">
        <v>351</v>
      </c>
      <c r="B425" s="144" t="s">
        <v>81</v>
      </c>
      <c r="C425" s="144" t="s">
        <v>446</v>
      </c>
      <c r="D425" s="144" t="s">
        <v>2577</v>
      </c>
      <c r="E425" s="144" t="s">
        <v>2577</v>
      </c>
      <c r="F425" s="150" t="s">
        <v>2252</v>
      </c>
      <c r="G425" s="2" t="s">
        <v>2545</v>
      </c>
      <c r="H425" s="2" t="s">
        <v>2546</v>
      </c>
    </row>
    <row r="426" spans="1:8" ht="28.8" x14ac:dyDescent="0.3">
      <c r="A426" s="144" t="s">
        <v>351</v>
      </c>
      <c r="B426" s="144" t="s">
        <v>81</v>
      </c>
      <c r="C426" s="144" t="s">
        <v>446</v>
      </c>
      <c r="D426" s="144" t="s">
        <v>2578</v>
      </c>
      <c r="E426" s="144" t="s">
        <v>2578</v>
      </c>
      <c r="F426" s="150" t="s">
        <v>2252</v>
      </c>
      <c r="G426" s="2" t="s">
        <v>2545</v>
      </c>
      <c r="H426" s="2" t="s">
        <v>2546</v>
      </c>
    </row>
    <row r="427" spans="1:8" ht="28.8" x14ac:dyDescent="0.3">
      <c r="A427" s="144" t="s">
        <v>351</v>
      </c>
      <c r="B427" s="144" t="s">
        <v>81</v>
      </c>
      <c r="C427" s="144" t="s">
        <v>446</v>
      </c>
      <c r="D427" s="144" t="s">
        <v>2579</v>
      </c>
      <c r="E427" s="144" t="s">
        <v>2579</v>
      </c>
      <c r="F427" s="150" t="s">
        <v>2252</v>
      </c>
      <c r="G427" s="2" t="s">
        <v>2545</v>
      </c>
      <c r="H427" s="2" t="s">
        <v>2546</v>
      </c>
    </row>
    <row r="428" spans="1:8" ht="28.8" x14ac:dyDescent="0.3">
      <c r="A428" s="144" t="s">
        <v>351</v>
      </c>
      <c r="B428" s="144" t="s">
        <v>81</v>
      </c>
      <c r="C428" s="144" t="s">
        <v>446</v>
      </c>
      <c r="D428" s="144" t="s">
        <v>2580</v>
      </c>
      <c r="E428" s="144" t="s">
        <v>2580</v>
      </c>
      <c r="F428" s="150" t="s">
        <v>2252</v>
      </c>
      <c r="G428" s="2" t="s">
        <v>2545</v>
      </c>
      <c r="H428" s="2" t="s">
        <v>2546</v>
      </c>
    </row>
    <row r="429" spans="1:8" ht="28.8" x14ac:dyDescent="0.3">
      <c r="A429" s="144" t="s">
        <v>351</v>
      </c>
      <c r="B429" s="144" t="s">
        <v>81</v>
      </c>
      <c r="C429" s="144" t="s">
        <v>446</v>
      </c>
      <c r="D429" s="144" t="s">
        <v>2581</v>
      </c>
      <c r="E429" s="144" t="s">
        <v>2581</v>
      </c>
      <c r="F429" s="150" t="s">
        <v>2252</v>
      </c>
      <c r="G429" s="2" t="s">
        <v>2545</v>
      </c>
      <c r="H429" s="2" t="s">
        <v>2546</v>
      </c>
    </row>
    <row r="430" spans="1:8" ht="28.8" x14ac:dyDescent="0.3">
      <c r="A430" s="144" t="s">
        <v>351</v>
      </c>
      <c r="B430" s="144" t="s">
        <v>81</v>
      </c>
      <c r="C430" s="144" t="s">
        <v>446</v>
      </c>
      <c r="D430" s="144" t="s">
        <v>2582</v>
      </c>
      <c r="E430" s="144" t="s">
        <v>2582</v>
      </c>
      <c r="F430" s="150" t="s">
        <v>2252</v>
      </c>
      <c r="G430" s="2" t="s">
        <v>2545</v>
      </c>
      <c r="H430" s="2" t="s">
        <v>2546</v>
      </c>
    </row>
    <row r="431" spans="1:8" ht="28.8" x14ac:dyDescent="0.3">
      <c r="A431" s="144" t="s">
        <v>351</v>
      </c>
      <c r="B431" s="144" t="s">
        <v>81</v>
      </c>
      <c r="C431" s="144" t="s">
        <v>446</v>
      </c>
      <c r="D431" s="144" t="s">
        <v>2583</v>
      </c>
      <c r="E431" s="144" t="s">
        <v>2583</v>
      </c>
      <c r="F431" s="150" t="s">
        <v>2252</v>
      </c>
      <c r="G431" s="2" t="s">
        <v>2545</v>
      </c>
      <c r="H431" s="2" t="s">
        <v>2546</v>
      </c>
    </row>
    <row r="432" spans="1:8" ht="28.8" x14ac:dyDescent="0.3">
      <c r="A432" s="144" t="s">
        <v>351</v>
      </c>
      <c r="B432" s="144" t="s">
        <v>81</v>
      </c>
      <c r="C432" s="144" t="s">
        <v>446</v>
      </c>
      <c r="D432" s="144" t="s">
        <v>2584</v>
      </c>
      <c r="E432" s="144" t="s">
        <v>2584</v>
      </c>
      <c r="F432" s="150" t="s">
        <v>2252</v>
      </c>
      <c r="G432" s="2" t="s">
        <v>2545</v>
      </c>
      <c r="H432" s="2" t="s">
        <v>2546</v>
      </c>
    </row>
    <row r="433" spans="1:8" ht="28.8" x14ac:dyDescent="0.3">
      <c r="A433" s="144" t="s">
        <v>351</v>
      </c>
      <c r="B433" s="144" t="s">
        <v>81</v>
      </c>
      <c r="C433" s="144" t="s">
        <v>446</v>
      </c>
      <c r="D433" s="144" t="s">
        <v>2585</v>
      </c>
      <c r="E433" s="144" t="s">
        <v>2585</v>
      </c>
      <c r="F433" s="150" t="s">
        <v>2252</v>
      </c>
      <c r="G433" s="2" t="s">
        <v>2545</v>
      </c>
      <c r="H433" s="2" t="s">
        <v>2546</v>
      </c>
    </row>
    <row r="434" spans="1:8" ht="28.8" x14ac:dyDescent="0.3">
      <c r="A434" s="144" t="s">
        <v>353</v>
      </c>
      <c r="B434" s="144" t="s">
        <v>87</v>
      </c>
      <c r="C434" s="144" t="s">
        <v>2586</v>
      </c>
      <c r="D434" s="144" t="s">
        <v>353</v>
      </c>
      <c r="E434" s="144" t="s">
        <v>353</v>
      </c>
      <c r="F434" s="145" t="s">
        <v>2242</v>
      </c>
      <c r="G434" s="2" t="s">
        <v>2587</v>
      </c>
      <c r="H434" s="2" t="s">
        <v>2588</v>
      </c>
    </row>
    <row r="435" spans="1:8" ht="28.8" x14ac:dyDescent="0.3">
      <c r="A435" s="144" t="s">
        <v>353</v>
      </c>
      <c r="B435" s="144" t="s">
        <v>87</v>
      </c>
      <c r="C435" s="144" t="s">
        <v>2586</v>
      </c>
      <c r="D435" s="144" t="s">
        <v>713</v>
      </c>
      <c r="E435" s="144" t="s">
        <v>713</v>
      </c>
      <c r="F435" s="145" t="s">
        <v>2242</v>
      </c>
      <c r="G435" s="2" t="s">
        <v>2587</v>
      </c>
      <c r="H435" s="2" t="s">
        <v>2588</v>
      </c>
    </row>
    <row r="436" spans="1:8" ht="28.8" x14ac:dyDescent="0.3">
      <c r="A436" s="144" t="s">
        <v>353</v>
      </c>
      <c r="B436" s="144" t="s">
        <v>87</v>
      </c>
      <c r="C436" s="144" t="s">
        <v>2586</v>
      </c>
      <c r="D436" s="144" t="s">
        <v>2589</v>
      </c>
      <c r="E436" s="144" t="s">
        <v>2589</v>
      </c>
      <c r="F436" s="146" t="s">
        <v>2244</v>
      </c>
      <c r="G436" s="2" t="s">
        <v>2587</v>
      </c>
      <c r="H436" s="2" t="s">
        <v>2588</v>
      </c>
    </row>
    <row r="437" spans="1:8" ht="28.8" x14ac:dyDescent="0.3">
      <c r="A437" s="144" t="s">
        <v>353</v>
      </c>
      <c r="B437" s="144" t="s">
        <v>87</v>
      </c>
      <c r="C437" s="144" t="s">
        <v>2586</v>
      </c>
      <c r="D437" s="144" t="s">
        <v>2590</v>
      </c>
      <c r="E437" s="144" t="s">
        <v>2590</v>
      </c>
      <c r="F437" s="146" t="s">
        <v>2244</v>
      </c>
      <c r="G437" s="2" t="s">
        <v>2587</v>
      </c>
      <c r="H437" s="2" t="s">
        <v>2588</v>
      </c>
    </row>
    <row r="438" spans="1:8" ht="28.8" x14ac:dyDescent="0.3">
      <c r="A438" s="144" t="s">
        <v>353</v>
      </c>
      <c r="B438" s="144" t="s">
        <v>87</v>
      </c>
      <c r="C438" s="144" t="s">
        <v>2586</v>
      </c>
      <c r="D438" s="144" t="s">
        <v>2483</v>
      </c>
      <c r="E438" s="144" t="s">
        <v>2483</v>
      </c>
      <c r="F438" s="146" t="s">
        <v>2244</v>
      </c>
      <c r="G438" s="2" t="s">
        <v>2587</v>
      </c>
      <c r="H438" s="2" t="s">
        <v>2588</v>
      </c>
    </row>
    <row r="439" spans="1:8" ht="28.8" x14ac:dyDescent="0.3">
      <c r="A439" s="144" t="s">
        <v>353</v>
      </c>
      <c r="B439" s="144" t="s">
        <v>87</v>
      </c>
      <c r="C439" s="144" t="s">
        <v>2586</v>
      </c>
      <c r="D439" s="144" t="s">
        <v>1584</v>
      </c>
      <c r="E439" s="144" t="s">
        <v>1584</v>
      </c>
      <c r="F439" s="146" t="s">
        <v>2244</v>
      </c>
      <c r="G439" s="2" t="s">
        <v>2587</v>
      </c>
      <c r="H439" s="2" t="s">
        <v>2588</v>
      </c>
    </row>
    <row r="440" spans="1:8" ht="28.8" x14ac:dyDescent="0.3">
      <c r="A440" s="144" t="s">
        <v>353</v>
      </c>
      <c r="B440" s="144" t="s">
        <v>87</v>
      </c>
      <c r="C440" s="144" t="s">
        <v>2586</v>
      </c>
      <c r="D440" s="144" t="s">
        <v>362</v>
      </c>
      <c r="E440" s="144" t="s">
        <v>362</v>
      </c>
      <c r="F440" s="146" t="s">
        <v>2244</v>
      </c>
      <c r="G440" s="2" t="s">
        <v>2587</v>
      </c>
      <c r="H440" s="2" t="s">
        <v>2588</v>
      </c>
    </row>
    <row r="441" spans="1:8" ht="28.8" x14ac:dyDescent="0.3">
      <c r="A441" s="144" t="s">
        <v>353</v>
      </c>
      <c r="B441" s="144" t="s">
        <v>87</v>
      </c>
      <c r="C441" s="144" t="s">
        <v>2586</v>
      </c>
      <c r="D441" s="144" t="s">
        <v>2591</v>
      </c>
      <c r="E441" s="144" t="s">
        <v>2591</v>
      </c>
      <c r="F441" s="146" t="s">
        <v>2244</v>
      </c>
      <c r="G441" s="2" t="s">
        <v>2587</v>
      </c>
      <c r="H441" s="2" t="s">
        <v>2588</v>
      </c>
    </row>
    <row r="442" spans="1:8" ht="28.8" x14ac:dyDescent="0.3">
      <c r="A442" s="144" t="s">
        <v>353</v>
      </c>
      <c r="B442" s="144" t="s">
        <v>87</v>
      </c>
      <c r="C442" s="144" t="s">
        <v>2586</v>
      </c>
      <c r="D442" s="144" t="s">
        <v>2395</v>
      </c>
      <c r="E442" s="144" t="s">
        <v>2395</v>
      </c>
      <c r="F442" s="146" t="s">
        <v>2244</v>
      </c>
      <c r="G442" s="2" t="s">
        <v>2587</v>
      </c>
      <c r="H442" s="2" t="s">
        <v>2588</v>
      </c>
    </row>
    <row r="443" spans="1:8" ht="28.8" x14ac:dyDescent="0.3">
      <c r="A443" s="144" t="s">
        <v>353</v>
      </c>
      <c r="B443" s="144" t="s">
        <v>87</v>
      </c>
      <c r="C443" s="144" t="s">
        <v>2586</v>
      </c>
      <c r="D443" s="144" t="s">
        <v>2592</v>
      </c>
      <c r="E443" s="144" t="s">
        <v>2592</v>
      </c>
      <c r="F443" s="146" t="s">
        <v>2244</v>
      </c>
      <c r="G443" s="2" t="s">
        <v>2587</v>
      </c>
      <c r="H443" s="2" t="s">
        <v>2588</v>
      </c>
    </row>
    <row r="444" spans="1:8" ht="28.8" x14ac:dyDescent="0.3">
      <c r="A444" s="144" t="s">
        <v>353</v>
      </c>
      <c r="B444" s="144" t="s">
        <v>87</v>
      </c>
      <c r="C444" s="144" t="s">
        <v>2586</v>
      </c>
      <c r="D444" s="144" t="s">
        <v>2593</v>
      </c>
      <c r="E444" s="144" t="s">
        <v>2593</v>
      </c>
      <c r="F444" s="146" t="s">
        <v>2244</v>
      </c>
      <c r="G444" s="2" t="s">
        <v>2587</v>
      </c>
      <c r="H444" s="2" t="s">
        <v>2588</v>
      </c>
    </row>
    <row r="445" spans="1:8" ht="28.8" x14ac:dyDescent="0.3">
      <c r="A445" s="144" t="s">
        <v>353</v>
      </c>
      <c r="B445" s="144" t="s">
        <v>87</v>
      </c>
      <c r="C445" s="144" t="s">
        <v>2586</v>
      </c>
      <c r="D445" s="144" t="s">
        <v>2594</v>
      </c>
      <c r="E445" s="144" t="s">
        <v>2594</v>
      </c>
      <c r="F445" s="146" t="s">
        <v>2244</v>
      </c>
      <c r="G445" s="2" t="s">
        <v>2587</v>
      </c>
      <c r="H445" s="2" t="s">
        <v>2588</v>
      </c>
    </row>
    <row r="446" spans="1:8" ht="28.8" x14ac:dyDescent="0.3">
      <c r="A446" s="144" t="s">
        <v>353</v>
      </c>
      <c r="B446" s="144" t="s">
        <v>87</v>
      </c>
      <c r="C446" s="144" t="s">
        <v>2586</v>
      </c>
      <c r="D446" s="144" t="s">
        <v>2595</v>
      </c>
      <c r="E446" s="144" t="s">
        <v>2595</v>
      </c>
      <c r="F446" s="146" t="s">
        <v>2244</v>
      </c>
      <c r="G446" s="2" t="s">
        <v>2587</v>
      </c>
      <c r="H446" s="2" t="s">
        <v>2588</v>
      </c>
    </row>
    <row r="447" spans="1:8" ht="28.8" x14ac:dyDescent="0.3">
      <c r="A447" s="144" t="s">
        <v>353</v>
      </c>
      <c r="B447" s="144" t="s">
        <v>87</v>
      </c>
      <c r="C447" s="144" t="s">
        <v>2586</v>
      </c>
      <c r="D447" s="144" t="s">
        <v>2596</v>
      </c>
      <c r="E447" s="144" t="s">
        <v>2596</v>
      </c>
      <c r="F447" s="146" t="s">
        <v>2244</v>
      </c>
      <c r="G447" s="2" t="s">
        <v>2587</v>
      </c>
      <c r="H447" s="2" t="s">
        <v>2588</v>
      </c>
    </row>
    <row r="448" spans="1:8" ht="28.8" x14ac:dyDescent="0.3">
      <c r="A448" s="144" t="s">
        <v>353</v>
      </c>
      <c r="B448" s="144" t="s">
        <v>87</v>
      </c>
      <c r="C448" s="144" t="s">
        <v>2586</v>
      </c>
      <c r="D448" s="144" t="s">
        <v>2597</v>
      </c>
      <c r="E448" s="144" t="s">
        <v>2597</v>
      </c>
      <c r="F448" s="146" t="s">
        <v>2244</v>
      </c>
      <c r="G448" s="2" t="s">
        <v>2587</v>
      </c>
      <c r="H448" s="2" t="s">
        <v>2588</v>
      </c>
    </row>
    <row r="449" spans="1:8" ht="28.8" x14ac:dyDescent="0.3">
      <c r="A449" s="144" t="s">
        <v>353</v>
      </c>
      <c r="B449" s="144" t="s">
        <v>87</v>
      </c>
      <c r="C449" s="144" t="s">
        <v>2586</v>
      </c>
      <c r="D449" s="144" t="s">
        <v>2598</v>
      </c>
      <c r="E449" s="144" t="s">
        <v>2598</v>
      </c>
      <c r="F449" s="147" t="s">
        <v>2246</v>
      </c>
      <c r="G449" s="2" t="s">
        <v>2587</v>
      </c>
      <c r="H449" s="2" t="s">
        <v>2588</v>
      </c>
    </row>
    <row r="450" spans="1:8" ht="28.8" x14ac:dyDescent="0.3">
      <c r="A450" s="144" t="s">
        <v>353</v>
      </c>
      <c r="B450" s="144" t="s">
        <v>87</v>
      </c>
      <c r="C450" s="144" t="s">
        <v>2586</v>
      </c>
      <c r="D450" s="144" t="s">
        <v>2599</v>
      </c>
      <c r="E450" s="144" t="s">
        <v>2599</v>
      </c>
      <c r="F450" s="147" t="s">
        <v>2246</v>
      </c>
      <c r="G450" s="2" t="s">
        <v>2587</v>
      </c>
      <c r="H450" s="2" t="s">
        <v>2588</v>
      </c>
    </row>
    <row r="451" spans="1:8" ht="28.8" x14ac:dyDescent="0.3">
      <c r="A451" s="144" t="s">
        <v>353</v>
      </c>
      <c r="B451" s="144" t="s">
        <v>87</v>
      </c>
      <c r="C451" s="144" t="s">
        <v>2586</v>
      </c>
      <c r="D451" s="144" t="s">
        <v>2600</v>
      </c>
      <c r="E451" s="144" t="s">
        <v>2600</v>
      </c>
      <c r="F451" s="147" t="s">
        <v>2246</v>
      </c>
      <c r="G451" s="2" t="s">
        <v>2587</v>
      </c>
      <c r="H451" s="2" t="s">
        <v>2588</v>
      </c>
    </row>
    <row r="452" spans="1:8" ht="28.8" x14ac:dyDescent="0.3">
      <c r="A452" s="144" t="s">
        <v>353</v>
      </c>
      <c r="B452" s="144" t="s">
        <v>87</v>
      </c>
      <c r="C452" s="144" t="s">
        <v>2586</v>
      </c>
      <c r="D452" s="144" t="s">
        <v>2601</v>
      </c>
      <c r="E452" s="144" t="s">
        <v>2601</v>
      </c>
      <c r="F452" s="147" t="s">
        <v>2246</v>
      </c>
      <c r="G452" s="2" t="s">
        <v>2587</v>
      </c>
      <c r="H452" s="2" t="s">
        <v>2588</v>
      </c>
    </row>
    <row r="453" spans="1:8" ht="28.8" x14ac:dyDescent="0.3">
      <c r="A453" s="144" t="s">
        <v>353</v>
      </c>
      <c r="B453" s="144" t="s">
        <v>87</v>
      </c>
      <c r="C453" s="144" t="s">
        <v>2586</v>
      </c>
      <c r="D453" s="144" t="s">
        <v>2602</v>
      </c>
      <c r="E453" s="144" t="s">
        <v>2602</v>
      </c>
      <c r="F453" s="147" t="s">
        <v>2246</v>
      </c>
      <c r="G453" s="2" t="s">
        <v>2587</v>
      </c>
      <c r="H453" s="2" t="s">
        <v>2588</v>
      </c>
    </row>
    <row r="454" spans="1:8" ht="28.8" x14ac:dyDescent="0.3">
      <c r="A454" s="144" t="s">
        <v>353</v>
      </c>
      <c r="B454" s="144" t="s">
        <v>87</v>
      </c>
      <c r="C454" s="144" t="s">
        <v>2586</v>
      </c>
      <c r="D454" s="144" t="s">
        <v>2603</v>
      </c>
      <c r="E454" s="144" t="s">
        <v>2603</v>
      </c>
      <c r="F454" s="147" t="s">
        <v>2246</v>
      </c>
      <c r="G454" s="2" t="s">
        <v>2587</v>
      </c>
      <c r="H454" s="2" t="s">
        <v>2588</v>
      </c>
    </row>
    <row r="455" spans="1:8" ht="28.8" x14ac:dyDescent="0.3">
      <c r="A455" s="144" t="s">
        <v>353</v>
      </c>
      <c r="B455" s="144" t="s">
        <v>87</v>
      </c>
      <c r="C455" s="144" t="s">
        <v>2586</v>
      </c>
      <c r="D455" s="144" t="s">
        <v>2604</v>
      </c>
      <c r="E455" s="144" t="s">
        <v>2604</v>
      </c>
      <c r="F455" s="147" t="s">
        <v>2246</v>
      </c>
      <c r="G455" s="2" t="s">
        <v>2587</v>
      </c>
      <c r="H455" s="2" t="s">
        <v>2588</v>
      </c>
    </row>
    <row r="456" spans="1:8" ht="28.8" x14ac:dyDescent="0.3">
      <c r="A456" s="144" t="s">
        <v>353</v>
      </c>
      <c r="B456" s="144" t="s">
        <v>87</v>
      </c>
      <c r="C456" s="144" t="s">
        <v>2586</v>
      </c>
      <c r="D456" s="144" t="s">
        <v>2605</v>
      </c>
      <c r="E456" s="144" t="s">
        <v>2605</v>
      </c>
      <c r="F456" s="147" t="s">
        <v>2246</v>
      </c>
      <c r="G456" s="2" t="s">
        <v>2587</v>
      </c>
      <c r="H456" s="2" t="s">
        <v>2588</v>
      </c>
    </row>
    <row r="457" spans="1:8" ht="28.8" x14ac:dyDescent="0.3">
      <c r="A457" s="144" t="s">
        <v>353</v>
      </c>
      <c r="B457" s="144" t="s">
        <v>87</v>
      </c>
      <c r="C457" s="144" t="s">
        <v>2586</v>
      </c>
      <c r="D457" s="144" t="s">
        <v>2606</v>
      </c>
      <c r="E457" s="144" t="s">
        <v>2606</v>
      </c>
      <c r="F457" s="147" t="s">
        <v>2246</v>
      </c>
      <c r="G457" s="2" t="s">
        <v>2587</v>
      </c>
      <c r="H457" s="2" t="s">
        <v>2588</v>
      </c>
    </row>
    <row r="458" spans="1:8" ht="28.8" x14ac:dyDescent="0.3">
      <c r="A458" s="144" t="s">
        <v>353</v>
      </c>
      <c r="B458" s="144" t="s">
        <v>87</v>
      </c>
      <c r="C458" s="144" t="s">
        <v>2586</v>
      </c>
      <c r="D458" s="144" t="s">
        <v>2607</v>
      </c>
      <c r="E458" s="144" t="s">
        <v>2607</v>
      </c>
      <c r="F458" s="147" t="s">
        <v>2246</v>
      </c>
      <c r="G458" s="2" t="s">
        <v>2587</v>
      </c>
      <c r="H458" s="2" t="s">
        <v>2588</v>
      </c>
    </row>
    <row r="459" spans="1:8" ht="28.8" x14ac:dyDescent="0.3">
      <c r="A459" s="144" t="s">
        <v>353</v>
      </c>
      <c r="B459" s="144" t="s">
        <v>87</v>
      </c>
      <c r="C459" s="144" t="s">
        <v>2586</v>
      </c>
      <c r="D459" s="144" t="s">
        <v>2608</v>
      </c>
      <c r="E459" s="144" t="s">
        <v>2608</v>
      </c>
      <c r="F459" s="147" t="s">
        <v>2246</v>
      </c>
      <c r="G459" s="2" t="s">
        <v>2587</v>
      </c>
      <c r="H459" s="2" t="s">
        <v>2588</v>
      </c>
    </row>
    <row r="460" spans="1:8" ht="28.8" x14ac:dyDescent="0.3">
      <c r="A460" s="144" t="s">
        <v>353</v>
      </c>
      <c r="B460" s="144" t="s">
        <v>87</v>
      </c>
      <c r="C460" s="144" t="s">
        <v>2586</v>
      </c>
      <c r="D460" s="144" t="s">
        <v>2609</v>
      </c>
      <c r="E460" s="144" t="s">
        <v>2609</v>
      </c>
      <c r="F460" s="148" t="s">
        <v>2248</v>
      </c>
      <c r="G460" s="2" t="s">
        <v>2587</v>
      </c>
      <c r="H460" s="2" t="s">
        <v>2588</v>
      </c>
    </row>
    <row r="461" spans="1:8" ht="28.8" x14ac:dyDescent="0.3">
      <c r="A461" s="144" t="s">
        <v>353</v>
      </c>
      <c r="B461" s="144" t="s">
        <v>87</v>
      </c>
      <c r="C461" s="144" t="s">
        <v>2586</v>
      </c>
      <c r="D461" s="144" t="s">
        <v>2610</v>
      </c>
      <c r="E461" s="144" t="s">
        <v>2610</v>
      </c>
      <c r="F461" s="148" t="s">
        <v>2248</v>
      </c>
      <c r="G461" s="2" t="s">
        <v>2587</v>
      </c>
      <c r="H461" s="2" t="s">
        <v>2588</v>
      </c>
    </row>
    <row r="462" spans="1:8" ht="28.8" x14ac:dyDescent="0.3">
      <c r="A462" s="144" t="s">
        <v>353</v>
      </c>
      <c r="B462" s="144" t="s">
        <v>87</v>
      </c>
      <c r="C462" s="144" t="s">
        <v>2586</v>
      </c>
      <c r="D462" s="144" t="s">
        <v>2611</v>
      </c>
      <c r="E462" s="144" t="s">
        <v>2611</v>
      </c>
      <c r="F462" s="148" t="s">
        <v>2248</v>
      </c>
      <c r="G462" s="2" t="s">
        <v>2587</v>
      </c>
      <c r="H462" s="2" t="s">
        <v>2588</v>
      </c>
    </row>
    <row r="463" spans="1:8" ht="28.8" x14ac:dyDescent="0.3">
      <c r="A463" s="144" t="s">
        <v>353</v>
      </c>
      <c r="B463" s="144" t="s">
        <v>87</v>
      </c>
      <c r="C463" s="144" t="s">
        <v>2586</v>
      </c>
      <c r="D463" s="144" t="s">
        <v>2612</v>
      </c>
      <c r="E463" s="144" t="s">
        <v>2612</v>
      </c>
      <c r="F463" s="148" t="s">
        <v>2248</v>
      </c>
      <c r="G463" s="2" t="s">
        <v>2587</v>
      </c>
      <c r="H463" s="2" t="s">
        <v>2588</v>
      </c>
    </row>
    <row r="464" spans="1:8" ht="28.8" x14ac:dyDescent="0.3">
      <c r="A464" s="144" t="s">
        <v>353</v>
      </c>
      <c r="B464" s="144" t="s">
        <v>87</v>
      </c>
      <c r="C464" s="144" t="s">
        <v>2586</v>
      </c>
      <c r="D464" s="144" t="s">
        <v>2613</v>
      </c>
      <c r="E464" s="144" t="s">
        <v>2613</v>
      </c>
      <c r="F464" s="148" t="s">
        <v>2248</v>
      </c>
      <c r="G464" s="2" t="s">
        <v>2587</v>
      </c>
      <c r="H464" s="2" t="s">
        <v>2588</v>
      </c>
    </row>
    <row r="465" spans="1:8" ht="28.8" x14ac:dyDescent="0.3">
      <c r="A465" s="144" t="s">
        <v>353</v>
      </c>
      <c r="B465" s="144" t="s">
        <v>87</v>
      </c>
      <c r="C465" s="144" t="s">
        <v>2586</v>
      </c>
      <c r="D465" s="144" t="s">
        <v>2614</v>
      </c>
      <c r="E465" s="144" t="s">
        <v>2614</v>
      </c>
      <c r="F465" s="148" t="s">
        <v>2248</v>
      </c>
      <c r="G465" s="2" t="s">
        <v>2587</v>
      </c>
      <c r="H465" s="2" t="s">
        <v>2588</v>
      </c>
    </row>
    <row r="466" spans="1:8" ht="28.8" x14ac:dyDescent="0.3">
      <c r="A466" s="144" t="s">
        <v>353</v>
      </c>
      <c r="B466" s="144" t="s">
        <v>87</v>
      </c>
      <c r="C466" s="144" t="s">
        <v>2586</v>
      </c>
      <c r="D466" s="144" t="s">
        <v>2615</v>
      </c>
      <c r="E466" s="144" t="s">
        <v>2615</v>
      </c>
      <c r="F466" s="149" t="s">
        <v>2250</v>
      </c>
      <c r="G466" s="2" t="s">
        <v>2587</v>
      </c>
      <c r="H466" s="2" t="s">
        <v>2588</v>
      </c>
    </row>
    <row r="467" spans="1:8" ht="28.8" x14ac:dyDescent="0.3">
      <c r="A467" s="144" t="s">
        <v>353</v>
      </c>
      <c r="B467" s="144" t="s">
        <v>87</v>
      </c>
      <c r="C467" s="144" t="s">
        <v>2586</v>
      </c>
      <c r="D467" s="144" t="s">
        <v>2483</v>
      </c>
      <c r="E467" s="144" t="s">
        <v>2483</v>
      </c>
      <c r="F467" s="149" t="s">
        <v>2250</v>
      </c>
      <c r="G467" s="2" t="s">
        <v>2587</v>
      </c>
      <c r="H467" s="2" t="s">
        <v>2588</v>
      </c>
    </row>
    <row r="468" spans="1:8" ht="28.8" x14ac:dyDescent="0.3">
      <c r="A468" s="144" t="s">
        <v>353</v>
      </c>
      <c r="B468" s="144" t="s">
        <v>87</v>
      </c>
      <c r="C468" s="144" t="s">
        <v>2586</v>
      </c>
      <c r="D468" s="144" t="s">
        <v>2479</v>
      </c>
      <c r="E468" s="144" t="s">
        <v>2479</v>
      </c>
      <c r="F468" s="149" t="s">
        <v>2250</v>
      </c>
      <c r="G468" s="2" t="s">
        <v>2587</v>
      </c>
      <c r="H468" s="2" t="s">
        <v>2588</v>
      </c>
    </row>
    <row r="469" spans="1:8" ht="28.8" x14ac:dyDescent="0.3">
      <c r="A469" s="144" t="s">
        <v>353</v>
      </c>
      <c r="B469" s="144" t="s">
        <v>87</v>
      </c>
      <c r="C469" s="144" t="s">
        <v>2586</v>
      </c>
      <c r="D469" s="144" t="s">
        <v>2435</v>
      </c>
      <c r="E469" s="144" t="s">
        <v>2435</v>
      </c>
      <c r="F469" s="149" t="s">
        <v>2250</v>
      </c>
      <c r="G469" s="2" t="s">
        <v>2587</v>
      </c>
      <c r="H469" s="2" t="s">
        <v>2588</v>
      </c>
    </row>
    <row r="470" spans="1:8" ht="28.8" x14ac:dyDescent="0.3">
      <c r="A470" s="144" t="s">
        <v>353</v>
      </c>
      <c r="B470" s="144" t="s">
        <v>87</v>
      </c>
      <c r="C470" s="144" t="s">
        <v>2586</v>
      </c>
      <c r="D470" s="144" t="s">
        <v>2589</v>
      </c>
      <c r="E470" s="144" t="s">
        <v>2589</v>
      </c>
      <c r="F470" s="149" t="s">
        <v>2250</v>
      </c>
      <c r="G470" s="2" t="s">
        <v>2587</v>
      </c>
      <c r="H470" s="2" t="s">
        <v>2588</v>
      </c>
    </row>
    <row r="471" spans="1:8" ht="28.8" x14ac:dyDescent="0.3">
      <c r="A471" s="144" t="s">
        <v>353</v>
      </c>
      <c r="B471" s="144" t="s">
        <v>87</v>
      </c>
      <c r="C471" s="144" t="s">
        <v>2586</v>
      </c>
      <c r="D471" s="144" t="s">
        <v>2616</v>
      </c>
      <c r="E471" s="144" t="s">
        <v>2616</v>
      </c>
      <c r="F471" s="149" t="s">
        <v>2250</v>
      </c>
      <c r="G471" s="2" t="s">
        <v>2587</v>
      </c>
      <c r="H471" s="2" t="s">
        <v>2588</v>
      </c>
    </row>
    <row r="472" spans="1:8" ht="28.8" x14ac:dyDescent="0.3">
      <c r="A472" s="144" t="s">
        <v>353</v>
      </c>
      <c r="B472" s="144" t="s">
        <v>87</v>
      </c>
      <c r="C472" s="144" t="s">
        <v>2586</v>
      </c>
      <c r="D472" s="144" t="s">
        <v>2395</v>
      </c>
      <c r="E472" s="144" t="s">
        <v>2395</v>
      </c>
      <c r="F472" s="149" t="s">
        <v>2250</v>
      </c>
      <c r="G472" s="2" t="s">
        <v>2587</v>
      </c>
      <c r="H472" s="2" t="s">
        <v>2588</v>
      </c>
    </row>
    <row r="473" spans="1:8" ht="28.8" x14ac:dyDescent="0.3">
      <c r="A473" s="144" t="s">
        <v>353</v>
      </c>
      <c r="B473" s="144" t="s">
        <v>87</v>
      </c>
      <c r="C473" s="144" t="s">
        <v>2586</v>
      </c>
      <c r="D473" s="144" t="s">
        <v>362</v>
      </c>
      <c r="E473" s="144" t="s">
        <v>362</v>
      </c>
      <c r="F473" s="149" t="s">
        <v>2250</v>
      </c>
      <c r="G473" s="2" t="s">
        <v>2587</v>
      </c>
      <c r="H473" s="2" t="s">
        <v>2588</v>
      </c>
    </row>
    <row r="474" spans="1:8" ht="28.8" x14ac:dyDescent="0.3">
      <c r="A474" s="144" t="s">
        <v>353</v>
      </c>
      <c r="B474" s="144" t="s">
        <v>87</v>
      </c>
      <c r="C474" s="144" t="s">
        <v>2586</v>
      </c>
      <c r="D474" s="144" t="s">
        <v>1604</v>
      </c>
      <c r="E474" s="144" t="s">
        <v>1604</v>
      </c>
      <c r="F474" s="150" t="s">
        <v>2252</v>
      </c>
      <c r="G474" s="2" t="s">
        <v>2587</v>
      </c>
      <c r="H474" s="2" t="s">
        <v>2588</v>
      </c>
    </row>
    <row r="475" spans="1:8" ht="28.8" x14ac:dyDescent="0.3">
      <c r="A475" s="144" t="s">
        <v>353</v>
      </c>
      <c r="B475" s="144" t="s">
        <v>87</v>
      </c>
      <c r="C475" s="144" t="s">
        <v>2586</v>
      </c>
      <c r="D475" s="144" t="s">
        <v>903</v>
      </c>
      <c r="E475" s="144" t="s">
        <v>903</v>
      </c>
      <c r="F475" s="150" t="s">
        <v>2252</v>
      </c>
      <c r="G475" s="2" t="s">
        <v>2587</v>
      </c>
      <c r="H475" s="2" t="s">
        <v>2588</v>
      </c>
    </row>
    <row r="476" spans="1:8" ht="28.8" x14ac:dyDescent="0.3">
      <c r="A476" s="144" t="s">
        <v>353</v>
      </c>
      <c r="B476" s="144" t="s">
        <v>87</v>
      </c>
      <c r="C476" s="144" t="s">
        <v>2586</v>
      </c>
      <c r="D476" s="144" t="s">
        <v>1619</v>
      </c>
      <c r="E476" s="144" t="s">
        <v>1619</v>
      </c>
      <c r="F476" s="150" t="s">
        <v>2252</v>
      </c>
      <c r="G476" s="2" t="s">
        <v>2587</v>
      </c>
      <c r="H476" s="2" t="s">
        <v>2588</v>
      </c>
    </row>
    <row r="477" spans="1:8" ht="28.8" x14ac:dyDescent="0.3">
      <c r="A477" s="144" t="s">
        <v>353</v>
      </c>
      <c r="B477" s="144" t="s">
        <v>87</v>
      </c>
      <c r="C477" s="144" t="s">
        <v>2586</v>
      </c>
      <c r="D477" s="144" t="s">
        <v>1053</v>
      </c>
      <c r="E477" s="144" t="s">
        <v>1053</v>
      </c>
      <c r="F477" s="150" t="s">
        <v>2252</v>
      </c>
      <c r="G477" s="2" t="s">
        <v>2587</v>
      </c>
      <c r="H477" s="2" t="s">
        <v>2588</v>
      </c>
    </row>
    <row r="478" spans="1:8" ht="28.8" x14ac:dyDescent="0.3">
      <c r="A478" s="144" t="s">
        <v>353</v>
      </c>
      <c r="B478" s="144" t="s">
        <v>87</v>
      </c>
      <c r="C478" s="144" t="s">
        <v>2586</v>
      </c>
      <c r="D478" s="144" t="s">
        <v>2617</v>
      </c>
      <c r="E478" s="144" t="s">
        <v>2617</v>
      </c>
      <c r="F478" s="150" t="s">
        <v>2252</v>
      </c>
      <c r="G478" s="2" t="s">
        <v>2587</v>
      </c>
      <c r="H478" s="2" t="s">
        <v>2588</v>
      </c>
    </row>
    <row r="479" spans="1:8" ht="28.8" x14ac:dyDescent="0.3">
      <c r="A479" s="144" t="s">
        <v>353</v>
      </c>
      <c r="B479" s="144" t="s">
        <v>87</v>
      </c>
      <c r="C479" s="144" t="s">
        <v>2586</v>
      </c>
      <c r="D479" s="144" t="s">
        <v>2618</v>
      </c>
      <c r="E479" s="144" t="s">
        <v>2618</v>
      </c>
      <c r="F479" s="150" t="s">
        <v>2252</v>
      </c>
      <c r="G479" s="2" t="s">
        <v>2587</v>
      </c>
      <c r="H479" s="2" t="s">
        <v>2588</v>
      </c>
    </row>
    <row r="480" spans="1:8" ht="28.8" x14ac:dyDescent="0.3">
      <c r="A480" s="144" t="s">
        <v>353</v>
      </c>
      <c r="B480" s="144" t="s">
        <v>87</v>
      </c>
      <c r="C480" s="144" t="s">
        <v>2586</v>
      </c>
      <c r="D480" s="144" t="s">
        <v>2619</v>
      </c>
      <c r="E480" s="144" t="s">
        <v>2619</v>
      </c>
      <c r="F480" s="150" t="s">
        <v>2252</v>
      </c>
      <c r="G480" s="2" t="s">
        <v>2587</v>
      </c>
      <c r="H480" s="2" t="s">
        <v>2588</v>
      </c>
    </row>
    <row r="481" spans="1:8" ht="28.8" x14ac:dyDescent="0.3">
      <c r="A481" s="144" t="s">
        <v>353</v>
      </c>
      <c r="B481" s="144" t="s">
        <v>87</v>
      </c>
      <c r="C481" s="144" t="s">
        <v>2586</v>
      </c>
      <c r="D481" s="144" t="s">
        <v>2489</v>
      </c>
      <c r="E481" s="144" t="s">
        <v>2489</v>
      </c>
      <c r="F481" s="150" t="s">
        <v>2252</v>
      </c>
      <c r="G481" s="2" t="s">
        <v>2587</v>
      </c>
      <c r="H481" s="2" t="s">
        <v>2588</v>
      </c>
    </row>
    <row r="482" spans="1:8" ht="28.8" x14ac:dyDescent="0.3">
      <c r="A482" s="144" t="s">
        <v>353</v>
      </c>
      <c r="B482" s="144" t="s">
        <v>87</v>
      </c>
      <c r="C482" s="144" t="s">
        <v>2586</v>
      </c>
      <c r="D482" s="144" t="s">
        <v>2620</v>
      </c>
      <c r="E482" s="144" t="s">
        <v>2620</v>
      </c>
      <c r="F482" s="150" t="s">
        <v>2252</v>
      </c>
      <c r="G482" s="2" t="s">
        <v>2587</v>
      </c>
      <c r="H482" s="2" t="s">
        <v>2588</v>
      </c>
    </row>
    <row r="483" spans="1:8" ht="28.8" x14ac:dyDescent="0.3">
      <c r="A483" s="144" t="s">
        <v>353</v>
      </c>
      <c r="B483" s="144" t="s">
        <v>87</v>
      </c>
      <c r="C483" s="144" t="s">
        <v>2586</v>
      </c>
      <c r="D483" s="144" t="s">
        <v>2621</v>
      </c>
      <c r="E483" s="144" t="s">
        <v>2621</v>
      </c>
      <c r="F483" s="150" t="s">
        <v>2252</v>
      </c>
      <c r="G483" s="2" t="s">
        <v>2587</v>
      </c>
      <c r="H483" s="2" t="s">
        <v>2588</v>
      </c>
    </row>
    <row r="484" spans="1:8" ht="28.8" x14ac:dyDescent="0.3">
      <c r="A484" s="144" t="s">
        <v>353</v>
      </c>
      <c r="B484" s="144" t="s">
        <v>87</v>
      </c>
      <c r="C484" s="144" t="s">
        <v>2586</v>
      </c>
      <c r="D484" s="144" t="s">
        <v>2622</v>
      </c>
      <c r="E484" s="144" t="s">
        <v>2622</v>
      </c>
      <c r="F484" s="150" t="s">
        <v>2252</v>
      </c>
      <c r="G484" s="2" t="s">
        <v>2587</v>
      </c>
      <c r="H484" s="2" t="s">
        <v>2588</v>
      </c>
    </row>
    <row r="485" spans="1:8" ht="28.8" x14ac:dyDescent="0.3">
      <c r="A485" s="144" t="s">
        <v>353</v>
      </c>
      <c r="B485" s="144" t="s">
        <v>87</v>
      </c>
      <c r="C485" s="144" t="s">
        <v>2586</v>
      </c>
      <c r="D485" s="144" t="s">
        <v>2623</v>
      </c>
      <c r="E485" s="144" t="s">
        <v>2623</v>
      </c>
      <c r="F485" s="150" t="s">
        <v>2252</v>
      </c>
      <c r="G485" s="2" t="s">
        <v>2587</v>
      </c>
      <c r="H485" s="2" t="s">
        <v>2588</v>
      </c>
    </row>
    <row r="486" spans="1:8" ht="28.8" x14ac:dyDescent="0.3">
      <c r="A486" s="144" t="s">
        <v>353</v>
      </c>
      <c r="B486" s="144" t="s">
        <v>87</v>
      </c>
      <c r="C486" s="144" t="s">
        <v>2586</v>
      </c>
      <c r="D486" s="144" t="s">
        <v>2624</v>
      </c>
      <c r="E486" s="144" t="s">
        <v>2624</v>
      </c>
      <c r="F486" s="150" t="s">
        <v>2252</v>
      </c>
      <c r="G486" s="2" t="s">
        <v>2587</v>
      </c>
      <c r="H486" s="2" t="s">
        <v>2588</v>
      </c>
    </row>
    <row r="487" spans="1:8" ht="28.8" x14ac:dyDescent="0.3">
      <c r="A487" s="144" t="s">
        <v>353</v>
      </c>
      <c r="B487" s="144" t="s">
        <v>87</v>
      </c>
      <c r="C487" s="144" t="s">
        <v>2586</v>
      </c>
      <c r="D487" s="144" t="s">
        <v>2492</v>
      </c>
      <c r="E487" s="144" t="s">
        <v>2492</v>
      </c>
      <c r="F487" s="150" t="s">
        <v>2252</v>
      </c>
      <c r="G487" s="2" t="s">
        <v>2587</v>
      </c>
      <c r="H487" s="2" t="s">
        <v>2588</v>
      </c>
    </row>
    <row r="488" spans="1:8" ht="28.8" x14ac:dyDescent="0.3">
      <c r="A488" s="144" t="s">
        <v>2625</v>
      </c>
      <c r="B488" s="144" t="s">
        <v>2626</v>
      </c>
      <c r="C488" s="144" t="s">
        <v>2627</v>
      </c>
      <c r="D488" s="144" t="s">
        <v>726</v>
      </c>
      <c r="E488" s="144" t="s">
        <v>726</v>
      </c>
      <c r="F488" s="145" t="s">
        <v>2242</v>
      </c>
      <c r="G488" s="2" t="s">
        <v>2628</v>
      </c>
      <c r="H488" s="2" t="s">
        <v>2629</v>
      </c>
    </row>
    <row r="489" spans="1:8" ht="28.8" x14ac:dyDescent="0.3">
      <c r="A489" s="144" t="s">
        <v>2625</v>
      </c>
      <c r="B489" s="144" t="s">
        <v>2626</v>
      </c>
      <c r="C489" s="144" t="s">
        <v>2627</v>
      </c>
      <c r="D489" s="144" t="s">
        <v>2630</v>
      </c>
      <c r="E489" s="144" t="s">
        <v>2630</v>
      </c>
      <c r="F489" s="145" t="s">
        <v>2242</v>
      </c>
      <c r="G489" s="2" t="s">
        <v>2628</v>
      </c>
      <c r="H489" s="2" t="s">
        <v>2629</v>
      </c>
    </row>
    <row r="490" spans="1:8" ht="28.8" x14ac:dyDescent="0.3">
      <c r="A490" s="144" t="s">
        <v>2625</v>
      </c>
      <c r="B490" s="144" t="s">
        <v>2626</v>
      </c>
      <c r="C490" s="144" t="s">
        <v>2627</v>
      </c>
      <c r="D490" s="144" t="s">
        <v>2625</v>
      </c>
      <c r="E490" s="144" t="s">
        <v>2625</v>
      </c>
      <c r="F490" s="145" t="s">
        <v>2242</v>
      </c>
      <c r="G490" s="2" t="s">
        <v>2628</v>
      </c>
      <c r="H490" s="2" t="s">
        <v>2629</v>
      </c>
    </row>
    <row r="491" spans="1:8" ht="28.8" x14ac:dyDescent="0.3">
      <c r="A491" s="144" t="s">
        <v>2625</v>
      </c>
      <c r="B491" s="144" t="s">
        <v>2626</v>
      </c>
      <c r="C491" s="144" t="s">
        <v>2627</v>
      </c>
      <c r="D491" s="144" t="s">
        <v>1577</v>
      </c>
      <c r="E491" s="144" t="s">
        <v>1577</v>
      </c>
      <c r="F491" s="146" t="s">
        <v>2244</v>
      </c>
      <c r="G491" s="2" t="s">
        <v>2628</v>
      </c>
      <c r="H491" s="2" t="s">
        <v>2629</v>
      </c>
    </row>
    <row r="492" spans="1:8" ht="28.8" x14ac:dyDescent="0.3">
      <c r="A492" s="144" t="s">
        <v>2625</v>
      </c>
      <c r="B492" s="144" t="s">
        <v>2626</v>
      </c>
      <c r="C492" s="144" t="s">
        <v>2627</v>
      </c>
      <c r="D492" s="144" t="s">
        <v>727</v>
      </c>
      <c r="E492" s="144" t="s">
        <v>727</v>
      </c>
      <c r="F492" s="146" t="s">
        <v>2244</v>
      </c>
      <c r="G492" s="2" t="s">
        <v>2628</v>
      </c>
      <c r="H492" s="2" t="s">
        <v>2629</v>
      </c>
    </row>
    <row r="493" spans="1:8" ht="28.8" x14ac:dyDescent="0.3">
      <c r="A493" s="144" t="s">
        <v>2625</v>
      </c>
      <c r="B493" s="144" t="s">
        <v>2626</v>
      </c>
      <c r="C493" s="144" t="s">
        <v>2627</v>
      </c>
      <c r="D493" s="144" t="s">
        <v>729</v>
      </c>
      <c r="E493" s="144" t="s">
        <v>729</v>
      </c>
      <c r="F493" s="146" t="s">
        <v>2244</v>
      </c>
      <c r="G493" s="2" t="s">
        <v>2628</v>
      </c>
      <c r="H493" s="2" t="s">
        <v>2629</v>
      </c>
    </row>
    <row r="494" spans="1:8" ht="28.8" x14ac:dyDescent="0.3">
      <c r="A494" s="144" t="s">
        <v>2625</v>
      </c>
      <c r="B494" s="144" t="s">
        <v>2626</v>
      </c>
      <c r="C494" s="144" t="s">
        <v>2627</v>
      </c>
      <c r="D494" s="144" t="s">
        <v>2631</v>
      </c>
      <c r="E494" s="144" t="s">
        <v>2631</v>
      </c>
      <c r="F494" s="146" t="s">
        <v>2244</v>
      </c>
      <c r="G494" s="2" t="s">
        <v>2628</v>
      </c>
      <c r="H494" s="2" t="s">
        <v>2629</v>
      </c>
    </row>
    <row r="495" spans="1:8" ht="28.8" x14ac:dyDescent="0.3">
      <c r="A495" s="144" t="s">
        <v>2625</v>
      </c>
      <c r="B495" s="144" t="s">
        <v>2626</v>
      </c>
      <c r="C495" s="144" t="s">
        <v>2627</v>
      </c>
      <c r="D495" s="144" t="s">
        <v>2632</v>
      </c>
      <c r="E495" s="144" t="s">
        <v>2632</v>
      </c>
      <c r="F495" s="146" t="s">
        <v>2244</v>
      </c>
      <c r="G495" s="2" t="s">
        <v>2628</v>
      </c>
      <c r="H495" s="2" t="s">
        <v>2629</v>
      </c>
    </row>
    <row r="496" spans="1:8" ht="28.8" x14ac:dyDescent="0.3">
      <c r="A496" s="144" t="s">
        <v>2625</v>
      </c>
      <c r="B496" s="144" t="s">
        <v>2626</v>
      </c>
      <c r="C496" s="144" t="s">
        <v>2627</v>
      </c>
      <c r="D496" s="144" t="s">
        <v>2633</v>
      </c>
      <c r="E496" s="144" t="s">
        <v>2633</v>
      </c>
      <c r="F496" s="146" t="s">
        <v>2244</v>
      </c>
      <c r="G496" s="2" t="s">
        <v>2628</v>
      </c>
      <c r="H496" s="2" t="s">
        <v>2629</v>
      </c>
    </row>
    <row r="497" spans="1:8" ht="28.8" x14ac:dyDescent="0.3">
      <c r="A497" s="144" t="s">
        <v>2625</v>
      </c>
      <c r="B497" s="144" t="s">
        <v>2626</v>
      </c>
      <c r="C497" s="144" t="s">
        <v>2627</v>
      </c>
      <c r="D497" s="144" t="s">
        <v>2634</v>
      </c>
      <c r="E497" s="144" t="s">
        <v>2634</v>
      </c>
      <c r="F497" s="146" t="s">
        <v>2244</v>
      </c>
      <c r="G497" s="2" t="s">
        <v>2628</v>
      </c>
      <c r="H497" s="2" t="s">
        <v>2629</v>
      </c>
    </row>
    <row r="498" spans="1:8" ht="28.8" x14ac:dyDescent="0.3">
      <c r="A498" s="144" t="s">
        <v>2625</v>
      </c>
      <c r="B498" s="144" t="s">
        <v>2626</v>
      </c>
      <c r="C498" s="144" t="s">
        <v>2627</v>
      </c>
      <c r="D498" s="144" t="s">
        <v>2635</v>
      </c>
      <c r="E498" s="144" t="s">
        <v>2635</v>
      </c>
      <c r="F498" s="146" t="s">
        <v>2244</v>
      </c>
      <c r="G498" s="2" t="s">
        <v>2628</v>
      </c>
      <c r="H498" s="2" t="s">
        <v>2629</v>
      </c>
    </row>
    <row r="499" spans="1:8" ht="28.8" x14ac:dyDescent="0.3">
      <c r="A499" s="144" t="s">
        <v>2625</v>
      </c>
      <c r="B499" s="144" t="s">
        <v>2626</v>
      </c>
      <c r="C499" s="144" t="s">
        <v>2627</v>
      </c>
      <c r="D499" s="144" t="s">
        <v>2636</v>
      </c>
      <c r="E499" s="144" t="s">
        <v>2636</v>
      </c>
      <c r="F499" s="146" t="s">
        <v>2244</v>
      </c>
      <c r="G499" s="2" t="s">
        <v>2628</v>
      </c>
      <c r="H499" s="2" t="s">
        <v>2629</v>
      </c>
    </row>
    <row r="500" spans="1:8" ht="28.8" x14ac:dyDescent="0.3">
      <c r="A500" s="144" t="s">
        <v>2625</v>
      </c>
      <c r="B500" s="144" t="s">
        <v>2626</v>
      </c>
      <c r="C500" s="144" t="s">
        <v>2627</v>
      </c>
      <c r="D500" s="144" t="s">
        <v>2370</v>
      </c>
      <c r="E500" s="144" t="s">
        <v>2370</v>
      </c>
      <c r="F500" s="146" t="s">
        <v>2244</v>
      </c>
      <c r="G500" s="2" t="s">
        <v>2628</v>
      </c>
      <c r="H500" s="2" t="s">
        <v>2629</v>
      </c>
    </row>
    <row r="501" spans="1:8" ht="28.8" x14ac:dyDescent="0.3">
      <c r="A501" s="144" t="s">
        <v>2625</v>
      </c>
      <c r="B501" s="144" t="s">
        <v>2626</v>
      </c>
      <c r="C501" s="144" t="s">
        <v>2627</v>
      </c>
      <c r="D501" s="144" t="s">
        <v>2637</v>
      </c>
      <c r="E501" s="144" t="s">
        <v>2637</v>
      </c>
      <c r="F501" s="146" t="s">
        <v>2244</v>
      </c>
      <c r="G501" s="2" t="s">
        <v>2628</v>
      </c>
      <c r="H501" s="2" t="s">
        <v>2629</v>
      </c>
    </row>
    <row r="502" spans="1:8" ht="28.8" x14ac:dyDescent="0.3">
      <c r="A502" s="144" t="s">
        <v>2625</v>
      </c>
      <c r="B502" s="144" t="s">
        <v>2626</v>
      </c>
      <c r="C502" s="144" t="s">
        <v>2627</v>
      </c>
      <c r="D502" s="144" t="s">
        <v>2638</v>
      </c>
      <c r="E502" s="144" t="s">
        <v>2638</v>
      </c>
      <c r="F502" s="146" t="s">
        <v>2244</v>
      </c>
      <c r="G502" s="2" t="s">
        <v>2628</v>
      </c>
      <c r="H502" s="2" t="s">
        <v>2629</v>
      </c>
    </row>
    <row r="503" spans="1:8" ht="28.8" x14ac:dyDescent="0.3">
      <c r="A503" s="144" t="s">
        <v>2625</v>
      </c>
      <c r="B503" s="144" t="s">
        <v>2626</v>
      </c>
      <c r="C503" s="144" t="s">
        <v>2627</v>
      </c>
      <c r="D503" s="144" t="s">
        <v>2639</v>
      </c>
      <c r="E503" s="144" t="s">
        <v>2639</v>
      </c>
      <c r="F503" s="146" t="s">
        <v>2244</v>
      </c>
      <c r="G503" s="2" t="s">
        <v>2628</v>
      </c>
      <c r="H503" s="2" t="s">
        <v>2629</v>
      </c>
    </row>
    <row r="504" spans="1:8" ht="28.8" x14ac:dyDescent="0.3">
      <c r="A504" s="144" t="s">
        <v>2625</v>
      </c>
      <c r="B504" s="144" t="s">
        <v>2626</v>
      </c>
      <c r="C504" s="144" t="s">
        <v>2627</v>
      </c>
      <c r="D504" s="144" t="s">
        <v>2640</v>
      </c>
      <c r="E504" s="144" t="s">
        <v>2640</v>
      </c>
      <c r="F504" s="147" t="s">
        <v>2246</v>
      </c>
      <c r="G504" s="2" t="s">
        <v>2628</v>
      </c>
      <c r="H504" s="2" t="s">
        <v>2629</v>
      </c>
    </row>
    <row r="505" spans="1:8" ht="28.8" x14ac:dyDescent="0.3">
      <c r="A505" s="144" t="s">
        <v>2625</v>
      </c>
      <c r="B505" s="144" t="s">
        <v>2626</v>
      </c>
      <c r="C505" s="144" t="s">
        <v>2627</v>
      </c>
      <c r="D505" s="144" t="s">
        <v>2641</v>
      </c>
      <c r="E505" s="144" t="s">
        <v>2641</v>
      </c>
      <c r="F505" s="147" t="s">
        <v>2246</v>
      </c>
      <c r="G505" s="2" t="s">
        <v>2628</v>
      </c>
      <c r="H505" s="2" t="s">
        <v>2629</v>
      </c>
    </row>
    <row r="506" spans="1:8" ht="28.8" x14ac:dyDescent="0.3">
      <c r="A506" s="144" t="s">
        <v>2625</v>
      </c>
      <c r="B506" s="144" t="s">
        <v>2626</v>
      </c>
      <c r="C506" s="144" t="s">
        <v>2627</v>
      </c>
      <c r="D506" s="144" t="s">
        <v>2642</v>
      </c>
      <c r="E506" s="144" t="s">
        <v>2642</v>
      </c>
      <c r="F506" s="147" t="s">
        <v>2246</v>
      </c>
      <c r="G506" s="2" t="s">
        <v>2628</v>
      </c>
      <c r="H506" s="2" t="s">
        <v>2629</v>
      </c>
    </row>
    <row r="507" spans="1:8" ht="28.8" x14ac:dyDescent="0.3">
      <c r="A507" s="144" t="s">
        <v>2625</v>
      </c>
      <c r="B507" s="144" t="s">
        <v>2626</v>
      </c>
      <c r="C507" s="144" t="s">
        <v>2627</v>
      </c>
      <c r="D507" s="144" t="s">
        <v>2643</v>
      </c>
      <c r="E507" s="144" t="s">
        <v>2643</v>
      </c>
      <c r="F507" s="147" t="s">
        <v>2246</v>
      </c>
      <c r="G507" s="2" t="s">
        <v>2628</v>
      </c>
      <c r="H507" s="2" t="s">
        <v>2629</v>
      </c>
    </row>
    <row r="508" spans="1:8" ht="28.8" x14ac:dyDescent="0.3">
      <c r="A508" s="144" t="s">
        <v>2625</v>
      </c>
      <c r="B508" s="144" t="s">
        <v>2626</v>
      </c>
      <c r="C508" s="144" t="s">
        <v>2627</v>
      </c>
      <c r="D508" s="144" t="s">
        <v>2644</v>
      </c>
      <c r="E508" s="144" t="s">
        <v>2644</v>
      </c>
      <c r="F508" s="147" t="s">
        <v>2246</v>
      </c>
      <c r="G508" s="2" t="s">
        <v>2628</v>
      </c>
      <c r="H508" s="2" t="s">
        <v>2629</v>
      </c>
    </row>
    <row r="509" spans="1:8" ht="28.8" x14ac:dyDescent="0.3">
      <c r="A509" s="144" t="s">
        <v>2625</v>
      </c>
      <c r="B509" s="144" t="s">
        <v>2626</v>
      </c>
      <c r="C509" s="144" t="s">
        <v>2627</v>
      </c>
      <c r="D509" s="144" t="s">
        <v>2645</v>
      </c>
      <c r="E509" s="144" t="s">
        <v>2645</v>
      </c>
      <c r="F509" s="147" t="s">
        <v>2246</v>
      </c>
      <c r="G509" s="2" t="s">
        <v>2628</v>
      </c>
      <c r="H509" s="2" t="s">
        <v>2629</v>
      </c>
    </row>
    <row r="510" spans="1:8" ht="28.8" x14ac:dyDescent="0.3">
      <c r="A510" s="144" t="s">
        <v>2625</v>
      </c>
      <c r="B510" s="144" t="s">
        <v>2626</v>
      </c>
      <c r="C510" s="144" t="s">
        <v>2627</v>
      </c>
      <c r="D510" s="144" t="s">
        <v>2646</v>
      </c>
      <c r="E510" s="144" t="s">
        <v>2646</v>
      </c>
      <c r="F510" s="147" t="s">
        <v>2246</v>
      </c>
      <c r="G510" s="2" t="s">
        <v>2628</v>
      </c>
      <c r="H510" s="2" t="s">
        <v>2629</v>
      </c>
    </row>
    <row r="511" spans="1:8" ht="28.8" x14ac:dyDescent="0.3">
      <c r="A511" s="144" t="s">
        <v>2625</v>
      </c>
      <c r="B511" s="144" t="s">
        <v>2626</v>
      </c>
      <c r="C511" s="144" t="s">
        <v>2627</v>
      </c>
      <c r="D511" s="144" t="s">
        <v>2647</v>
      </c>
      <c r="E511" s="144" t="s">
        <v>2647</v>
      </c>
      <c r="F511" s="147" t="s">
        <v>2246</v>
      </c>
      <c r="G511" s="2" t="s">
        <v>2628</v>
      </c>
      <c r="H511" s="2" t="s">
        <v>2629</v>
      </c>
    </row>
    <row r="512" spans="1:8" ht="28.8" x14ac:dyDescent="0.3">
      <c r="A512" s="144" t="s">
        <v>2625</v>
      </c>
      <c r="B512" s="144" t="s">
        <v>2626</v>
      </c>
      <c r="C512" s="144" t="s">
        <v>2627</v>
      </c>
      <c r="D512" s="144" t="s">
        <v>2648</v>
      </c>
      <c r="E512" s="144" t="s">
        <v>2648</v>
      </c>
      <c r="F512" s="147" t="s">
        <v>2246</v>
      </c>
      <c r="G512" s="2" t="s">
        <v>2628</v>
      </c>
      <c r="H512" s="2" t="s">
        <v>2629</v>
      </c>
    </row>
    <row r="513" spans="1:8" ht="28.8" x14ac:dyDescent="0.3">
      <c r="A513" s="144" t="s">
        <v>2625</v>
      </c>
      <c r="B513" s="144" t="s">
        <v>2626</v>
      </c>
      <c r="C513" s="144" t="s">
        <v>2627</v>
      </c>
      <c r="D513" s="144" t="s">
        <v>2649</v>
      </c>
      <c r="E513" s="144" t="s">
        <v>2649</v>
      </c>
      <c r="F513" s="147" t="s">
        <v>2246</v>
      </c>
      <c r="G513" s="2" t="s">
        <v>2628</v>
      </c>
      <c r="H513" s="2" t="s">
        <v>2629</v>
      </c>
    </row>
    <row r="514" spans="1:8" ht="28.8" x14ac:dyDescent="0.3">
      <c r="A514" s="144" t="s">
        <v>2625</v>
      </c>
      <c r="B514" s="144" t="s">
        <v>2626</v>
      </c>
      <c r="C514" s="144" t="s">
        <v>2627</v>
      </c>
      <c r="D514" s="144" t="s">
        <v>2650</v>
      </c>
      <c r="E514" s="144" t="s">
        <v>2650</v>
      </c>
      <c r="F514" s="147" t="s">
        <v>2246</v>
      </c>
      <c r="G514" s="2" t="s">
        <v>2628</v>
      </c>
      <c r="H514" s="2" t="s">
        <v>2629</v>
      </c>
    </row>
    <row r="515" spans="1:8" ht="28.8" x14ac:dyDescent="0.3">
      <c r="A515" s="144" t="s">
        <v>2625</v>
      </c>
      <c r="B515" s="144" t="s">
        <v>2626</v>
      </c>
      <c r="C515" s="144" t="s">
        <v>2627</v>
      </c>
      <c r="D515" s="144" t="s">
        <v>2651</v>
      </c>
      <c r="E515" s="144" t="s">
        <v>2651</v>
      </c>
      <c r="F515" s="147" t="s">
        <v>2246</v>
      </c>
      <c r="G515" s="2" t="s">
        <v>2628</v>
      </c>
      <c r="H515" s="2" t="s">
        <v>2629</v>
      </c>
    </row>
    <row r="516" spans="1:8" ht="28.8" x14ac:dyDescent="0.3">
      <c r="A516" s="144" t="s">
        <v>2625</v>
      </c>
      <c r="B516" s="144" t="s">
        <v>2626</v>
      </c>
      <c r="C516" s="144" t="s">
        <v>2627</v>
      </c>
      <c r="D516" s="144" t="s">
        <v>2652</v>
      </c>
      <c r="E516" s="144" t="s">
        <v>2652</v>
      </c>
      <c r="F516" s="148" t="s">
        <v>2248</v>
      </c>
      <c r="G516" s="2" t="s">
        <v>2628</v>
      </c>
      <c r="H516" s="2" t="s">
        <v>2629</v>
      </c>
    </row>
    <row r="517" spans="1:8" ht="28.8" x14ac:dyDescent="0.3">
      <c r="A517" s="144" t="s">
        <v>2625</v>
      </c>
      <c r="B517" s="144" t="s">
        <v>2626</v>
      </c>
      <c r="C517" s="144" t="s">
        <v>2627</v>
      </c>
      <c r="D517" s="144" t="s">
        <v>2653</v>
      </c>
      <c r="E517" s="144" t="s">
        <v>2653</v>
      </c>
      <c r="F517" s="148" t="s">
        <v>2248</v>
      </c>
      <c r="G517" s="2" t="s">
        <v>2628</v>
      </c>
      <c r="H517" s="2" t="s">
        <v>2629</v>
      </c>
    </row>
    <row r="518" spans="1:8" ht="28.8" x14ac:dyDescent="0.3">
      <c r="A518" s="144" t="s">
        <v>2625</v>
      </c>
      <c r="B518" s="144" t="s">
        <v>2626</v>
      </c>
      <c r="C518" s="144" t="s">
        <v>2627</v>
      </c>
      <c r="D518" s="144" t="s">
        <v>2654</v>
      </c>
      <c r="E518" s="144" t="s">
        <v>2654</v>
      </c>
      <c r="F518" s="148" t="s">
        <v>2248</v>
      </c>
      <c r="G518" s="2" t="s">
        <v>2628</v>
      </c>
      <c r="H518" s="2" t="s">
        <v>2629</v>
      </c>
    </row>
    <row r="519" spans="1:8" ht="28.8" x14ac:dyDescent="0.3">
      <c r="A519" s="144" t="s">
        <v>2625</v>
      </c>
      <c r="B519" s="144" t="s">
        <v>2626</v>
      </c>
      <c r="C519" s="144" t="s">
        <v>2627</v>
      </c>
      <c r="D519" s="144" t="s">
        <v>2655</v>
      </c>
      <c r="E519" s="144" t="s">
        <v>2655</v>
      </c>
      <c r="F519" s="148" t="s">
        <v>2248</v>
      </c>
      <c r="G519" s="2" t="s">
        <v>2628</v>
      </c>
      <c r="H519" s="2" t="s">
        <v>2629</v>
      </c>
    </row>
    <row r="520" spans="1:8" ht="28.8" x14ac:dyDescent="0.3">
      <c r="A520" s="144" t="s">
        <v>2625</v>
      </c>
      <c r="B520" s="144" t="s">
        <v>2626</v>
      </c>
      <c r="C520" s="144" t="s">
        <v>2627</v>
      </c>
      <c r="D520" s="144" t="s">
        <v>2656</v>
      </c>
      <c r="E520" s="144" t="s">
        <v>2656</v>
      </c>
      <c r="F520" s="148" t="s">
        <v>2248</v>
      </c>
      <c r="G520" s="2" t="s">
        <v>2628</v>
      </c>
      <c r="H520" s="2" t="s">
        <v>2629</v>
      </c>
    </row>
    <row r="521" spans="1:8" ht="28.8" x14ac:dyDescent="0.3">
      <c r="A521" s="144" t="s">
        <v>2625</v>
      </c>
      <c r="B521" s="144" t="s">
        <v>2626</v>
      </c>
      <c r="C521" s="144" t="s">
        <v>2627</v>
      </c>
      <c r="D521" s="144" t="s">
        <v>2657</v>
      </c>
      <c r="E521" s="144" t="s">
        <v>2657</v>
      </c>
      <c r="F521" s="148" t="s">
        <v>2248</v>
      </c>
      <c r="G521" s="2" t="s">
        <v>2628</v>
      </c>
      <c r="H521" s="2" t="s">
        <v>2629</v>
      </c>
    </row>
    <row r="522" spans="1:8" ht="28.8" x14ac:dyDescent="0.3">
      <c r="A522" s="144" t="s">
        <v>2625</v>
      </c>
      <c r="B522" s="144" t="s">
        <v>2626</v>
      </c>
      <c r="C522" s="144" t="s">
        <v>2627</v>
      </c>
      <c r="D522" s="144" t="s">
        <v>727</v>
      </c>
      <c r="E522" s="144" t="s">
        <v>727</v>
      </c>
      <c r="F522" s="149" t="s">
        <v>2250</v>
      </c>
      <c r="G522" s="2" t="s">
        <v>2628</v>
      </c>
      <c r="H522" s="2" t="s">
        <v>2629</v>
      </c>
    </row>
    <row r="523" spans="1:8" ht="28.8" x14ac:dyDescent="0.3">
      <c r="A523" s="144" t="s">
        <v>2625</v>
      </c>
      <c r="B523" s="144" t="s">
        <v>2626</v>
      </c>
      <c r="C523" s="144" t="s">
        <v>2627</v>
      </c>
      <c r="D523" s="144" t="s">
        <v>2658</v>
      </c>
      <c r="E523" s="144" t="s">
        <v>2658</v>
      </c>
      <c r="F523" s="149" t="s">
        <v>2250</v>
      </c>
      <c r="G523" s="2" t="s">
        <v>2628</v>
      </c>
      <c r="H523" s="2" t="s">
        <v>2629</v>
      </c>
    </row>
    <row r="524" spans="1:8" ht="28.8" x14ac:dyDescent="0.3">
      <c r="A524" s="144" t="s">
        <v>2625</v>
      </c>
      <c r="B524" s="144" t="s">
        <v>2626</v>
      </c>
      <c r="C524" s="144" t="s">
        <v>2627</v>
      </c>
      <c r="D524" s="144" t="s">
        <v>2637</v>
      </c>
      <c r="E524" s="144" t="s">
        <v>2637</v>
      </c>
      <c r="F524" s="149" t="s">
        <v>2250</v>
      </c>
      <c r="G524" s="2" t="s">
        <v>2628</v>
      </c>
      <c r="H524" s="2" t="s">
        <v>2629</v>
      </c>
    </row>
    <row r="525" spans="1:8" ht="28.8" x14ac:dyDescent="0.3">
      <c r="A525" s="144" t="s">
        <v>2625</v>
      </c>
      <c r="B525" s="144" t="s">
        <v>2626</v>
      </c>
      <c r="C525" s="144" t="s">
        <v>2627</v>
      </c>
      <c r="D525" s="144" t="s">
        <v>1577</v>
      </c>
      <c r="E525" s="144" t="s">
        <v>1577</v>
      </c>
      <c r="F525" s="149" t="s">
        <v>2250</v>
      </c>
      <c r="G525" s="2" t="s">
        <v>2628</v>
      </c>
      <c r="H525" s="2" t="s">
        <v>2629</v>
      </c>
    </row>
    <row r="526" spans="1:8" ht="28.8" x14ac:dyDescent="0.3">
      <c r="A526" s="144" t="s">
        <v>2625</v>
      </c>
      <c r="B526" s="144" t="s">
        <v>2626</v>
      </c>
      <c r="C526" s="144" t="s">
        <v>2627</v>
      </c>
      <c r="D526" s="144" t="s">
        <v>2631</v>
      </c>
      <c r="E526" s="144" t="s">
        <v>2631</v>
      </c>
      <c r="F526" s="149" t="s">
        <v>2250</v>
      </c>
      <c r="G526" s="2" t="s">
        <v>2628</v>
      </c>
      <c r="H526" s="2" t="s">
        <v>2629</v>
      </c>
    </row>
    <row r="527" spans="1:8" ht="28.8" x14ac:dyDescent="0.3">
      <c r="A527" s="144" t="s">
        <v>2625</v>
      </c>
      <c r="B527" s="144" t="s">
        <v>2626</v>
      </c>
      <c r="C527" s="144" t="s">
        <v>2627</v>
      </c>
      <c r="D527" s="144" t="s">
        <v>2634</v>
      </c>
      <c r="E527" s="144" t="s">
        <v>2634</v>
      </c>
      <c r="F527" s="149" t="s">
        <v>2250</v>
      </c>
      <c r="G527" s="2" t="s">
        <v>2628</v>
      </c>
      <c r="H527" s="2" t="s">
        <v>2629</v>
      </c>
    </row>
    <row r="528" spans="1:8" ht="28.8" x14ac:dyDescent="0.3">
      <c r="A528" s="144" t="s">
        <v>2625</v>
      </c>
      <c r="B528" s="144" t="s">
        <v>2626</v>
      </c>
      <c r="C528" s="144" t="s">
        <v>2627</v>
      </c>
      <c r="D528" s="144" t="s">
        <v>1542</v>
      </c>
      <c r="E528" s="144" t="s">
        <v>1542</v>
      </c>
      <c r="F528" s="149" t="s">
        <v>2250</v>
      </c>
      <c r="G528" s="2" t="s">
        <v>2628</v>
      </c>
      <c r="H528" s="2" t="s">
        <v>2629</v>
      </c>
    </row>
    <row r="529" spans="1:8" ht="28.8" x14ac:dyDescent="0.3">
      <c r="A529" s="144" t="s">
        <v>2625</v>
      </c>
      <c r="B529" s="144" t="s">
        <v>2626</v>
      </c>
      <c r="C529" s="144" t="s">
        <v>2627</v>
      </c>
      <c r="D529" s="144" t="s">
        <v>2659</v>
      </c>
      <c r="E529" s="144" t="s">
        <v>2659</v>
      </c>
      <c r="F529" s="149" t="s">
        <v>2250</v>
      </c>
      <c r="G529" s="2" t="s">
        <v>2628</v>
      </c>
      <c r="H529" s="2" t="s">
        <v>2629</v>
      </c>
    </row>
    <row r="530" spans="1:8" ht="28.8" x14ac:dyDescent="0.3">
      <c r="A530" s="144" t="s">
        <v>2625</v>
      </c>
      <c r="B530" s="144" t="s">
        <v>2626</v>
      </c>
      <c r="C530" s="144" t="s">
        <v>2627</v>
      </c>
      <c r="D530" s="144" t="s">
        <v>2660</v>
      </c>
      <c r="E530" s="144" t="s">
        <v>2660</v>
      </c>
      <c r="F530" s="150" t="s">
        <v>2252</v>
      </c>
      <c r="G530" s="2" t="s">
        <v>2628</v>
      </c>
      <c r="H530" s="2" t="s">
        <v>2629</v>
      </c>
    </row>
    <row r="531" spans="1:8" ht="28.8" x14ac:dyDescent="0.3">
      <c r="A531" s="144" t="s">
        <v>2625</v>
      </c>
      <c r="B531" s="144" t="s">
        <v>2626</v>
      </c>
      <c r="C531" s="144" t="s">
        <v>2627</v>
      </c>
      <c r="D531" s="144" t="s">
        <v>1611</v>
      </c>
      <c r="E531" s="144" t="s">
        <v>1611</v>
      </c>
      <c r="F531" s="150" t="s">
        <v>2252</v>
      </c>
      <c r="G531" s="2" t="s">
        <v>2628</v>
      </c>
      <c r="H531" s="2" t="s">
        <v>2629</v>
      </c>
    </row>
    <row r="532" spans="1:8" ht="28.8" x14ac:dyDescent="0.3">
      <c r="A532" s="144" t="s">
        <v>2625</v>
      </c>
      <c r="B532" s="144" t="s">
        <v>2626</v>
      </c>
      <c r="C532" s="144" t="s">
        <v>2627</v>
      </c>
      <c r="D532" s="144" t="s">
        <v>2661</v>
      </c>
      <c r="E532" s="144" t="s">
        <v>2661</v>
      </c>
      <c r="F532" s="150" t="s">
        <v>2252</v>
      </c>
      <c r="G532" s="2" t="s">
        <v>2628</v>
      </c>
      <c r="H532" s="2" t="s">
        <v>2629</v>
      </c>
    </row>
    <row r="533" spans="1:8" ht="28.8" x14ac:dyDescent="0.3">
      <c r="A533" s="144" t="s">
        <v>2625</v>
      </c>
      <c r="B533" s="144" t="s">
        <v>2626</v>
      </c>
      <c r="C533" s="144" t="s">
        <v>2627</v>
      </c>
      <c r="D533" s="144" t="s">
        <v>1054</v>
      </c>
      <c r="E533" s="144" t="s">
        <v>1054</v>
      </c>
      <c r="F533" s="150" t="s">
        <v>2252</v>
      </c>
      <c r="G533" s="2" t="s">
        <v>2628</v>
      </c>
      <c r="H533" s="2" t="s">
        <v>2629</v>
      </c>
    </row>
    <row r="534" spans="1:8" ht="28.8" x14ac:dyDescent="0.3">
      <c r="A534" s="144" t="s">
        <v>2625</v>
      </c>
      <c r="B534" s="144" t="s">
        <v>2626</v>
      </c>
      <c r="C534" s="144" t="s">
        <v>2627</v>
      </c>
      <c r="D534" s="144" t="s">
        <v>2662</v>
      </c>
      <c r="E534" s="144" t="s">
        <v>2662</v>
      </c>
      <c r="F534" s="150" t="s">
        <v>2252</v>
      </c>
      <c r="G534" s="2" t="s">
        <v>2628</v>
      </c>
      <c r="H534" s="2" t="s">
        <v>2629</v>
      </c>
    </row>
    <row r="535" spans="1:8" ht="28.8" x14ac:dyDescent="0.3">
      <c r="A535" s="144" t="s">
        <v>2625</v>
      </c>
      <c r="B535" s="144" t="s">
        <v>2626</v>
      </c>
      <c r="C535" s="144" t="s">
        <v>2627</v>
      </c>
      <c r="D535" s="144" t="s">
        <v>2663</v>
      </c>
      <c r="E535" s="144" t="s">
        <v>2663</v>
      </c>
      <c r="F535" s="150" t="s">
        <v>2252</v>
      </c>
      <c r="G535" s="2" t="s">
        <v>2628</v>
      </c>
      <c r="H535" s="2" t="s">
        <v>2629</v>
      </c>
    </row>
    <row r="536" spans="1:8" ht="28.8" x14ac:dyDescent="0.3">
      <c r="A536" s="144" t="s">
        <v>2625</v>
      </c>
      <c r="B536" s="144" t="s">
        <v>2626</v>
      </c>
      <c r="C536" s="144" t="s">
        <v>2627</v>
      </c>
      <c r="D536" s="144" t="s">
        <v>2664</v>
      </c>
      <c r="E536" s="144" t="s">
        <v>2664</v>
      </c>
      <c r="F536" s="150" t="s">
        <v>2252</v>
      </c>
      <c r="G536" s="2" t="s">
        <v>2628</v>
      </c>
      <c r="H536" s="2" t="s">
        <v>2629</v>
      </c>
    </row>
    <row r="537" spans="1:8" ht="28.8" x14ac:dyDescent="0.3">
      <c r="A537" s="144" t="s">
        <v>2625</v>
      </c>
      <c r="B537" s="144" t="s">
        <v>2626</v>
      </c>
      <c r="C537" s="144" t="s">
        <v>2627</v>
      </c>
      <c r="D537" s="144" t="s">
        <v>2665</v>
      </c>
      <c r="E537" s="144" t="s">
        <v>2665</v>
      </c>
      <c r="F537" s="150" t="s">
        <v>2252</v>
      </c>
      <c r="G537" s="2" t="s">
        <v>2628</v>
      </c>
      <c r="H537" s="2" t="s">
        <v>2629</v>
      </c>
    </row>
    <row r="538" spans="1:8" ht="28.8" x14ac:dyDescent="0.3">
      <c r="A538" s="144" t="s">
        <v>2625</v>
      </c>
      <c r="B538" s="144" t="s">
        <v>2626</v>
      </c>
      <c r="C538" s="144" t="s">
        <v>2627</v>
      </c>
      <c r="D538" s="144" t="s">
        <v>2666</v>
      </c>
      <c r="E538" s="144" t="s">
        <v>2666</v>
      </c>
      <c r="F538" s="150" t="s">
        <v>2252</v>
      </c>
      <c r="G538" s="2" t="s">
        <v>2628</v>
      </c>
      <c r="H538" s="2" t="s">
        <v>2629</v>
      </c>
    </row>
    <row r="539" spans="1:8" ht="28.8" x14ac:dyDescent="0.3">
      <c r="A539" s="144" t="s">
        <v>2625</v>
      </c>
      <c r="B539" s="144" t="s">
        <v>2626</v>
      </c>
      <c r="C539" s="144" t="s">
        <v>2627</v>
      </c>
      <c r="D539" s="144" t="s">
        <v>2667</v>
      </c>
      <c r="E539" s="144" t="s">
        <v>2667</v>
      </c>
      <c r="F539" s="150" t="s">
        <v>2252</v>
      </c>
      <c r="G539" s="2" t="s">
        <v>2628</v>
      </c>
      <c r="H539" s="2" t="s">
        <v>2629</v>
      </c>
    </row>
    <row r="540" spans="1:8" ht="28.8" x14ac:dyDescent="0.3">
      <c r="A540" s="144" t="s">
        <v>2625</v>
      </c>
      <c r="B540" s="144" t="s">
        <v>2626</v>
      </c>
      <c r="C540" s="144" t="s">
        <v>2627</v>
      </c>
      <c r="D540" s="144" t="s">
        <v>2668</v>
      </c>
      <c r="E540" s="144" t="s">
        <v>2668</v>
      </c>
      <c r="F540" s="150" t="s">
        <v>2252</v>
      </c>
      <c r="G540" s="2" t="s">
        <v>2628</v>
      </c>
      <c r="H540" s="2" t="s">
        <v>2629</v>
      </c>
    </row>
    <row r="541" spans="1:8" ht="28.8" x14ac:dyDescent="0.3">
      <c r="A541" s="144" t="s">
        <v>2625</v>
      </c>
      <c r="B541" s="144" t="s">
        <v>2626</v>
      </c>
      <c r="C541" s="144" t="s">
        <v>2627</v>
      </c>
      <c r="D541" s="144" t="s">
        <v>1612</v>
      </c>
      <c r="E541" s="144" t="s">
        <v>1612</v>
      </c>
      <c r="F541" s="150" t="s">
        <v>2252</v>
      </c>
      <c r="G541" s="2" t="s">
        <v>2628</v>
      </c>
      <c r="H541" s="2" t="s">
        <v>2629</v>
      </c>
    </row>
    <row r="542" spans="1:8" ht="28.8" x14ac:dyDescent="0.3">
      <c r="A542" s="144" t="s">
        <v>2625</v>
      </c>
      <c r="B542" s="144" t="s">
        <v>2626</v>
      </c>
      <c r="C542" s="144" t="s">
        <v>2627</v>
      </c>
      <c r="D542" s="144" t="s">
        <v>2669</v>
      </c>
      <c r="E542" s="144" t="s">
        <v>2669</v>
      </c>
      <c r="F542" s="150" t="s">
        <v>2252</v>
      </c>
      <c r="G542" s="2" t="s">
        <v>2628</v>
      </c>
      <c r="H542" s="2" t="s">
        <v>2629</v>
      </c>
    </row>
    <row r="543" spans="1:8" ht="28.8" x14ac:dyDescent="0.3">
      <c r="A543" s="144" t="s">
        <v>2625</v>
      </c>
      <c r="B543" s="144" t="s">
        <v>2626</v>
      </c>
      <c r="C543" s="144" t="s">
        <v>2627</v>
      </c>
      <c r="D543" s="144" t="s">
        <v>2670</v>
      </c>
      <c r="E543" s="144" t="s">
        <v>2670</v>
      </c>
      <c r="F543" s="150" t="s">
        <v>2252</v>
      </c>
      <c r="G543" s="2" t="s">
        <v>2628</v>
      </c>
      <c r="H543" s="2" t="s">
        <v>2629</v>
      </c>
    </row>
    <row r="544" spans="1:8" ht="28.8" x14ac:dyDescent="0.3">
      <c r="A544" s="144" t="s">
        <v>2625</v>
      </c>
      <c r="B544" s="144" t="s">
        <v>2626</v>
      </c>
      <c r="C544" s="144" t="s">
        <v>2627</v>
      </c>
      <c r="D544" s="144" t="s">
        <v>2671</v>
      </c>
      <c r="E544" s="144" t="s">
        <v>2671</v>
      </c>
      <c r="F544" s="150" t="s">
        <v>2252</v>
      </c>
      <c r="G544" s="2" t="s">
        <v>2628</v>
      </c>
      <c r="H544" s="2" t="s">
        <v>2629</v>
      </c>
    </row>
    <row r="545" spans="1:8" ht="28.8" x14ac:dyDescent="0.3">
      <c r="A545" s="144" t="s">
        <v>2625</v>
      </c>
      <c r="B545" s="144" t="s">
        <v>2626</v>
      </c>
      <c r="C545" s="144" t="s">
        <v>2627</v>
      </c>
      <c r="D545" s="144" t="s">
        <v>2672</v>
      </c>
      <c r="E545" s="144" t="s">
        <v>2672</v>
      </c>
      <c r="F545" s="150" t="s">
        <v>2252</v>
      </c>
      <c r="G545" s="2" t="s">
        <v>2628</v>
      </c>
      <c r="H545" s="2" t="s">
        <v>2629</v>
      </c>
    </row>
    <row r="546" spans="1:8" ht="57.6" x14ac:dyDescent="0.3">
      <c r="A546" s="144" t="s">
        <v>628</v>
      </c>
      <c r="B546" s="144" t="s">
        <v>2673</v>
      </c>
      <c r="C546" s="144" t="s">
        <v>2674</v>
      </c>
      <c r="D546" s="144" t="s">
        <v>628</v>
      </c>
      <c r="E546" s="144" t="s">
        <v>628</v>
      </c>
      <c r="F546" s="145" t="s">
        <v>2242</v>
      </c>
      <c r="G546" s="2" t="s">
        <v>2675</v>
      </c>
      <c r="H546" s="2" t="s">
        <v>2676</v>
      </c>
    </row>
    <row r="547" spans="1:8" ht="57.6" x14ac:dyDescent="0.3">
      <c r="A547" s="144" t="s">
        <v>628</v>
      </c>
      <c r="B547" s="144" t="s">
        <v>2673</v>
      </c>
      <c r="C547" s="144" t="s">
        <v>2674</v>
      </c>
      <c r="D547" s="144" t="b">
        <v>1</v>
      </c>
      <c r="E547" s="144" t="b">
        <v>1</v>
      </c>
      <c r="F547" s="145" t="s">
        <v>2242</v>
      </c>
      <c r="G547" s="2" t="s">
        <v>2675</v>
      </c>
      <c r="H547" s="2" t="s">
        <v>2676</v>
      </c>
    </row>
    <row r="548" spans="1:8" ht="57.6" x14ac:dyDescent="0.3">
      <c r="A548" s="144" t="s">
        <v>628</v>
      </c>
      <c r="B548" s="144" t="s">
        <v>2673</v>
      </c>
      <c r="C548" s="144" t="s">
        <v>2674</v>
      </c>
      <c r="D548" s="144" t="s">
        <v>2506</v>
      </c>
      <c r="E548" s="144" t="s">
        <v>2506</v>
      </c>
      <c r="F548" s="145" t="s">
        <v>2242</v>
      </c>
      <c r="G548" s="2" t="s">
        <v>2675</v>
      </c>
      <c r="H548" s="2" t="s">
        <v>2676</v>
      </c>
    </row>
    <row r="549" spans="1:8" ht="57.6" x14ac:dyDescent="0.3">
      <c r="A549" s="144" t="s">
        <v>628</v>
      </c>
      <c r="B549" s="144" t="s">
        <v>2673</v>
      </c>
      <c r="C549" s="144" t="s">
        <v>2674</v>
      </c>
      <c r="D549" s="144" t="s">
        <v>2504</v>
      </c>
      <c r="E549" s="144" t="s">
        <v>2504</v>
      </c>
      <c r="F549" s="146" t="s">
        <v>2244</v>
      </c>
      <c r="G549" s="2" t="s">
        <v>2675</v>
      </c>
      <c r="H549" s="2" t="s">
        <v>2676</v>
      </c>
    </row>
    <row r="550" spans="1:8" ht="57.6" x14ac:dyDescent="0.3">
      <c r="A550" s="144" t="s">
        <v>628</v>
      </c>
      <c r="B550" s="144" t="s">
        <v>2673</v>
      </c>
      <c r="C550" s="144" t="s">
        <v>2674</v>
      </c>
      <c r="D550" s="144" t="s">
        <v>2677</v>
      </c>
      <c r="E550" s="144" t="s">
        <v>2677</v>
      </c>
      <c r="F550" s="146" t="s">
        <v>2244</v>
      </c>
      <c r="G550" s="2" t="s">
        <v>2675</v>
      </c>
      <c r="H550" s="2" t="s">
        <v>2676</v>
      </c>
    </row>
    <row r="551" spans="1:8" ht="57.6" x14ac:dyDescent="0.3">
      <c r="A551" s="144" t="s">
        <v>628</v>
      </c>
      <c r="B551" s="144" t="s">
        <v>2673</v>
      </c>
      <c r="C551" s="144" t="s">
        <v>2674</v>
      </c>
      <c r="D551" s="144" t="s">
        <v>2678</v>
      </c>
      <c r="E551" s="144" t="s">
        <v>2678</v>
      </c>
      <c r="F551" s="146" t="s">
        <v>2244</v>
      </c>
      <c r="G551" s="2" t="s">
        <v>2675</v>
      </c>
      <c r="H551" s="2" t="s">
        <v>2676</v>
      </c>
    </row>
    <row r="552" spans="1:8" ht="57.6" x14ac:dyDescent="0.3">
      <c r="A552" s="144" t="s">
        <v>628</v>
      </c>
      <c r="B552" s="144" t="s">
        <v>2673</v>
      </c>
      <c r="C552" s="144" t="s">
        <v>2674</v>
      </c>
      <c r="D552" s="144" t="s">
        <v>2679</v>
      </c>
      <c r="E552" s="144" t="s">
        <v>2679</v>
      </c>
      <c r="F552" s="146" t="s">
        <v>2244</v>
      </c>
      <c r="G552" s="2" t="s">
        <v>2675</v>
      </c>
      <c r="H552" s="2" t="s">
        <v>2676</v>
      </c>
    </row>
    <row r="553" spans="1:8" ht="57.6" x14ac:dyDescent="0.3">
      <c r="A553" s="144" t="s">
        <v>628</v>
      </c>
      <c r="B553" s="144" t="s">
        <v>2673</v>
      </c>
      <c r="C553" s="144" t="s">
        <v>2674</v>
      </c>
      <c r="D553" s="144" t="s">
        <v>2680</v>
      </c>
      <c r="E553" s="144" t="s">
        <v>2680</v>
      </c>
      <c r="F553" s="146" t="s">
        <v>2244</v>
      </c>
      <c r="G553" s="2" t="s">
        <v>2675</v>
      </c>
      <c r="H553" s="2" t="s">
        <v>2676</v>
      </c>
    </row>
    <row r="554" spans="1:8" ht="57.6" x14ac:dyDescent="0.3">
      <c r="A554" s="144" t="s">
        <v>628</v>
      </c>
      <c r="B554" s="144" t="s">
        <v>2673</v>
      </c>
      <c r="C554" s="144" t="s">
        <v>2674</v>
      </c>
      <c r="D554" s="144" t="s">
        <v>716</v>
      </c>
      <c r="E554" s="144" t="s">
        <v>716</v>
      </c>
      <c r="F554" s="146" t="s">
        <v>2244</v>
      </c>
      <c r="G554" s="2" t="s">
        <v>2675</v>
      </c>
      <c r="H554" s="2" t="s">
        <v>2676</v>
      </c>
    </row>
    <row r="555" spans="1:8" ht="57.6" x14ac:dyDescent="0.3">
      <c r="A555" s="144" t="s">
        <v>628</v>
      </c>
      <c r="B555" s="144" t="s">
        <v>2673</v>
      </c>
      <c r="C555" s="144" t="s">
        <v>2674</v>
      </c>
      <c r="D555" s="144" t="s">
        <v>2681</v>
      </c>
      <c r="E555" s="144" t="s">
        <v>2681</v>
      </c>
      <c r="F555" s="146" t="s">
        <v>2244</v>
      </c>
      <c r="G555" s="2" t="s">
        <v>2675</v>
      </c>
      <c r="H555" s="2" t="s">
        <v>2676</v>
      </c>
    </row>
    <row r="556" spans="1:8" ht="57.6" x14ac:dyDescent="0.3">
      <c r="A556" s="144" t="s">
        <v>628</v>
      </c>
      <c r="B556" s="144" t="s">
        <v>2673</v>
      </c>
      <c r="C556" s="144" t="s">
        <v>2674</v>
      </c>
      <c r="D556" s="144" t="s">
        <v>2682</v>
      </c>
      <c r="E556" s="144" t="s">
        <v>2682</v>
      </c>
      <c r="F556" s="146" t="s">
        <v>2244</v>
      </c>
      <c r="G556" s="2" t="s">
        <v>2675</v>
      </c>
      <c r="H556" s="2" t="s">
        <v>2676</v>
      </c>
    </row>
    <row r="557" spans="1:8" ht="57.6" x14ac:dyDescent="0.3">
      <c r="A557" s="144" t="s">
        <v>628</v>
      </c>
      <c r="B557" s="144" t="s">
        <v>2673</v>
      </c>
      <c r="C557" s="144" t="s">
        <v>2674</v>
      </c>
      <c r="D557" s="144" t="s">
        <v>2683</v>
      </c>
      <c r="E557" s="144" t="s">
        <v>2683</v>
      </c>
      <c r="F557" s="146" t="s">
        <v>2244</v>
      </c>
      <c r="G557" s="2" t="s">
        <v>2675</v>
      </c>
      <c r="H557" s="2" t="s">
        <v>2676</v>
      </c>
    </row>
    <row r="558" spans="1:8" ht="57.6" x14ac:dyDescent="0.3">
      <c r="A558" s="144" t="s">
        <v>628</v>
      </c>
      <c r="B558" s="144" t="s">
        <v>2673</v>
      </c>
      <c r="C558" s="144" t="s">
        <v>2674</v>
      </c>
      <c r="D558" s="144" t="s">
        <v>2684</v>
      </c>
      <c r="E558" s="144" t="s">
        <v>2684</v>
      </c>
      <c r="F558" s="146" t="s">
        <v>2244</v>
      </c>
      <c r="G558" s="2" t="s">
        <v>2675</v>
      </c>
      <c r="H558" s="2" t="s">
        <v>2676</v>
      </c>
    </row>
    <row r="559" spans="1:8" ht="57.6" x14ac:dyDescent="0.3">
      <c r="A559" s="144" t="s">
        <v>628</v>
      </c>
      <c r="B559" s="144" t="s">
        <v>2673</v>
      </c>
      <c r="C559" s="144" t="s">
        <v>2674</v>
      </c>
      <c r="D559" s="144" t="s">
        <v>2685</v>
      </c>
      <c r="E559" s="144" t="s">
        <v>2685</v>
      </c>
      <c r="F559" s="147" t="s">
        <v>2246</v>
      </c>
      <c r="G559" s="2" t="s">
        <v>2675</v>
      </c>
      <c r="H559" s="2" t="s">
        <v>2676</v>
      </c>
    </row>
    <row r="560" spans="1:8" ht="57.6" x14ac:dyDescent="0.3">
      <c r="A560" s="144" t="s">
        <v>628</v>
      </c>
      <c r="B560" s="144" t="s">
        <v>2673</v>
      </c>
      <c r="C560" s="144" t="s">
        <v>2674</v>
      </c>
      <c r="D560" s="144" t="s">
        <v>2510</v>
      </c>
      <c r="E560" s="144" t="s">
        <v>2510</v>
      </c>
      <c r="F560" s="147" t="s">
        <v>2246</v>
      </c>
      <c r="G560" s="2" t="s">
        <v>2675</v>
      </c>
      <c r="H560" s="2" t="s">
        <v>2676</v>
      </c>
    </row>
    <row r="561" spans="1:8" ht="57.6" x14ac:dyDescent="0.3">
      <c r="A561" s="144" t="s">
        <v>628</v>
      </c>
      <c r="B561" s="144" t="s">
        <v>2673</v>
      </c>
      <c r="C561" s="144" t="s">
        <v>2674</v>
      </c>
      <c r="D561" s="144" t="s">
        <v>2686</v>
      </c>
      <c r="E561" s="144" t="s">
        <v>2686</v>
      </c>
      <c r="F561" s="147" t="s">
        <v>2246</v>
      </c>
      <c r="G561" s="2" t="s">
        <v>2675</v>
      </c>
      <c r="H561" s="2" t="s">
        <v>2676</v>
      </c>
    </row>
    <row r="562" spans="1:8" ht="57.6" x14ac:dyDescent="0.3">
      <c r="A562" s="144" t="s">
        <v>628</v>
      </c>
      <c r="B562" s="144" t="s">
        <v>2673</v>
      </c>
      <c r="C562" s="144" t="s">
        <v>2674</v>
      </c>
      <c r="D562" s="144" t="s">
        <v>2687</v>
      </c>
      <c r="E562" s="144" t="s">
        <v>2687</v>
      </c>
      <c r="F562" s="147" t="s">
        <v>2246</v>
      </c>
      <c r="G562" s="2" t="s">
        <v>2675</v>
      </c>
      <c r="H562" s="2" t="s">
        <v>2676</v>
      </c>
    </row>
    <row r="563" spans="1:8" ht="57.6" x14ac:dyDescent="0.3">
      <c r="A563" s="144" t="s">
        <v>628</v>
      </c>
      <c r="B563" s="144" t="s">
        <v>2673</v>
      </c>
      <c r="C563" s="144" t="s">
        <v>2674</v>
      </c>
      <c r="D563" s="144" t="s">
        <v>2688</v>
      </c>
      <c r="E563" s="144" t="s">
        <v>2688</v>
      </c>
      <c r="F563" s="147" t="s">
        <v>2246</v>
      </c>
      <c r="G563" s="2" t="s">
        <v>2675</v>
      </c>
      <c r="H563" s="2" t="s">
        <v>2676</v>
      </c>
    </row>
    <row r="564" spans="1:8" ht="57.6" x14ac:dyDescent="0.3">
      <c r="A564" s="144" t="s">
        <v>628</v>
      </c>
      <c r="B564" s="144" t="s">
        <v>2673</v>
      </c>
      <c r="C564" s="144" t="s">
        <v>2674</v>
      </c>
      <c r="D564" s="144" t="s">
        <v>1206</v>
      </c>
      <c r="E564" s="144" t="s">
        <v>1206</v>
      </c>
      <c r="F564" s="147" t="s">
        <v>2246</v>
      </c>
      <c r="G564" s="2" t="s">
        <v>2675</v>
      </c>
      <c r="H564" s="2" t="s">
        <v>2676</v>
      </c>
    </row>
    <row r="565" spans="1:8" ht="57.6" x14ac:dyDescent="0.3">
      <c r="A565" s="144" t="s">
        <v>628</v>
      </c>
      <c r="B565" s="144" t="s">
        <v>2673</v>
      </c>
      <c r="C565" s="144" t="s">
        <v>2674</v>
      </c>
      <c r="D565" s="144" t="s">
        <v>2689</v>
      </c>
      <c r="E565" s="144" t="s">
        <v>2689</v>
      </c>
      <c r="F565" s="147" t="s">
        <v>2246</v>
      </c>
      <c r="G565" s="2" t="s">
        <v>2675</v>
      </c>
      <c r="H565" s="2" t="s">
        <v>2676</v>
      </c>
    </row>
    <row r="566" spans="1:8" ht="57.6" x14ac:dyDescent="0.3">
      <c r="A566" s="144" t="s">
        <v>628</v>
      </c>
      <c r="B566" s="144" t="s">
        <v>2673</v>
      </c>
      <c r="C566" s="144" t="s">
        <v>2674</v>
      </c>
      <c r="D566" s="144" t="s">
        <v>2690</v>
      </c>
      <c r="E566" s="144" t="s">
        <v>2690</v>
      </c>
      <c r="F566" s="147" t="s">
        <v>2246</v>
      </c>
      <c r="G566" s="2" t="s">
        <v>2675</v>
      </c>
      <c r="H566" s="2" t="s">
        <v>2676</v>
      </c>
    </row>
    <row r="567" spans="1:8" ht="57.6" x14ac:dyDescent="0.3">
      <c r="A567" s="144" t="s">
        <v>628</v>
      </c>
      <c r="B567" s="144" t="s">
        <v>2673</v>
      </c>
      <c r="C567" s="144" t="s">
        <v>2674</v>
      </c>
      <c r="D567" s="144" t="s">
        <v>2691</v>
      </c>
      <c r="E567" s="144" t="s">
        <v>2691</v>
      </c>
      <c r="F567" s="147" t="s">
        <v>2246</v>
      </c>
      <c r="G567" s="2" t="s">
        <v>2675</v>
      </c>
      <c r="H567" s="2" t="s">
        <v>2676</v>
      </c>
    </row>
    <row r="568" spans="1:8" ht="57.6" x14ac:dyDescent="0.3">
      <c r="A568" s="144" t="s">
        <v>628</v>
      </c>
      <c r="B568" s="144" t="s">
        <v>2673</v>
      </c>
      <c r="C568" s="144" t="s">
        <v>2674</v>
      </c>
      <c r="D568" s="144" t="s">
        <v>2692</v>
      </c>
      <c r="E568" s="144" t="s">
        <v>2692</v>
      </c>
      <c r="F568" s="147" t="s">
        <v>2246</v>
      </c>
      <c r="G568" s="2" t="s">
        <v>2675</v>
      </c>
      <c r="H568" s="2" t="s">
        <v>2676</v>
      </c>
    </row>
    <row r="569" spans="1:8" ht="57.6" x14ac:dyDescent="0.3">
      <c r="A569" s="144" t="s">
        <v>628</v>
      </c>
      <c r="B569" s="144" t="s">
        <v>2673</v>
      </c>
      <c r="C569" s="144" t="s">
        <v>2674</v>
      </c>
      <c r="D569" s="144" t="s">
        <v>2693</v>
      </c>
      <c r="E569" s="144" t="s">
        <v>2693</v>
      </c>
      <c r="F569" s="147" t="s">
        <v>2246</v>
      </c>
      <c r="G569" s="2" t="s">
        <v>2675</v>
      </c>
      <c r="H569" s="2" t="s">
        <v>2676</v>
      </c>
    </row>
    <row r="570" spans="1:8" ht="57.6" x14ac:dyDescent="0.3">
      <c r="A570" s="144" t="s">
        <v>628</v>
      </c>
      <c r="B570" s="144" t="s">
        <v>2673</v>
      </c>
      <c r="C570" s="144" t="s">
        <v>2674</v>
      </c>
      <c r="D570" s="144" t="s">
        <v>644</v>
      </c>
      <c r="E570" s="144" t="s">
        <v>644</v>
      </c>
      <c r="F570" s="151" t="s">
        <v>2694</v>
      </c>
      <c r="G570" s="2" t="s">
        <v>2675</v>
      </c>
      <c r="H570" s="2" t="s">
        <v>2676</v>
      </c>
    </row>
    <row r="571" spans="1:8" ht="57.6" x14ac:dyDescent="0.3">
      <c r="A571" s="144" t="s">
        <v>628</v>
      </c>
      <c r="B571" s="144" t="s">
        <v>2673</v>
      </c>
      <c r="C571" s="144" t="s">
        <v>2674</v>
      </c>
      <c r="D571" s="144" t="s">
        <v>2080</v>
      </c>
      <c r="E571" s="144" t="s">
        <v>2080</v>
      </c>
      <c r="F571" s="151" t="s">
        <v>2694</v>
      </c>
      <c r="G571" s="2" t="s">
        <v>2675</v>
      </c>
      <c r="H571" s="2" t="s">
        <v>2676</v>
      </c>
    </row>
    <row r="572" spans="1:8" ht="57.6" x14ac:dyDescent="0.3">
      <c r="A572" s="144" t="s">
        <v>628</v>
      </c>
      <c r="B572" s="144" t="s">
        <v>2673</v>
      </c>
      <c r="C572" s="144" t="s">
        <v>2674</v>
      </c>
      <c r="D572" s="144" t="s">
        <v>2695</v>
      </c>
      <c r="E572" s="144" t="s">
        <v>2695</v>
      </c>
      <c r="F572" s="151" t="s">
        <v>2694</v>
      </c>
      <c r="G572" s="2" t="s">
        <v>2675</v>
      </c>
      <c r="H572" s="2" t="s">
        <v>2676</v>
      </c>
    </row>
    <row r="573" spans="1:8" ht="57.6" x14ac:dyDescent="0.3">
      <c r="A573" s="144" t="s">
        <v>628</v>
      </c>
      <c r="B573" s="144" t="s">
        <v>2673</v>
      </c>
      <c r="C573" s="144" t="s">
        <v>2674</v>
      </c>
      <c r="D573" s="144" t="s">
        <v>651</v>
      </c>
      <c r="E573" s="144" t="s">
        <v>651</v>
      </c>
      <c r="F573" s="151" t="s">
        <v>2694</v>
      </c>
      <c r="G573" s="2" t="s">
        <v>2675</v>
      </c>
      <c r="H573" s="2" t="s">
        <v>2676</v>
      </c>
    </row>
    <row r="574" spans="1:8" ht="57.6" x14ac:dyDescent="0.3">
      <c r="A574" s="144" t="s">
        <v>628</v>
      </c>
      <c r="B574" s="144" t="s">
        <v>2673</v>
      </c>
      <c r="C574" s="144" t="s">
        <v>2674</v>
      </c>
      <c r="D574" s="144" t="s">
        <v>2696</v>
      </c>
      <c r="E574" s="144" t="s">
        <v>2696</v>
      </c>
      <c r="F574" s="151" t="s">
        <v>2694</v>
      </c>
      <c r="G574" s="2" t="s">
        <v>2675</v>
      </c>
      <c r="H574" s="2" t="s">
        <v>2676</v>
      </c>
    </row>
    <row r="575" spans="1:8" ht="57.6" x14ac:dyDescent="0.3">
      <c r="A575" s="144" t="s">
        <v>628</v>
      </c>
      <c r="B575" s="144" t="s">
        <v>2673</v>
      </c>
      <c r="C575" s="144" t="s">
        <v>2674</v>
      </c>
      <c r="D575" s="144" t="s">
        <v>2697</v>
      </c>
      <c r="E575" s="144" t="s">
        <v>2697</v>
      </c>
      <c r="F575" s="151" t="s">
        <v>2694</v>
      </c>
      <c r="G575" s="2" t="s">
        <v>2675</v>
      </c>
      <c r="H575" s="2" t="s">
        <v>2676</v>
      </c>
    </row>
    <row r="576" spans="1:8" ht="57.6" x14ac:dyDescent="0.3">
      <c r="A576" s="144" t="s">
        <v>628</v>
      </c>
      <c r="B576" s="144" t="s">
        <v>2673</v>
      </c>
      <c r="C576" s="144" t="s">
        <v>2674</v>
      </c>
      <c r="D576" s="144" t="s">
        <v>1258</v>
      </c>
      <c r="E576" s="144" t="s">
        <v>1258</v>
      </c>
      <c r="F576" s="151" t="s">
        <v>2694</v>
      </c>
      <c r="G576" s="2" t="s">
        <v>2675</v>
      </c>
      <c r="H576" s="2" t="s">
        <v>2676</v>
      </c>
    </row>
    <row r="577" spans="1:8" ht="57.6" x14ac:dyDescent="0.3">
      <c r="A577" s="144" t="s">
        <v>628</v>
      </c>
      <c r="B577" s="144" t="s">
        <v>2673</v>
      </c>
      <c r="C577" s="144" t="s">
        <v>2674</v>
      </c>
      <c r="D577" s="144" t="s">
        <v>672</v>
      </c>
      <c r="E577" s="144" t="s">
        <v>672</v>
      </c>
      <c r="F577" s="151" t="s">
        <v>2694</v>
      </c>
      <c r="G577" s="2" t="s">
        <v>2675</v>
      </c>
      <c r="H577" s="2" t="s">
        <v>2676</v>
      </c>
    </row>
    <row r="578" spans="1:8" ht="57.6" x14ac:dyDescent="0.3">
      <c r="A578" s="144" t="s">
        <v>628</v>
      </c>
      <c r="B578" s="144" t="s">
        <v>2673</v>
      </c>
      <c r="C578" s="144" t="s">
        <v>2674</v>
      </c>
      <c r="D578" s="144" t="s">
        <v>659</v>
      </c>
      <c r="E578" s="144" t="s">
        <v>659</v>
      </c>
      <c r="F578" s="151" t="s">
        <v>2694</v>
      </c>
      <c r="G578" s="2" t="s">
        <v>2675</v>
      </c>
      <c r="H578" s="2" t="s">
        <v>2676</v>
      </c>
    </row>
    <row r="579" spans="1:8" ht="57.6" x14ac:dyDescent="0.3">
      <c r="A579" s="144" t="s">
        <v>628</v>
      </c>
      <c r="B579" s="144" t="s">
        <v>2673</v>
      </c>
      <c r="C579" s="144" t="s">
        <v>2674</v>
      </c>
      <c r="D579" s="144" t="s">
        <v>2698</v>
      </c>
      <c r="E579" s="144" t="s">
        <v>2698</v>
      </c>
      <c r="F579" s="151" t="s">
        <v>2694</v>
      </c>
      <c r="G579" s="2" t="s">
        <v>2675</v>
      </c>
      <c r="H579" s="2" t="s">
        <v>2676</v>
      </c>
    </row>
    <row r="580" spans="1:8" ht="57.6" x14ac:dyDescent="0.3">
      <c r="A580" s="144" t="s">
        <v>628</v>
      </c>
      <c r="B580" s="144" t="s">
        <v>2673</v>
      </c>
      <c r="C580" s="144" t="s">
        <v>2674</v>
      </c>
      <c r="D580" s="144" t="s">
        <v>622</v>
      </c>
      <c r="E580" s="144" t="s">
        <v>622</v>
      </c>
      <c r="F580" s="151" t="s">
        <v>2694</v>
      </c>
      <c r="G580" s="2" t="s">
        <v>2675</v>
      </c>
      <c r="H580" s="2" t="s">
        <v>2676</v>
      </c>
    </row>
    <row r="581" spans="1:8" ht="57.6" x14ac:dyDescent="0.3">
      <c r="A581" s="144" t="s">
        <v>628</v>
      </c>
      <c r="B581" s="144" t="s">
        <v>2673</v>
      </c>
      <c r="C581" s="144" t="s">
        <v>2674</v>
      </c>
      <c r="D581" s="144" t="s">
        <v>2699</v>
      </c>
      <c r="E581" s="144" t="s">
        <v>2699</v>
      </c>
      <c r="F581" s="151" t="s">
        <v>2694</v>
      </c>
      <c r="G581" s="2" t="s">
        <v>2675</v>
      </c>
      <c r="H581" s="2" t="s">
        <v>2676</v>
      </c>
    </row>
    <row r="582" spans="1:8" ht="57.6" x14ac:dyDescent="0.3">
      <c r="A582" s="144" t="s">
        <v>628</v>
      </c>
      <c r="B582" s="144" t="s">
        <v>2673</v>
      </c>
      <c r="C582" s="144" t="s">
        <v>2674</v>
      </c>
      <c r="D582" s="144" t="s">
        <v>2700</v>
      </c>
      <c r="E582" s="144" t="s">
        <v>2700</v>
      </c>
      <c r="F582" s="150" t="s">
        <v>2252</v>
      </c>
      <c r="G582" s="2" t="s">
        <v>2675</v>
      </c>
      <c r="H582" s="2" t="s">
        <v>2676</v>
      </c>
    </row>
    <row r="583" spans="1:8" ht="57.6" x14ac:dyDescent="0.3">
      <c r="A583" s="144" t="s">
        <v>628</v>
      </c>
      <c r="B583" s="144" t="s">
        <v>2673</v>
      </c>
      <c r="C583" s="144" t="s">
        <v>2674</v>
      </c>
      <c r="D583" s="144" t="s">
        <v>2701</v>
      </c>
      <c r="E583" s="144" t="s">
        <v>2701</v>
      </c>
      <c r="F583" s="150" t="s">
        <v>2252</v>
      </c>
      <c r="G583" s="2" t="s">
        <v>2675</v>
      </c>
      <c r="H583" s="2" t="s">
        <v>2676</v>
      </c>
    </row>
    <row r="584" spans="1:8" ht="57.6" x14ac:dyDescent="0.3">
      <c r="A584" s="144" t="s">
        <v>628</v>
      </c>
      <c r="B584" s="144" t="s">
        <v>2673</v>
      </c>
      <c r="C584" s="144" t="s">
        <v>2674</v>
      </c>
      <c r="D584" s="144" t="s">
        <v>1078</v>
      </c>
      <c r="E584" s="144" t="s">
        <v>1078</v>
      </c>
      <c r="F584" s="150" t="s">
        <v>2252</v>
      </c>
      <c r="G584" s="2" t="s">
        <v>2675</v>
      </c>
      <c r="H584" s="2" t="s">
        <v>2676</v>
      </c>
    </row>
    <row r="585" spans="1:8" ht="57.6" x14ac:dyDescent="0.3">
      <c r="A585" s="144" t="s">
        <v>628</v>
      </c>
      <c r="B585" s="144" t="s">
        <v>2673</v>
      </c>
      <c r="C585" s="144" t="s">
        <v>2674</v>
      </c>
      <c r="D585" s="144" t="s">
        <v>2702</v>
      </c>
      <c r="E585" s="144" t="s">
        <v>2702</v>
      </c>
      <c r="F585" s="150" t="s">
        <v>2252</v>
      </c>
      <c r="G585" s="2" t="s">
        <v>2675</v>
      </c>
      <c r="H585" s="2" t="s">
        <v>2676</v>
      </c>
    </row>
    <row r="586" spans="1:8" ht="57.6" x14ac:dyDescent="0.3">
      <c r="A586" s="144" t="s">
        <v>628</v>
      </c>
      <c r="B586" s="144" t="s">
        <v>2673</v>
      </c>
      <c r="C586" s="144" t="s">
        <v>2674</v>
      </c>
      <c r="D586" s="144" t="s">
        <v>2703</v>
      </c>
      <c r="E586" s="144" t="s">
        <v>2703</v>
      </c>
      <c r="F586" s="150" t="s">
        <v>2252</v>
      </c>
      <c r="G586" s="2" t="s">
        <v>2675</v>
      </c>
      <c r="H586" s="2" t="s">
        <v>2676</v>
      </c>
    </row>
    <row r="587" spans="1:8" ht="57.6" x14ac:dyDescent="0.3">
      <c r="A587" s="144" t="s">
        <v>628</v>
      </c>
      <c r="B587" s="144" t="s">
        <v>2673</v>
      </c>
      <c r="C587" s="144" t="s">
        <v>2674</v>
      </c>
      <c r="D587" s="144" t="s">
        <v>2704</v>
      </c>
      <c r="E587" s="144" t="s">
        <v>2704</v>
      </c>
      <c r="F587" s="150" t="s">
        <v>2252</v>
      </c>
      <c r="G587" s="2" t="s">
        <v>2675</v>
      </c>
      <c r="H587" s="2" t="s">
        <v>2676</v>
      </c>
    </row>
    <row r="588" spans="1:8" ht="57.6" x14ac:dyDescent="0.3">
      <c r="A588" s="144" t="s">
        <v>628</v>
      </c>
      <c r="B588" s="144" t="s">
        <v>2673</v>
      </c>
      <c r="C588" s="144" t="s">
        <v>2674</v>
      </c>
      <c r="D588" s="144" t="s">
        <v>2705</v>
      </c>
      <c r="E588" s="144" t="s">
        <v>2705</v>
      </c>
      <c r="F588" s="150" t="s">
        <v>2252</v>
      </c>
      <c r="G588" s="2" t="s">
        <v>2675</v>
      </c>
      <c r="H588" s="2" t="s">
        <v>2676</v>
      </c>
    </row>
    <row r="589" spans="1:8" ht="57.6" x14ac:dyDescent="0.3">
      <c r="A589" s="144" t="s">
        <v>628</v>
      </c>
      <c r="B589" s="144" t="s">
        <v>2673</v>
      </c>
      <c r="C589" s="144" t="s">
        <v>2674</v>
      </c>
      <c r="D589" s="144" t="s">
        <v>2706</v>
      </c>
      <c r="E589" s="144" t="s">
        <v>2706</v>
      </c>
      <c r="F589" s="150" t="s">
        <v>2252</v>
      </c>
      <c r="G589" s="2" t="s">
        <v>2675</v>
      </c>
      <c r="H589" s="2" t="s">
        <v>2676</v>
      </c>
    </row>
    <row r="590" spans="1:8" ht="57.6" x14ac:dyDescent="0.3">
      <c r="A590" s="144" t="s">
        <v>628</v>
      </c>
      <c r="B590" s="144" t="s">
        <v>2673</v>
      </c>
      <c r="C590" s="144" t="s">
        <v>2674</v>
      </c>
      <c r="D590" s="144" t="s">
        <v>2707</v>
      </c>
      <c r="E590" s="144" t="s">
        <v>2707</v>
      </c>
      <c r="F590" s="150" t="s">
        <v>2252</v>
      </c>
      <c r="G590" s="2" t="s">
        <v>2675</v>
      </c>
      <c r="H590" s="2" t="s">
        <v>2676</v>
      </c>
    </row>
    <row r="591" spans="1:8" ht="57.6" x14ac:dyDescent="0.3">
      <c r="A591" s="144" t="s">
        <v>628</v>
      </c>
      <c r="B591" s="144" t="s">
        <v>2673</v>
      </c>
      <c r="C591" s="144" t="s">
        <v>2674</v>
      </c>
      <c r="D591" s="144" t="s">
        <v>2539</v>
      </c>
      <c r="E591" s="144" t="s">
        <v>2539</v>
      </c>
      <c r="F591" s="150" t="s">
        <v>2252</v>
      </c>
      <c r="G591" s="2" t="s">
        <v>2675</v>
      </c>
      <c r="H591" s="2" t="s">
        <v>2676</v>
      </c>
    </row>
    <row r="592" spans="1:8" ht="57.6" x14ac:dyDescent="0.3">
      <c r="A592" s="144" t="s">
        <v>628</v>
      </c>
      <c r="B592" s="144" t="s">
        <v>2673</v>
      </c>
      <c r="C592" s="144" t="s">
        <v>2674</v>
      </c>
      <c r="D592" s="144" t="s">
        <v>2708</v>
      </c>
      <c r="E592" s="144" t="s">
        <v>2708</v>
      </c>
      <c r="F592" s="150" t="s">
        <v>2252</v>
      </c>
      <c r="G592" s="2" t="s">
        <v>2675</v>
      </c>
      <c r="H592" s="2" t="s">
        <v>2676</v>
      </c>
    </row>
    <row r="593" spans="1:8" ht="57.6" x14ac:dyDescent="0.3">
      <c r="A593" s="144" t="s">
        <v>628</v>
      </c>
      <c r="B593" s="144" t="s">
        <v>2673</v>
      </c>
      <c r="C593" s="144" t="s">
        <v>2674</v>
      </c>
      <c r="D593" s="144" t="s">
        <v>2709</v>
      </c>
      <c r="E593" s="144" t="s">
        <v>2709</v>
      </c>
      <c r="F593" s="150" t="s">
        <v>2252</v>
      </c>
      <c r="G593" s="2" t="s">
        <v>2675</v>
      </c>
      <c r="H593" s="2" t="s">
        <v>2676</v>
      </c>
    </row>
    <row r="594" spans="1:8" ht="57.6" x14ac:dyDescent="0.3">
      <c r="A594" s="144" t="s">
        <v>628</v>
      </c>
      <c r="B594" s="144" t="s">
        <v>2673</v>
      </c>
      <c r="C594" s="144" t="s">
        <v>2674</v>
      </c>
      <c r="D594" s="144" t="s">
        <v>2710</v>
      </c>
      <c r="E594" s="144" t="s">
        <v>2710</v>
      </c>
      <c r="F594" s="150" t="s">
        <v>2252</v>
      </c>
      <c r="G594" s="2" t="s">
        <v>2675</v>
      </c>
      <c r="H594" s="2" t="s">
        <v>2676</v>
      </c>
    </row>
    <row r="595" spans="1:8" ht="57.6" x14ac:dyDescent="0.3">
      <c r="A595" s="144" t="s">
        <v>628</v>
      </c>
      <c r="B595" s="144" t="s">
        <v>2673</v>
      </c>
      <c r="C595" s="144" t="s">
        <v>2674</v>
      </c>
      <c r="D595" s="144" t="s">
        <v>972</v>
      </c>
      <c r="E595" s="144" t="s">
        <v>972</v>
      </c>
      <c r="F595" s="150" t="s">
        <v>2252</v>
      </c>
      <c r="G595" s="2" t="s">
        <v>2675</v>
      </c>
      <c r="H595" s="2" t="s">
        <v>2676</v>
      </c>
    </row>
    <row r="598" spans="1:8" x14ac:dyDescent="0.3">
      <c r="A598" s="190" t="s">
        <v>2711</v>
      </c>
      <c r="B598" s="190"/>
      <c r="C598" s="190"/>
      <c r="D598" s="190"/>
    </row>
    <row r="599" spans="1:8" x14ac:dyDescent="0.3">
      <c r="A599" s="191" t="s">
        <v>2712</v>
      </c>
      <c r="B599" s="191"/>
      <c r="C599" s="191"/>
      <c r="D599" s="191"/>
    </row>
    <row r="600" spans="1:8" x14ac:dyDescent="0.3">
      <c r="A600" s="126" t="s">
        <v>100</v>
      </c>
      <c r="B600" s="126" t="s">
        <v>2713</v>
      </c>
      <c r="C600" s="126" t="s">
        <v>2714</v>
      </c>
      <c r="D600" s="126" t="s">
        <v>2715</v>
      </c>
    </row>
    <row r="601" spans="1:8" x14ac:dyDescent="0.3">
      <c r="A601" s="112" t="s">
        <v>45</v>
      </c>
      <c r="B601" t="s">
        <v>2716</v>
      </c>
      <c r="C601" t="s">
        <v>2717</v>
      </c>
      <c r="D601" s="143" t="s">
        <v>2718</v>
      </c>
    </row>
    <row r="602" spans="1:8" x14ac:dyDescent="0.3">
      <c r="A602" s="112" t="s">
        <v>51</v>
      </c>
      <c r="B602" t="s">
        <v>459</v>
      </c>
      <c r="C602" t="s">
        <v>2719</v>
      </c>
      <c r="D602" s="143" t="s">
        <v>2720</v>
      </c>
    </row>
    <row r="603" spans="1:8" x14ac:dyDescent="0.3">
      <c r="A603" s="112" t="s">
        <v>57</v>
      </c>
      <c r="B603" t="s">
        <v>2721</v>
      </c>
      <c r="C603" t="s">
        <v>2722</v>
      </c>
      <c r="D603" s="143" t="s">
        <v>2723</v>
      </c>
    </row>
    <row r="604" spans="1:8" x14ac:dyDescent="0.3">
      <c r="A604" s="112" t="s">
        <v>63</v>
      </c>
      <c r="B604" t="s">
        <v>462</v>
      </c>
      <c r="C604" t="s">
        <v>2724</v>
      </c>
      <c r="D604" s="143" t="s">
        <v>2725</v>
      </c>
    </row>
    <row r="605" spans="1:8" x14ac:dyDescent="0.3">
      <c r="A605" s="112" t="s">
        <v>69</v>
      </c>
      <c r="B605" t="s">
        <v>2726</v>
      </c>
      <c r="C605" t="s">
        <v>2727</v>
      </c>
      <c r="D605" s="143" t="s">
        <v>2728</v>
      </c>
    </row>
    <row r="606" spans="1:8" x14ac:dyDescent="0.3">
      <c r="A606" s="112" t="s">
        <v>75</v>
      </c>
      <c r="B606" t="s">
        <v>465</v>
      </c>
      <c r="C606" t="s">
        <v>2729</v>
      </c>
      <c r="D606" s="143" t="s">
        <v>2730</v>
      </c>
    </row>
    <row r="607" spans="1:8" x14ac:dyDescent="0.3">
      <c r="A607" s="112" t="s">
        <v>81</v>
      </c>
      <c r="B607" t="s">
        <v>2731</v>
      </c>
      <c r="C607" t="s">
        <v>2732</v>
      </c>
      <c r="D607" s="143" t="s">
        <v>2733</v>
      </c>
    </row>
    <row r="608" spans="1:8" x14ac:dyDescent="0.3">
      <c r="A608" s="112" t="s">
        <v>87</v>
      </c>
      <c r="B608" t="s">
        <v>468</v>
      </c>
      <c r="C608" t="s">
        <v>2734</v>
      </c>
      <c r="D608" s="143" t="s">
        <v>2735</v>
      </c>
    </row>
    <row r="609" spans="1:4" x14ac:dyDescent="0.3">
      <c r="A609" s="112" t="s">
        <v>2626</v>
      </c>
      <c r="B609" t="s">
        <v>2736</v>
      </c>
      <c r="C609" t="s">
        <v>2737</v>
      </c>
      <c r="D609" s="143" t="s">
        <v>2738</v>
      </c>
    </row>
    <row r="610" spans="1:4" x14ac:dyDescent="0.3">
      <c r="A610" s="112"/>
      <c r="D610" s="143"/>
    </row>
  </sheetData>
  <mergeCells count="2">
    <mergeCell ref="A598:D598"/>
    <mergeCell ref="A599:D59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1FE7D-EE9C-40B6-96F1-42A768484A22}">
  <dimension ref="A1:C24"/>
  <sheetViews>
    <sheetView workbookViewId="0">
      <pane ySplit="1" topLeftCell="A2" activePane="bottomLeft" state="frozen"/>
      <selection pane="bottomLeft" sqref="A1:C1"/>
    </sheetView>
  </sheetViews>
  <sheetFormatPr defaultRowHeight="14.4" x14ac:dyDescent="0.3"/>
  <cols>
    <col min="1" max="1" width="37" customWidth="1"/>
    <col min="2" max="2" width="96.33203125" customWidth="1"/>
    <col min="3" max="3" width="7.44140625" customWidth="1"/>
  </cols>
  <sheetData>
    <row r="1" spans="1:3" x14ac:dyDescent="0.3">
      <c r="A1" s="189" t="s">
        <v>2012</v>
      </c>
      <c r="B1" s="189"/>
      <c r="C1" s="189"/>
    </row>
    <row r="2" spans="1:3" x14ac:dyDescent="0.3">
      <c r="A2" s="129" t="s">
        <v>2013</v>
      </c>
      <c r="B2" s="129" t="s">
        <v>1661</v>
      </c>
      <c r="C2" s="129"/>
    </row>
    <row r="3" spans="1:3" x14ac:dyDescent="0.3">
      <c r="A3" s="131" t="s">
        <v>2014</v>
      </c>
      <c r="B3" s="2" t="s">
        <v>2015</v>
      </c>
      <c r="C3" s="2"/>
    </row>
    <row r="4" spans="1:3" x14ac:dyDescent="0.3">
      <c r="A4" s="131" t="s">
        <v>2016</v>
      </c>
      <c r="B4" s="2" t="s">
        <v>2017</v>
      </c>
      <c r="C4" s="2"/>
    </row>
    <row r="5" spans="1:3" x14ac:dyDescent="0.3">
      <c r="A5" s="131" t="s">
        <v>2018</v>
      </c>
      <c r="B5" s="2" t="s">
        <v>2019</v>
      </c>
      <c r="C5" s="2"/>
    </row>
    <row r="6" spans="1:3" x14ac:dyDescent="0.3">
      <c r="A6" s="131" t="s">
        <v>2020</v>
      </c>
      <c r="B6" s="2" t="s">
        <v>2021</v>
      </c>
      <c r="C6" s="2"/>
    </row>
    <row r="7" spans="1:3" x14ac:dyDescent="0.3">
      <c r="A7" s="131" t="s">
        <v>1347</v>
      </c>
      <c r="B7" s="2" t="s">
        <v>2022</v>
      </c>
      <c r="C7" s="2"/>
    </row>
    <row r="8" spans="1:3" x14ac:dyDescent="0.3">
      <c r="A8" s="131" t="s">
        <v>2023</v>
      </c>
      <c r="B8" s="2" t="s">
        <v>2024</v>
      </c>
      <c r="C8" s="2"/>
    </row>
    <row r="9" spans="1:3" x14ac:dyDescent="0.3">
      <c r="A9" s="131" t="s">
        <v>1162</v>
      </c>
      <c r="B9" s="2" t="s">
        <v>2025</v>
      </c>
      <c r="C9" s="2"/>
    </row>
    <row r="10" spans="1:3" x14ac:dyDescent="0.3">
      <c r="A10" s="131" t="s">
        <v>2026</v>
      </c>
      <c r="B10" s="2" t="s">
        <v>2027</v>
      </c>
      <c r="C10" s="2"/>
    </row>
    <row r="11" spans="1:3" x14ac:dyDescent="0.3">
      <c r="A11" s="131" t="s">
        <v>2028</v>
      </c>
      <c r="B11" s="2" t="s">
        <v>2029</v>
      </c>
      <c r="C11" s="2"/>
    </row>
    <row r="12" spans="1:3" x14ac:dyDescent="0.3">
      <c r="A12" s="131" t="s">
        <v>2030</v>
      </c>
      <c r="B12" s="2" t="s">
        <v>2031</v>
      </c>
      <c r="C12" s="2"/>
    </row>
    <row r="13" spans="1:3" x14ac:dyDescent="0.3">
      <c r="A13" s="131" t="s">
        <v>1538</v>
      </c>
      <c r="B13" s="2" t="s">
        <v>2032</v>
      </c>
      <c r="C13" s="2"/>
    </row>
    <row r="14" spans="1:3" x14ac:dyDescent="0.3">
      <c r="A14" s="189" t="s">
        <v>2033</v>
      </c>
      <c r="B14" s="189"/>
      <c r="C14" s="189"/>
    </row>
    <row r="15" spans="1:3" x14ac:dyDescent="0.3">
      <c r="A15" s="129" t="s">
        <v>2034</v>
      </c>
      <c r="B15" s="129" t="s">
        <v>2035</v>
      </c>
      <c r="C15" s="129"/>
    </row>
    <row r="16" spans="1:3" x14ac:dyDescent="0.3">
      <c r="A16" s="135" t="s">
        <v>2036</v>
      </c>
      <c r="B16" s="2" t="s">
        <v>2037</v>
      </c>
      <c r="C16" s="2"/>
    </row>
    <row r="17" spans="1:3" x14ac:dyDescent="0.3">
      <c r="A17" s="135" t="s">
        <v>1989</v>
      </c>
      <c r="B17" s="2" t="s">
        <v>2038</v>
      </c>
      <c r="C17" s="2"/>
    </row>
    <row r="18" spans="1:3" x14ac:dyDescent="0.3">
      <c r="A18" s="135" t="s">
        <v>2039</v>
      </c>
      <c r="B18" s="2" t="s">
        <v>2040</v>
      </c>
      <c r="C18" s="2"/>
    </row>
    <row r="19" spans="1:3" x14ac:dyDescent="0.3">
      <c r="A19" s="135" t="s">
        <v>2041</v>
      </c>
      <c r="B19" s="2" t="s">
        <v>2042</v>
      </c>
      <c r="C19" s="2"/>
    </row>
    <row r="20" spans="1:3" x14ac:dyDescent="0.3">
      <c r="A20" s="135" t="s">
        <v>2043</v>
      </c>
      <c r="B20" s="2" t="s">
        <v>2044</v>
      </c>
      <c r="C20" s="2"/>
    </row>
    <row r="21" spans="1:3" x14ac:dyDescent="0.3">
      <c r="A21" s="135" t="s">
        <v>1998</v>
      </c>
      <c r="B21" s="2" t="s">
        <v>2045</v>
      </c>
      <c r="C21" s="2"/>
    </row>
    <row r="22" spans="1:3" x14ac:dyDescent="0.3">
      <c r="A22" s="135" t="s">
        <v>2046</v>
      </c>
      <c r="B22" s="2" t="s">
        <v>2047</v>
      </c>
      <c r="C22" s="2"/>
    </row>
    <row r="23" spans="1:3" x14ac:dyDescent="0.3">
      <c r="A23" s="135" t="s">
        <v>2048</v>
      </c>
      <c r="B23" s="2" t="s">
        <v>2049</v>
      </c>
      <c r="C23" s="2"/>
    </row>
    <row r="24" spans="1:3" x14ac:dyDescent="0.3">
      <c r="A24" s="186" t="s">
        <v>2050</v>
      </c>
      <c r="B24" s="186"/>
      <c r="C24" s="186"/>
    </row>
  </sheetData>
  <mergeCells count="3">
    <mergeCell ref="A1:C1"/>
    <mergeCell ref="A14:C14"/>
    <mergeCell ref="A24:C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147C8-D2CC-4C49-BB15-FC7691B6ADB9}">
  <dimension ref="A1:B20"/>
  <sheetViews>
    <sheetView workbookViewId="0">
      <pane ySplit="1" topLeftCell="A2" activePane="bottomLeft" state="frozen"/>
      <selection pane="bottomLeft" sqref="A1:B1"/>
    </sheetView>
  </sheetViews>
  <sheetFormatPr defaultRowHeight="14.4" x14ac:dyDescent="0.3"/>
  <cols>
    <col min="1" max="1" width="38.88671875" customWidth="1"/>
    <col min="2" max="2" width="114.77734375" customWidth="1"/>
  </cols>
  <sheetData>
    <row r="1" spans="1:2" x14ac:dyDescent="0.3">
      <c r="A1" s="189" t="s">
        <v>2051</v>
      </c>
      <c r="B1" s="189"/>
    </row>
    <row r="2" spans="1:2" x14ac:dyDescent="0.3">
      <c r="A2" s="186" t="s">
        <v>2052</v>
      </c>
      <c r="B2" s="186"/>
    </row>
    <row r="3" spans="1:2" x14ac:dyDescent="0.3">
      <c r="A3" s="129" t="s">
        <v>2053</v>
      </c>
      <c r="B3" s="129" t="s">
        <v>2054</v>
      </c>
    </row>
    <row r="4" spans="1:2" x14ac:dyDescent="0.3">
      <c r="A4" s="135" t="s">
        <v>2055</v>
      </c>
      <c r="B4" s="2" t="s">
        <v>2056</v>
      </c>
    </row>
    <row r="5" spans="1:2" x14ac:dyDescent="0.3">
      <c r="A5" s="135" t="s">
        <v>2057</v>
      </c>
      <c r="B5" s="2" t="s">
        <v>2058</v>
      </c>
    </row>
    <row r="6" spans="1:2" x14ac:dyDescent="0.3">
      <c r="A6" s="135" t="s">
        <v>2059</v>
      </c>
      <c r="B6" s="2" t="s">
        <v>2060</v>
      </c>
    </row>
    <row r="7" spans="1:2" x14ac:dyDescent="0.3">
      <c r="A7" s="135" t="s">
        <v>2061</v>
      </c>
      <c r="B7" s="2" t="s">
        <v>2062</v>
      </c>
    </row>
    <row r="8" spans="1:2" x14ac:dyDescent="0.3">
      <c r="A8" s="135" t="s">
        <v>2063</v>
      </c>
      <c r="B8" s="2" t="s">
        <v>2064</v>
      </c>
    </row>
    <row r="9" spans="1:2" x14ac:dyDescent="0.3">
      <c r="A9" s="135" t="s">
        <v>2065</v>
      </c>
      <c r="B9" s="2" t="s">
        <v>2066</v>
      </c>
    </row>
    <row r="10" spans="1:2" x14ac:dyDescent="0.3">
      <c r="A10" s="135" t="s">
        <v>2067</v>
      </c>
      <c r="B10" s="2" t="s">
        <v>2068</v>
      </c>
    </row>
    <row r="11" spans="1:2" x14ac:dyDescent="0.3">
      <c r="A11" s="135" t="s">
        <v>2069</v>
      </c>
      <c r="B11" s="2" t="s">
        <v>2070</v>
      </c>
    </row>
    <row r="12" spans="1:2" x14ac:dyDescent="0.3">
      <c r="A12" s="135" t="s">
        <v>2071</v>
      </c>
      <c r="B12" s="2" t="s">
        <v>2072</v>
      </c>
    </row>
    <row r="13" spans="1:2" x14ac:dyDescent="0.3">
      <c r="A13" s="189" t="s">
        <v>2073</v>
      </c>
      <c r="B13" s="189"/>
    </row>
    <row r="14" spans="1:2" x14ac:dyDescent="0.3">
      <c r="A14" s="131" t="s">
        <v>2074</v>
      </c>
      <c r="B14" s="2" t="s">
        <v>2075</v>
      </c>
    </row>
    <row r="15" spans="1:2" x14ac:dyDescent="0.3">
      <c r="A15" s="131" t="s">
        <v>2076</v>
      </c>
      <c r="B15" s="2" t="s">
        <v>2077</v>
      </c>
    </row>
    <row r="16" spans="1:2" x14ac:dyDescent="0.3">
      <c r="A16" s="131" t="s">
        <v>2078</v>
      </c>
      <c r="B16" s="2" t="s">
        <v>2079</v>
      </c>
    </row>
    <row r="17" spans="1:2" x14ac:dyDescent="0.3">
      <c r="A17" s="131" t="s">
        <v>2080</v>
      </c>
      <c r="B17" s="2" t="s">
        <v>2081</v>
      </c>
    </row>
    <row r="18" spans="1:2" x14ac:dyDescent="0.3">
      <c r="A18" s="131" t="s">
        <v>2082</v>
      </c>
      <c r="B18" s="2" t="s">
        <v>2083</v>
      </c>
    </row>
    <row r="19" spans="1:2" x14ac:dyDescent="0.3">
      <c r="A19" s="131" t="s">
        <v>2084</v>
      </c>
      <c r="B19" s="2" t="s">
        <v>2085</v>
      </c>
    </row>
    <row r="20" spans="1:2" x14ac:dyDescent="0.3">
      <c r="A20" s="186" t="s">
        <v>2086</v>
      </c>
      <c r="B20" s="186"/>
    </row>
  </sheetData>
  <mergeCells count="4">
    <mergeCell ref="A1:B1"/>
    <mergeCell ref="A2:B2"/>
    <mergeCell ref="A13:B13"/>
    <mergeCell ref="A20:B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6A024-75CC-42F4-8BF2-7CDBAAF0C122}">
  <dimension ref="A1:B28"/>
  <sheetViews>
    <sheetView workbookViewId="0">
      <pane ySplit="1" topLeftCell="A2" activePane="bottomLeft" state="frozen"/>
      <selection pane="bottomLeft" sqref="A1:B1"/>
    </sheetView>
  </sheetViews>
  <sheetFormatPr defaultRowHeight="14.4" x14ac:dyDescent="0.3"/>
  <cols>
    <col min="1" max="1" width="46.33203125" customWidth="1"/>
    <col min="2" max="2" width="103.6640625" customWidth="1"/>
  </cols>
  <sheetData>
    <row r="1" spans="1:2" x14ac:dyDescent="0.3">
      <c r="A1" s="189" t="s">
        <v>2087</v>
      </c>
      <c r="B1" s="189"/>
    </row>
    <row r="2" spans="1:2" x14ac:dyDescent="0.3">
      <c r="A2" s="186" t="s">
        <v>2088</v>
      </c>
      <c r="B2" s="186"/>
    </row>
    <row r="3" spans="1:2" x14ac:dyDescent="0.3">
      <c r="A3" s="129" t="s">
        <v>2089</v>
      </c>
      <c r="B3" s="129" t="s">
        <v>2090</v>
      </c>
    </row>
    <row r="4" spans="1:2" x14ac:dyDescent="0.3">
      <c r="A4" s="135" t="s">
        <v>2091</v>
      </c>
      <c r="B4" s="2" t="s">
        <v>2092</v>
      </c>
    </row>
    <row r="5" spans="1:2" x14ac:dyDescent="0.3">
      <c r="A5" s="135" t="s">
        <v>2093</v>
      </c>
      <c r="B5" s="2" t="s">
        <v>2094</v>
      </c>
    </row>
    <row r="6" spans="1:2" x14ac:dyDescent="0.3">
      <c r="A6" s="135" t="s">
        <v>2095</v>
      </c>
      <c r="B6" s="2" t="s">
        <v>2096</v>
      </c>
    </row>
    <row r="7" spans="1:2" x14ac:dyDescent="0.3">
      <c r="A7" s="135" t="s">
        <v>2097</v>
      </c>
      <c r="B7" s="2" t="s">
        <v>2098</v>
      </c>
    </row>
    <row r="8" spans="1:2" x14ac:dyDescent="0.3">
      <c r="A8" s="135" t="s">
        <v>2099</v>
      </c>
      <c r="B8" s="2" t="s">
        <v>2100</v>
      </c>
    </row>
    <row r="9" spans="1:2" x14ac:dyDescent="0.3">
      <c r="A9" s="135" t="s">
        <v>2046</v>
      </c>
      <c r="B9" s="2" t="s">
        <v>2101</v>
      </c>
    </row>
    <row r="10" spans="1:2" x14ac:dyDescent="0.3">
      <c r="A10" s="135" t="s">
        <v>2001</v>
      </c>
      <c r="B10" s="2" t="s">
        <v>2102</v>
      </c>
    </row>
    <row r="11" spans="1:2" x14ac:dyDescent="0.3">
      <c r="A11" s="189" t="s">
        <v>2103</v>
      </c>
      <c r="B11" s="189"/>
    </row>
    <row r="12" spans="1:2" x14ac:dyDescent="0.3">
      <c r="A12" s="186" t="s">
        <v>2104</v>
      </c>
      <c r="B12" s="186"/>
    </row>
    <row r="13" spans="1:2" x14ac:dyDescent="0.3">
      <c r="A13" s="189" t="s">
        <v>2105</v>
      </c>
      <c r="B13" s="189"/>
    </row>
    <row r="14" spans="1:2" x14ac:dyDescent="0.3">
      <c r="A14" s="129" t="s">
        <v>2106</v>
      </c>
      <c r="B14" s="129" t="s">
        <v>2107</v>
      </c>
    </row>
    <row r="15" spans="1:2" x14ac:dyDescent="0.3">
      <c r="A15" s="127" t="s">
        <v>2108</v>
      </c>
      <c r="B15" s="2" t="s">
        <v>2109</v>
      </c>
    </row>
    <row r="16" spans="1:2" x14ac:dyDescent="0.3">
      <c r="A16" s="131" t="s">
        <v>2110</v>
      </c>
      <c r="B16" s="2" t="s">
        <v>2111</v>
      </c>
    </row>
    <row r="17" spans="1:2" x14ac:dyDescent="0.3">
      <c r="A17" s="131" t="s">
        <v>2112</v>
      </c>
      <c r="B17" s="2" t="s">
        <v>2111</v>
      </c>
    </row>
    <row r="18" spans="1:2" x14ac:dyDescent="0.3">
      <c r="A18" s="131" t="s">
        <v>2113</v>
      </c>
      <c r="B18" s="2" t="s">
        <v>2111</v>
      </c>
    </row>
    <row r="19" spans="1:2" x14ac:dyDescent="0.3">
      <c r="A19" s="131" t="s">
        <v>75</v>
      </c>
      <c r="B19" s="2" t="s">
        <v>2111</v>
      </c>
    </row>
    <row r="20" spans="1:2" x14ac:dyDescent="0.3">
      <c r="A20" s="131" t="s">
        <v>45</v>
      </c>
      <c r="B20" s="2" t="s">
        <v>2111</v>
      </c>
    </row>
    <row r="21" spans="1:2" x14ac:dyDescent="0.3">
      <c r="A21" s="131" t="s">
        <v>2114</v>
      </c>
      <c r="B21" s="2" t="s">
        <v>2111</v>
      </c>
    </row>
    <row r="22" spans="1:2" x14ac:dyDescent="0.3">
      <c r="A22" s="131" t="s">
        <v>2115</v>
      </c>
      <c r="B22" s="2" t="s">
        <v>2116</v>
      </c>
    </row>
    <row r="23" spans="1:2" x14ac:dyDescent="0.3">
      <c r="A23" s="189" t="s">
        <v>2117</v>
      </c>
      <c r="B23" s="189"/>
    </row>
    <row r="24" spans="1:2" x14ac:dyDescent="0.3">
      <c r="A24" s="131">
        <v>1</v>
      </c>
      <c r="B24" s="2" t="s">
        <v>2118</v>
      </c>
    </row>
    <row r="25" spans="1:2" x14ac:dyDescent="0.3">
      <c r="A25" s="131">
        <v>2</v>
      </c>
      <c r="B25" s="2" t="s">
        <v>2119</v>
      </c>
    </row>
    <row r="26" spans="1:2" x14ac:dyDescent="0.3">
      <c r="A26" s="131">
        <v>3</v>
      </c>
      <c r="B26" s="2" t="s">
        <v>2120</v>
      </c>
    </row>
    <row r="27" spans="1:2" x14ac:dyDescent="0.3">
      <c r="A27" s="131">
        <v>4</v>
      </c>
      <c r="B27" s="2" t="s">
        <v>2121</v>
      </c>
    </row>
    <row r="28" spans="1:2" x14ac:dyDescent="0.3">
      <c r="A28" s="131">
        <v>5</v>
      </c>
      <c r="B28" s="2" t="s">
        <v>2122</v>
      </c>
    </row>
  </sheetData>
  <mergeCells count="6">
    <mergeCell ref="A23:B23"/>
    <mergeCell ref="A1:B1"/>
    <mergeCell ref="A2:B2"/>
    <mergeCell ref="A11:B11"/>
    <mergeCell ref="A12:B12"/>
    <mergeCell ref="A13:B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022B4-33EF-4E19-B3C3-4AA016CBE628}">
  <dimension ref="A1:C29"/>
  <sheetViews>
    <sheetView workbookViewId="0">
      <pane ySplit="2" topLeftCell="A3" activePane="bottomLeft" state="frozen"/>
      <selection pane="bottomLeft" sqref="A1:C1"/>
    </sheetView>
  </sheetViews>
  <sheetFormatPr defaultRowHeight="14.4" x14ac:dyDescent="0.3"/>
  <cols>
    <col min="1" max="1" width="37" customWidth="1"/>
    <col min="2" max="2" width="77.77734375" customWidth="1"/>
    <col min="3" max="3" width="22.21875" customWidth="1"/>
  </cols>
  <sheetData>
    <row r="1" spans="1:3" x14ac:dyDescent="0.3">
      <c r="A1" s="189" t="s">
        <v>2123</v>
      </c>
      <c r="B1" s="189"/>
      <c r="C1" s="189"/>
    </row>
    <row r="2" spans="1:3" x14ac:dyDescent="0.3">
      <c r="A2" s="129" t="s">
        <v>2124</v>
      </c>
      <c r="B2" s="129" t="s">
        <v>2125</v>
      </c>
      <c r="C2" s="129" t="s">
        <v>2126</v>
      </c>
    </row>
    <row r="3" spans="1:3" x14ac:dyDescent="0.3">
      <c r="A3" s="131" t="s">
        <v>2127</v>
      </c>
      <c r="B3" s="2" t="s">
        <v>2128</v>
      </c>
      <c r="C3" s="134" t="s">
        <v>1986</v>
      </c>
    </row>
    <row r="4" spans="1:3" x14ac:dyDescent="0.3">
      <c r="A4" s="131" t="s">
        <v>2129</v>
      </c>
      <c r="B4" s="2" t="s">
        <v>2130</v>
      </c>
      <c r="C4" s="134" t="s">
        <v>1986</v>
      </c>
    </row>
    <row r="5" spans="1:3" x14ac:dyDescent="0.3">
      <c r="A5" s="131" t="s">
        <v>2131</v>
      </c>
      <c r="B5" s="2" t="s">
        <v>2132</v>
      </c>
      <c r="C5" s="134" t="s">
        <v>1986</v>
      </c>
    </row>
    <row r="6" spans="1:3" x14ac:dyDescent="0.3">
      <c r="A6" s="131" t="s">
        <v>2133</v>
      </c>
      <c r="B6" s="2" t="s">
        <v>2134</v>
      </c>
      <c r="C6" s="137" t="s">
        <v>1992</v>
      </c>
    </row>
    <row r="7" spans="1:3" x14ac:dyDescent="0.3">
      <c r="A7" s="131" t="s">
        <v>2135</v>
      </c>
      <c r="B7" s="2" t="s">
        <v>2136</v>
      </c>
      <c r="C7" s="137" t="s">
        <v>1992</v>
      </c>
    </row>
    <row r="8" spans="1:3" x14ac:dyDescent="0.3">
      <c r="A8" s="131" t="s">
        <v>2137</v>
      </c>
      <c r="B8" s="2" t="s">
        <v>2138</v>
      </c>
      <c r="C8" s="137" t="s">
        <v>1992</v>
      </c>
    </row>
    <row r="9" spans="1:3" x14ac:dyDescent="0.3">
      <c r="A9" s="131" t="s">
        <v>2139</v>
      </c>
      <c r="B9" s="2" t="s">
        <v>2140</v>
      </c>
      <c r="C9" s="138" t="s">
        <v>1995</v>
      </c>
    </row>
    <row r="10" spans="1:3" x14ac:dyDescent="0.3">
      <c r="A10" s="131" t="s">
        <v>2141</v>
      </c>
      <c r="B10" s="2" t="s">
        <v>2142</v>
      </c>
      <c r="C10" s="138" t="s">
        <v>1995</v>
      </c>
    </row>
    <row r="11" spans="1:3" x14ac:dyDescent="0.3">
      <c r="A11" s="131" t="s">
        <v>2143</v>
      </c>
      <c r="B11" s="2" t="s">
        <v>2144</v>
      </c>
      <c r="C11" s="137" t="s">
        <v>1992</v>
      </c>
    </row>
    <row r="12" spans="1:3" x14ac:dyDescent="0.3">
      <c r="A12" s="131" t="s">
        <v>2145</v>
      </c>
      <c r="B12" s="2" t="s">
        <v>2146</v>
      </c>
      <c r="C12" s="137" t="s">
        <v>1992</v>
      </c>
    </row>
    <row r="13" spans="1:3" x14ac:dyDescent="0.3">
      <c r="A13" s="131" t="s">
        <v>2147</v>
      </c>
      <c r="B13" s="2" t="s">
        <v>2148</v>
      </c>
      <c r="C13" s="137" t="s">
        <v>1992</v>
      </c>
    </row>
    <row r="14" spans="1:3" x14ac:dyDescent="0.3">
      <c r="A14" s="131" t="s">
        <v>2149</v>
      </c>
      <c r="B14" s="2" t="s">
        <v>2150</v>
      </c>
      <c r="C14" s="136" t="s">
        <v>1989</v>
      </c>
    </row>
    <row r="15" spans="1:3" x14ac:dyDescent="0.3">
      <c r="A15" s="131" t="s">
        <v>2151</v>
      </c>
      <c r="B15" s="2" t="s">
        <v>2152</v>
      </c>
      <c r="C15" s="136" t="s">
        <v>1989</v>
      </c>
    </row>
    <row r="16" spans="1:3" x14ac:dyDescent="0.3">
      <c r="A16" s="131" t="s">
        <v>2153</v>
      </c>
      <c r="B16" s="2" t="s">
        <v>2154</v>
      </c>
      <c r="C16" s="136" t="s">
        <v>1989</v>
      </c>
    </row>
    <row r="17" spans="1:3" x14ac:dyDescent="0.3">
      <c r="A17" s="131" t="s">
        <v>2155</v>
      </c>
      <c r="B17" s="2" t="s">
        <v>2156</v>
      </c>
      <c r="C17" s="141" t="s">
        <v>1998</v>
      </c>
    </row>
    <row r="18" spans="1:3" x14ac:dyDescent="0.3">
      <c r="A18" s="131" t="s">
        <v>2157</v>
      </c>
      <c r="B18" s="2" t="s">
        <v>2158</v>
      </c>
      <c r="C18" s="141" t="s">
        <v>1998</v>
      </c>
    </row>
    <row r="19" spans="1:3" x14ac:dyDescent="0.3">
      <c r="A19" s="131" t="s">
        <v>2159</v>
      </c>
      <c r="B19" s="2" t="s">
        <v>2160</v>
      </c>
      <c r="C19" s="141" t="s">
        <v>1998</v>
      </c>
    </row>
    <row r="20" spans="1:3" x14ac:dyDescent="0.3">
      <c r="A20" s="131" t="s">
        <v>2161</v>
      </c>
      <c r="B20" s="2" t="s">
        <v>2162</v>
      </c>
      <c r="C20" s="141" t="s">
        <v>1998</v>
      </c>
    </row>
    <row r="21" spans="1:3" x14ac:dyDescent="0.3">
      <c r="A21" s="131" t="s">
        <v>2163</v>
      </c>
      <c r="B21" s="2" t="s">
        <v>2164</v>
      </c>
      <c r="C21" s="141" t="s">
        <v>1998</v>
      </c>
    </row>
    <row r="22" spans="1:3" x14ac:dyDescent="0.3">
      <c r="A22" s="131" t="s">
        <v>2165</v>
      </c>
      <c r="B22" s="2" t="s">
        <v>2166</v>
      </c>
      <c r="C22" s="141" t="s">
        <v>1998</v>
      </c>
    </row>
    <row r="23" spans="1:3" x14ac:dyDescent="0.3">
      <c r="A23" s="131" t="s">
        <v>2167</v>
      </c>
      <c r="B23" s="2" t="s">
        <v>2168</v>
      </c>
      <c r="C23" s="141" t="s">
        <v>1998</v>
      </c>
    </row>
    <row r="24" spans="1:3" x14ac:dyDescent="0.3">
      <c r="A24" s="131" t="s">
        <v>2169</v>
      </c>
      <c r="B24" s="2" t="s">
        <v>2170</v>
      </c>
      <c r="C24" s="141" t="s">
        <v>1998</v>
      </c>
    </row>
    <row r="25" spans="1:3" x14ac:dyDescent="0.3">
      <c r="A25" s="131" t="s">
        <v>2171</v>
      </c>
      <c r="B25" s="2" t="s">
        <v>2172</v>
      </c>
      <c r="C25" s="141" t="s">
        <v>1998</v>
      </c>
    </row>
    <row r="26" spans="1:3" x14ac:dyDescent="0.3">
      <c r="A26" s="131" t="s">
        <v>2173</v>
      </c>
      <c r="B26" s="2" t="s">
        <v>2174</v>
      </c>
      <c r="C26" s="142" t="s">
        <v>2001</v>
      </c>
    </row>
    <row r="27" spans="1:3" x14ac:dyDescent="0.3">
      <c r="A27" s="131" t="s">
        <v>2175</v>
      </c>
      <c r="B27" s="2" t="s">
        <v>2176</v>
      </c>
      <c r="C27" s="142" t="s">
        <v>2001</v>
      </c>
    </row>
    <row r="28" spans="1:3" x14ac:dyDescent="0.3">
      <c r="A28" s="131" t="s">
        <v>2177</v>
      </c>
      <c r="B28" s="2" t="s">
        <v>2178</v>
      </c>
      <c r="C28" s="142" t="s">
        <v>2001</v>
      </c>
    </row>
    <row r="29" spans="1:3" x14ac:dyDescent="0.3">
      <c r="A29" s="186" t="s">
        <v>2179</v>
      </c>
      <c r="B29" s="186"/>
      <c r="C29" s="186"/>
    </row>
  </sheetData>
  <mergeCells count="2">
    <mergeCell ref="A1:C1"/>
    <mergeCell ref="A29:C2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1E2E-E759-4942-AF1E-B171BE1DC2D5}">
  <dimension ref="A1:B48"/>
  <sheetViews>
    <sheetView workbookViewId="0">
      <pane ySplit="1" topLeftCell="A2" activePane="bottomLeft" state="frozen"/>
      <selection pane="bottomLeft" sqref="A1:B1"/>
    </sheetView>
  </sheetViews>
  <sheetFormatPr defaultRowHeight="14.4" x14ac:dyDescent="0.3"/>
  <cols>
    <col min="1" max="1" width="11.109375" customWidth="1"/>
    <col min="2" max="2" width="140.77734375" customWidth="1"/>
  </cols>
  <sheetData>
    <row r="1" spans="1:2" x14ac:dyDescent="0.3">
      <c r="A1" s="189" t="s">
        <v>2180</v>
      </c>
      <c r="B1" s="189"/>
    </row>
    <row r="2" spans="1:2" x14ac:dyDescent="0.3">
      <c r="A2" s="131">
        <v>1</v>
      </c>
      <c r="B2" s="2" t="s">
        <v>2181</v>
      </c>
    </row>
    <row r="3" spans="1:2" x14ac:dyDescent="0.3">
      <c r="A3" s="131">
        <v>2</v>
      </c>
      <c r="B3" s="2" t="s">
        <v>2182</v>
      </c>
    </row>
    <row r="4" spans="1:2" x14ac:dyDescent="0.3">
      <c r="A4" s="131">
        <v>3</v>
      </c>
      <c r="B4" s="2" t="s">
        <v>2183</v>
      </c>
    </row>
    <row r="5" spans="1:2" x14ac:dyDescent="0.3">
      <c r="A5" s="131">
        <v>4</v>
      </c>
      <c r="B5" s="2" t="s">
        <v>2184</v>
      </c>
    </row>
    <row r="6" spans="1:2" x14ac:dyDescent="0.3">
      <c r="A6" s="131">
        <v>5</v>
      </c>
      <c r="B6" s="2" t="s">
        <v>2185</v>
      </c>
    </row>
    <row r="7" spans="1:2" x14ac:dyDescent="0.3">
      <c r="A7" s="131">
        <v>6</v>
      </c>
      <c r="B7" s="2" t="s">
        <v>2186</v>
      </c>
    </row>
    <row r="8" spans="1:2" x14ac:dyDescent="0.3">
      <c r="A8" s="131">
        <v>7</v>
      </c>
      <c r="B8" s="2" t="s">
        <v>2187</v>
      </c>
    </row>
    <row r="9" spans="1:2" x14ac:dyDescent="0.3">
      <c r="A9" s="131">
        <v>8</v>
      </c>
      <c r="B9" s="2" t="s">
        <v>2188</v>
      </c>
    </row>
    <row r="10" spans="1:2" x14ac:dyDescent="0.3">
      <c r="A10" s="131">
        <v>9</v>
      </c>
      <c r="B10" s="2" t="s">
        <v>2189</v>
      </c>
    </row>
    <row r="11" spans="1:2" x14ac:dyDescent="0.3">
      <c r="A11" s="131">
        <v>10</v>
      </c>
      <c r="B11" s="2" t="s">
        <v>2190</v>
      </c>
    </row>
    <row r="12" spans="1:2" x14ac:dyDescent="0.3">
      <c r="A12" s="131">
        <v>11</v>
      </c>
      <c r="B12" s="2" t="s">
        <v>2191</v>
      </c>
    </row>
    <row r="13" spans="1:2" x14ac:dyDescent="0.3">
      <c r="A13" s="131">
        <v>12</v>
      </c>
      <c r="B13" s="2" t="s">
        <v>2192</v>
      </c>
    </row>
    <row r="14" spans="1:2" x14ac:dyDescent="0.3">
      <c r="A14" s="131">
        <v>13</v>
      </c>
      <c r="B14" s="2" t="s">
        <v>2193</v>
      </c>
    </row>
    <row r="15" spans="1:2" x14ac:dyDescent="0.3">
      <c r="A15" s="131">
        <v>14</v>
      </c>
      <c r="B15" s="2" t="s">
        <v>2194</v>
      </c>
    </row>
    <row r="16" spans="1:2" x14ac:dyDescent="0.3">
      <c r="A16" s="131">
        <v>15</v>
      </c>
      <c r="B16" s="2" t="s">
        <v>2195</v>
      </c>
    </row>
    <row r="17" spans="1:2" x14ac:dyDescent="0.3">
      <c r="A17" s="189" t="s">
        <v>2196</v>
      </c>
      <c r="B17" s="189"/>
    </row>
    <row r="18" spans="1:2" x14ac:dyDescent="0.3">
      <c r="A18" s="193" t="s">
        <v>2197</v>
      </c>
      <c r="B18" s="193"/>
    </row>
    <row r="19" spans="1:2" x14ac:dyDescent="0.3">
      <c r="A19" s="189" t="s">
        <v>2198</v>
      </c>
      <c r="B19" s="189"/>
    </row>
    <row r="20" spans="1:2" x14ac:dyDescent="0.3">
      <c r="A20" s="194" t="s">
        <v>2199</v>
      </c>
      <c r="B20" s="194"/>
    </row>
    <row r="21" spans="1:2" x14ac:dyDescent="0.3">
      <c r="A21" s="57"/>
      <c r="B21" s="57"/>
    </row>
    <row r="22" spans="1:2" x14ac:dyDescent="0.3">
      <c r="A22" s="189" t="s">
        <v>2200</v>
      </c>
      <c r="B22" s="189"/>
    </row>
    <row r="23" spans="1:2" ht="57.6" x14ac:dyDescent="0.3">
      <c r="A23" s="131" t="s">
        <v>2201</v>
      </c>
      <c r="B23" s="2" t="s">
        <v>2202</v>
      </c>
    </row>
    <row r="24" spans="1:2" ht="72" x14ac:dyDescent="0.3">
      <c r="A24" s="131" t="s">
        <v>2203</v>
      </c>
      <c r="B24" s="2" t="s">
        <v>2204</v>
      </c>
    </row>
    <row r="25" spans="1:2" ht="43.2" x14ac:dyDescent="0.3">
      <c r="A25" s="131" t="s">
        <v>2205</v>
      </c>
      <c r="B25" s="2" t="s">
        <v>2206</v>
      </c>
    </row>
    <row r="26" spans="1:2" ht="43.2" x14ac:dyDescent="0.3">
      <c r="A26" s="131" t="s">
        <v>2207</v>
      </c>
      <c r="B26" s="2" t="s">
        <v>2208</v>
      </c>
    </row>
    <row r="27" spans="1:2" ht="57.6" x14ac:dyDescent="0.3">
      <c r="A27" s="131" t="s">
        <v>2209</v>
      </c>
      <c r="B27" s="2" t="s">
        <v>2210</v>
      </c>
    </row>
    <row r="28" spans="1:2" ht="43.2" x14ac:dyDescent="0.3">
      <c r="A28" s="131" t="s">
        <v>2211</v>
      </c>
      <c r="B28" s="2" t="s">
        <v>2212</v>
      </c>
    </row>
    <row r="29" spans="1:2" ht="57.6" x14ac:dyDescent="0.3">
      <c r="A29" s="131" t="s">
        <v>2213</v>
      </c>
      <c r="B29" s="2" t="s">
        <v>2214</v>
      </c>
    </row>
    <row r="30" spans="1:2" x14ac:dyDescent="0.3">
      <c r="A30" s="189" t="s">
        <v>2215</v>
      </c>
      <c r="B30" s="189"/>
    </row>
    <row r="31" spans="1:2" ht="43.2" x14ac:dyDescent="0.3">
      <c r="A31" s="131" t="s">
        <v>2216</v>
      </c>
      <c r="B31" s="2" t="s">
        <v>2217</v>
      </c>
    </row>
    <row r="32" spans="1:2" ht="43.2" x14ac:dyDescent="0.3">
      <c r="A32" s="131" t="s">
        <v>2218</v>
      </c>
      <c r="B32" s="2" t="s">
        <v>2219</v>
      </c>
    </row>
    <row r="33" spans="1:2" ht="28.8" x14ac:dyDescent="0.3">
      <c r="A33" s="131" t="s">
        <v>2220</v>
      </c>
      <c r="B33" s="2" t="s">
        <v>2221</v>
      </c>
    </row>
    <row r="34" spans="1:2" ht="43.2" x14ac:dyDescent="0.3">
      <c r="A34" s="131" t="s">
        <v>2222</v>
      </c>
      <c r="B34" s="2" t="s">
        <v>2223</v>
      </c>
    </row>
    <row r="35" spans="1:2" ht="43.2" x14ac:dyDescent="0.3">
      <c r="A35" s="131" t="s">
        <v>2224</v>
      </c>
      <c r="B35" s="2" t="s">
        <v>2225</v>
      </c>
    </row>
    <row r="36" spans="1:2" x14ac:dyDescent="0.3">
      <c r="A36" s="189" t="s">
        <v>2226</v>
      </c>
      <c r="B36" s="189"/>
    </row>
    <row r="37" spans="1:2" x14ac:dyDescent="0.3">
      <c r="A37" s="192" t="s">
        <v>2227</v>
      </c>
      <c r="B37" s="192"/>
    </row>
    <row r="38" spans="1:2" x14ac:dyDescent="0.3">
      <c r="A38" s="192" t="s">
        <v>2228</v>
      </c>
      <c r="B38" s="192"/>
    </row>
    <row r="39" spans="1:2" x14ac:dyDescent="0.3">
      <c r="A39" s="192" t="s">
        <v>2229</v>
      </c>
      <c r="B39" s="192"/>
    </row>
    <row r="40" spans="1:2" x14ac:dyDescent="0.3">
      <c r="A40" s="192" t="s">
        <v>2230</v>
      </c>
      <c r="B40" s="192"/>
    </row>
    <row r="41" spans="1:2" x14ac:dyDescent="0.3">
      <c r="A41" s="192" t="s">
        <v>2231</v>
      </c>
      <c r="B41" s="192"/>
    </row>
    <row r="42" spans="1:2" x14ac:dyDescent="0.3">
      <c r="A42" s="192" t="s">
        <v>2232</v>
      </c>
      <c r="B42" s="192"/>
    </row>
    <row r="43" spans="1:2" x14ac:dyDescent="0.3">
      <c r="A43" s="192" t="s">
        <v>2233</v>
      </c>
      <c r="B43" s="192"/>
    </row>
    <row r="44" spans="1:2" x14ac:dyDescent="0.3">
      <c r="A44" s="192" t="s">
        <v>2234</v>
      </c>
      <c r="B44" s="192"/>
    </row>
    <row r="45" spans="1:2" x14ac:dyDescent="0.3">
      <c r="A45" s="192" t="s">
        <v>2235</v>
      </c>
      <c r="B45" s="192"/>
    </row>
    <row r="46" spans="1:2" x14ac:dyDescent="0.3">
      <c r="A46" s="192" t="s">
        <v>2236</v>
      </c>
      <c r="B46" s="192"/>
    </row>
    <row r="47" spans="1:2" x14ac:dyDescent="0.3">
      <c r="A47" s="192" t="s">
        <v>2237</v>
      </c>
      <c r="B47" s="192"/>
    </row>
    <row r="48" spans="1:2" x14ac:dyDescent="0.3">
      <c r="A48" s="192" t="s">
        <v>2238</v>
      </c>
      <c r="B48" s="192"/>
    </row>
  </sheetData>
  <mergeCells count="20">
    <mergeCell ref="A40:B40"/>
    <mergeCell ref="A1:B1"/>
    <mergeCell ref="A17:B17"/>
    <mergeCell ref="A18:B18"/>
    <mergeCell ref="A19:B19"/>
    <mergeCell ref="A20:B20"/>
    <mergeCell ref="A22:B22"/>
    <mergeCell ref="A30:B30"/>
    <mergeCell ref="A36:B36"/>
    <mergeCell ref="A37:B37"/>
    <mergeCell ref="A38:B38"/>
    <mergeCell ref="A39:B39"/>
    <mergeCell ref="A47:B47"/>
    <mergeCell ref="A48:B48"/>
    <mergeCell ref="A41:B41"/>
    <mergeCell ref="A42:B42"/>
    <mergeCell ref="A43:B43"/>
    <mergeCell ref="A44:B44"/>
    <mergeCell ref="A45:B45"/>
    <mergeCell ref="A46:B4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46CE9-5C26-4B04-98E2-652BE5A37113}">
  <dimension ref="A1:C33"/>
  <sheetViews>
    <sheetView workbookViewId="0">
      <pane ySplit="3" topLeftCell="A4" activePane="bottomLeft" state="frozen"/>
      <selection pane="bottomLeft" sqref="A1:C1"/>
    </sheetView>
  </sheetViews>
  <sheetFormatPr defaultRowHeight="14.4" x14ac:dyDescent="0.3"/>
  <cols>
    <col min="1" max="1" width="16.6640625" customWidth="1"/>
    <col min="2" max="2" width="22.21875" customWidth="1"/>
    <col min="3" max="3" width="96.33203125" customWidth="1"/>
  </cols>
  <sheetData>
    <row r="1" spans="1:3" ht="18" x14ac:dyDescent="0.35">
      <c r="A1" s="195" t="s">
        <v>1886</v>
      </c>
      <c r="B1" s="196"/>
      <c r="C1" s="196"/>
    </row>
    <row r="2" spans="1:3" x14ac:dyDescent="0.3">
      <c r="A2" s="186" t="s">
        <v>1887</v>
      </c>
      <c r="B2" s="187"/>
      <c r="C2" s="187"/>
    </row>
    <row r="3" spans="1:3" x14ac:dyDescent="0.3">
      <c r="A3" s="128" t="s">
        <v>1888</v>
      </c>
      <c r="B3" s="128" t="s">
        <v>1889</v>
      </c>
      <c r="C3" s="128" t="s">
        <v>1890</v>
      </c>
    </row>
    <row r="4" spans="1:3" x14ac:dyDescent="0.3">
      <c r="A4" s="135" t="s">
        <v>1891</v>
      </c>
      <c r="B4" s="131" t="s">
        <v>1892</v>
      </c>
      <c r="C4" s="2" t="s">
        <v>1893</v>
      </c>
    </row>
    <row r="5" spans="1:3" x14ac:dyDescent="0.3">
      <c r="A5" s="135" t="s">
        <v>1891</v>
      </c>
      <c r="B5" s="131" t="s">
        <v>1894</v>
      </c>
      <c r="C5" s="2" t="s">
        <v>1895</v>
      </c>
    </row>
    <row r="6" spans="1:3" x14ac:dyDescent="0.3">
      <c r="A6" s="135" t="s">
        <v>1891</v>
      </c>
      <c r="B6" s="131" t="s">
        <v>1896</v>
      </c>
      <c r="C6" s="2" t="s">
        <v>1897</v>
      </c>
    </row>
    <row r="7" spans="1:3" x14ac:dyDescent="0.3">
      <c r="A7" s="135" t="s">
        <v>1891</v>
      </c>
      <c r="B7" s="131" t="s">
        <v>1898</v>
      </c>
      <c r="C7" s="2" t="s">
        <v>1899</v>
      </c>
    </row>
    <row r="8" spans="1:3" x14ac:dyDescent="0.3">
      <c r="A8" s="135" t="s">
        <v>1891</v>
      </c>
      <c r="B8" s="131" t="s">
        <v>1900</v>
      </c>
      <c r="C8" s="2" t="s">
        <v>1901</v>
      </c>
    </row>
    <row r="9" spans="1:3" x14ac:dyDescent="0.3">
      <c r="A9" s="135" t="s">
        <v>1891</v>
      </c>
      <c r="B9" s="131" t="s">
        <v>1902</v>
      </c>
      <c r="C9" s="2" t="s">
        <v>1903</v>
      </c>
    </row>
    <row r="10" spans="1:3" x14ac:dyDescent="0.3">
      <c r="A10" s="135" t="s">
        <v>1891</v>
      </c>
      <c r="B10" s="131" t="s">
        <v>1904</v>
      </c>
      <c r="C10" s="2" t="s">
        <v>1905</v>
      </c>
    </row>
    <row r="11" spans="1:3" x14ac:dyDescent="0.3">
      <c r="A11" s="135" t="s">
        <v>1891</v>
      </c>
      <c r="B11" s="131" t="s">
        <v>1906</v>
      </c>
      <c r="C11" s="2" t="s">
        <v>1907</v>
      </c>
    </row>
    <row r="12" spans="1:3" x14ac:dyDescent="0.3">
      <c r="A12" s="135" t="s">
        <v>1891</v>
      </c>
      <c r="B12" s="131" t="s">
        <v>1908</v>
      </c>
      <c r="C12" s="2" t="s">
        <v>1909</v>
      </c>
    </row>
    <row r="13" spans="1:3" x14ac:dyDescent="0.3">
      <c r="A13" s="135" t="s">
        <v>1891</v>
      </c>
      <c r="B13" s="131" t="s">
        <v>1910</v>
      </c>
      <c r="C13" s="2" t="s">
        <v>1911</v>
      </c>
    </row>
    <row r="14" spans="1:3" x14ac:dyDescent="0.3">
      <c r="A14" s="135" t="s">
        <v>1891</v>
      </c>
      <c r="B14" s="131" t="s">
        <v>1912</v>
      </c>
      <c r="C14" s="2" t="s">
        <v>1913</v>
      </c>
    </row>
    <row r="15" spans="1:3" x14ac:dyDescent="0.3">
      <c r="A15" s="135" t="s">
        <v>1891</v>
      </c>
      <c r="B15" s="131" t="s">
        <v>1914</v>
      </c>
      <c r="C15" s="2" t="s">
        <v>1915</v>
      </c>
    </row>
    <row r="16" spans="1:3" x14ac:dyDescent="0.3">
      <c r="A16" s="135" t="s">
        <v>1891</v>
      </c>
      <c r="B16" s="131" t="s">
        <v>1916</v>
      </c>
      <c r="C16" s="2" t="s">
        <v>1917</v>
      </c>
    </row>
    <row r="17" spans="1:3" x14ac:dyDescent="0.3">
      <c r="A17" s="135" t="s">
        <v>1891</v>
      </c>
      <c r="B17" s="131" t="s">
        <v>1918</v>
      </c>
      <c r="C17" s="2" t="s">
        <v>1919</v>
      </c>
    </row>
    <row r="18" spans="1:3" x14ac:dyDescent="0.3">
      <c r="A18" s="135" t="s">
        <v>1891</v>
      </c>
      <c r="B18" s="131" t="s">
        <v>1920</v>
      </c>
      <c r="C18" s="2" t="s">
        <v>1921</v>
      </c>
    </row>
    <row r="19" spans="1:3" x14ac:dyDescent="0.3">
      <c r="A19" s="132" t="s">
        <v>1922</v>
      </c>
      <c r="B19" s="131" t="s">
        <v>1923</v>
      </c>
      <c r="C19" s="2" t="s">
        <v>1924</v>
      </c>
    </row>
    <row r="20" spans="1:3" x14ac:dyDescent="0.3">
      <c r="A20" s="132" t="s">
        <v>1922</v>
      </c>
      <c r="B20" s="131" t="s">
        <v>1925</v>
      </c>
      <c r="C20" s="2" t="s">
        <v>1926</v>
      </c>
    </row>
    <row r="21" spans="1:3" x14ac:dyDescent="0.3">
      <c r="A21" s="132" t="s">
        <v>1922</v>
      </c>
      <c r="B21" s="131" t="s">
        <v>1927</v>
      </c>
      <c r="C21" s="2" t="s">
        <v>1928</v>
      </c>
    </row>
    <row r="22" spans="1:3" x14ac:dyDescent="0.3">
      <c r="A22" s="132" t="s">
        <v>1922</v>
      </c>
      <c r="B22" s="131" t="s">
        <v>1929</v>
      </c>
      <c r="C22" s="2" t="s">
        <v>1930</v>
      </c>
    </row>
    <row r="23" spans="1:3" x14ac:dyDescent="0.3">
      <c r="A23" s="132" t="s">
        <v>1922</v>
      </c>
      <c r="B23" s="131" t="s">
        <v>1931</v>
      </c>
      <c r="C23" s="2" t="s">
        <v>1932</v>
      </c>
    </row>
    <row r="24" spans="1:3" x14ac:dyDescent="0.3">
      <c r="A24" s="132" t="s">
        <v>1922</v>
      </c>
      <c r="B24" s="131" t="s">
        <v>1933</v>
      </c>
      <c r="C24" s="2" t="s">
        <v>1934</v>
      </c>
    </row>
    <row r="25" spans="1:3" x14ac:dyDescent="0.3">
      <c r="A25" s="132" t="s">
        <v>1922</v>
      </c>
      <c r="B25" s="131" t="s">
        <v>1935</v>
      </c>
      <c r="C25" s="2" t="s">
        <v>1936</v>
      </c>
    </row>
    <row r="26" spans="1:3" x14ac:dyDescent="0.3">
      <c r="A26" s="132" t="s">
        <v>1922</v>
      </c>
      <c r="B26" s="131" t="s">
        <v>1937</v>
      </c>
      <c r="C26" s="2" t="s">
        <v>1938</v>
      </c>
    </row>
    <row r="27" spans="1:3" x14ac:dyDescent="0.3">
      <c r="A27" s="132" t="s">
        <v>1922</v>
      </c>
      <c r="B27" s="131" t="s">
        <v>1939</v>
      </c>
      <c r="C27" s="2" t="s">
        <v>1940</v>
      </c>
    </row>
    <row r="28" spans="1:3" ht="28.8" x14ac:dyDescent="0.3">
      <c r="A28" s="127" t="s">
        <v>1941</v>
      </c>
      <c r="B28" s="131" t="s">
        <v>1942</v>
      </c>
      <c r="C28" s="2" t="s">
        <v>1943</v>
      </c>
    </row>
    <row r="29" spans="1:3" x14ac:dyDescent="0.3">
      <c r="A29" s="133" t="s">
        <v>1944</v>
      </c>
      <c r="B29" s="131" t="s">
        <v>1861</v>
      </c>
      <c r="C29" s="2" t="s">
        <v>1945</v>
      </c>
    </row>
    <row r="30" spans="1:3" ht="28.8" x14ac:dyDescent="0.3">
      <c r="A30" s="133" t="s">
        <v>1944</v>
      </c>
      <c r="B30" s="131" t="s">
        <v>1946</v>
      </c>
      <c r="C30" s="2" t="s">
        <v>1947</v>
      </c>
    </row>
    <row r="31" spans="1:3" x14ac:dyDescent="0.3">
      <c r="A31" s="133" t="s">
        <v>1944</v>
      </c>
      <c r="B31" s="131" t="s">
        <v>1871</v>
      </c>
      <c r="C31" s="2" t="s">
        <v>1948</v>
      </c>
    </row>
    <row r="32" spans="1:3" x14ac:dyDescent="0.3">
      <c r="A32" s="133" t="s">
        <v>1944</v>
      </c>
      <c r="B32" s="131" t="s">
        <v>1876</v>
      </c>
      <c r="C32" s="2" t="s">
        <v>1949</v>
      </c>
    </row>
    <row r="33" spans="1:3" x14ac:dyDescent="0.3">
      <c r="A33" s="133" t="s">
        <v>1944</v>
      </c>
      <c r="B33" s="131" t="s">
        <v>1881</v>
      </c>
      <c r="C33" s="2" t="s">
        <v>1950</v>
      </c>
    </row>
  </sheetData>
  <mergeCells count="2">
    <mergeCell ref="A1:C1"/>
    <mergeCell ref="A2:C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BD4F8-FC96-4827-AF4E-10FADBF33724}">
  <dimension ref="A1:E38"/>
  <sheetViews>
    <sheetView workbookViewId="0">
      <pane ySplit="5" topLeftCell="A20" activePane="bottomLeft" state="frozen"/>
      <selection pane="bottomLeft" sqref="A1:E1"/>
    </sheetView>
  </sheetViews>
  <sheetFormatPr defaultRowHeight="14.4" x14ac:dyDescent="0.3"/>
  <cols>
    <col min="1" max="1" width="28.6640625" customWidth="1"/>
    <col min="2" max="5" width="61.109375" customWidth="1"/>
  </cols>
  <sheetData>
    <row r="1" spans="1:5" ht="18" x14ac:dyDescent="0.35">
      <c r="A1" s="195" t="s">
        <v>1753</v>
      </c>
      <c r="B1" s="195"/>
      <c r="C1" s="195"/>
      <c r="D1" s="195"/>
      <c r="E1" s="195"/>
    </row>
    <row r="2" spans="1:5" x14ac:dyDescent="0.3">
      <c r="A2" s="191" t="s">
        <v>1754</v>
      </c>
      <c r="B2" s="191"/>
      <c r="C2" s="191"/>
      <c r="D2" s="191"/>
      <c r="E2" s="191"/>
    </row>
    <row r="4" spans="1:5" x14ac:dyDescent="0.3">
      <c r="A4" s="127" t="s">
        <v>1755</v>
      </c>
      <c r="B4" s="127" t="s">
        <v>1756</v>
      </c>
      <c r="C4" s="127" t="s">
        <v>1757</v>
      </c>
      <c r="D4" s="127" t="s">
        <v>1758</v>
      </c>
      <c r="E4" s="127" t="s">
        <v>1759</v>
      </c>
    </row>
    <row r="5" spans="1:5" x14ac:dyDescent="0.3">
      <c r="A5" s="128" t="s">
        <v>1760</v>
      </c>
      <c r="B5" s="128" t="s">
        <v>1761</v>
      </c>
      <c r="C5" s="128" t="s">
        <v>1762</v>
      </c>
      <c r="D5" s="128" t="s">
        <v>1763</v>
      </c>
      <c r="E5" s="128" t="s">
        <v>1764</v>
      </c>
    </row>
    <row r="6" spans="1:5" ht="72" x14ac:dyDescent="0.3">
      <c r="A6" s="129" t="s">
        <v>1765</v>
      </c>
      <c r="B6" s="129" t="s">
        <v>1766</v>
      </c>
      <c r="C6" s="129" t="s">
        <v>1767</v>
      </c>
      <c r="D6" s="129" t="s">
        <v>1768</v>
      </c>
      <c r="E6" s="129" t="s">
        <v>1769</v>
      </c>
    </row>
    <row r="7" spans="1:5" x14ac:dyDescent="0.3">
      <c r="A7" s="129" t="s">
        <v>1770</v>
      </c>
      <c r="B7" s="129"/>
      <c r="C7" s="129"/>
      <c r="D7" s="129"/>
      <c r="E7" s="129"/>
    </row>
    <row r="8" spans="1:5" x14ac:dyDescent="0.3">
      <c r="A8" s="131" t="s">
        <v>1771</v>
      </c>
      <c r="B8" s="2" t="s">
        <v>1772</v>
      </c>
      <c r="C8" s="2" t="s">
        <v>1773</v>
      </c>
      <c r="D8" s="2" t="s">
        <v>1774</v>
      </c>
      <c r="E8" s="2" t="s">
        <v>1775</v>
      </c>
    </row>
    <row r="9" spans="1:5" ht="115.2" x14ac:dyDescent="0.3">
      <c r="A9" s="131" t="s">
        <v>1776</v>
      </c>
      <c r="B9" s="2" t="s">
        <v>1777</v>
      </c>
      <c r="C9" s="2" t="s">
        <v>1778</v>
      </c>
      <c r="D9" s="2" t="s">
        <v>1779</v>
      </c>
      <c r="E9" s="2" t="s">
        <v>1780</v>
      </c>
    </row>
    <row r="10" spans="1:5" ht="115.2" x14ac:dyDescent="0.3">
      <c r="A10" s="131" t="s">
        <v>1781</v>
      </c>
      <c r="B10" s="2" t="s">
        <v>1782</v>
      </c>
      <c r="C10" s="2" t="s">
        <v>1783</v>
      </c>
      <c r="D10" s="2" t="s">
        <v>1784</v>
      </c>
      <c r="E10" s="2" t="s">
        <v>1785</v>
      </c>
    </row>
    <row r="11" spans="1:5" ht="129.6" x14ac:dyDescent="0.3">
      <c r="A11" s="131" t="s">
        <v>1786</v>
      </c>
      <c r="B11" s="2" t="s">
        <v>1787</v>
      </c>
      <c r="C11" s="2" t="s">
        <v>1788</v>
      </c>
      <c r="D11" s="2" t="s">
        <v>1789</v>
      </c>
      <c r="E11" s="2" t="s">
        <v>1790</v>
      </c>
    </row>
    <row r="12" spans="1:5" ht="115.2" x14ac:dyDescent="0.3">
      <c r="A12" s="131" t="s">
        <v>1791</v>
      </c>
      <c r="B12" s="2" t="s">
        <v>1792</v>
      </c>
      <c r="C12" s="2" t="s">
        <v>1793</v>
      </c>
      <c r="D12" s="2" t="s">
        <v>1794</v>
      </c>
      <c r="E12" s="2" t="s">
        <v>1795</v>
      </c>
    </row>
    <row r="13" spans="1:5" ht="144" x14ac:dyDescent="0.3">
      <c r="A13" s="131" t="s">
        <v>1796</v>
      </c>
      <c r="B13" s="2" t="s">
        <v>1797</v>
      </c>
      <c r="C13" s="2" t="s">
        <v>1798</v>
      </c>
      <c r="D13" s="2" t="s">
        <v>1799</v>
      </c>
      <c r="E13" s="2" t="s">
        <v>1800</v>
      </c>
    </row>
    <row r="14" spans="1:5" ht="129.6" x14ac:dyDescent="0.3">
      <c r="A14" s="131" t="s">
        <v>1801</v>
      </c>
      <c r="B14" s="2" t="s">
        <v>1802</v>
      </c>
      <c r="C14" s="2" t="s">
        <v>1803</v>
      </c>
      <c r="D14" s="2" t="s">
        <v>1804</v>
      </c>
      <c r="E14" s="2" t="s">
        <v>1805</v>
      </c>
    </row>
    <row r="15" spans="1:5" ht="129.6" x14ac:dyDescent="0.3">
      <c r="A15" s="131" t="s">
        <v>1806</v>
      </c>
      <c r="B15" s="2" t="s">
        <v>1807</v>
      </c>
      <c r="C15" s="2" t="s">
        <v>1808</v>
      </c>
      <c r="D15" s="2" t="s">
        <v>1809</v>
      </c>
      <c r="E15" s="2" t="s">
        <v>1810</v>
      </c>
    </row>
    <row r="16" spans="1:5" ht="100.8" x14ac:dyDescent="0.3">
      <c r="A16" s="131" t="s">
        <v>1811</v>
      </c>
      <c r="B16" s="2" t="s">
        <v>1812</v>
      </c>
      <c r="C16" s="2" t="s">
        <v>1813</v>
      </c>
      <c r="D16" s="2" t="s">
        <v>1814</v>
      </c>
      <c r="E16" s="2" t="s">
        <v>1815</v>
      </c>
    </row>
    <row r="17" spans="1:5" ht="129.6" x14ac:dyDescent="0.3">
      <c r="A17" s="131" t="s">
        <v>1816</v>
      </c>
      <c r="B17" s="2" t="s">
        <v>1817</v>
      </c>
      <c r="C17" s="2" t="s">
        <v>1818</v>
      </c>
      <c r="D17" s="2" t="s">
        <v>1819</v>
      </c>
      <c r="E17" s="2" t="s">
        <v>1820</v>
      </c>
    </row>
    <row r="18" spans="1:5" ht="115.2" x14ac:dyDescent="0.3">
      <c r="A18" s="131" t="s">
        <v>1821</v>
      </c>
      <c r="B18" s="2" t="s">
        <v>1822</v>
      </c>
      <c r="C18" s="2" t="s">
        <v>1823</v>
      </c>
      <c r="D18" s="2" t="s">
        <v>1824</v>
      </c>
      <c r="E18" s="2" t="s">
        <v>1825</v>
      </c>
    </row>
    <row r="19" spans="1:5" ht="144" x14ac:dyDescent="0.3">
      <c r="A19" s="131" t="s">
        <v>1826</v>
      </c>
      <c r="B19" s="2" t="s">
        <v>1827</v>
      </c>
      <c r="C19" s="2" t="s">
        <v>1828</v>
      </c>
      <c r="D19" s="2" t="s">
        <v>1829</v>
      </c>
      <c r="E19" s="2" t="s">
        <v>1830</v>
      </c>
    </row>
    <row r="20" spans="1:5" ht="144" x14ac:dyDescent="0.3">
      <c r="A20" s="131" t="s">
        <v>1831</v>
      </c>
      <c r="B20" s="2" t="s">
        <v>1832</v>
      </c>
      <c r="C20" s="2" t="s">
        <v>1833</v>
      </c>
      <c r="D20" s="2" t="s">
        <v>1834</v>
      </c>
      <c r="E20" s="2" t="s">
        <v>1835</v>
      </c>
    </row>
    <row r="21" spans="1:5" ht="187.2" x14ac:dyDescent="0.3">
      <c r="A21" s="131" t="s">
        <v>1836</v>
      </c>
      <c r="B21" s="2" t="s">
        <v>1837</v>
      </c>
      <c r="C21" s="2" t="s">
        <v>1838</v>
      </c>
      <c r="D21" s="2" t="s">
        <v>1839</v>
      </c>
      <c r="E21" s="2" t="s">
        <v>1840</v>
      </c>
    </row>
    <row r="22" spans="1:5" ht="172.8" x14ac:dyDescent="0.3">
      <c r="A22" s="131" t="s">
        <v>1841</v>
      </c>
      <c r="B22" s="2" t="s">
        <v>1842</v>
      </c>
      <c r="C22" s="2" t="s">
        <v>1843</v>
      </c>
      <c r="D22" s="2" t="s">
        <v>1844</v>
      </c>
      <c r="E22" s="2" t="s">
        <v>1845</v>
      </c>
    </row>
    <row r="23" spans="1:5" ht="216" x14ac:dyDescent="0.3">
      <c r="A23" s="129" t="s">
        <v>1846</v>
      </c>
      <c r="B23" s="129" t="s">
        <v>1847</v>
      </c>
      <c r="C23" s="129" t="s">
        <v>1848</v>
      </c>
      <c r="D23" s="129" t="s">
        <v>1849</v>
      </c>
      <c r="E23" s="129" t="s">
        <v>1850</v>
      </c>
    </row>
    <row r="24" spans="1:5" ht="158.4" x14ac:dyDescent="0.3">
      <c r="A24" s="129" t="s">
        <v>1851</v>
      </c>
      <c r="B24" s="129" t="s">
        <v>1852</v>
      </c>
      <c r="C24" s="129" t="s">
        <v>1853</v>
      </c>
      <c r="D24" s="129" t="s">
        <v>1854</v>
      </c>
      <c r="E24" s="129" t="s">
        <v>1855</v>
      </c>
    </row>
    <row r="25" spans="1:5" ht="28.8" x14ac:dyDescent="0.3">
      <c r="A25" s="129" t="s">
        <v>1856</v>
      </c>
      <c r="B25" s="129" t="s">
        <v>1857</v>
      </c>
      <c r="C25" s="129" t="s">
        <v>1858</v>
      </c>
      <c r="D25" s="129" t="s">
        <v>1859</v>
      </c>
      <c r="E25" s="129" t="s">
        <v>1860</v>
      </c>
    </row>
    <row r="26" spans="1:5" ht="201.6" x14ac:dyDescent="0.3">
      <c r="A26" s="131" t="s">
        <v>1861</v>
      </c>
      <c r="B26" s="2" t="s">
        <v>1862</v>
      </c>
      <c r="C26" s="2" t="s">
        <v>1863</v>
      </c>
      <c r="D26" s="2" t="s">
        <v>1864</v>
      </c>
      <c r="E26" s="2" t="s">
        <v>1865</v>
      </c>
    </row>
    <row r="27" spans="1:5" ht="144" x14ac:dyDescent="0.3">
      <c r="A27" s="131" t="s">
        <v>1866</v>
      </c>
      <c r="B27" s="2" t="s">
        <v>1867</v>
      </c>
      <c r="C27" s="2" t="s">
        <v>1868</v>
      </c>
      <c r="D27" s="2" t="s">
        <v>1869</v>
      </c>
      <c r="E27" s="2" t="s">
        <v>1870</v>
      </c>
    </row>
    <row r="28" spans="1:5" ht="158.4" x14ac:dyDescent="0.3">
      <c r="A28" s="131" t="s">
        <v>1871</v>
      </c>
      <c r="B28" s="2" t="s">
        <v>1872</v>
      </c>
      <c r="C28" s="2" t="s">
        <v>1873</v>
      </c>
      <c r="D28" s="2" t="s">
        <v>1874</v>
      </c>
      <c r="E28" s="2" t="s">
        <v>1875</v>
      </c>
    </row>
    <row r="29" spans="1:5" ht="43.2" x14ac:dyDescent="0.3">
      <c r="A29" s="131" t="s">
        <v>1876</v>
      </c>
      <c r="B29" s="130" t="s">
        <v>1877</v>
      </c>
      <c r="C29" s="130" t="s">
        <v>1878</v>
      </c>
      <c r="D29" s="130" t="s">
        <v>1879</v>
      </c>
      <c r="E29" s="130" t="s">
        <v>1880</v>
      </c>
    </row>
    <row r="30" spans="1:5" ht="158.4" x14ac:dyDescent="0.3">
      <c r="A30" s="131" t="s">
        <v>1881</v>
      </c>
      <c r="B30" s="132" t="s">
        <v>1882</v>
      </c>
      <c r="C30" s="132" t="s">
        <v>1883</v>
      </c>
      <c r="D30" s="133" t="s">
        <v>1884</v>
      </c>
      <c r="E30" s="132" t="s">
        <v>1885</v>
      </c>
    </row>
    <row r="32" spans="1:5" ht="15.6" x14ac:dyDescent="0.3">
      <c r="A32" s="139" t="s">
        <v>1951</v>
      </c>
      <c r="B32" s="2"/>
    </row>
    <row r="33" spans="1:2" x14ac:dyDescent="0.3">
      <c r="A33" s="131" t="s">
        <v>1952</v>
      </c>
      <c r="B33" s="2" t="s">
        <v>1953</v>
      </c>
    </row>
    <row r="34" spans="1:2" x14ac:dyDescent="0.3">
      <c r="A34" s="131" t="s">
        <v>1954</v>
      </c>
      <c r="B34" s="2" t="s">
        <v>1953</v>
      </c>
    </row>
    <row r="35" spans="1:2" ht="57.6" x14ac:dyDescent="0.3">
      <c r="A35" s="131" t="s">
        <v>1955</v>
      </c>
      <c r="B35" s="138" t="s">
        <v>1956</v>
      </c>
    </row>
    <row r="36" spans="1:2" ht="15.6" x14ac:dyDescent="0.3">
      <c r="A36" s="139" t="s">
        <v>1957</v>
      </c>
      <c r="B36" s="2"/>
    </row>
    <row r="37" spans="1:2" ht="28.8" x14ac:dyDescent="0.3">
      <c r="A37" s="131" t="s">
        <v>1958</v>
      </c>
      <c r="B37" s="2" t="s">
        <v>1959</v>
      </c>
    </row>
    <row r="38" spans="1:2" ht="57.6" x14ac:dyDescent="0.3">
      <c r="A38" s="131" t="s">
        <v>1960</v>
      </c>
      <c r="B38" s="138" t="s">
        <v>1961</v>
      </c>
    </row>
  </sheetData>
  <mergeCells count="2">
    <mergeCell ref="A1:E1"/>
    <mergeCell ref="A2:E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005F9-1F75-4EF3-B968-32DC517B6E0F}">
  <dimension ref="A1:B69"/>
  <sheetViews>
    <sheetView topLeftCell="A9" workbookViewId="0"/>
  </sheetViews>
  <sheetFormatPr defaultRowHeight="14.4" x14ac:dyDescent="0.3"/>
  <cols>
    <col min="1" max="1" width="16.6640625" customWidth="1"/>
    <col min="2" max="2" width="96.33203125" customWidth="1"/>
  </cols>
  <sheetData>
    <row r="1" spans="1:2" ht="18" x14ac:dyDescent="0.35">
      <c r="A1" s="111" t="s">
        <v>1658</v>
      </c>
    </row>
    <row r="3" spans="1:2" x14ac:dyDescent="0.3">
      <c r="A3" s="113" t="s">
        <v>1659</v>
      </c>
      <c r="B3" s="114"/>
    </row>
    <row r="4" spans="1:2" x14ac:dyDescent="0.3">
      <c r="A4" s="112" t="s">
        <v>1660</v>
      </c>
      <c r="B4" s="112" t="s">
        <v>1661</v>
      </c>
    </row>
    <row r="5" spans="1:2" x14ac:dyDescent="0.3">
      <c r="A5" t="s">
        <v>1662</v>
      </c>
      <c r="B5" t="s">
        <v>1663</v>
      </c>
    </row>
    <row r="6" spans="1:2" x14ac:dyDescent="0.3">
      <c r="A6" t="s">
        <v>1664</v>
      </c>
      <c r="B6" t="s">
        <v>1665</v>
      </c>
    </row>
    <row r="7" spans="1:2" x14ac:dyDescent="0.3">
      <c r="A7" t="s">
        <v>1666</v>
      </c>
      <c r="B7" t="s">
        <v>1667</v>
      </c>
    </row>
    <row r="8" spans="1:2" x14ac:dyDescent="0.3">
      <c r="A8" t="s">
        <v>1668</v>
      </c>
      <c r="B8" t="s">
        <v>1669</v>
      </c>
    </row>
    <row r="9" spans="1:2" x14ac:dyDescent="0.3">
      <c r="A9" t="s">
        <v>1670</v>
      </c>
      <c r="B9" t="s">
        <v>1671</v>
      </c>
    </row>
    <row r="10" spans="1:2" x14ac:dyDescent="0.3">
      <c r="A10" t="s">
        <v>1672</v>
      </c>
      <c r="B10" t="s">
        <v>1673</v>
      </c>
    </row>
    <row r="11" spans="1:2" x14ac:dyDescent="0.3">
      <c r="A11" t="s">
        <v>1674</v>
      </c>
      <c r="B11" t="s">
        <v>1675</v>
      </c>
    </row>
    <row r="12" spans="1:2" x14ac:dyDescent="0.3">
      <c r="A12" t="s">
        <v>1676</v>
      </c>
      <c r="B12" t="s">
        <v>1677</v>
      </c>
    </row>
    <row r="13" spans="1:2" x14ac:dyDescent="0.3">
      <c r="A13" t="s">
        <v>1678</v>
      </c>
      <c r="B13" t="s">
        <v>1679</v>
      </c>
    </row>
    <row r="14" spans="1:2" x14ac:dyDescent="0.3">
      <c r="A14" t="s">
        <v>1680</v>
      </c>
      <c r="B14" t="s">
        <v>1681</v>
      </c>
    </row>
    <row r="15" spans="1:2" x14ac:dyDescent="0.3">
      <c r="A15" t="s">
        <v>1682</v>
      </c>
      <c r="B15" t="s">
        <v>1683</v>
      </c>
    </row>
    <row r="16" spans="1:2" x14ac:dyDescent="0.3">
      <c r="A16" t="s">
        <v>1684</v>
      </c>
      <c r="B16" t="s">
        <v>1685</v>
      </c>
    </row>
    <row r="17" spans="1:2" x14ac:dyDescent="0.3">
      <c r="A17" t="s">
        <v>1686</v>
      </c>
      <c r="B17" t="s">
        <v>1687</v>
      </c>
    </row>
    <row r="18" spans="1:2" x14ac:dyDescent="0.3">
      <c r="A18" t="s">
        <v>1688</v>
      </c>
      <c r="B18" s="115" t="s">
        <v>1689</v>
      </c>
    </row>
    <row r="19" spans="1:2" x14ac:dyDescent="0.3">
      <c r="A19" t="s">
        <v>1690</v>
      </c>
      <c r="B19" t="s">
        <v>1691</v>
      </c>
    </row>
    <row r="21" spans="1:2" x14ac:dyDescent="0.3">
      <c r="A21" s="116" t="s">
        <v>1692</v>
      </c>
      <c r="B21" s="117"/>
    </row>
    <row r="22" spans="1:2" x14ac:dyDescent="0.3">
      <c r="A22" s="112" t="s">
        <v>1693</v>
      </c>
      <c r="B22" s="112" t="s">
        <v>1661</v>
      </c>
    </row>
    <row r="23" spans="1:2" x14ac:dyDescent="0.3">
      <c r="A23" t="s">
        <v>1694</v>
      </c>
      <c r="B23" t="s">
        <v>1695</v>
      </c>
    </row>
    <row r="24" spans="1:2" x14ac:dyDescent="0.3">
      <c r="A24" t="s">
        <v>1696</v>
      </c>
      <c r="B24" t="s">
        <v>1697</v>
      </c>
    </row>
    <row r="25" spans="1:2" x14ac:dyDescent="0.3">
      <c r="A25" t="s">
        <v>1698</v>
      </c>
      <c r="B25" t="s">
        <v>1699</v>
      </c>
    </row>
    <row r="26" spans="1:2" x14ac:dyDescent="0.3">
      <c r="A26" t="s">
        <v>1700</v>
      </c>
      <c r="B26" t="s">
        <v>1701</v>
      </c>
    </row>
    <row r="27" spans="1:2" x14ac:dyDescent="0.3">
      <c r="A27" t="s">
        <v>1702</v>
      </c>
      <c r="B27" t="s">
        <v>1703</v>
      </c>
    </row>
    <row r="28" spans="1:2" x14ac:dyDescent="0.3">
      <c r="A28" t="s">
        <v>1704</v>
      </c>
      <c r="B28" t="s">
        <v>1705</v>
      </c>
    </row>
    <row r="29" spans="1:2" x14ac:dyDescent="0.3">
      <c r="A29" t="s">
        <v>1706</v>
      </c>
      <c r="B29" t="s">
        <v>1707</v>
      </c>
    </row>
    <row r="30" spans="1:2" x14ac:dyDescent="0.3">
      <c r="A30" t="s">
        <v>1708</v>
      </c>
      <c r="B30" t="s">
        <v>1709</v>
      </c>
    </row>
    <row r="31" spans="1:2" x14ac:dyDescent="0.3">
      <c r="A31" t="s">
        <v>1710</v>
      </c>
      <c r="B31" t="s">
        <v>1711</v>
      </c>
    </row>
    <row r="32" spans="1:2" x14ac:dyDescent="0.3">
      <c r="A32" t="s">
        <v>1712</v>
      </c>
      <c r="B32" t="s">
        <v>1713</v>
      </c>
    </row>
    <row r="33" spans="1:2" x14ac:dyDescent="0.3">
      <c r="A33" t="s">
        <v>1714</v>
      </c>
      <c r="B33" t="s">
        <v>1715</v>
      </c>
    </row>
    <row r="34" spans="1:2" x14ac:dyDescent="0.3">
      <c r="A34" t="s">
        <v>1716</v>
      </c>
      <c r="B34" t="s">
        <v>1717</v>
      </c>
    </row>
    <row r="35" spans="1:2" x14ac:dyDescent="0.3">
      <c r="A35" t="s">
        <v>1718</v>
      </c>
      <c r="B35" t="s">
        <v>1719</v>
      </c>
    </row>
    <row r="36" spans="1:2" x14ac:dyDescent="0.3">
      <c r="A36" t="s">
        <v>1720</v>
      </c>
      <c r="B36" t="s">
        <v>1721</v>
      </c>
    </row>
    <row r="37" spans="1:2" x14ac:dyDescent="0.3">
      <c r="A37" t="s">
        <v>1722</v>
      </c>
      <c r="B37" t="s">
        <v>1723</v>
      </c>
    </row>
    <row r="38" spans="1:2" x14ac:dyDescent="0.3">
      <c r="A38" t="s">
        <v>1724</v>
      </c>
      <c r="B38" t="s">
        <v>1725</v>
      </c>
    </row>
    <row r="40" spans="1:2" x14ac:dyDescent="0.3">
      <c r="A40" s="118" t="s">
        <v>1726</v>
      </c>
      <c r="B40" s="119"/>
    </row>
    <row r="41" spans="1:2" x14ac:dyDescent="0.3">
      <c r="A41" s="121" t="s">
        <v>1727</v>
      </c>
    </row>
    <row r="43" spans="1:2" x14ac:dyDescent="0.3">
      <c r="A43" s="118" t="s">
        <v>1728</v>
      </c>
      <c r="B43" s="119"/>
    </row>
    <row r="44" spans="1:2" x14ac:dyDescent="0.3">
      <c r="A44" s="120" t="s">
        <v>1729</v>
      </c>
    </row>
    <row r="45" spans="1:2" x14ac:dyDescent="0.3">
      <c r="A45" s="120" t="s">
        <v>1730</v>
      </c>
    </row>
    <row r="46" spans="1:2" x14ac:dyDescent="0.3">
      <c r="A46" s="120" t="s">
        <v>1731</v>
      </c>
    </row>
    <row r="47" spans="1:2" x14ac:dyDescent="0.3">
      <c r="A47" s="120" t="s">
        <v>1732</v>
      </c>
    </row>
    <row r="48" spans="1:2" x14ac:dyDescent="0.3">
      <c r="A48" s="120" t="s">
        <v>1733</v>
      </c>
    </row>
    <row r="49" spans="1:2" x14ac:dyDescent="0.3">
      <c r="A49" s="120" t="s">
        <v>1734</v>
      </c>
    </row>
    <row r="50" spans="1:2" x14ac:dyDescent="0.3">
      <c r="A50" s="120" t="s">
        <v>1735</v>
      </c>
    </row>
    <row r="51" spans="1:2" x14ac:dyDescent="0.3">
      <c r="A51" s="120" t="s">
        <v>1736</v>
      </c>
    </row>
    <row r="52" spans="1:2" x14ac:dyDescent="0.3">
      <c r="A52" s="120" t="s">
        <v>1737</v>
      </c>
    </row>
    <row r="53" spans="1:2" x14ac:dyDescent="0.3">
      <c r="A53" s="120" t="s">
        <v>1738</v>
      </c>
    </row>
    <row r="54" spans="1:2" x14ac:dyDescent="0.3">
      <c r="A54" s="120" t="s">
        <v>1739</v>
      </c>
    </row>
    <row r="55" spans="1:2" x14ac:dyDescent="0.3">
      <c r="A55" s="120" t="s">
        <v>1740</v>
      </c>
    </row>
    <row r="56" spans="1:2" x14ac:dyDescent="0.3">
      <c r="A56" s="120" t="s">
        <v>1741</v>
      </c>
    </row>
    <row r="57" spans="1:2" x14ac:dyDescent="0.3">
      <c r="A57" s="120" t="s">
        <v>1742</v>
      </c>
    </row>
    <row r="58" spans="1:2" x14ac:dyDescent="0.3">
      <c r="A58" s="120" t="s">
        <v>1743</v>
      </c>
    </row>
    <row r="60" spans="1:2" x14ac:dyDescent="0.3">
      <c r="A60" s="122" t="s">
        <v>1744</v>
      </c>
      <c r="B60" s="123"/>
    </row>
    <row r="61" spans="1:2" x14ac:dyDescent="0.3">
      <c r="A61">
        <v>1</v>
      </c>
      <c r="B61" t="s">
        <v>1745</v>
      </c>
    </row>
    <row r="62" spans="1:2" x14ac:dyDescent="0.3">
      <c r="A62">
        <v>2</v>
      </c>
      <c r="B62" t="s">
        <v>1746</v>
      </c>
    </row>
    <row r="63" spans="1:2" x14ac:dyDescent="0.3">
      <c r="A63">
        <v>3</v>
      </c>
      <c r="B63" t="s">
        <v>1747</v>
      </c>
    </row>
    <row r="64" spans="1:2" x14ac:dyDescent="0.3">
      <c r="A64">
        <v>4</v>
      </c>
      <c r="B64" t="s">
        <v>1748</v>
      </c>
    </row>
    <row r="65" spans="1:2" x14ac:dyDescent="0.3">
      <c r="A65">
        <v>5</v>
      </c>
      <c r="B65" t="s">
        <v>1749</v>
      </c>
    </row>
    <row r="66" spans="1:2" x14ac:dyDescent="0.3">
      <c r="A66">
        <v>6</v>
      </c>
      <c r="B66" t="s">
        <v>1750</v>
      </c>
    </row>
    <row r="67" spans="1:2" x14ac:dyDescent="0.3">
      <c r="A67">
        <v>7</v>
      </c>
      <c r="B67" t="s">
        <v>1751</v>
      </c>
    </row>
    <row r="69" spans="1:2" x14ac:dyDescent="0.3">
      <c r="A69" s="124" t="s">
        <v>1752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topLeftCell="A4" workbookViewId="0"/>
  </sheetViews>
  <sheetFormatPr defaultRowHeight="14.4" x14ac:dyDescent="0.3"/>
  <cols>
    <col min="1" max="1" width="20" customWidth="1"/>
    <col min="2" max="2" width="12" customWidth="1"/>
    <col min="3" max="3" width="48" customWidth="1"/>
  </cols>
  <sheetData>
    <row r="1" spans="1:3" x14ac:dyDescent="0.3">
      <c r="A1" t="s">
        <v>0</v>
      </c>
      <c r="B1" t="s">
        <v>31</v>
      </c>
      <c r="C1" t="s">
        <v>32</v>
      </c>
    </row>
    <row r="2" spans="1:3" x14ac:dyDescent="0.3">
      <c r="A2" t="s">
        <v>10</v>
      </c>
      <c r="B2" t="s">
        <v>33</v>
      </c>
      <c r="C2" t="s">
        <v>34</v>
      </c>
    </row>
    <row r="3" spans="1:3" x14ac:dyDescent="0.3">
      <c r="A3" t="s">
        <v>12</v>
      </c>
      <c r="B3" t="s">
        <v>33</v>
      </c>
      <c r="C3" t="s">
        <v>34</v>
      </c>
    </row>
    <row r="4" spans="1:3" x14ac:dyDescent="0.3">
      <c r="A4" t="s">
        <v>13</v>
      </c>
      <c r="B4" t="s">
        <v>33</v>
      </c>
      <c r="C4" t="s">
        <v>34</v>
      </c>
    </row>
    <row r="5" spans="1:3" x14ac:dyDescent="0.3">
      <c r="A5" t="s">
        <v>14</v>
      </c>
      <c r="B5" t="s">
        <v>33</v>
      </c>
      <c r="C5" t="s">
        <v>34</v>
      </c>
    </row>
    <row r="6" spans="1:3" x14ac:dyDescent="0.3">
      <c r="A6" t="s">
        <v>16</v>
      </c>
      <c r="B6" t="s">
        <v>33</v>
      </c>
      <c r="C6" t="s">
        <v>34</v>
      </c>
    </row>
    <row r="7" spans="1:3" x14ac:dyDescent="0.3">
      <c r="A7" t="s">
        <v>17</v>
      </c>
      <c r="B7" t="s">
        <v>33</v>
      </c>
      <c r="C7" t="s">
        <v>34</v>
      </c>
    </row>
    <row r="8" spans="1:3" x14ac:dyDescent="0.3">
      <c r="A8" t="s">
        <v>18</v>
      </c>
      <c r="B8" t="s">
        <v>33</v>
      </c>
      <c r="C8" t="s">
        <v>34</v>
      </c>
    </row>
    <row r="9" spans="1:3" x14ac:dyDescent="0.3">
      <c r="A9" t="s">
        <v>19</v>
      </c>
      <c r="B9" t="s">
        <v>33</v>
      </c>
      <c r="C9" t="s">
        <v>34</v>
      </c>
    </row>
    <row r="10" spans="1:3" x14ac:dyDescent="0.3">
      <c r="A10" t="s">
        <v>20</v>
      </c>
      <c r="B10" t="s">
        <v>33</v>
      </c>
      <c r="C10" t="s">
        <v>34</v>
      </c>
    </row>
    <row r="11" spans="1:3" x14ac:dyDescent="0.3">
      <c r="A11" t="s">
        <v>21</v>
      </c>
      <c r="B11" t="s">
        <v>33</v>
      </c>
      <c r="C11" t="s">
        <v>34</v>
      </c>
    </row>
    <row r="12" spans="1:3" x14ac:dyDescent="0.3">
      <c r="A12" t="s">
        <v>22</v>
      </c>
      <c r="B12" t="s">
        <v>33</v>
      </c>
      <c r="C12" t="s">
        <v>34</v>
      </c>
    </row>
    <row r="13" spans="1:3" x14ac:dyDescent="0.3">
      <c r="A13" t="s">
        <v>23</v>
      </c>
      <c r="B13" t="s">
        <v>33</v>
      </c>
      <c r="C13" t="s">
        <v>34</v>
      </c>
    </row>
    <row r="14" spans="1:3" x14ac:dyDescent="0.3">
      <c r="A14" t="s">
        <v>24</v>
      </c>
      <c r="B14" t="s">
        <v>33</v>
      </c>
      <c r="C14" t="s">
        <v>34</v>
      </c>
    </row>
    <row r="15" spans="1:3" x14ac:dyDescent="0.3">
      <c r="A15" t="s">
        <v>25</v>
      </c>
      <c r="B15" t="s">
        <v>33</v>
      </c>
      <c r="C15" t="s">
        <v>34</v>
      </c>
    </row>
    <row r="16" spans="1:3" x14ac:dyDescent="0.3">
      <c r="A16" t="s">
        <v>26</v>
      </c>
      <c r="B16" t="s">
        <v>33</v>
      </c>
      <c r="C16" t="s">
        <v>34</v>
      </c>
    </row>
    <row r="17" spans="1:3" x14ac:dyDescent="0.3">
      <c r="A17" t="s">
        <v>27</v>
      </c>
      <c r="B17" t="s">
        <v>33</v>
      </c>
      <c r="C17" t="s">
        <v>34</v>
      </c>
    </row>
    <row r="18" spans="1:3" x14ac:dyDescent="0.3">
      <c r="A18" t="s">
        <v>28</v>
      </c>
      <c r="B18" t="s">
        <v>33</v>
      </c>
      <c r="C18" t="s">
        <v>34</v>
      </c>
    </row>
    <row r="19" spans="1:3" x14ac:dyDescent="0.3">
      <c r="A19" t="s">
        <v>29</v>
      </c>
      <c r="B19" t="s">
        <v>33</v>
      </c>
      <c r="C19" t="s">
        <v>34</v>
      </c>
    </row>
    <row r="20" spans="1:3" x14ac:dyDescent="0.3">
      <c r="A20" t="s">
        <v>30</v>
      </c>
      <c r="B20" t="s">
        <v>33</v>
      </c>
      <c r="C20" t="s">
        <v>34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D248"/>
  <sheetViews>
    <sheetView workbookViewId="0"/>
  </sheetViews>
  <sheetFormatPr defaultRowHeight="14.4" x14ac:dyDescent="0.3"/>
  <cols>
    <col min="1" max="1" width="40.77734375" customWidth="1"/>
    <col min="2" max="2" width="33.33203125" customWidth="1"/>
    <col min="3" max="3" width="5.5546875" customWidth="1"/>
    <col min="4" max="4" width="77.77734375" customWidth="1"/>
    <col min="5" max="5" width="33.33203125" customWidth="1"/>
    <col min="6" max="7" width="51.88671875" customWidth="1"/>
  </cols>
  <sheetData>
    <row r="1" spans="1:7" ht="22.35" customHeight="1" x14ac:dyDescent="0.3">
      <c r="A1" s="1" t="s">
        <v>35</v>
      </c>
      <c r="B1" s="2"/>
      <c r="C1" s="2"/>
      <c r="D1" s="2"/>
      <c r="E1" s="2"/>
      <c r="F1" s="2"/>
      <c r="G1" s="2"/>
    </row>
    <row r="2" spans="1:7" ht="9.6" customHeight="1" x14ac:dyDescent="0.3">
      <c r="A2" s="3" t="s">
        <v>36</v>
      </c>
      <c r="B2" s="2"/>
      <c r="C2" s="2"/>
      <c r="D2" s="2"/>
      <c r="E2" s="2"/>
      <c r="F2" s="2"/>
      <c r="G2" s="2"/>
    </row>
    <row r="3" spans="1:7" ht="22.35" customHeight="1" x14ac:dyDescent="0.3">
      <c r="A3" s="2"/>
      <c r="B3" s="2"/>
      <c r="C3" s="2"/>
      <c r="D3" s="2"/>
      <c r="E3" s="2"/>
      <c r="F3" s="2"/>
      <c r="G3" s="2"/>
    </row>
    <row r="4" spans="1:7" ht="13.95" customHeight="1" x14ac:dyDescent="0.3">
      <c r="A4" s="4" t="s">
        <v>37</v>
      </c>
      <c r="B4" s="5"/>
      <c r="C4" s="5"/>
      <c r="D4" s="5"/>
      <c r="E4" s="5"/>
      <c r="F4" s="5"/>
      <c r="G4" s="5"/>
    </row>
    <row r="5" spans="1:7" ht="34.5" customHeight="1" x14ac:dyDescent="0.3">
      <c r="A5" s="6" t="s">
        <v>38</v>
      </c>
      <c r="B5" s="6" t="s">
        <v>39</v>
      </c>
      <c r="C5" s="6" t="s">
        <v>40</v>
      </c>
      <c r="D5" s="6" t="s">
        <v>41</v>
      </c>
      <c r="E5" s="6" t="s">
        <v>42</v>
      </c>
      <c r="F5" s="6" t="s">
        <v>43</v>
      </c>
      <c r="G5" s="6" t="s">
        <v>44</v>
      </c>
    </row>
    <row r="6" spans="1:7" ht="34.5" customHeight="1" x14ac:dyDescent="0.3">
      <c r="A6" s="7">
        <v>1</v>
      </c>
      <c r="B6" s="7" t="s">
        <v>45</v>
      </c>
      <c r="C6" s="7" t="s">
        <v>46</v>
      </c>
      <c r="D6" s="7" t="s">
        <v>47</v>
      </c>
      <c r="E6" s="7" t="s">
        <v>48</v>
      </c>
      <c r="F6" s="7" t="s">
        <v>49</v>
      </c>
      <c r="G6" s="7" t="s">
        <v>50</v>
      </c>
    </row>
    <row r="7" spans="1:7" ht="34.5" customHeight="1" x14ac:dyDescent="0.3">
      <c r="A7" s="8">
        <v>2</v>
      </c>
      <c r="B7" s="8" t="s">
        <v>51</v>
      </c>
      <c r="C7" s="8" t="s">
        <v>52</v>
      </c>
      <c r="D7" s="8" t="s">
        <v>53</v>
      </c>
      <c r="E7" s="8" t="s">
        <v>54</v>
      </c>
      <c r="F7" s="8" t="s">
        <v>55</v>
      </c>
      <c r="G7" s="8" t="s">
        <v>56</v>
      </c>
    </row>
    <row r="8" spans="1:7" ht="34.5" customHeight="1" x14ac:dyDescent="0.3">
      <c r="A8" s="7">
        <v>3</v>
      </c>
      <c r="B8" s="7" t="s">
        <v>57</v>
      </c>
      <c r="C8" s="7" t="s">
        <v>58</v>
      </c>
      <c r="D8" s="7" t="s">
        <v>59</v>
      </c>
      <c r="E8" s="7" t="s">
        <v>60</v>
      </c>
      <c r="F8" s="7" t="s">
        <v>61</v>
      </c>
      <c r="G8" s="7" t="s">
        <v>62</v>
      </c>
    </row>
    <row r="9" spans="1:7" ht="46.05" customHeight="1" x14ac:dyDescent="0.3">
      <c r="A9" s="8">
        <v>4</v>
      </c>
      <c r="B9" s="8" t="s">
        <v>63</v>
      </c>
      <c r="C9" s="8" t="s">
        <v>64</v>
      </c>
      <c r="D9" s="8" t="s">
        <v>65</v>
      </c>
      <c r="E9" s="8" t="s">
        <v>66</v>
      </c>
      <c r="F9" s="8" t="s">
        <v>67</v>
      </c>
      <c r="G9" s="8" t="s">
        <v>68</v>
      </c>
    </row>
    <row r="10" spans="1:7" ht="57.6" customHeight="1" x14ac:dyDescent="0.3">
      <c r="A10" s="7">
        <v>5</v>
      </c>
      <c r="B10" s="7" t="s">
        <v>69</v>
      </c>
      <c r="C10" s="7" t="s">
        <v>70</v>
      </c>
      <c r="D10" s="7" t="s">
        <v>71</v>
      </c>
      <c r="E10" s="7" t="s">
        <v>72</v>
      </c>
      <c r="F10" s="7" t="s">
        <v>73</v>
      </c>
      <c r="G10" s="7" t="s">
        <v>74</v>
      </c>
    </row>
    <row r="11" spans="1:7" ht="46.05" customHeight="1" x14ac:dyDescent="0.3">
      <c r="A11" s="8">
        <v>6</v>
      </c>
      <c r="B11" s="8" t="s">
        <v>75</v>
      </c>
      <c r="C11" s="8" t="s">
        <v>76</v>
      </c>
      <c r="D11" s="8" t="s">
        <v>77</v>
      </c>
      <c r="E11" s="8" t="s">
        <v>78</v>
      </c>
      <c r="F11" s="8" t="s">
        <v>79</v>
      </c>
      <c r="G11" s="8" t="s">
        <v>80</v>
      </c>
    </row>
    <row r="12" spans="1:7" ht="57.6" customHeight="1" x14ac:dyDescent="0.3">
      <c r="A12" s="7">
        <v>7</v>
      </c>
      <c r="B12" s="7" t="s">
        <v>81</v>
      </c>
      <c r="C12" s="7" t="s">
        <v>82</v>
      </c>
      <c r="D12" s="7" t="s">
        <v>83</v>
      </c>
      <c r="E12" s="7" t="s">
        <v>84</v>
      </c>
      <c r="F12" s="7" t="s">
        <v>85</v>
      </c>
      <c r="G12" s="7" t="s">
        <v>86</v>
      </c>
    </row>
    <row r="13" spans="1:7" ht="46.05" customHeight="1" x14ac:dyDescent="0.3">
      <c r="A13" s="8">
        <v>8</v>
      </c>
      <c r="B13" s="8" t="s">
        <v>87</v>
      </c>
      <c r="C13" s="8" t="s">
        <v>88</v>
      </c>
      <c r="D13" s="8" t="s">
        <v>89</v>
      </c>
      <c r="E13" s="8" t="s">
        <v>90</v>
      </c>
      <c r="F13" s="8" t="s">
        <v>91</v>
      </c>
      <c r="G13" s="8" t="s">
        <v>92</v>
      </c>
    </row>
    <row r="14" spans="1:7" ht="46.05" customHeight="1" x14ac:dyDescent="0.3">
      <c r="A14" s="7">
        <v>9</v>
      </c>
      <c r="B14" s="7" t="s">
        <v>93</v>
      </c>
      <c r="C14" s="7" t="s">
        <v>94</v>
      </c>
      <c r="D14" s="7" t="s">
        <v>95</v>
      </c>
      <c r="E14" s="7" t="s">
        <v>96</v>
      </c>
      <c r="F14" s="7" t="s">
        <v>97</v>
      </c>
      <c r="G14" s="7" t="s">
        <v>98</v>
      </c>
    </row>
    <row r="15" spans="1:7" ht="9.6" customHeight="1" x14ac:dyDescent="0.3">
      <c r="A15" s="2"/>
      <c r="B15" s="2"/>
      <c r="C15" s="2"/>
      <c r="D15" s="2"/>
      <c r="E15" s="2"/>
      <c r="F15" s="2"/>
      <c r="G15" s="2"/>
    </row>
    <row r="16" spans="1:7" ht="22.35" customHeight="1" x14ac:dyDescent="0.3">
      <c r="A16" s="9" t="s">
        <v>99</v>
      </c>
      <c r="B16" s="10"/>
      <c r="C16" s="10"/>
      <c r="D16" s="10"/>
      <c r="E16" s="10"/>
      <c r="F16" s="10"/>
      <c r="G16" s="10"/>
    </row>
    <row r="17" spans="1:7" x14ac:dyDescent="0.3">
      <c r="A17" s="11" t="s">
        <v>100</v>
      </c>
      <c r="B17" s="11" t="s">
        <v>101</v>
      </c>
      <c r="C17" s="12"/>
      <c r="D17" s="11" t="s">
        <v>102</v>
      </c>
      <c r="E17" s="12"/>
      <c r="F17" s="12"/>
      <c r="G17" s="12"/>
    </row>
    <row r="18" spans="1:7" x14ac:dyDescent="0.3">
      <c r="A18" s="13" t="s">
        <v>103</v>
      </c>
      <c r="B18" s="14" t="s">
        <v>104</v>
      </c>
      <c r="C18" s="7"/>
      <c r="D18" s="14" t="s">
        <v>105</v>
      </c>
      <c r="E18" s="7"/>
      <c r="F18" s="7"/>
      <c r="G18" s="7"/>
    </row>
    <row r="19" spans="1:7" x14ac:dyDescent="0.3">
      <c r="A19" s="14"/>
      <c r="B19" s="14" t="s">
        <v>106</v>
      </c>
      <c r="C19" s="7"/>
      <c r="D19" s="14" t="s">
        <v>107</v>
      </c>
      <c r="E19" s="7"/>
      <c r="F19" s="7"/>
      <c r="G19" s="7"/>
    </row>
    <row r="20" spans="1:7" x14ac:dyDescent="0.3">
      <c r="A20" s="14"/>
      <c r="B20" s="14" t="s">
        <v>108</v>
      </c>
      <c r="C20" s="7"/>
      <c r="D20" s="14" t="s">
        <v>109</v>
      </c>
      <c r="E20" s="7"/>
      <c r="F20" s="7"/>
      <c r="G20" s="7"/>
    </row>
    <row r="21" spans="1:7" x14ac:dyDescent="0.3">
      <c r="A21" s="14"/>
      <c r="B21" s="14" t="s">
        <v>110</v>
      </c>
      <c r="C21" s="7"/>
      <c r="D21" s="14" t="s">
        <v>111</v>
      </c>
      <c r="E21" s="7"/>
      <c r="F21" s="7"/>
      <c r="G21" s="7"/>
    </row>
    <row r="22" spans="1:7" x14ac:dyDescent="0.3">
      <c r="A22" s="15" t="s">
        <v>112</v>
      </c>
      <c r="B22" s="16" t="s">
        <v>104</v>
      </c>
      <c r="C22" s="7"/>
      <c r="D22" s="16" t="s">
        <v>113</v>
      </c>
      <c r="E22" s="7"/>
      <c r="F22" s="7"/>
      <c r="G22" s="7"/>
    </row>
    <row r="23" spans="1:7" x14ac:dyDescent="0.3">
      <c r="A23" s="16"/>
      <c r="B23" s="16" t="s">
        <v>106</v>
      </c>
      <c r="C23" s="7"/>
      <c r="D23" s="16" t="s">
        <v>114</v>
      </c>
      <c r="E23" s="7"/>
      <c r="F23" s="7"/>
      <c r="G23" s="7"/>
    </row>
    <row r="24" spans="1:7" x14ac:dyDescent="0.3">
      <c r="A24" s="16"/>
      <c r="B24" s="16" t="s">
        <v>108</v>
      </c>
      <c r="C24" s="7"/>
      <c r="D24" s="16" t="s">
        <v>115</v>
      </c>
      <c r="E24" s="7"/>
      <c r="F24" s="7"/>
      <c r="G24" s="7"/>
    </row>
    <row r="25" spans="1:7" x14ac:dyDescent="0.3">
      <c r="A25" s="16"/>
      <c r="B25" s="16" t="s">
        <v>110</v>
      </c>
      <c r="C25" s="7"/>
      <c r="D25" s="16" t="s">
        <v>116</v>
      </c>
      <c r="E25" s="7"/>
      <c r="F25" s="7"/>
      <c r="G25" s="7"/>
    </row>
    <row r="26" spans="1:7" x14ac:dyDescent="0.3">
      <c r="A26" s="17" t="s">
        <v>117</v>
      </c>
      <c r="B26" s="18" t="s">
        <v>104</v>
      </c>
      <c r="C26" s="7"/>
      <c r="D26" s="18" t="s">
        <v>118</v>
      </c>
      <c r="E26" s="7"/>
      <c r="F26" s="7"/>
      <c r="G26" s="7"/>
    </row>
    <row r="27" spans="1:7" x14ac:dyDescent="0.3">
      <c r="A27" s="18"/>
      <c r="B27" s="18" t="s">
        <v>106</v>
      </c>
      <c r="C27" s="7"/>
      <c r="D27" s="18" t="s">
        <v>119</v>
      </c>
      <c r="E27" s="7"/>
      <c r="F27" s="7"/>
      <c r="G27" s="7"/>
    </row>
    <row r="28" spans="1:7" x14ac:dyDescent="0.3">
      <c r="A28" s="18"/>
      <c r="B28" s="18" t="s">
        <v>108</v>
      </c>
      <c r="C28" s="7"/>
      <c r="D28" s="18" t="s">
        <v>120</v>
      </c>
      <c r="E28" s="7"/>
      <c r="F28" s="7"/>
      <c r="G28" s="7"/>
    </row>
    <row r="29" spans="1:7" x14ac:dyDescent="0.3">
      <c r="A29" s="18"/>
      <c r="B29" s="18" t="s">
        <v>110</v>
      </c>
      <c r="C29" s="7"/>
      <c r="D29" s="18" t="s">
        <v>121</v>
      </c>
      <c r="E29" s="7"/>
      <c r="F29" s="7"/>
      <c r="G29" s="7"/>
    </row>
    <row r="30" spans="1:7" x14ac:dyDescent="0.3">
      <c r="A30" s="19" t="s">
        <v>122</v>
      </c>
      <c r="B30" s="20" t="s">
        <v>104</v>
      </c>
      <c r="C30" s="7"/>
      <c r="D30" s="20" t="s">
        <v>123</v>
      </c>
      <c r="E30" s="7"/>
      <c r="F30" s="7"/>
      <c r="G30" s="7"/>
    </row>
    <row r="31" spans="1:7" x14ac:dyDescent="0.3">
      <c r="A31" s="20"/>
      <c r="B31" s="20" t="s">
        <v>106</v>
      </c>
      <c r="C31" s="7"/>
      <c r="D31" s="20" t="s">
        <v>124</v>
      </c>
      <c r="E31" s="7"/>
      <c r="F31" s="7"/>
      <c r="G31" s="7"/>
    </row>
    <row r="32" spans="1:7" x14ac:dyDescent="0.3">
      <c r="A32" s="20"/>
      <c r="B32" s="20" t="s">
        <v>108</v>
      </c>
      <c r="C32" s="7"/>
      <c r="D32" s="20" t="s">
        <v>125</v>
      </c>
      <c r="E32" s="7"/>
      <c r="F32" s="7"/>
      <c r="G32" s="7"/>
    </row>
    <row r="33" spans="1:7" x14ac:dyDescent="0.3">
      <c r="A33" s="20"/>
      <c r="B33" s="20" t="s">
        <v>110</v>
      </c>
      <c r="C33" s="7"/>
      <c r="D33" s="20" t="s">
        <v>126</v>
      </c>
      <c r="E33" s="7"/>
      <c r="F33" s="7"/>
      <c r="G33" s="7"/>
    </row>
    <row r="34" spans="1:7" x14ac:dyDescent="0.3">
      <c r="A34" s="21" t="s">
        <v>127</v>
      </c>
      <c r="B34" s="22" t="s">
        <v>104</v>
      </c>
      <c r="C34" s="7"/>
      <c r="D34" s="22" t="s">
        <v>128</v>
      </c>
      <c r="E34" s="7"/>
      <c r="F34" s="7"/>
      <c r="G34" s="7"/>
    </row>
    <row r="35" spans="1:7" x14ac:dyDescent="0.3">
      <c r="A35" s="22"/>
      <c r="B35" s="22" t="s">
        <v>106</v>
      </c>
      <c r="C35" s="7"/>
      <c r="D35" s="22" t="s">
        <v>129</v>
      </c>
      <c r="E35" s="7"/>
      <c r="F35" s="7"/>
      <c r="G35" s="7"/>
    </row>
    <row r="36" spans="1:7" x14ac:dyDescent="0.3">
      <c r="A36" s="22"/>
      <c r="B36" s="22" t="s">
        <v>108</v>
      </c>
      <c r="C36" s="7"/>
      <c r="D36" s="22" t="s">
        <v>130</v>
      </c>
      <c r="E36" s="7"/>
      <c r="F36" s="7"/>
      <c r="G36" s="7"/>
    </row>
    <row r="37" spans="1:7" x14ac:dyDescent="0.3">
      <c r="A37" s="22"/>
      <c r="B37" s="22" t="s">
        <v>110</v>
      </c>
      <c r="C37" s="7"/>
      <c r="D37" s="22" t="s">
        <v>131</v>
      </c>
      <c r="E37" s="7"/>
      <c r="F37" s="7"/>
      <c r="G37" s="7"/>
    </row>
    <row r="38" spans="1:7" x14ac:dyDescent="0.3">
      <c r="A38" s="23" t="s">
        <v>132</v>
      </c>
      <c r="B38" s="24" t="s">
        <v>104</v>
      </c>
      <c r="C38" s="7"/>
      <c r="D38" s="24" t="s">
        <v>133</v>
      </c>
      <c r="E38" s="7"/>
      <c r="F38" s="7"/>
      <c r="G38" s="7"/>
    </row>
    <row r="39" spans="1:7" x14ac:dyDescent="0.3">
      <c r="A39" s="24"/>
      <c r="B39" s="24" t="s">
        <v>106</v>
      </c>
      <c r="C39" s="7"/>
      <c r="D39" s="24" t="s">
        <v>134</v>
      </c>
      <c r="E39" s="7"/>
      <c r="F39" s="7"/>
      <c r="G39" s="7"/>
    </row>
    <row r="40" spans="1:7" x14ac:dyDescent="0.3">
      <c r="A40" s="24"/>
      <c r="B40" s="24" t="s">
        <v>108</v>
      </c>
      <c r="C40" s="7"/>
      <c r="D40" s="24" t="s">
        <v>135</v>
      </c>
      <c r="E40" s="7"/>
      <c r="F40" s="7"/>
      <c r="G40" s="7"/>
    </row>
    <row r="41" spans="1:7" x14ac:dyDescent="0.3">
      <c r="A41" s="24"/>
      <c r="B41" s="24" t="s">
        <v>110</v>
      </c>
      <c r="C41" s="7"/>
      <c r="D41" s="24" t="s">
        <v>136</v>
      </c>
      <c r="E41" s="7"/>
      <c r="F41" s="7"/>
      <c r="G41" s="7"/>
    </row>
    <row r="42" spans="1:7" x14ac:dyDescent="0.3">
      <c r="A42" s="25" t="s">
        <v>137</v>
      </c>
      <c r="B42" s="26" t="s">
        <v>104</v>
      </c>
      <c r="C42" s="7"/>
      <c r="D42" s="26" t="s">
        <v>138</v>
      </c>
      <c r="E42" s="7"/>
      <c r="F42" s="7"/>
      <c r="G42" s="7"/>
    </row>
    <row r="43" spans="1:7" x14ac:dyDescent="0.3">
      <c r="A43" s="26"/>
      <c r="B43" s="26" t="s">
        <v>106</v>
      </c>
      <c r="C43" s="7"/>
      <c r="D43" s="26" t="s">
        <v>139</v>
      </c>
      <c r="E43" s="7"/>
      <c r="F43" s="7"/>
      <c r="G43" s="7"/>
    </row>
    <row r="44" spans="1:7" x14ac:dyDescent="0.3">
      <c r="A44" s="26"/>
      <c r="B44" s="26" t="s">
        <v>108</v>
      </c>
      <c r="C44" s="7"/>
      <c r="D44" s="26" t="s">
        <v>140</v>
      </c>
      <c r="E44" s="7"/>
      <c r="F44" s="7"/>
      <c r="G44" s="7"/>
    </row>
    <row r="45" spans="1:7" x14ac:dyDescent="0.3">
      <c r="A45" s="26"/>
      <c r="B45" s="26" t="s">
        <v>110</v>
      </c>
      <c r="C45" s="7"/>
      <c r="D45" s="26" t="s">
        <v>141</v>
      </c>
      <c r="E45" s="7"/>
      <c r="F45" s="7"/>
      <c r="G45" s="7"/>
    </row>
    <row r="46" spans="1:7" x14ac:dyDescent="0.3">
      <c r="A46" s="27" t="s">
        <v>142</v>
      </c>
      <c r="B46" s="28" t="s">
        <v>104</v>
      </c>
      <c r="C46" s="7"/>
      <c r="D46" s="28" t="s">
        <v>143</v>
      </c>
      <c r="E46" s="7"/>
      <c r="F46" s="7"/>
      <c r="G46" s="7"/>
    </row>
    <row r="47" spans="1:7" x14ac:dyDescent="0.3">
      <c r="A47" s="28"/>
      <c r="B47" s="28" t="s">
        <v>106</v>
      </c>
      <c r="C47" s="7"/>
      <c r="D47" s="28" t="s">
        <v>144</v>
      </c>
      <c r="E47" s="7"/>
      <c r="F47" s="7"/>
      <c r="G47" s="7"/>
    </row>
    <row r="48" spans="1:7" x14ac:dyDescent="0.3">
      <c r="A48" s="28"/>
      <c r="B48" s="28" t="s">
        <v>108</v>
      </c>
      <c r="C48" s="7"/>
      <c r="D48" s="28" t="s">
        <v>145</v>
      </c>
      <c r="E48" s="7"/>
      <c r="F48" s="7"/>
      <c r="G48" s="7"/>
    </row>
    <row r="49" spans="1:7" x14ac:dyDescent="0.3">
      <c r="A49" s="28"/>
      <c r="B49" s="28" t="s">
        <v>110</v>
      </c>
      <c r="C49" s="7"/>
      <c r="D49" s="28" t="s">
        <v>146</v>
      </c>
      <c r="E49" s="7"/>
      <c r="F49" s="7"/>
      <c r="G49" s="7"/>
    </row>
    <row r="50" spans="1:7" x14ac:dyDescent="0.3">
      <c r="A50" s="29" t="s">
        <v>147</v>
      </c>
      <c r="B50" s="30" t="s">
        <v>104</v>
      </c>
      <c r="C50" s="7"/>
      <c r="D50" s="30" t="s">
        <v>148</v>
      </c>
      <c r="E50" s="7"/>
      <c r="F50" s="7"/>
      <c r="G50" s="7"/>
    </row>
    <row r="51" spans="1:7" x14ac:dyDescent="0.3">
      <c r="A51" s="30"/>
      <c r="B51" s="30" t="s">
        <v>106</v>
      </c>
      <c r="C51" s="7"/>
      <c r="D51" s="30" t="s">
        <v>149</v>
      </c>
      <c r="E51" s="7"/>
      <c r="F51" s="7"/>
      <c r="G51" s="7"/>
    </row>
    <row r="52" spans="1:7" x14ac:dyDescent="0.3">
      <c r="A52" s="30"/>
      <c r="B52" s="30" t="s">
        <v>108</v>
      </c>
      <c r="C52" s="7"/>
      <c r="D52" s="30" t="s">
        <v>150</v>
      </c>
      <c r="E52" s="7"/>
      <c r="F52" s="7"/>
      <c r="G52" s="7"/>
    </row>
    <row r="53" spans="1:7" x14ac:dyDescent="0.3">
      <c r="A53" s="30"/>
      <c r="B53" s="30" t="s">
        <v>110</v>
      </c>
      <c r="C53" s="7"/>
      <c r="D53" s="30" t="s">
        <v>151</v>
      </c>
      <c r="E53" s="7"/>
      <c r="F53" s="7"/>
      <c r="G53" s="7"/>
    </row>
    <row r="54" spans="1:7" ht="9.6" customHeight="1" x14ac:dyDescent="0.3">
      <c r="A54" s="2"/>
      <c r="B54" s="2"/>
      <c r="C54" s="2"/>
      <c r="D54" s="2"/>
      <c r="E54" s="2"/>
      <c r="F54" s="2"/>
      <c r="G54" s="2"/>
    </row>
    <row r="55" spans="1:7" ht="22.35" customHeight="1" x14ac:dyDescent="0.3">
      <c r="A55" s="31" t="s">
        <v>152</v>
      </c>
      <c r="B55" s="32"/>
      <c r="C55" s="32"/>
      <c r="D55" s="32"/>
      <c r="E55" s="32"/>
      <c r="F55" s="32"/>
      <c r="G55" s="32"/>
    </row>
    <row r="56" spans="1:7" x14ac:dyDescent="0.3">
      <c r="A56" s="33" t="s">
        <v>100</v>
      </c>
      <c r="B56" s="34"/>
      <c r="C56" s="34"/>
      <c r="D56" s="33" t="s">
        <v>153</v>
      </c>
      <c r="E56" s="34"/>
      <c r="F56" s="33" t="s">
        <v>154</v>
      </c>
      <c r="G56" s="34"/>
    </row>
    <row r="57" spans="1:7" ht="22.95" customHeight="1" x14ac:dyDescent="0.3">
      <c r="A57" s="8" t="s">
        <v>45</v>
      </c>
      <c r="B57" s="8"/>
      <c r="C57" s="8"/>
      <c r="D57" s="8" t="s">
        <v>155</v>
      </c>
      <c r="E57" s="8"/>
      <c r="F57" s="8" t="s">
        <v>156</v>
      </c>
      <c r="G57" s="8"/>
    </row>
    <row r="58" spans="1:7" ht="22.95" customHeight="1" x14ac:dyDescent="0.3">
      <c r="A58" s="7" t="s">
        <v>51</v>
      </c>
      <c r="B58" s="7"/>
      <c r="C58" s="7"/>
      <c r="D58" s="7" t="s">
        <v>157</v>
      </c>
      <c r="E58" s="7"/>
      <c r="F58" s="7" t="s">
        <v>158</v>
      </c>
      <c r="G58" s="7"/>
    </row>
    <row r="59" spans="1:7" x14ac:dyDescent="0.3">
      <c r="A59" s="8" t="s">
        <v>57</v>
      </c>
      <c r="B59" s="8"/>
      <c r="C59" s="8"/>
      <c r="D59" s="8" t="s">
        <v>159</v>
      </c>
      <c r="E59" s="8"/>
      <c r="F59" s="8" t="s">
        <v>160</v>
      </c>
      <c r="G59" s="8"/>
    </row>
    <row r="60" spans="1:7" ht="22.95" customHeight="1" x14ac:dyDescent="0.3">
      <c r="A60" s="7" t="s">
        <v>63</v>
      </c>
      <c r="B60" s="7"/>
      <c r="C60" s="7"/>
      <c r="D60" s="7" t="s">
        <v>161</v>
      </c>
      <c r="E60" s="7"/>
      <c r="F60" s="7" t="s">
        <v>162</v>
      </c>
      <c r="G60" s="7"/>
    </row>
    <row r="61" spans="1:7" ht="22.95" customHeight="1" x14ac:dyDescent="0.3">
      <c r="A61" s="8" t="s">
        <v>69</v>
      </c>
      <c r="B61" s="8"/>
      <c r="C61" s="8"/>
      <c r="D61" s="8" t="s">
        <v>163</v>
      </c>
      <c r="E61" s="8"/>
      <c r="F61" s="8" t="s">
        <v>164</v>
      </c>
      <c r="G61" s="8"/>
    </row>
    <row r="62" spans="1:7" ht="22.95" customHeight="1" x14ac:dyDescent="0.3">
      <c r="A62" s="7" t="s">
        <v>75</v>
      </c>
      <c r="B62" s="7"/>
      <c r="C62" s="7"/>
      <c r="D62" s="7" t="s">
        <v>165</v>
      </c>
      <c r="E62" s="7"/>
      <c r="F62" s="7" t="s">
        <v>166</v>
      </c>
      <c r="G62" s="7"/>
    </row>
    <row r="63" spans="1:7" ht="22.95" customHeight="1" x14ac:dyDescent="0.3">
      <c r="A63" s="8" t="s">
        <v>81</v>
      </c>
      <c r="B63" s="8"/>
      <c r="C63" s="8"/>
      <c r="D63" s="8" t="s">
        <v>167</v>
      </c>
      <c r="E63" s="8"/>
      <c r="F63" s="8" t="s">
        <v>168</v>
      </c>
      <c r="G63" s="8"/>
    </row>
    <row r="64" spans="1:7" ht="22.95" customHeight="1" x14ac:dyDescent="0.3">
      <c r="A64" s="7" t="s">
        <v>87</v>
      </c>
      <c r="B64" s="7"/>
      <c r="C64" s="7"/>
      <c r="D64" s="7" t="s">
        <v>169</v>
      </c>
      <c r="E64" s="7"/>
      <c r="F64" s="7" t="s">
        <v>170</v>
      </c>
      <c r="G64" s="7"/>
    </row>
    <row r="65" spans="1:7" ht="22.95" customHeight="1" x14ac:dyDescent="0.3">
      <c r="A65" s="8" t="s">
        <v>93</v>
      </c>
      <c r="B65" s="8"/>
      <c r="C65" s="8"/>
      <c r="D65" s="8" t="s">
        <v>171</v>
      </c>
      <c r="E65" s="8"/>
      <c r="F65" s="8" t="s">
        <v>172</v>
      </c>
      <c r="G65" s="8"/>
    </row>
    <row r="66" spans="1:7" ht="9.6" customHeight="1" x14ac:dyDescent="0.3">
      <c r="A66" s="2"/>
      <c r="B66" s="2"/>
      <c r="C66" s="2"/>
      <c r="D66" s="2"/>
      <c r="E66" s="2"/>
      <c r="F66" s="2"/>
      <c r="G66" s="2"/>
    </row>
    <row r="67" spans="1:7" ht="22.35" customHeight="1" x14ac:dyDescent="0.3">
      <c r="A67" s="35" t="s">
        <v>173</v>
      </c>
      <c r="B67" s="36"/>
      <c r="C67" s="36"/>
      <c r="D67" s="36"/>
      <c r="E67" s="36"/>
      <c r="F67" s="36"/>
      <c r="G67" s="36"/>
    </row>
    <row r="68" spans="1:7" x14ac:dyDescent="0.3">
      <c r="A68" s="37" t="s">
        <v>174</v>
      </c>
      <c r="B68" s="37" t="s">
        <v>40</v>
      </c>
      <c r="C68" s="38"/>
      <c r="D68" s="37" t="s">
        <v>175</v>
      </c>
      <c r="E68" s="38"/>
      <c r="F68" s="37" t="s">
        <v>176</v>
      </c>
      <c r="G68" s="38"/>
    </row>
    <row r="69" spans="1:7" x14ac:dyDescent="0.3">
      <c r="A69" s="8" t="s">
        <v>177</v>
      </c>
      <c r="B69" s="8" t="s">
        <v>178</v>
      </c>
      <c r="C69" s="8"/>
      <c r="D69" s="8" t="s">
        <v>179</v>
      </c>
      <c r="E69" s="8"/>
      <c r="F69" s="8" t="s">
        <v>180</v>
      </c>
      <c r="G69" s="8"/>
    </row>
    <row r="70" spans="1:7" x14ac:dyDescent="0.3">
      <c r="A70" s="7" t="s">
        <v>181</v>
      </c>
      <c r="B70" s="7" t="s">
        <v>182</v>
      </c>
      <c r="C70" s="7"/>
      <c r="D70" s="7" t="s">
        <v>183</v>
      </c>
      <c r="E70" s="7"/>
      <c r="F70" s="7" t="s">
        <v>184</v>
      </c>
      <c r="G70" s="7"/>
    </row>
    <row r="71" spans="1:7" x14ac:dyDescent="0.3">
      <c r="A71" s="8" t="s">
        <v>185</v>
      </c>
      <c r="B71" s="8" t="s">
        <v>186</v>
      </c>
      <c r="C71" s="8"/>
      <c r="D71" s="8" t="s">
        <v>187</v>
      </c>
      <c r="E71" s="8"/>
      <c r="F71" s="8" t="s">
        <v>188</v>
      </c>
      <c r="G71" s="8"/>
    </row>
    <row r="72" spans="1:7" x14ac:dyDescent="0.3">
      <c r="A72" s="7" t="s">
        <v>189</v>
      </c>
      <c r="B72" s="7" t="s">
        <v>190</v>
      </c>
      <c r="C72" s="7"/>
      <c r="D72" s="7" t="s">
        <v>191</v>
      </c>
      <c r="E72" s="7"/>
      <c r="F72" s="7" t="s">
        <v>192</v>
      </c>
      <c r="G72" s="7"/>
    </row>
    <row r="73" spans="1:7" x14ac:dyDescent="0.3">
      <c r="A73" s="8" t="s">
        <v>193</v>
      </c>
      <c r="B73" s="8" t="s">
        <v>194</v>
      </c>
      <c r="C73" s="8"/>
      <c r="D73" s="8" t="s">
        <v>195</v>
      </c>
      <c r="E73" s="8"/>
      <c r="F73" s="8" t="s">
        <v>196</v>
      </c>
      <c r="G73" s="8"/>
    </row>
    <row r="74" spans="1:7" x14ac:dyDescent="0.3">
      <c r="A74" s="7" t="s">
        <v>197</v>
      </c>
      <c r="B74" s="7" t="s">
        <v>198</v>
      </c>
      <c r="C74" s="7"/>
      <c r="D74" s="7" t="s">
        <v>199</v>
      </c>
      <c r="E74" s="7"/>
      <c r="F74" s="7" t="s">
        <v>200</v>
      </c>
      <c r="G74" s="7"/>
    </row>
    <row r="75" spans="1:7" x14ac:dyDescent="0.3">
      <c r="A75" s="8" t="s">
        <v>201</v>
      </c>
      <c r="B75" s="8" t="s">
        <v>202</v>
      </c>
      <c r="C75" s="8"/>
      <c r="D75" s="8" t="s">
        <v>203</v>
      </c>
      <c r="E75" s="8"/>
      <c r="F75" s="8" t="s">
        <v>204</v>
      </c>
      <c r="G75" s="8"/>
    </row>
    <row r="76" spans="1:7" x14ac:dyDescent="0.3">
      <c r="A76" s="7" t="s">
        <v>205</v>
      </c>
      <c r="B76" s="7" t="s">
        <v>206</v>
      </c>
      <c r="C76" s="7"/>
      <c r="D76" s="7" t="s">
        <v>207</v>
      </c>
      <c r="E76" s="7"/>
      <c r="F76" s="7" t="s">
        <v>208</v>
      </c>
      <c r="G76" s="7"/>
    </row>
    <row r="77" spans="1:7" x14ac:dyDescent="0.3">
      <c r="A77" s="8" t="s">
        <v>209</v>
      </c>
      <c r="B77" s="8" t="s">
        <v>210</v>
      </c>
      <c r="C77" s="8"/>
      <c r="D77" s="8" t="s">
        <v>211</v>
      </c>
      <c r="E77" s="8"/>
      <c r="F77" s="8" t="s">
        <v>212</v>
      </c>
      <c r="G77" s="8"/>
    </row>
    <row r="78" spans="1:7" x14ac:dyDescent="0.3">
      <c r="A78" s="7" t="s">
        <v>213</v>
      </c>
      <c r="B78" s="7" t="s">
        <v>214</v>
      </c>
      <c r="C78" s="7"/>
      <c r="D78" s="7" t="s">
        <v>215</v>
      </c>
      <c r="E78" s="7"/>
      <c r="F78" s="7" t="s">
        <v>216</v>
      </c>
      <c r="G78" s="7"/>
    </row>
    <row r="79" spans="1:7" x14ac:dyDescent="0.3">
      <c r="A79" s="8" t="s">
        <v>217</v>
      </c>
      <c r="B79" s="8" t="s">
        <v>218</v>
      </c>
      <c r="C79" s="8"/>
      <c r="D79" s="8" t="s">
        <v>219</v>
      </c>
      <c r="E79" s="8"/>
      <c r="F79" s="8" t="s">
        <v>220</v>
      </c>
      <c r="G79" s="8"/>
    </row>
    <row r="80" spans="1:7" x14ac:dyDescent="0.3">
      <c r="A80" s="7" t="s">
        <v>221</v>
      </c>
      <c r="B80" s="7" t="s">
        <v>222</v>
      </c>
      <c r="C80" s="7"/>
      <c r="D80" s="7" t="s">
        <v>223</v>
      </c>
      <c r="E80" s="7"/>
      <c r="F80" s="7" t="s">
        <v>224</v>
      </c>
      <c r="G80" s="7"/>
    </row>
    <row r="81" spans="1:7" x14ac:dyDescent="0.3">
      <c r="A81" s="8" t="s">
        <v>225</v>
      </c>
      <c r="B81" s="8" t="s">
        <v>226</v>
      </c>
      <c r="C81" s="8"/>
      <c r="D81" s="8" t="s">
        <v>227</v>
      </c>
      <c r="E81" s="8"/>
      <c r="F81" s="8" t="s">
        <v>228</v>
      </c>
      <c r="G81" s="8"/>
    </row>
    <row r="82" spans="1:7" x14ac:dyDescent="0.3">
      <c r="A82" s="7" t="s">
        <v>229</v>
      </c>
      <c r="B82" s="7" t="s">
        <v>230</v>
      </c>
      <c r="C82" s="7"/>
      <c r="D82" s="7" t="s">
        <v>231</v>
      </c>
      <c r="E82" s="7"/>
      <c r="F82" s="7" t="s">
        <v>232</v>
      </c>
      <c r="G82" s="7"/>
    </row>
    <row r="83" spans="1:7" x14ac:dyDescent="0.3">
      <c r="A83" s="8" t="s">
        <v>233</v>
      </c>
      <c r="B83" s="8" t="s">
        <v>234</v>
      </c>
      <c r="C83" s="8"/>
      <c r="D83" s="8" t="s">
        <v>235</v>
      </c>
      <c r="E83" s="8"/>
      <c r="F83" s="8" t="s">
        <v>236</v>
      </c>
      <c r="G83" s="8"/>
    </row>
    <row r="84" spans="1:7" ht="9.6" customHeight="1" x14ac:dyDescent="0.3">
      <c r="A84" s="2"/>
      <c r="B84" s="2"/>
      <c r="C84" s="2"/>
      <c r="D84" s="2"/>
      <c r="E84" s="2"/>
      <c r="F84" s="2"/>
      <c r="G84" s="2"/>
    </row>
    <row r="85" spans="1:7" ht="22.35" customHeight="1" x14ac:dyDescent="0.3">
      <c r="A85" s="39" t="s">
        <v>237</v>
      </c>
      <c r="B85" s="40"/>
      <c r="C85" s="40"/>
      <c r="D85" s="40"/>
      <c r="E85" s="40"/>
      <c r="F85" s="40"/>
      <c r="G85" s="40"/>
    </row>
    <row r="86" spans="1:7" x14ac:dyDescent="0.3">
      <c r="A86" s="41" t="s">
        <v>100</v>
      </c>
      <c r="B86" s="42"/>
      <c r="C86" s="42"/>
      <c r="D86" s="41" t="s">
        <v>238</v>
      </c>
      <c r="E86" s="41" t="s">
        <v>239</v>
      </c>
      <c r="F86" s="41" t="s">
        <v>240</v>
      </c>
      <c r="G86" s="41" t="s">
        <v>241</v>
      </c>
    </row>
    <row r="87" spans="1:7" ht="22.95" customHeight="1" x14ac:dyDescent="0.3">
      <c r="A87" s="8" t="s">
        <v>45</v>
      </c>
      <c r="B87" s="8"/>
      <c r="C87" s="8"/>
      <c r="D87" s="8" t="s">
        <v>242</v>
      </c>
      <c r="E87" s="8" t="s">
        <v>243</v>
      </c>
      <c r="F87" s="8" t="s">
        <v>244</v>
      </c>
      <c r="G87" s="8" t="s">
        <v>245</v>
      </c>
    </row>
    <row r="88" spans="1:7" ht="22.95" customHeight="1" x14ac:dyDescent="0.3">
      <c r="A88" s="7" t="s">
        <v>51</v>
      </c>
      <c r="B88" s="7"/>
      <c r="C88" s="7"/>
      <c r="D88" s="7" t="s">
        <v>246</v>
      </c>
      <c r="E88" s="7" t="s">
        <v>247</v>
      </c>
      <c r="F88" s="7" t="s">
        <v>248</v>
      </c>
      <c r="G88" s="7" t="s">
        <v>249</v>
      </c>
    </row>
    <row r="89" spans="1:7" ht="22.95" customHeight="1" x14ac:dyDescent="0.3">
      <c r="A89" s="8" t="s">
        <v>57</v>
      </c>
      <c r="B89" s="8"/>
      <c r="C89" s="8"/>
      <c r="D89" s="8" t="s">
        <v>250</v>
      </c>
      <c r="E89" s="8" t="s">
        <v>251</v>
      </c>
      <c r="F89" s="8" t="s">
        <v>252</v>
      </c>
      <c r="G89" s="8" t="s">
        <v>253</v>
      </c>
    </row>
    <row r="90" spans="1:7" ht="22.95" customHeight="1" x14ac:dyDescent="0.3">
      <c r="A90" s="7" t="s">
        <v>63</v>
      </c>
      <c r="B90" s="7"/>
      <c r="C90" s="7"/>
      <c r="D90" s="7" t="s">
        <v>254</v>
      </c>
      <c r="E90" s="7" t="s">
        <v>255</v>
      </c>
      <c r="F90" s="7" t="s">
        <v>256</v>
      </c>
      <c r="G90" s="7" t="s">
        <v>257</v>
      </c>
    </row>
    <row r="91" spans="1:7" ht="34.5" customHeight="1" x14ac:dyDescent="0.3">
      <c r="A91" s="8" t="s">
        <v>69</v>
      </c>
      <c r="B91" s="8"/>
      <c r="C91" s="8"/>
      <c r="D91" s="8" t="s">
        <v>258</v>
      </c>
      <c r="E91" s="8" t="s">
        <v>259</v>
      </c>
      <c r="F91" s="8" t="s">
        <v>260</v>
      </c>
      <c r="G91" s="8" t="s">
        <v>261</v>
      </c>
    </row>
    <row r="92" spans="1:7" ht="34.5" customHeight="1" x14ac:dyDescent="0.3">
      <c r="A92" s="7" t="s">
        <v>75</v>
      </c>
      <c r="B92" s="7"/>
      <c r="C92" s="7"/>
      <c r="D92" s="7" t="s">
        <v>262</v>
      </c>
      <c r="E92" s="7" t="s">
        <v>263</v>
      </c>
      <c r="F92" s="7" t="s">
        <v>264</v>
      </c>
      <c r="G92" s="7" t="s">
        <v>265</v>
      </c>
    </row>
    <row r="93" spans="1:7" ht="22.95" customHeight="1" x14ac:dyDescent="0.3">
      <c r="A93" s="8" t="s">
        <v>81</v>
      </c>
      <c r="B93" s="8"/>
      <c r="C93" s="8"/>
      <c r="D93" s="8" t="s">
        <v>266</v>
      </c>
      <c r="E93" s="8" t="s">
        <v>267</v>
      </c>
      <c r="F93" s="8" t="s">
        <v>268</v>
      </c>
      <c r="G93" s="8" t="s">
        <v>269</v>
      </c>
    </row>
    <row r="94" spans="1:7" ht="34.5" customHeight="1" x14ac:dyDescent="0.3">
      <c r="A94" s="7" t="s">
        <v>87</v>
      </c>
      <c r="B94" s="7"/>
      <c r="C94" s="7"/>
      <c r="D94" s="7" t="s">
        <v>270</v>
      </c>
      <c r="E94" s="7" t="s">
        <v>271</v>
      </c>
      <c r="F94" s="7" t="s">
        <v>272</v>
      </c>
      <c r="G94" s="7" t="s">
        <v>273</v>
      </c>
    </row>
    <row r="95" spans="1:7" ht="34.5" customHeight="1" x14ac:dyDescent="0.3">
      <c r="A95" s="8" t="s">
        <v>93</v>
      </c>
      <c r="B95" s="8"/>
      <c r="C95" s="8"/>
      <c r="D95" s="8" t="s">
        <v>274</v>
      </c>
      <c r="E95" s="8" t="s">
        <v>275</v>
      </c>
      <c r="F95" s="8" t="s">
        <v>276</v>
      </c>
      <c r="G95" s="8" t="s">
        <v>277</v>
      </c>
    </row>
    <row r="96" spans="1:7" ht="9.6" customHeight="1" x14ac:dyDescent="0.3">
      <c r="A96" s="2"/>
      <c r="B96" s="2"/>
      <c r="C96" s="2"/>
      <c r="D96" s="2"/>
      <c r="E96" s="2"/>
      <c r="F96" s="2"/>
      <c r="G96" s="2"/>
    </row>
    <row r="97" spans="1:56" ht="22.35" customHeight="1" x14ac:dyDescent="0.3">
      <c r="A97" s="43" t="s">
        <v>278</v>
      </c>
      <c r="B97" s="44"/>
      <c r="C97" s="44"/>
      <c r="D97" s="44"/>
      <c r="E97" s="44"/>
      <c r="F97" s="44"/>
      <c r="G97" s="44"/>
    </row>
    <row r="98" spans="1:56" x14ac:dyDescent="0.3">
      <c r="A98" s="45" t="s">
        <v>279</v>
      </c>
      <c r="B98" s="46"/>
      <c r="C98" s="46"/>
      <c r="D98" s="45" t="s">
        <v>280</v>
      </c>
      <c r="E98" s="45" t="s">
        <v>281</v>
      </c>
      <c r="F98" s="45" t="s">
        <v>282</v>
      </c>
      <c r="G98" s="45" t="s">
        <v>283</v>
      </c>
    </row>
    <row r="99" spans="1:56" ht="22.95" customHeight="1" x14ac:dyDescent="0.3">
      <c r="A99" s="7" t="s">
        <v>284</v>
      </c>
      <c r="B99" s="7"/>
      <c r="C99" s="7"/>
      <c r="D99" s="7" t="s">
        <v>285</v>
      </c>
      <c r="E99" s="7" t="s">
        <v>286</v>
      </c>
      <c r="F99" s="7" t="s">
        <v>287</v>
      </c>
      <c r="G99" s="7" t="s">
        <v>288</v>
      </c>
    </row>
    <row r="100" spans="1:56" ht="34.5" customHeight="1" x14ac:dyDescent="0.3">
      <c r="A100" s="7" t="s">
        <v>289</v>
      </c>
      <c r="B100" s="7"/>
      <c r="C100" s="7"/>
      <c r="D100" s="7" t="s">
        <v>290</v>
      </c>
      <c r="E100" s="7" t="s">
        <v>291</v>
      </c>
      <c r="F100" s="7" t="s">
        <v>292</v>
      </c>
      <c r="G100" s="7" t="s">
        <v>293</v>
      </c>
    </row>
    <row r="101" spans="1:56" ht="22.95" customHeight="1" x14ac:dyDescent="0.3">
      <c r="A101" s="7" t="s">
        <v>294</v>
      </c>
      <c r="B101" s="7"/>
      <c r="C101" s="7"/>
      <c r="D101" s="7" t="s">
        <v>295</v>
      </c>
      <c r="E101" s="7" t="s">
        <v>296</v>
      </c>
      <c r="F101" s="7" t="s">
        <v>297</v>
      </c>
      <c r="G101" s="7" t="s">
        <v>298</v>
      </c>
    </row>
    <row r="102" spans="1:56" ht="22.95" customHeight="1" x14ac:dyDescent="0.3">
      <c r="A102" s="7" t="s">
        <v>299</v>
      </c>
      <c r="B102" s="7"/>
      <c r="C102" s="7"/>
      <c r="D102" s="7" t="s">
        <v>300</v>
      </c>
      <c r="E102" s="7" t="s">
        <v>301</v>
      </c>
      <c r="F102" s="7" t="s">
        <v>302</v>
      </c>
      <c r="G102" s="7" t="s">
        <v>303</v>
      </c>
    </row>
    <row r="103" spans="1:56" ht="9.6" customHeight="1" x14ac:dyDescent="0.3">
      <c r="A103" s="2"/>
      <c r="B103" s="2"/>
      <c r="C103" s="2"/>
      <c r="D103" s="2"/>
      <c r="E103" s="2"/>
      <c r="F103" s="2"/>
      <c r="G103" s="2"/>
    </row>
    <row r="104" spans="1:56" ht="22.35" customHeight="1" x14ac:dyDescent="0.3">
      <c r="A104" s="47" t="s">
        <v>304</v>
      </c>
      <c r="B104" s="48"/>
      <c r="C104" s="48"/>
      <c r="D104" s="48"/>
      <c r="E104" s="48"/>
      <c r="F104" s="48"/>
      <c r="G104" s="48"/>
      <c r="BD104" t="s">
        <v>305</v>
      </c>
    </row>
    <row r="105" spans="1:56" x14ac:dyDescent="0.3">
      <c r="A105" s="49" t="s">
        <v>306</v>
      </c>
      <c r="B105" s="50"/>
      <c r="C105" s="50"/>
      <c r="D105" s="49" t="s">
        <v>307</v>
      </c>
      <c r="E105" s="50"/>
      <c r="F105" s="49" t="s">
        <v>308</v>
      </c>
      <c r="G105" s="50"/>
    </row>
    <row r="106" spans="1:56" x14ac:dyDescent="0.3">
      <c r="A106" s="7" t="s">
        <v>309</v>
      </c>
      <c r="B106" s="7"/>
      <c r="C106" s="7"/>
      <c r="D106" s="7" t="s">
        <v>310</v>
      </c>
      <c r="E106" s="7"/>
      <c r="F106" s="7" t="s">
        <v>311</v>
      </c>
      <c r="G106" s="7"/>
    </row>
    <row r="107" spans="1:56" x14ac:dyDescent="0.3">
      <c r="A107" s="7" t="s">
        <v>312</v>
      </c>
      <c r="B107" s="7"/>
      <c r="C107" s="7"/>
      <c r="D107" s="7" t="s">
        <v>313</v>
      </c>
      <c r="E107" s="7"/>
      <c r="F107" s="7" t="s">
        <v>314</v>
      </c>
      <c r="G107" s="7"/>
    </row>
    <row r="108" spans="1:56" x14ac:dyDescent="0.3">
      <c r="A108" s="7" t="s">
        <v>315</v>
      </c>
      <c r="B108" s="7"/>
      <c r="C108" s="7"/>
      <c r="D108" s="7" t="s">
        <v>316</v>
      </c>
      <c r="E108" s="7"/>
      <c r="F108" s="7" t="s">
        <v>317</v>
      </c>
      <c r="G108" s="7"/>
    </row>
    <row r="109" spans="1:56" x14ac:dyDescent="0.3">
      <c r="A109" s="7" t="s">
        <v>318</v>
      </c>
      <c r="B109" s="7"/>
      <c r="C109" s="7"/>
      <c r="D109" s="7" t="s">
        <v>319</v>
      </c>
      <c r="E109" s="7"/>
      <c r="F109" s="7" t="s">
        <v>320</v>
      </c>
      <c r="G109" s="7"/>
    </row>
    <row r="110" spans="1:56" x14ac:dyDescent="0.3">
      <c r="A110" s="7" t="s">
        <v>321</v>
      </c>
      <c r="B110" s="7"/>
      <c r="C110" s="7"/>
      <c r="D110" s="7" t="s">
        <v>322</v>
      </c>
      <c r="E110" s="7"/>
      <c r="F110" s="7" t="s">
        <v>323</v>
      </c>
      <c r="G110" s="7"/>
    </row>
    <row r="111" spans="1:56" x14ac:dyDescent="0.3">
      <c r="A111" s="7"/>
      <c r="B111" s="7"/>
      <c r="C111" s="7"/>
      <c r="D111" s="7"/>
      <c r="E111" s="7"/>
      <c r="F111" s="7"/>
      <c r="G111" s="7"/>
    </row>
    <row r="112" spans="1:56" ht="12.45" customHeight="1" x14ac:dyDescent="0.3">
      <c r="A112" s="51" t="s">
        <v>324</v>
      </c>
      <c r="B112" s="7"/>
      <c r="C112" s="7"/>
      <c r="D112" s="7"/>
      <c r="E112" s="7"/>
      <c r="F112" s="7"/>
      <c r="G112" s="7"/>
    </row>
    <row r="113" spans="1:7" ht="22.95" customHeight="1" x14ac:dyDescent="0.3">
      <c r="A113" s="52" t="s">
        <v>325</v>
      </c>
      <c r="B113" s="7"/>
      <c r="C113" s="7"/>
      <c r="D113" s="7"/>
      <c r="E113" s="7"/>
      <c r="F113" s="7"/>
      <c r="G113" s="7"/>
    </row>
    <row r="114" spans="1:7" ht="22.95" customHeight="1" x14ac:dyDescent="0.3">
      <c r="A114" s="53" t="s">
        <v>326</v>
      </c>
      <c r="B114" s="7"/>
      <c r="C114" s="7"/>
      <c r="D114" s="7"/>
      <c r="E114" s="7"/>
      <c r="F114" s="7"/>
      <c r="G114" s="7"/>
    </row>
    <row r="115" spans="1:7" ht="22.95" customHeight="1" x14ac:dyDescent="0.3">
      <c r="A115" s="53" t="s">
        <v>327</v>
      </c>
      <c r="B115" s="7"/>
      <c r="C115" s="7"/>
      <c r="D115" s="7"/>
      <c r="E115" s="7"/>
      <c r="F115" s="7"/>
      <c r="G115" s="7"/>
    </row>
    <row r="116" spans="1:7" ht="22.95" customHeight="1" x14ac:dyDescent="0.3">
      <c r="A116" s="53" t="s">
        <v>328</v>
      </c>
      <c r="B116" s="7"/>
      <c r="C116" s="7"/>
      <c r="D116" s="7"/>
      <c r="E116" s="7"/>
      <c r="F116" s="7"/>
      <c r="G116" s="7"/>
    </row>
    <row r="117" spans="1:7" x14ac:dyDescent="0.3">
      <c r="A117" s="7"/>
      <c r="B117" s="7"/>
      <c r="C117" s="7"/>
      <c r="D117" s="7"/>
      <c r="E117" s="7"/>
      <c r="F117" s="7"/>
      <c r="G117" s="7"/>
    </row>
    <row r="118" spans="1:7" x14ac:dyDescent="0.3">
      <c r="A118" s="54" t="s">
        <v>329</v>
      </c>
      <c r="B118" s="7"/>
      <c r="C118" s="7"/>
      <c r="D118" s="7"/>
      <c r="E118" s="7"/>
      <c r="F118" s="7"/>
      <c r="G118" s="7"/>
    </row>
    <row r="119" spans="1:7" ht="34.5" customHeight="1" x14ac:dyDescent="0.3">
      <c r="A119" s="55" t="s">
        <v>330</v>
      </c>
      <c r="B119" s="7"/>
      <c r="C119" s="7"/>
      <c r="D119" s="7"/>
      <c r="E119" s="7"/>
      <c r="F119" s="7"/>
      <c r="G119" s="7"/>
    </row>
    <row r="120" spans="1:7" ht="34.5" customHeight="1" x14ac:dyDescent="0.3">
      <c r="A120" s="56" t="s">
        <v>331</v>
      </c>
      <c r="B120" s="7"/>
      <c r="C120" s="7"/>
      <c r="D120" s="7"/>
      <c r="E120" s="7"/>
      <c r="F120" s="7"/>
      <c r="G120" s="7"/>
    </row>
    <row r="121" spans="1:7" ht="9.6" customHeight="1" x14ac:dyDescent="0.3">
      <c r="A121" s="57"/>
      <c r="B121" s="57"/>
      <c r="C121" s="57"/>
      <c r="D121" s="57"/>
      <c r="E121" s="57"/>
      <c r="F121" s="57"/>
      <c r="G121" s="57"/>
    </row>
    <row r="122" spans="1:7" ht="22.35" customHeight="1" x14ac:dyDescent="0.35">
      <c r="A122" s="58" t="s">
        <v>332</v>
      </c>
      <c r="B122" s="59"/>
      <c r="C122" s="59"/>
      <c r="D122" s="59"/>
      <c r="E122" s="59"/>
      <c r="F122" s="59"/>
      <c r="G122" s="59"/>
    </row>
    <row r="123" spans="1:7" x14ac:dyDescent="0.3">
      <c r="A123" s="60" t="s">
        <v>333</v>
      </c>
      <c r="B123" s="60" t="s">
        <v>334</v>
      </c>
      <c r="C123" s="61"/>
      <c r="D123" s="60" t="s">
        <v>335</v>
      </c>
      <c r="E123" s="60" t="s">
        <v>336</v>
      </c>
      <c r="F123" s="62"/>
      <c r="G123" s="62"/>
    </row>
    <row r="124" spans="1:7" x14ac:dyDescent="0.3">
      <c r="A124" s="63" t="s">
        <v>337</v>
      </c>
      <c r="B124" s="63" t="s">
        <v>338</v>
      </c>
      <c r="C124" s="63"/>
      <c r="D124" s="63" t="s">
        <v>339</v>
      </c>
      <c r="E124" s="63" t="s">
        <v>340</v>
      </c>
      <c r="F124" s="57"/>
      <c r="G124" s="57"/>
    </row>
    <row r="125" spans="1:7" x14ac:dyDescent="0.3">
      <c r="A125" s="64" t="s">
        <v>341</v>
      </c>
      <c r="B125" s="64" t="s">
        <v>338</v>
      </c>
      <c r="C125" s="64"/>
      <c r="D125" s="64" t="s">
        <v>342</v>
      </c>
      <c r="E125" s="64" t="s">
        <v>340</v>
      </c>
      <c r="F125" s="65"/>
      <c r="G125" s="65"/>
    </row>
    <row r="126" spans="1:7" x14ac:dyDescent="0.3">
      <c r="A126" s="63" t="s">
        <v>343</v>
      </c>
      <c r="B126" s="63" t="s">
        <v>338</v>
      </c>
      <c r="C126" s="63"/>
      <c r="D126" s="63" t="s">
        <v>344</v>
      </c>
      <c r="E126" s="63" t="s">
        <v>340</v>
      </c>
      <c r="F126" s="57"/>
      <c r="G126" s="57"/>
    </row>
    <row r="127" spans="1:7" x14ac:dyDescent="0.3">
      <c r="A127" s="64" t="s">
        <v>345</v>
      </c>
      <c r="B127" s="64" t="s">
        <v>338</v>
      </c>
      <c r="C127" s="64"/>
      <c r="D127" s="64" t="s">
        <v>346</v>
      </c>
      <c r="E127" s="64" t="s">
        <v>340</v>
      </c>
      <c r="F127" s="65"/>
      <c r="G127" s="65"/>
    </row>
    <row r="128" spans="1:7" x14ac:dyDescent="0.3">
      <c r="A128" s="63" t="s">
        <v>347</v>
      </c>
      <c r="B128" s="63" t="s">
        <v>338</v>
      </c>
      <c r="C128" s="63"/>
      <c r="D128" s="63" t="s">
        <v>348</v>
      </c>
      <c r="E128" s="63" t="s">
        <v>340</v>
      </c>
      <c r="F128" s="57"/>
      <c r="G128" s="57"/>
    </row>
    <row r="129" spans="1:7" x14ac:dyDescent="0.3">
      <c r="A129" s="64" t="s">
        <v>349</v>
      </c>
      <c r="B129" s="64" t="s">
        <v>338</v>
      </c>
      <c r="C129" s="64"/>
      <c r="D129" s="64" t="s">
        <v>350</v>
      </c>
      <c r="E129" s="64" t="s">
        <v>340</v>
      </c>
      <c r="F129" s="65"/>
      <c r="G129" s="65"/>
    </row>
    <row r="130" spans="1:7" x14ac:dyDescent="0.3">
      <c r="A130" s="63" t="s">
        <v>351</v>
      </c>
      <c r="B130" s="63" t="s">
        <v>338</v>
      </c>
      <c r="C130" s="63"/>
      <c r="D130" s="63" t="s">
        <v>352</v>
      </c>
      <c r="E130" s="63" t="s">
        <v>340</v>
      </c>
      <c r="F130" s="57"/>
      <c r="G130" s="57"/>
    </row>
    <row r="131" spans="1:7" x14ac:dyDescent="0.3">
      <c r="A131" s="64" t="s">
        <v>353</v>
      </c>
      <c r="B131" s="64" t="s">
        <v>338</v>
      </c>
      <c r="C131" s="64"/>
      <c r="D131" s="64" t="s">
        <v>354</v>
      </c>
      <c r="E131" s="64" t="s">
        <v>340</v>
      </c>
      <c r="F131" s="65"/>
      <c r="G131" s="65"/>
    </row>
    <row r="132" spans="1:7" x14ac:dyDescent="0.3">
      <c r="A132" s="63" t="s">
        <v>355</v>
      </c>
      <c r="B132" s="63" t="s">
        <v>338</v>
      </c>
      <c r="C132" s="63"/>
      <c r="D132" s="63" t="s">
        <v>356</v>
      </c>
      <c r="E132" s="63" t="s">
        <v>340</v>
      </c>
      <c r="F132" s="57"/>
      <c r="G132" s="57"/>
    </row>
    <row r="133" spans="1:7" x14ac:dyDescent="0.3">
      <c r="A133" s="64" t="s">
        <v>357</v>
      </c>
      <c r="B133" s="66" t="s">
        <v>358</v>
      </c>
      <c r="C133" s="64"/>
      <c r="D133" s="64" t="s">
        <v>359</v>
      </c>
      <c r="E133" s="64" t="s">
        <v>340</v>
      </c>
      <c r="F133" s="65"/>
      <c r="G133" s="65"/>
    </row>
    <row r="134" spans="1:7" x14ac:dyDescent="0.3">
      <c r="A134" s="63" t="s">
        <v>360</v>
      </c>
      <c r="B134" s="67" t="s">
        <v>358</v>
      </c>
      <c r="C134" s="63"/>
      <c r="D134" s="63" t="s">
        <v>361</v>
      </c>
      <c r="E134" s="63" t="s">
        <v>340</v>
      </c>
      <c r="F134" s="57"/>
      <c r="G134" s="57"/>
    </row>
    <row r="135" spans="1:7" x14ac:dyDescent="0.3">
      <c r="A135" s="64" t="s">
        <v>362</v>
      </c>
      <c r="B135" s="66" t="s">
        <v>358</v>
      </c>
      <c r="C135" s="64"/>
      <c r="D135" s="64" t="s">
        <v>363</v>
      </c>
      <c r="E135" s="64" t="s">
        <v>340</v>
      </c>
      <c r="F135" s="65"/>
      <c r="G135" s="65"/>
    </row>
    <row r="136" spans="1:7" ht="9.6" customHeight="1" x14ac:dyDescent="0.3">
      <c r="A136" s="57"/>
      <c r="B136" s="57"/>
      <c r="C136" s="57"/>
      <c r="D136" s="57"/>
      <c r="E136" s="57"/>
      <c r="F136" s="57"/>
      <c r="G136" s="57"/>
    </row>
    <row r="137" spans="1:7" ht="22.35" customHeight="1" x14ac:dyDescent="0.35">
      <c r="A137" s="68" t="s">
        <v>364</v>
      </c>
      <c r="B137" s="69"/>
      <c r="C137" s="69"/>
      <c r="D137" s="69"/>
      <c r="E137" s="69"/>
      <c r="F137" s="69"/>
      <c r="G137" s="69"/>
    </row>
    <row r="138" spans="1:7" x14ac:dyDescent="0.3">
      <c r="A138" s="70" t="s">
        <v>365</v>
      </c>
      <c r="B138" s="71" t="s">
        <v>366</v>
      </c>
      <c r="C138" s="72"/>
      <c r="D138" s="70" t="s">
        <v>367</v>
      </c>
      <c r="E138" s="70" t="s">
        <v>368</v>
      </c>
      <c r="F138" s="70" t="s">
        <v>369</v>
      </c>
      <c r="G138" s="73"/>
    </row>
    <row r="139" spans="1:7" ht="34.5" customHeight="1" x14ac:dyDescent="0.3">
      <c r="A139" s="63" t="s">
        <v>10</v>
      </c>
      <c r="B139" s="63" t="s">
        <v>370</v>
      </c>
      <c r="C139" s="63"/>
      <c r="D139" s="63" t="s">
        <v>371</v>
      </c>
      <c r="E139" s="63"/>
      <c r="F139" s="63" t="s">
        <v>372</v>
      </c>
      <c r="G139" s="57"/>
    </row>
    <row r="140" spans="1:7" ht="34.5" customHeight="1" x14ac:dyDescent="0.3">
      <c r="A140" s="63" t="s">
        <v>12</v>
      </c>
      <c r="B140" s="63" t="s">
        <v>373</v>
      </c>
      <c r="C140" s="63"/>
      <c r="D140" s="63" t="s">
        <v>374</v>
      </c>
      <c r="E140" s="63"/>
      <c r="F140" s="63" t="s">
        <v>375</v>
      </c>
      <c r="G140" s="57"/>
    </row>
    <row r="141" spans="1:7" x14ac:dyDescent="0.3">
      <c r="A141" s="63" t="s">
        <v>376</v>
      </c>
      <c r="B141" s="63" t="s">
        <v>377</v>
      </c>
      <c r="C141" s="63"/>
      <c r="D141" s="63" t="s">
        <v>378</v>
      </c>
      <c r="E141" s="63" t="s">
        <v>379</v>
      </c>
      <c r="F141" s="63" t="s">
        <v>380</v>
      </c>
      <c r="G141" s="57"/>
    </row>
    <row r="142" spans="1:7" ht="34.5" customHeight="1" x14ac:dyDescent="0.3">
      <c r="A142" s="63" t="s">
        <v>381</v>
      </c>
      <c r="B142" s="63" t="s">
        <v>382</v>
      </c>
      <c r="C142" s="63"/>
      <c r="D142" s="63" t="s">
        <v>383</v>
      </c>
      <c r="E142" s="63" t="s">
        <v>384</v>
      </c>
      <c r="F142" s="63" t="s">
        <v>380</v>
      </c>
      <c r="G142" s="57"/>
    </row>
    <row r="143" spans="1:7" x14ac:dyDescent="0.3">
      <c r="A143" s="63" t="s">
        <v>385</v>
      </c>
      <c r="B143" s="63" t="s">
        <v>386</v>
      </c>
      <c r="C143" s="63"/>
      <c r="D143" s="63" t="s">
        <v>387</v>
      </c>
      <c r="E143" s="63" t="s">
        <v>388</v>
      </c>
      <c r="F143" s="63" t="s">
        <v>380</v>
      </c>
      <c r="G143" s="57"/>
    </row>
    <row r="144" spans="1:7" ht="9.6" customHeight="1" x14ac:dyDescent="0.3">
      <c r="A144" s="57"/>
      <c r="B144" s="57"/>
      <c r="C144" s="57"/>
      <c r="D144" s="57"/>
      <c r="E144" s="57"/>
      <c r="F144" s="57"/>
      <c r="G144" s="57"/>
    </row>
    <row r="145" spans="1:7" ht="22.35" customHeight="1" x14ac:dyDescent="0.35">
      <c r="A145" s="74" t="s">
        <v>389</v>
      </c>
      <c r="B145" s="75"/>
      <c r="C145" s="75"/>
      <c r="D145" s="75"/>
      <c r="E145" s="75"/>
      <c r="F145" s="75"/>
      <c r="G145" s="75"/>
    </row>
    <row r="146" spans="1:7" x14ac:dyDescent="0.3">
      <c r="A146" s="76" t="s">
        <v>390</v>
      </c>
      <c r="B146" s="76" t="s">
        <v>391</v>
      </c>
      <c r="C146" s="77"/>
      <c r="D146" s="76" t="s">
        <v>392</v>
      </c>
      <c r="E146" s="78"/>
      <c r="F146" s="78"/>
      <c r="G146" s="78"/>
    </row>
    <row r="147" spans="1:7" x14ac:dyDescent="0.3">
      <c r="A147" s="63" t="s">
        <v>393</v>
      </c>
      <c r="B147" s="63" t="s">
        <v>394</v>
      </c>
      <c r="C147" s="63"/>
      <c r="D147" s="63" t="s">
        <v>395</v>
      </c>
      <c r="E147" s="57"/>
      <c r="F147" s="57"/>
      <c r="G147" s="57"/>
    </row>
    <row r="148" spans="1:7" x14ac:dyDescent="0.3">
      <c r="A148" s="64" t="s">
        <v>396</v>
      </c>
      <c r="B148" s="64" t="s">
        <v>397</v>
      </c>
      <c r="C148" s="64"/>
      <c r="D148" s="64" t="s">
        <v>398</v>
      </c>
      <c r="E148" s="65"/>
      <c r="F148" s="65"/>
      <c r="G148" s="65"/>
    </row>
    <row r="149" spans="1:7" x14ac:dyDescent="0.3">
      <c r="A149" s="63" t="s">
        <v>399</v>
      </c>
      <c r="B149" s="63" t="s">
        <v>400</v>
      </c>
      <c r="C149" s="63"/>
      <c r="D149" s="63" t="s">
        <v>401</v>
      </c>
      <c r="E149" s="57"/>
      <c r="F149" s="57"/>
      <c r="G149" s="57"/>
    </row>
    <row r="150" spans="1:7" x14ac:dyDescent="0.3">
      <c r="A150" s="64" t="s">
        <v>402</v>
      </c>
      <c r="B150" s="64" t="s">
        <v>403</v>
      </c>
      <c r="C150" s="64"/>
      <c r="D150" s="64" t="s">
        <v>404</v>
      </c>
      <c r="E150" s="65"/>
      <c r="F150" s="65"/>
      <c r="G150" s="65"/>
    </row>
    <row r="151" spans="1:7" x14ac:dyDescent="0.3">
      <c r="A151" s="63" t="s">
        <v>405</v>
      </c>
      <c r="B151" s="63" t="s">
        <v>406</v>
      </c>
      <c r="C151" s="63"/>
      <c r="D151" s="63" t="s">
        <v>407</v>
      </c>
      <c r="E151" s="57"/>
      <c r="F151" s="57"/>
      <c r="G151" s="57"/>
    </row>
    <row r="152" spans="1:7" x14ac:dyDescent="0.3">
      <c r="A152" s="64" t="s">
        <v>408</v>
      </c>
      <c r="B152" s="64" t="s">
        <v>409</v>
      </c>
      <c r="C152" s="64"/>
      <c r="D152" s="64" t="s">
        <v>410</v>
      </c>
      <c r="E152" s="65"/>
      <c r="F152" s="65"/>
      <c r="G152" s="65"/>
    </row>
    <row r="153" spans="1:7" x14ac:dyDescent="0.3">
      <c r="A153" s="63" t="s">
        <v>411</v>
      </c>
      <c r="B153" s="63" t="s">
        <v>412</v>
      </c>
      <c r="C153" s="63"/>
      <c r="D153" s="63" t="s">
        <v>413</v>
      </c>
      <c r="E153" s="57"/>
      <c r="F153" s="57"/>
      <c r="G153" s="57"/>
    </row>
    <row r="154" spans="1:7" x14ac:dyDescent="0.3">
      <c r="A154" s="64" t="s">
        <v>414</v>
      </c>
      <c r="B154" s="64" t="s">
        <v>415</v>
      </c>
      <c r="C154" s="64"/>
      <c r="D154" s="64" t="s">
        <v>416</v>
      </c>
      <c r="E154" s="65"/>
      <c r="F154" s="65"/>
      <c r="G154" s="65"/>
    </row>
    <row r="155" spans="1:7" x14ac:dyDescent="0.3">
      <c r="A155" s="63" t="s">
        <v>417</v>
      </c>
      <c r="B155" s="63" t="s">
        <v>418</v>
      </c>
      <c r="C155" s="63"/>
      <c r="D155" s="63" t="s">
        <v>419</v>
      </c>
      <c r="E155" s="57"/>
      <c r="F155" s="57"/>
      <c r="G155" s="57"/>
    </row>
    <row r="156" spans="1:7" x14ac:dyDescent="0.3">
      <c r="A156" s="64" t="s">
        <v>420</v>
      </c>
      <c r="B156" s="64" t="s">
        <v>421</v>
      </c>
      <c r="C156" s="64"/>
      <c r="D156" s="64" t="s">
        <v>422</v>
      </c>
      <c r="E156" s="65"/>
      <c r="F156" s="65"/>
      <c r="G156" s="65"/>
    </row>
    <row r="157" spans="1:7" ht="9.6" customHeight="1" x14ac:dyDescent="0.3">
      <c r="A157" s="57"/>
      <c r="B157" s="57"/>
      <c r="C157" s="57"/>
      <c r="D157" s="57"/>
      <c r="E157" s="57"/>
      <c r="F157" s="57"/>
      <c r="G157" s="57"/>
    </row>
    <row r="158" spans="1:7" ht="22.35" customHeight="1" x14ac:dyDescent="0.35">
      <c r="A158" s="79" t="s">
        <v>423</v>
      </c>
      <c r="B158" s="80"/>
      <c r="C158" s="80"/>
      <c r="D158" s="80"/>
      <c r="E158" s="80"/>
      <c r="F158" s="80"/>
      <c r="G158" s="80"/>
    </row>
    <row r="159" spans="1:7" ht="33.15" customHeight="1" x14ac:dyDescent="0.3">
      <c r="A159" s="81" t="s">
        <v>424</v>
      </c>
      <c r="B159" s="57"/>
      <c r="C159" s="57"/>
      <c r="D159" s="57"/>
      <c r="E159" s="57"/>
      <c r="F159" s="57"/>
      <c r="G159" s="57"/>
    </row>
    <row r="160" spans="1:7" x14ac:dyDescent="0.3">
      <c r="A160" s="57"/>
      <c r="B160" s="57"/>
      <c r="C160" s="57"/>
      <c r="D160" s="57"/>
      <c r="E160" s="57"/>
      <c r="F160" s="57"/>
      <c r="G160" s="57"/>
    </row>
    <row r="161" spans="1:7" x14ac:dyDescent="0.3">
      <c r="A161" s="82" t="s">
        <v>100</v>
      </c>
      <c r="B161" s="82" t="s">
        <v>425</v>
      </c>
      <c r="C161" s="83"/>
      <c r="D161" s="82" t="s">
        <v>426</v>
      </c>
      <c r="E161" s="83"/>
      <c r="F161" s="82" t="s">
        <v>427</v>
      </c>
      <c r="G161" s="83"/>
    </row>
    <row r="162" spans="1:7" x14ac:dyDescent="0.3">
      <c r="A162" s="63" t="s">
        <v>45</v>
      </c>
      <c r="B162" s="63" t="s">
        <v>428</v>
      </c>
      <c r="C162" s="63"/>
      <c r="D162" s="63" t="s">
        <v>429</v>
      </c>
      <c r="E162" s="63"/>
      <c r="F162" s="63" t="s">
        <v>430</v>
      </c>
      <c r="G162" s="63"/>
    </row>
    <row r="163" spans="1:7" x14ac:dyDescent="0.3">
      <c r="A163" s="64" t="s">
        <v>51</v>
      </c>
      <c r="B163" s="64" t="s">
        <v>431</v>
      </c>
      <c r="C163" s="64"/>
      <c r="D163" s="64" t="s">
        <v>432</v>
      </c>
      <c r="E163" s="64"/>
      <c r="F163" s="64" t="s">
        <v>433</v>
      </c>
      <c r="G163" s="64"/>
    </row>
    <row r="164" spans="1:7" x14ac:dyDescent="0.3">
      <c r="A164" s="63" t="s">
        <v>57</v>
      </c>
      <c r="B164" s="63" t="s">
        <v>434</v>
      </c>
      <c r="C164" s="63"/>
      <c r="D164" s="63" t="s">
        <v>435</v>
      </c>
      <c r="E164" s="63"/>
      <c r="F164" s="63" t="s">
        <v>436</v>
      </c>
      <c r="G164" s="63"/>
    </row>
    <row r="165" spans="1:7" x14ac:dyDescent="0.3">
      <c r="A165" s="64" t="s">
        <v>63</v>
      </c>
      <c r="B165" s="64" t="s">
        <v>437</v>
      </c>
      <c r="C165" s="64"/>
      <c r="D165" s="64" t="s">
        <v>438</v>
      </c>
      <c r="E165" s="64"/>
      <c r="F165" s="64" t="s">
        <v>439</v>
      </c>
      <c r="G165" s="64"/>
    </row>
    <row r="166" spans="1:7" x14ac:dyDescent="0.3">
      <c r="A166" s="63" t="s">
        <v>69</v>
      </c>
      <c r="B166" s="63" t="s">
        <v>440</v>
      </c>
      <c r="C166" s="63"/>
      <c r="D166" s="63" t="s">
        <v>441</v>
      </c>
      <c r="E166" s="63"/>
      <c r="F166" s="63" t="s">
        <v>442</v>
      </c>
      <c r="G166" s="63"/>
    </row>
    <row r="167" spans="1:7" x14ac:dyDescent="0.3">
      <c r="A167" s="64" t="s">
        <v>75</v>
      </c>
      <c r="B167" s="64" t="s">
        <v>443</v>
      </c>
      <c r="C167" s="64"/>
      <c r="D167" s="64" t="s">
        <v>444</v>
      </c>
      <c r="E167" s="64"/>
      <c r="F167" s="64" t="s">
        <v>445</v>
      </c>
      <c r="G167" s="64"/>
    </row>
    <row r="168" spans="1:7" x14ac:dyDescent="0.3">
      <c r="A168" s="63" t="s">
        <v>81</v>
      </c>
      <c r="B168" s="63" t="s">
        <v>446</v>
      </c>
      <c r="C168" s="63"/>
      <c r="D168" s="63" t="s">
        <v>447</v>
      </c>
      <c r="E168" s="63"/>
      <c r="F168" s="63" t="s">
        <v>448</v>
      </c>
      <c r="G168" s="63"/>
    </row>
    <row r="169" spans="1:7" x14ac:dyDescent="0.3">
      <c r="A169" s="64" t="s">
        <v>87</v>
      </c>
      <c r="B169" s="64" t="s">
        <v>449</v>
      </c>
      <c r="C169" s="64"/>
      <c r="D169" s="64" t="s">
        <v>450</v>
      </c>
      <c r="E169" s="64"/>
      <c r="F169" s="64" t="s">
        <v>451</v>
      </c>
      <c r="G169" s="64"/>
    </row>
    <row r="170" spans="1:7" x14ac:dyDescent="0.3">
      <c r="A170" s="63" t="s">
        <v>93</v>
      </c>
      <c r="B170" s="63" t="s">
        <v>452</v>
      </c>
      <c r="C170" s="63"/>
      <c r="D170" s="63" t="s">
        <v>453</v>
      </c>
      <c r="E170" s="63"/>
      <c r="F170" s="63" t="s">
        <v>454</v>
      </c>
      <c r="G170" s="63"/>
    </row>
    <row r="171" spans="1:7" x14ac:dyDescent="0.3">
      <c r="A171" s="57"/>
      <c r="B171" s="57"/>
      <c r="C171" s="57"/>
      <c r="D171" s="57"/>
      <c r="E171" s="57"/>
      <c r="F171" s="57"/>
      <c r="G171" s="57"/>
    </row>
    <row r="172" spans="1:7" ht="22.35" customHeight="1" x14ac:dyDescent="0.3">
      <c r="A172" s="84" t="s">
        <v>455</v>
      </c>
      <c r="B172" s="57"/>
      <c r="C172" s="57"/>
      <c r="D172" s="57"/>
      <c r="E172" s="57"/>
      <c r="F172" s="57"/>
      <c r="G172" s="57"/>
    </row>
    <row r="173" spans="1:7" x14ac:dyDescent="0.3">
      <c r="A173" s="82" t="s">
        <v>456</v>
      </c>
      <c r="B173" s="82" t="s">
        <v>457</v>
      </c>
      <c r="C173" s="83"/>
      <c r="D173" s="82" t="s">
        <v>458</v>
      </c>
      <c r="E173" s="83"/>
      <c r="F173" s="83"/>
      <c r="G173" s="83"/>
    </row>
    <row r="174" spans="1:7" x14ac:dyDescent="0.3">
      <c r="A174" s="63" t="s">
        <v>197</v>
      </c>
      <c r="B174" s="63" t="s">
        <v>45</v>
      </c>
      <c r="C174" s="63"/>
      <c r="D174" s="63" t="s">
        <v>430</v>
      </c>
      <c r="E174" s="63"/>
      <c r="F174" s="63"/>
      <c r="G174" s="63"/>
    </row>
    <row r="175" spans="1:7" x14ac:dyDescent="0.3">
      <c r="A175" s="64" t="s">
        <v>459</v>
      </c>
      <c r="B175" s="64" t="s">
        <v>51</v>
      </c>
      <c r="C175" s="64"/>
      <c r="D175" s="64" t="s">
        <v>433</v>
      </c>
      <c r="E175" s="64"/>
      <c r="F175" s="64"/>
      <c r="G175" s="64"/>
    </row>
    <row r="176" spans="1:7" x14ac:dyDescent="0.3">
      <c r="A176" s="63" t="s">
        <v>460</v>
      </c>
      <c r="B176" s="63" t="s">
        <v>57</v>
      </c>
      <c r="C176" s="63"/>
      <c r="D176" s="63" t="s">
        <v>461</v>
      </c>
      <c r="E176" s="63"/>
      <c r="F176" s="63"/>
      <c r="G176" s="63"/>
    </row>
    <row r="177" spans="1:7" x14ac:dyDescent="0.3">
      <c r="A177" s="64" t="s">
        <v>462</v>
      </c>
      <c r="B177" s="64" t="s">
        <v>63</v>
      </c>
      <c r="C177" s="64"/>
      <c r="D177" s="64" t="s">
        <v>463</v>
      </c>
      <c r="E177" s="64"/>
      <c r="F177" s="64"/>
      <c r="G177" s="64"/>
    </row>
    <row r="178" spans="1:7" x14ac:dyDescent="0.3">
      <c r="A178" s="63" t="s">
        <v>464</v>
      </c>
      <c r="B178" s="63" t="s">
        <v>69</v>
      </c>
      <c r="C178" s="63"/>
      <c r="D178" s="63" t="s">
        <v>442</v>
      </c>
      <c r="E178" s="63"/>
      <c r="F178" s="63"/>
      <c r="G178" s="63"/>
    </row>
    <row r="179" spans="1:7" x14ac:dyDescent="0.3">
      <c r="A179" s="64" t="s">
        <v>465</v>
      </c>
      <c r="B179" s="64" t="s">
        <v>75</v>
      </c>
      <c r="C179" s="64"/>
      <c r="D179" s="64" t="s">
        <v>445</v>
      </c>
      <c r="E179" s="64"/>
      <c r="F179" s="64"/>
      <c r="G179" s="64"/>
    </row>
    <row r="180" spans="1:7" x14ac:dyDescent="0.3">
      <c r="A180" s="63" t="s">
        <v>466</v>
      </c>
      <c r="B180" s="63" t="s">
        <v>81</v>
      </c>
      <c r="C180" s="63"/>
      <c r="D180" s="63" t="s">
        <v>467</v>
      </c>
      <c r="E180" s="63"/>
      <c r="F180" s="63"/>
      <c r="G180" s="63"/>
    </row>
    <row r="181" spans="1:7" x14ac:dyDescent="0.3">
      <c r="A181" s="64" t="s">
        <v>468</v>
      </c>
      <c r="B181" s="64" t="s">
        <v>87</v>
      </c>
      <c r="C181" s="64"/>
      <c r="D181" s="64" t="s">
        <v>469</v>
      </c>
      <c r="E181" s="64"/>
      <c r="F181" s="64"/>
      <c r="G181" s="64"/>
    </row>
    <row r="182" spans="1:7" x14ac:dyDescent="0.3">
      <c r="A182" s="63" t="s">
        <v>470</v>
      </c>
      <c r="B182" s="63" t="s">
        <v>93</v>
      </c>
      <c r="C182" s="63"/>
      <c r="D182" s="63" t="s">
        <v>471</v>
      </c>
      <c r="E182" s="63"/>
      <c r="F182" s="63"/>
      <c r="G182" s="63"/>
    </row>
    <row r="183" spans="1:7" ht="9.6" customHeight="1" x14ac:dyDescent="0.3">
      <c r="A183" s="57"/>
      <c r="B183" s="57"/>
      <c r="C183" s="57"/>
      <c r="D183" s="57"/>
      <c r="E183" s="57"/>
      <c r="F183" s="57"/>
      <c r="G183" s="57"/>
    </row>
    <row r="184" spans="1:7" ht="22.35" customHeight="1" x14ac:dyDescent="0.35">
      <c r="A184" s="85" t="s">
        <v>472</v>
      </c>
      <c r="B184" s="86"/>
      <c r="C184" s="86"/>
      <c r="D184" s="86"/>
      <c r="E184" s="86"/>
      <c r="F184" s="86"/>
      <c r="G184" s="86"/>
    </row>
    <row r="185" spans="1:7" x14ac:dyDescent="0.3">
      <c r="A185" s="87" t="s">
        <v>365</v>
      </c>
      <c r="B185" s="87" t="s">
        <v>473</v>
      </c>
      <c r="C185" s="88"/>
      <c r="D185" s="87" t="s">
        <v>367</v>
      </c>
      <c r="E185" s="89"/>
      <c r="F185" s="89"/>
      <c r="G185" s="89"/>
    </row>
    <row r="186" spans="1:7" ht="22.95" customHeight="1" x14ac:dyDescent="0.3">
      <c r="A186" s="63" t="s">
        <v>16</v>
      </c>
      <c r="B186" s="63" t="s">
        <v>474</v>
      </c>
      <c r="C186" s="63"/>
      <c r="D186" s="63" t="s">
        <v>475</v>
      </c>
      <c r="E186" s="57"/>
      <c r="F186" s="57"/>
      <c r="G186" s="57"/>
    </row>
    <row r="187" spans="1:7" ht="22.95" customHeight="1" x14ac:dyDescent="0.3">
      <c r="A187" s="64" t="s">
        <v>17</v>
      </c>
      <c r="B187" s="64" t="s">
        <v>476</v>
      </c>
      <c r="C187" s="64"/>
      <c r="D187" s="64" t="s">
        <v>477</v>
      </c>
      <c r="E187" s="65"/>
      <c r="F187" s="65"/>
      <c r="G187" s="65"/>
    </row>
    <row r="188" spans="1:7" ht="22.95" customHeight="1" x14ac:dyDescent="0.3">
      <c r="A188" s="63" t="s">
        <v>18</v>
      </c>
      <c r="B188" s="63" t="s">
        <v>478</v>
      </c>
      <c r="C188" s="63"/>
      <c r="D188" s="63" t="s">
        <v>479</v>
      </c>
      <c r="E188" s="57"/>
      <c r="F188" s="57"/>
      <c r="G188" s="57"/>
    </row>
    <row r="189" spans="1:7" x14ac:dyDescent="0.3">
      <c r="A189" s="64" t="s">
        <v>19</v>
      </c>
      <c r="B189" s="64" t="s">
        <v>480</v>
      </c>
      <c r="C189" s="64"/>
      <c r="D189" s="64" t="s">
        <v>481</v>
      </c>
      <c r="E189" s="65"/>
      <c r="F189" s="65"/>
      <c r="G189" s="65"/>
    </row>
    <row r="190" spans="1:7" ht="22.95" customHeight="1" x14ac:dyDescent="0.3">
      <c r="A190" s="63" t="s">
        <v>20</v>
      </c>
      <c r="B190" s="63" t="s">
        <v>482</v>
      </c>
      <c r="C190" s="63"/>
      <c r="D190" s="63" t="s">
        <v>483</v>
      </c>
      <c r="E190" s="57"/>
      <c r="F190" s="57"/>
      <c r="G190" s="57"/>
    </row>
    <row r="191" spans="1:7" x14ac:dyDescent="0.3">
      <c r="A191" s="64" t="s">
        <v>21</v>
      </c>
      <c r="B191" s="64" t="s">
        <v>484</v>
      </c>
      <c r="C191" s="64"/>
      <c r="D191" s="64" t="s">
        <v>485</v>
      </c>
      <c r="E191" s="65"/>
      <c r="F191" s="65"/>
      <c r="G191" s="65"/>
    </row>
    <row r="192" spans="1:7" x14ac:dyDescent="0.3">
      <c r="A192" s="63" t="s">
        <v>22</v>
      </c>
      <c r="B192" s="63" t="s">
        <v>486</v>
      </c>
      <c r="C192" s="63"/>
      <c r="D192" s="63" t="s">
        <v>487</v>
      </c>
      <c r="E192" s="57"/>
      <c r="F192" s="57"/>
      <c r="G192" s="57"/>
    </row>
    <row r="193" spans="1:7" x14ac:dyDescent="0.3">
      <c r="A193" s="64" t="s">
        <v>23</v>
      </c>
      <c r="B193" s="64" t="s">
        <v>488</v>
      </c>
      <c r="C193" s="64"/>
      <c r="D193" s="64" t="s">
        <v>489</v>
      </c>
      <c r="E193" s="65"/>
      <c r="F193" s="65"/>
      <c r="G193" s="65"/>
    </row>
    <row r="194" spans="1:7" x14ac:dyDescent="0.3">
      <c r="A194" s="57"/>
      <c r="B194" s="57"/>
      <c r="C194" s="57"/>
      <c r="D194" s="57"/>
      <c r="E194" s="57"/>
      <c r="F194" s="57"/>
      <c r="G194" s="57"/>
    </row>
    <row r="195" spans="1:7" ht="22.35" customHeight="1" x14ac:dyDescent="0.3">
      <c r="A195" s="90" t="s">
        <v>490</v>
      </c>
      <c r="B195" s="57"/>
      <c r="C195" s="57"/>
      <c r="D195" s="57"/>
      <c r="E195" s="57"/>
      <c r="F195" s="57"/>
      <c r="G195" s="57"/>
    </row>
    <row r="196" spans="1:7" x14ac:dyDescent="0.3">
      <c r="A196" s="63" t="s">
        <v>491</v>
      </c>
      <c r="B196" s="63" t="s">
        <v>492</v>
      </c>
      <c r="C196" s="63"/>
      <c r="D196" s="63" t="s">
        <v>493</v>
      </c>
      <c r="E196" s="57"/>
      <c r="F196" s="57"/>
      <c r="G196" s="57"/>
    </row>
    <row r="197" spans="1:7" x14ac:dyDescent="0.3">
      <c r="A197" s="63" t="s">
        <v>494</v>
      </c>
      <c r="B197" s="63" t="s">
        <v>495</v>
      </c>
      <c r="C197" s="63"/>
      <c r="D197" s="63" t="s">
        <v>496</v>
      </c>
      <c r="E197" s="57"/>
      <c r="F197" s="57"/>
      <c r="G197" s="57"/>
    </row>
    <row r="198" spans="1:7" x14ac:dyDescent="0.3">
      <c r="A198" s="57"/>
      <c r="B198" s="57"/>
      <c r="C198" s="57"/>
      <c r="D198" s="57"/>
      <c r="E198" s="57"/>
      <c r="F198" s="57"/>
      <c r="G198" s="57"/>
    </row>
    <row r="199" spans="1:7" ht="22.35" customHeight="1" x14ac:dyDescent="0.3">
      <c r="A199" s="90" t="s">
        <v>497</v>
      </c>
      <c r="B199" s="57"/>
      <c r="C199" s="57"/>
      <c r="D199" s="57"/>
      <c r="E199" s="57"/>
      <c r="F199" s="57"/>
      <c r="G199" s="57"/>
    </row>
    <row r="200" spans="1:7" x14ac:dyDescent="0.3">
      <c r="A200" s="63" t="s">
        <v>498</v>
      </c>
      <c r="B200" s="63" t="s">
        <v>499</v>
      </c>
      <c r="C200" s="63"/>
      <c r="D200" s="63" t="s">
        <v>500</v>
      </c>
      <c r="E200" s="57"/>
      <c r="F200" s="57"/>
      <c r="G200" s="57"/>
    </row>
    <row r="201" spans="1:7" x14ac:dyDescent="0.3">
      <c r="A201" s="63" t="s">
        <v>501</v>
      </c>
      <c r="B201" s="63" t="s">
        <v>502</v>
      </c>
      <c r="C201" s="63"/>
      <c r="D201" s="63" t="s">
        <v>503</v>
      </c>
      <c r="E201" s="57"/>
      <c r="F201" s="57"/>
      <c r="G201" s="57"/>
    </row>
    <row r="202" spans="1:7" x14ac:dyDescent="0.3">
      <c r="A202" s="57"/>
      <c r="B202" s="57"/>
      <c r="C202" s="57"/>
      <c r="D202" s="57"/>
      <c r="E202" s="57"/>
      <c r="F202" s="57"/>
      <c r="G202" s="57"/>
    </row>
    <row r="203" spans="1:7" ht="22.35" customHeight="1" x14ac:dyDescent="0.3">
      <c r="A203" s="90" t="s">
        <v>504</v>
      </c>
      <c r="B203" s="57"/>
      <c r="C203" s="57"/>
      <c r="D203" s="57"/>
      <c r="E203" s="57"/>
      <c r="F203" s="57"/>
      <c r="G203" s="57"/>
    </row>
    <row r="204" spans="1:7" x14ac:dyDescent="0.3">
      <c r="A204" s="63" t="s">
        <v>505</v>
      </c>
      <c r="B204" s="63" t="s">
        <v>506</v>
      </c>
      <c r="C204" s="63"/>
      <c r="D204" s="63" t="s">
        <v>507</v>
      </c>
      <c r="E204" s="57"/>
      <c r="F204" s="57"/>
      <c r="G204" s="57"/>
    </row>
    <row r="205" spans="1:7" x14ac:dyDescent="0.3">
      <c r="A205" s="63" t="s">
        <v>508</v>
      </c>
      <c r="B205" s="63" t="s">
        <v>509</v>
      </c>
      <c r="C205" s="63"/>
      <c r="D205" s="63" t="s">
        <v>510</v>
      </c>
      <c r="E205" s="57"/>
      <c r="F205" s="57"/>
      <c r="G205" s="57"/>
    </row>
    <row r="206" spans="1:7" x14ac:dyDescent="0.3">
      <c r="A206" s="57"/>
      <c r="B206" s="57"/>
      <c r="C206" s="57"/>
      <c r="D206" s="57"/>
      <c r="E206" s="57"/>
      <c r="F206" s="57"/>
      <c r="G206" s="57"/>
    </row>
    <row r="207" spans="1:7" ht="22.35" customHeight="1" x14ac:dyDescent="0.3">
      <c r="A207" s="90" t="s">
        <v>511</v>
      </c>
      <c r="B207" s="57"/>
      <c r="C207" s="57"/>
      <c r="D207" s="57"/>
      <c r="E207" s="57"/>
      <c r="F207" s="57"/>
      <c r="G207" s="57"/>
    </row>
    <row r="208" spans="1:7" x14ac:dyDescent="0.3">
      <c r="A208" s="63" t="s">
        <v>512</v>
      </c>
      <c r="B208" s="63" t="s">
        <v>513</v>
      </c>
      <c r="C208" s="63"/>
      <c r="D208" s="63" t="s">
        <v>514</v>
      </c>
      <c r="E208" s="57"/>
      <c r="F208" s="57"/>
      <c r="G208" s="57"/>
    </row>
    <row r="209" spans="1:7" x14ac:dyDescent="0.3">
      <c r="A209" s="63" t="s">
        <v>515</v>
      </c>
      <c r="B209" s="63" t="s">
        <v>516</v>
      </c>
      <c r="C209" s="63"/>
      <c r="D209" s="63" t="s">
        <v>517</v>
      </c>
      <c r="E209" s="57"/>
      <c r="F209" s="57"/>
      <c r="G209" s="57"/>
    </row>
    <row r="210" spans="1:7" x14ac:dyDescent="0.3">
      <c r="A210" s="63" t="s">
        <v>518</v>
      </c>
      <c r="B210" s="63" t="s">
        <v>519</v>
      </c>
      <c r="C210" s="63"/>
      <c r="D210" s="63" t="s">
        <v>520</v>
      </c>
      <c r="E210" s="57"/>
      <c r="F210" s="57"/>
      <c r="G210" s="57"/>
    </row>
    <row r="211" spans="1:7" ht="9.6" customHeight="1" x14ac:dyDescent="0.3">
      <c r="A211" s="57"/>
      <c r="B211" s="57"/>
      <c r="C211" s="57"/>
      <c r="D211" s="57"/>
      <c r="E211" s="57"/>
      <c r="F211" s="57"/>
      <c r="G211" s="57"/>
    </row>
    <row r="212" spans="1:7" ht="22.35" customHeight="1" x14ac:dyDescent="0.35">
      <c r="A212" s="91" t="s">
        <v>521</v>
      </c>
      <c r="B212" s="92"/>
      <c r="C212" s="92"/>
      <c r="D212" s="92"/>
      <c r="E212" s="92"/>
      <c r="F212" s="92"/>
      <c r="G212" s="92"/>
    </row>
    <row r="213" spans="1:7" ht="33.15" customHeight="1" x14ac:dyDescent="0.3">
      <c r="A213" s="93" t="s">
        <v>522</v>
      </c>
      <c r="B213" s="57"/>
      <c r="C213" s="57"/>
      <c r="D213" s="57"/>
      <c r="E213" s="57"/>
      <c r="F213" s="57"/>
      <c r="G213" s="57"/>
    </row>
    <row r="214" spans="1:7" ht="33.15" customHeight="1" x14ac:dyDescent="0.3">
      <c r="A214" s="93" t="s">
        <v>523</v>
      </c>
      <c r="B214" s="57"/>
      <c r="C214" s="57"/>
      <c r="D214" s="57"/>
      <c r="E214" s="57"/>
      <c r="F214" s="57"/>
      <c r="G214" s="57"/>
    </row>
    <row r="215" spans="1:7" ht="22.05" customHeight="1" x14ac:dyDescent="0.3">
      <c r="A215" s="93" t="s">
        <v>524</v>
      </c>
      <c r="B215" s="57"/>
      <c r="C215" s="57"/>
      <c r="D215" s="57"/>
      <c r="E215" s="57"/>
      <c r="F215" s="57"/>
      <c r="G215" s="57"/>
    </row>
    <row r="216" spans="1:7" x14ac:dyDescent="0.3">
      <c r="A216" s="57"/>
      <c r="B216" s="57"/>
      <c r="C216" s="57"/>
      <c r="D216" s="57"/>
      <c r="E216" s="57"/>
      <c r="F216" s="57"/>
      <c r="G216" s="57"/>
    </row>
    <row r="217" spans="1:7" ht="22.35" customHeight="1" x14ac:dyDescent="0.3">
      <c r="A217" s="94" t="s">
        <v>525</v>
      </c>
      <c r="B217" s="57"/>
      <c r="C217" s="57"/>
      <c r="D217" s="57"/>
      <c r="E217" s="57"/>
      <c r="F217" s="57"/>
      <c r="G217" s="57"/>
    </row>
    <row r="218" spans="1:7" x14ac:dyDescent="0.3">
      <c r="A218" s="95" t="s">
        <v>526</v>
      </c>
      <c r="B218" s="70" t="s">
        <v>527</v>
      </c>
      <c r="C218" s="72"/>
      <c r="D218" s="70" t="s">
        <v>528</v>
      </c>
      <c r="E218" s="72"/>
      <c r="F218" s="70" t="s">
        <v>529</v>
      </c>
      <c r="G218" s="70" t="s">
        <v>530</v>
      </c>
    </row>
    <row r="219" spans="1:7" x14ac:dyDescent="0.3">
      <c r="A219" s="63" t="s">
        <v>531</v>
      </c>
      <c r="B219" s="63" t="s">
        <v>532</v>
      </c>
      <c r="C219" s="63"/>
      <c r="D219" s="63" t="s">
        <v>533</v>
      </c>
      <c r="E219" s="63"/>
      <c r="F219" s="63" t="s">
        <v>534</v>
      </c>
      <c r="G219" s="63" t="s">
        <v>535</v>
      </c>
    </row>
    <row r="220" spans="1:7" x14ac:dyDescent="0.3">
      <c r="A220" s="63" t="s">
        <v>536</v>
      </c>
      <c r="B220" s="63" t="s">
        <v>537</v>
      </c>
      <c r="C220" s="63"/>
      <c r="D220" s="63" t="s">
        <v>538</v>
      </c>
      <c r="E220" s="63"/>
      <c r="F220" s="63" t="s">
        <v>539</v>
      </c>
      <c r="G220" s="63" t="s">
        <v>540</v>
      </c>
    </row>
    <row r="221" spans="1:7" x14ac:dyDescent="0.3">
      <c r="A221" s="63" t="s">
        <v>541</v>
      </c>
      <c r="B221" s="63" t="s">
        <v>542</v>
      </c>
      <c r="C221" s="63"/>
      <c r="D221" s="63" t="s">
        <v>543</v>
      </c>
      <c r="E221" s="63"/>
      <c r="F221" s="63" t="s">
        <v>544</v>
      </c>
      <c r="G221" s="63" t="s">
        <v>545</v>
      </c>
    </row>
    <row r="222" spans="1:7" x14ac:dyDescent="0.3">
      <c r="A222" s="63" t="s">
        <v>546</v>
      </c>
      <c r="B222" s="63" t="s">
        <v>547</v>
      </c>
      <c r="C222" s="63"/>
      <c r="D222" s="63" t="s">
        <v>548</v>
      </c>
      <c r="E222" s="63"/>
      <c r="F222" s="63" t="s">
        <v>549</v>
      </c>
      <c r="G222" s="63" t="s">
        <v>550</v>
      </c>
    </row>
    <row r="223" spans="1:7" x14ac:dyDescent="0.3">
      <c r="A223" s="63" t="s">
        <v>93</v>
      </c>
      <c r="B223" s="63" t="s">
        <v>551</v>
      </c>
      <c r="C223" s="63"/>
      <c r="D223" s="63" t="s">
        <v>552</v>
      </c>
      <c r="E223" s="63"/>
      <c r="F223" s="63" t="s">
        <v>553</v>
      </c>
      <c r="G223" s="63" t="s">
        <v>554</v>
      </c>
    </row>
    <row r="224" spans="1:7" x14ac:dyDescent="0.3">
      <c r="A224" s="57"/>
      <c r="B224" s="57"/>
      <c r="C224" s="57"/>
      <c r="D224" s="57"/>
      <c r="E224" s="57"/>
      <c r="F224" s="57"/>
      <c r="G224" s="57"/>
    </row>
    <row r="225" spans="1:7" ht="22.35" customHeight="1" x14ac:dyDescent="0.3">
      <c r="A225" s="96" t="s">
        <v>555</v>
      </c>
      <c r="B225" s="57"/>
      <c r="C225" s="57"/>
      <c r="D225" s="57"/>
      <c r="E225" s="57"/>
      <c r="F225" s="57"/>
      <c r="G225" s="57"/>
    </row>
    <row r="226" spans="1:7" x14ac:dyDescent="0.3">
      <c r="A226" s="97" t="s">
        <v>526</v>
      </c>
      <c r="B226" s="97" t="s">
        <v>527</v>
      </c>
      <c r="C226" s="98"/>
      <c r="D226" s="97" t="s">
        <v>528</v>
      </c>
      <c r="E226" s="98"/>
      <c r="F226" s="97" t="s">
        <v>529</v>
      </c>
      <c r="G226" s="97" t="s">
        <v>530</v>
      </c>
    </row>
    <row r="227" spans="1:7" ht="22.95" customHeight="1" x14ac:dyDescent="0.3">
      <c r="A227" s="63" t="s">
        <v>556</v>
      </c>
      <c r="B227" s="63" t="s">
        <v>557</v>
      </c>
      <c r="C227" s="63"/>
      <c r="D227" s="63" t="s">
        <v>558</v>
      </c>
      <c r="E227" s="63"/>
      <c r="F227" s="63" t="s">
        <v>559</v>
      </c>
      <c r="G227" s="63" t="s">
        <v>560</v>
      </c>
    </row>
    <row r="228" spans="1:7" ht="22.95" customHeight="1" x14ac:dyDescent="0.3">
      <c r="A228" s="63" t="s">
        <v>561</v>
      </c>
      <c r="B228" s="63" t="s">
        <v>562</v>
      </c>
      <c r="C228" s="63"/>
      <c r="D228" s="63" t="s">
        <v>563</v>
      </c>
      <c r="E228" s="63"/>
      <c r="F228" s="63" t="s">
        <v>564</v>
      </c>
      <c r="G228" s="63" t="s">
        <v>565</v>
      </c>
    </row>
    <row r="229" spans="1:7" ht="22.95" customHeight="1" x14ac:dyDescent="0.3">
      <c r="A229" s="63" t="s">
        <v>566</v>
      </c>
      <c r="B229" s="63" t="s">
        <v>567</v>
      </c>
      <c r="C229" s="63"/>
      <c r="D229" s="63" t="s">
        <v>568</v>
      </c>
      <c r="E229" s="63"/>
      <c r="F229" s="63" t="s">
        <v>569</v>
      </c>
      <c r="G229" s="63" t="s">
        <v>570</v>
      </c>
    </row>
    <row r="230" spans="1:7" x14ac:dyDescent="0.3">
      <c r="A230" s="63" t="s">
        <v>571</v>
      </c>
      <c r="B230" s="63" t="s">
        <v>572</v>
      </c>
      <c r="C230" s="63"/>
      <c r="D230" s="63" t="s">
        <v>573</v>
      </c>
      <c r="E230" s="63"/>
      <c r="F230" s="63" t="s">
        <v>574</v>
      </c>
      <c r="G230" s="63" t="s">
        <v>575</v>
      </c>
    </row>
    <row r="231" spans="1:7" x14ac:dyDescent="0.3">
      <c r="A231" s="63" t="s">
        <v>576</v>
      </c>
      <c r="B231" s="63" t="s">
        <v>577</v>
      </c>
      <c r="C231" s="63"/>
      <c r="D231" s="63" t="s">
        <v>578</v>
      </c>
      <c r="E231" s="63"/>
      <c r="F231" s="63" t="s">
        <v>579</v>
      </c>
      <c r="G231" s="63" t="s">
        <v>580</v>
      </c>
    </row>
    <row r="232" spans="1:7" x14ac:dyDescent="0.3">
      <c r="A232" s="57"/>
      <c r="B232" s="57"/>
      <c r="C232" s="57"/>
      <c r="D232" s="57"/>
      <c r="E232" s="57"/>
      <c r="F232" s="57"/>
      <c r="G232" s="57"/>
    </row>
    <row r="233" spans="1:7" ht="22.35" customHeight="1" x14ac:dyDescent="0.3">
      <c r="A233" s="99" t="s">
        <v>581</v>
      </c>
      <c r="B233" s="57"/>
      <c r="C233" s="57"/>
      <c r="D233" s="57"/>
      <c r="E233" s="57"/>
      <c r="F233" s="57"/>
      <c r="G233" s="57"/>
    </row>
    <row r="234" spans="1:7" x14ac:dyDescent="0.3">
      <c r="A234" s="100" t="s">
        <v>582</v>
      </c>
      <c r="B234" s="101"/>
      <c r="C234" s="101"/>
      <c r="D234" s="100" t="s">
        <v>367</v>
      </c>
      <c r="E234" s="101"/>
      <c r="F234" s="100" t="s">
        <v>583</v>
      </c>
      <c r="G234" s="102"/>
    </row>
    <row r="235" spans="1:7" x14ac:dyDescent="0.3">
      <c r="A235" s="63" t="s">
        <v>584</v>
      </c>
      <c r="B235" s="63"/>
      <c r="C235" s="63"/>
      <c r="D235" s="63" t="s">
        <v>585</v>
      </c>
      <c r="E235" s="63"/>
      <c r="F235" s="63" t="s">
        <v>586</v>
      </c>
      <c r="G235" s="57"/>
    </row>
    <row r="236" spans="1:7" x14ac:dyDescent="0.3">
      <c r="A236" s="63" t="s">
        <v>587</v>
      </c>
      <c r="B236" s="63"/>
      <c r="C236" s="63"/>
      <c r="D236" s="63" t="s">
        <v>588</v>
      </c>
      <c r="E236" s="63"/>
      <c r="F236" s="63" t="s">
        <v>589</v>
      </c>
      <c r="G236" s="57"/>
    </row>
    <row r="237" spans="1:7" x14ac:dyDescent="0.3">
      <c r="A237" s="63" t="s">
        <v>590</v>
      </c>
      <c r="B237" s="63"/>
      <c r="C237" s="63"/>
      <c r="D237" s="63" t="s">
        <v>591</v>
      </c>
      <c r="E237" s="63"/>
      <c r="F237" s="63" t="s">
        <v>592</v>
      </c>
      <c r="G237" s="57"/>
    </row>
    <row r="238" spans="1:7" x14ac:dyDescent="0.3">
      <c r="A238" s="63" t="s">
        <v>593</v>
      </c>
      <c r="B238" s="63"/>
      <c r="C238" s="63"/>
      <c r="D238" s="63" t="s">
        <v>594</v>
      </c>
      <c r="E238" s="63"/>
      <c r="F238" s="63" t="s">
        <v>595</v>
      </c>
      <c r="G238" s="57"/>
    </row>
    <row r="239" spans="1:7" x14ac:dyDescent="0.3">
      <c r="A239" s="57"/>
      <c r="B239" s="57"/>
      <c r="C239" s="57"/>
      <c r="D239" s="57"/>
      <c r="E239" s="57"/>
      <c r="F239" s="57"/>
      <c r="G239" s="57"/>
    </row>
    <row r="240" spans="1:7" ht="22.35" customHeight="1" x14ac:dyDescent="0.3">
      <c r="A240" s="103" t="s">
        <v>596</v>
      </c>
      <c r="B240" s="57"/>
      <c r="C240" s="57"/>
      <c r="D240" s="57"/>
      <c r="E240" s="57"/>
      <c r="F240" s="57"/>
      <c r="G240" s="57"/>
    </row>
    <row r="241" spans="1:7" x14ac:dyDescent="0.3">
      <c r="A241" s="97" t="s">
        <v>597</v>
      </c>
      <c r="B241" s="98"/>
      <c r="C241" s="98"/>
      <c r="D241" s="97" t="s">
        <v>598</v>
      </c>
      <c r="E241" s="104"/>
      <c r="F241" s="104"/>
      <c r="G241" s="104"/>
    </row>
    <row r="242" spans="1:7" x14ac:dyDescent="0.3">
      <c r="A242" s="63" t="s">
        <v>599</v>
      </c>
      <c r="B242" s="63"/>
      <c r="C242" s="63"/>
      <c r="D242" s="63" t="s">
        <v>600</v>
      </c>
      <c r="E242" s="57"/>
      <c r="F242" s="57"/>
      <c r="G242" s="57"/>
    </row>
    <row r="243" spans="1:7" x14ac:dyDescent="0.3">
      <c r="A243" s="63" t="s">
        <v>601</v>
      </c>
      <c r="B243" s="63"/>
      <c r="C243" s="63"/>
      <c r="D243" s="63" t="s">
        <v>602</v>
      </c>
      <c r="E243" s="57"/>
      <c r="F243" s="57"/>
      <c r="G243" s="57"/>
    </row>
    <row r="244" spans="1:7" x14ac:dyDescent="0.3">
      <c r="A244" s="63" t="s">
        <v>603</v>
      </c>
      <c r="B244" s="63"/>
      <c r="C244" s="63"/>
      <c r="D244" s="63" t="s">
        <v>604</v>
      </c>
      <c r="E244" s="57"/>
      <c r="F244" s="57"/>
      <c r="G244" s="57"/>
    </row>
    <row r="245" spans="1:7" ht="22.95" customHeight="1" x14ac:dyDescent="0.3">
      <c r="A245" s="63" t="s">
        <v>605</v>
      </c>
      <c r="B245" s="63"/>
      <c r="C245" s="63"/>
      <c r="D245" s="63" t="s">
        <v>606</v>
      </c>
      <c r="E245" s="57"/>
      <c r="F245" s="57"/>
      <c r="G245" s="57"/>
    </row>
    <row r="246" spans="1:7" x14ac:dyDescent="0.3">
      <c r="A246" s="57"/>
      <c r="B246" s="57"/>
      <c r="C246" s="57"/>
      <c r="D246" s="57"/>
      <c r="E246" s="57"/>
      <c r="F246" s="57"/>
      <c r="G246" s="57"/>
    </row>
    <row r="247" spans="1:7" ht="34.5" customHeight="1" x14ac:dyDescent="0.3">
      <c r="A247" s="105" t="s">
        <v>607</v>
      </c>
      <c r="B247" s="57"/>
      <c r="C247" s="57"/>
      <c r="D247" s="57"/>
      <c r="E247" s="57"/>
      <c r="F247" s="57"/>
      <c r="G247" s="57"/>
    </row>
    <row r="248" spans="1:7" ht="34.5" customHeight="1" x14ac:dyDescent="0.3">
      <c r="A248" s="105" t="s">
        <v>608</v>
      </c>
      <c r="B248" s="57"/>
      <c r="C248" s="57"/>
      <c r="D248" s="57"/>
      <c r="E248" s="57"/>
      <c r="F248" s="57"/>
      <c r="G248" s="5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
  <sheetViews>
    <sheetView workbookViewId="0"/>
  </sheetViews>
  <sheetFormatPr defaultRowHeight="14.4" x14ac:dyDescent="0.3"/>
  <cols>
    <col min="1" max="1" width="20" customWidth="1"/>
    <col min="2" max="3" width="48" customWidth="1"/>
  </cols>
  <sheetData>
    <row r="1" spans="1:3" x14ac:dyDescent="0.3">
      <c r="A1" t="s">
        <v>0</v>
      </c>
      <c r="B1" t="s">
        <v>609</v>
      </c>
      <c r="C1" t="s">
        <v>2</v>
      </c>
    </row>
    <row r="2" spans="1:3" x14ac:dyDescent="0.3">
      <c r="A2" t="s">
        <v>9</v>
      </c>
      <c r="C2" t="s">
        <v>610</v>
      </c>
    </row>
    <row r="3" spans="1:3" x14ac:dyDescent="0.3">
      <c r="A3" t="s">
        <v>10</v>
      </c>
      <c r="B3" t="s">
        <v>611</v>
      </c>
      <c r="C3" t="s">
        <v>10</v>
      </c>
    </row>
    <row r="4" spans="1:3" x14ac:dyDescent="0.3">
      <c r="A4" t="s">
        <v>12</v>
      </c>
      <c r="B4" t="s">
        <v>611</v>
      </c>
      <c r="C4" t="s">
        <v>12</v>
      </c>
    </row>
    <row r="5" spans="1:3" x14ac:dyDescent="0.3">
      <c r="A5" t="s">
        <v>13</v>
      </c>
      <c r="B5" t="s">
        <v>611</v>
      </c>
      <c r="C5" t="s">
        <v>13</v>
      </c>
    </row>
    <row r="6" spans="1:3" x14ac:dyDescent="0.3">
      <c r="A6" t="s">
        <v>14</v>
      </c>
      <c r="B6" t="s">
        <v>611</v>
      </c>
      <c r="C6" t="s">
        <v>14</v>
      </c>
    </row>
    <row r="7" spans="1:3" x14ac:dyDescent="0.3">
      <c r="A7" t="s">
        <v>15</v>
      </c>
      <c r="B7" t="s">
        <v>611</v>
      </c>
      <c r="C7" t="s">
        <v>15</v>
      </c>
    </row>
    <row r="8" spans="1:3" x14ac:dyDescent="0.3">
      <c r="A8" t="s">
        <v>16</v>
      </c>
      <c r="B8" t="s">
        <v>612</v>
      </c>
      <c r="C8" t="s">
        <v>16</v>
      </c>
    </row>
    <row r="9" spans="1:3" x14ac:dyDescent="0.3">
      <c r="A9" t="s">
        <v>17</v>
      </c>
      <c r="B9" t="s">
        <v>612</v>
      </c>
      <c r="C9" t="s">
        <v>17</v>
      </c>
    </row>
    <row r="10" spans="1:3" x14ac:dyDescent="0.3">
      <c r="A10" t="s">
        <v>18</v>
      </c>
      <c r="B10" t="s">
        <v>612</v>
      </c>
      <c r="C10" t="s">
        <v>18</v>
      </c>
    </row>
    <row r="11" spans="1:3" x14ac:dyDescent="0.3">
      <c r="A11" t="s">
        <v>19</v>
      </c>
      <c r="B11" t="s">
        <v>612</v>
      </c>
      <c r="C11" t="s">
        <v>19</v>
      </c>
    </row>
    <row r="12" spans="1:3" x14ac:dyDescent="0.3">
      <c r="A12" t="s">
        <v>20</v>
      </c>
      <c r="B12" t="s">
        <v>612</v>
      </c>
      <c r="C12" t="s">
        <v>20</v>
      </c>
    </row>
    <row r="13" spans="1:3" x14ac:dyDescent="0.3">
      <c r="A13" t="s">
        <v>21</v>
      </c>
      <c r="B13" t="s">
        <v>612</v>
      </c>
      <c r="C13" t="s">
        <v>21</v>
      </c>
    </row>
    <row r="14" spans="1:3" x14ac:dyDescent="0.3">
      <c r="A14" t="s">
        <v>22</v>
      </c>
      <c r="B14" t="s">
        <v>612</v>
      </c>
      <c r="C14" t="s">
        <v>22</v>
      </c>
    </row>
    <row r="15" spans="1:3" x14ac:dyDescent="0.3">
      <c r="A15" t="s">
        <v>23</v>
      </c>
      <c r="B15" t="s">
        <v>612</v>
      </c>
      <c r="C15" t="s">
        <v>23</v>
      </c>
    </row>
    <row r="16" spans="1:3" x14ac:dyDescent="0.3">
      <c r="A16" t="s">
        <v>24</v>
      </c>
      <c r="B16" t="s">
        <v>612</v>
      </c>
      <c r="C16" t="s">
        <v>613</v>
      </c>
    </row>
    <row r="17" spans="1:3" x14ac:dyDescent="0.3">
      <c r="A17" t="s">
        <v>25</v>
      </c>
      <c r="B17" t="s">
        <v>612</v>
      </c>
      <c r="C17" t="s">
        <v>614</v>
      </c>
    </row>
    <row r="18" spans="1:3" x14ac:dyDescent="0.3">
      <c r="A18" t="s">
        <v>26</v>
      </c>
      <c r="B18" t="s">
        <v>612</v>
      </c>
      <c r="C18" t="s">
        <v>615</v>
      </c>
    </row>
    <row r="19" spans="1:3" x14ac:dyDescent="0.3">
      <c r="A19" t="s">
        <v>27</v>
      </c>
      <c r="B19" t="s">
        <v>616</v>
      </c>
      <c r="C19" t="s">
        <v>27</v>
      </c>
    </row>
    <row r="20" spans="1:3" x14ac:dyDescent="0.3">
      <c r="A20" t="s">
        <v>28</v>
      </c>
      <c r="B20" t="s">
        <v>616</v>
      </c>
      <c r="C20" t="s">
        <v>28</v>
      </c>
    </row>
    <row r="21" spans="1:3" x14ac:dyDescent="0.3">
      <c r="A21" t="s">
        <v>29</v>
      </c>
      <c r="B21" t="s">
        <v>617</v>
      </c>
      <c r="C21" t="s">
        <v>29</v>
      </c>
    </row>
    <row r="22" spans="1:3" x14ac:dyDescent="0.3">
      <c r="A22" t="s">
        <v>30</v>
      </c>
      <c r="B22" t="s">
        <v>617</v>
      </c>
      <c r="C22" t="s">
        <v>30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7"/>
  <sheetViews>
    <sheetView workbookViewId="0"/>
  </sheetViews>
  <sheetFormatPr defaultRowHeight="14.4" x14ac:dyDescent="0.3"/>
  <cols>
    <col min="1" max="1" width="48" customWidth="1"/>
    <col min="2" max="2" width="14" customWidth="1"/>
    <col min="3" max="3" width="12" customWidth="1"/>
    <col min="4" max="4" width="15" customWidth="1"/>
  </cols>
  <sheetData>
    <row r="1" spans="1:4" x14ac:dyDescent="0.3">
      <c r="A1" t="s">
        <v>609</v>
      </c>
      <c r="B1" t="s">
        <v>618</v>
      </c>
      <c r="C1" t="s">
        <v>619</v>
      </c>
      <c r="D1" t="s">
        <v>620</v>
      </c>
    </row>
    <row r="2" spans="1:4" x14ac:dyDescent="0.3">
      <c r="A2" t="s">
        <v>611</v>
      </c>
      <c r="B2" t="s">
        <v>10</v>
      </c>
      <c r="C2">
        <v>1</v>
      </c>
      <c r="D2" t="s">
        <v>621</v>
      </c>
    </row>
    <row r="3" spans="1:4" x14ac:dyDescent="0.3">
      <c r="A3" t="s">
        <v>611</v>
      </c>
      <c r="B3" t="s">
        <v>10</v>
      </c>
      <c r="C3">
        <v>2</v>
      </c>
      <c r="D3" t="s">
        <v>622</v>
      </c>
    </row>
    <row r="4" spans="1:4" x14ac:dyDescent="0.3">
      <c r="A4" t="s">
        <v>611</v>
      </c>
      <c r="B4" t="s">
        <v>10</v>
      </c>
      <c r="C4">
        <v>3</v>
      </c>
      <c r="D4" t="s">
        <v>623</v>
      </c>
    </row>
    <row r="5" spans="1:4" x14ac:dyDescent="0.3">
      <c r="A5" t="s">
        <v>611</v>
      </c>
      <c r="B5" t="s">
        <v>10</v>
      </c>
      <c r="C5">
        <v>4</v>
      </c>
      <c r="D5" t="s">
        <v>624</v>
      </c>
    </row>
    <row r="6" spans="1:4" x14ac:dyDescent="0.3">
      <c r="A6" t="s">
        <v>611</v>
      </c>
      <c r="B6" t="s">
        <v>10</v>
      </c>
      <c r="C6">
        <v>5</v>
      </c>
      <c r="D6" t="s">
        <v>625</v>
      </c>
    </row>
    <row r="7" spans="1:4" x14ac:dyDescent="0.3">
      <c r="A7" t="s">
        <v>611</v>
      </c>
      <c r="B7" t="s">
        <v>10</v>
      </c>
      <c r="C7">
        <v>6</v>
      </c>
      <c r="D7" t="s">
        <v>626</v>
      </c>
    </row>
    <row r="8" spans="1:4" x14ac:dyDescent="0.3">
      <c r="A8" t="s">
        <v>611</v>
      </c>
      <c r="B8" t="s">
        <v>10</v>
      </c>
      <c r="C8">
        <v>7</v>
      </c>
      <c r="D8" t="s">
        <v>357</v>
      </c>
    </row>
    <row r="9" spans="1:4" x14ac:dyDescent="0.3">
      <c r="A9" t="s">
        <v>611</v>
      </c>
      <c r="B9" t="s">
        <v>10</v>
      </c>
      <c r="C9">
        <v>8</v>
      </c>
      <c r="D9" t="s">
        <v>627</v>
      </c>
    </row>
    <row r="10" spans="1:4" x14ac:dyDescent="0.3">
      <c r="A10" t="s">
        <v>611</v>
      </c>
      <c r="B10" t="s">
        <v>10</v>
      </c>
      <c r="C10">
        <v>9</v>
      </c>
      <c r="D10" t="s">
        <v>628</v>
      </c>
    </row>
    <row r="11" spans="1:4" x14ac:dyDescent="0.3">
      <c r="A11" t="s">
        <v>611</v>
      </c>
      <c r="B11" t="s">
        <v>10</v>
      </c>
      <c r="C11">
        <v>10</v>
      </c>
      <c r="D11" t="s">
        <v>629</v>
      </c>
    </row>
    <row r="12" spans="1:4" x14ac:dyDescent="0.3">
      <c r="A12" t="s">
        <v>611</v>
      </c>
      <c r="B12" t="s">
        <v>10</v>
      </c>
      <c r="C12">
        <v>11</v>
      </c>
      <c r="D12" t="s">
        <v>630</v>
      </c>
    </row>
    <row r="13" spans="1:4" x14ac:dyDescent="0.3">
      <c r="A13" t="s">
        <v>611</v>
      </c>
      <c r="B13" t="s">
        <v>10</v>
      </c>
      <c r="C13">
        <v>12</v>
      </c>
      <c r="D13" t="s">
        <v>631</v>
      </c>
    </row>
    <row r="14" spans="1:4" x14ac:dyDescent="0.3">
      <c r="A14" t="s">
        <v>611</v>
      </c>
      <c r="B14" t="s">
        <v>10</v>
      </c>
      <c r="C14">
        <v>13</v>
      </c>
      <c r="D14" t="s">
        <v>632</v>
      </c>
    </row>
    <row r="15" spans="1:4" x14ac:dyDescent="0.3">
      <c r="A15" t="s">
        <v>611</v>
      </c>
      <c r="B15" t="s">
        <v>10</v>
      </c>
      <c r="C15">
        <v>14</v>
      </c>
      <c r="D15" t="s">
        <v>633</v>
      </c>
    </row>
    <row r="16" spans="1:4" x14ac:dyDescent="0.3">
      <c r="A16" t="s">
        <v>611</v>
      </c>
      <c r="B16" t="s">
        <v>10</v>
      </c>
      <c r="C16">
        <v>15</v>
      </c>
      <c r="D16" t="s">
        <v>634</v>
      </c>
    </row>
    <row r="17" spans="1:4" x14ac:dyDescent="0.3">
      <c r="A17" t="s">
        <v>611</v>
      </c>
      <c r="B17" t="s">
        <v>10</v>
      </c>
      <c r="C17">
        <v>16</v>
      </c>
      <c r="D17" t="s">
        <v>635</v>
      </c>
    </row>
    <row r="18" spans="1:4" x14ac:dyDescent="0.3">
      <c r="A18" t="s">
        <v>611</v>
      </c>
      <c r="B18" t="s">
        <v>10</v>
      </c>
      <c r="C18">
        <v>17</v>
      </c>
      <c r="D18" t="s">
        <v>636</v>
      </c>
    </row>
    <row r="19" spans="1:4" x14ac:dyDescent="0.3">
      <c r="A19" t="s">
        <v>611</v>
      </c>
      <c r="B19" t="s">
        <v>10</v>
      </c>
      <c r="C19">
        <v>18</v>
      </c>
      <c r="D19" t="s">
        <v>637</v>
      </c>
    </row>
    <row r="20" spans="1:4" x14ac:dyDescent="0.3">
      <c r="A20" t="s">
        <v>611</v>
      </c>
      <c r="B20" t="s">
        <v>10</v>
      </c>
      <c r="C20">
        <v>19</v>
      </c>
      <c r="D20" t="s">
        <v>638</v>
      </c>
    </row>
    <row r="21" spans="1:4" x14ac:dyDescent="0.3">
      <c r="A21" t="s">
        <v>611</v>
      </c>
      <c r="B21" t="s">
        <v>10</v>
      </c>
      <c r="C21">
        <v>20</v>
      </c>
      <c r="D21" t="s">
        <v>337</v>
      </c>
    </row>
    <row r="22" spans="1:4" x14ac:dyDescent="0.3">
      <c r="A22" t="s">
        <v>611</v>
      </c>
      <c r="B22" t="s">
        <v>10</v>
      </c>
      <c r="C22">
        <v>21</v>
      </c>
      <c r="D22" t="s">
        <v>360</v>
      </c>
    </row>
    <row r="23" spans="1:4" x14ac:dyDescent="0.3">
      <c r="A23" t="s">
        <v>611</v>
      </c>
      <c r="B23" t="s">
        <v>10</v>
      </c>
      <c r="C23">
        <v>22</v>
      </c>
      <c r="D23" t="s">
        <v>639</v>
      </c>
    </row>
    <row r="24" spans="1:4" x14ac:dyDescent="0.3">
      <c r="A24" t="s">
        <v>611</v>
      </c>
      <c r="B24" t="s">
        <v>10</v>
      </c>
      <c r="C24">
        <v>23</v>
      </c>
      <c r="D24" t="s">
        <v>640</v>
      </c>
    </row>
    <row r="25" spans="1:4" x14ac:dyDescent="0.3">
      <c r="A25" t="s">
        <v>611</v>
      </c>
      <c r="B25" t="s">
        <v>10</v>
      </c>
      <c r="C25">
        <v>24</v>
      </c>
      <c r="D25" t="s">
        <v>641</v>
      </c>
    </row>
    <row r="26" spans="1:4" x14ac:dyDescent="0.3">
      <c r="A26" t="s">
        <v>611</v>
      </c>
      <c r="B26" t="s">
        <v>10</v>
      </c>
      <c r="C26">
        <v>25</v>
      </c>
      <c r="D26" t="s">
        <v>642</v>
      </c>
    </row>
    <row r="27" spans="1:4" x14ac:dyDescent="0.3">
      <c r="A27" t="s">
        <v>611</v>
      </c>
      <c r="B27" t="s">
        <v>10</v>
      </c>
      <c r="C27">
        <v>26</v>
      </c>
      <c r="D27" t="s">
        <v>627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7"/>
  <sheetViews>
    <sheetView workbookViewId="0"/>
  </sheetViews>
  <sheetFormatPr defaultRowHeight="14.4" x14ac:dyDescent="0.3"/>
  <cols>
    <col min="1" max="1" width="48" customWidth="1"/>
    <col min="2" max="2" width="17" customWidth="1"/>
    <col min="3" max="3" width="12" customWidth="1"/>
    <col min="4" max="4" width="15" customWidth="1"/>
  </cols>
  <sheetData>
    <row r="1" spans="1:4" x14ac:dyDescent="0.3">
      <c r="A1" t="s">
        <v>609</v>
      </c>
      <c r="B1" t="s">
        <v>618</v>
      </c>
      <c r="C1" t="s">
        <v>619</v>
      </c>
      <c r="D1" t="s">
        <v>620</v>
      </c>
    </row>
    <row r="2" spans="1:4" x14ac:dyDescent="0.3">
      <c r="A2" t="s">
        <v>611</v>
      </c>
      <c r="B2" t="s">
        <v>12</v>
      </c>
      <c r="C2">
        <v>1</v>
      </c>
      <c r="D2" t="s">
        <v>643</v>
      </c>
    </row>
    <row r="3" spans="1:4" x14ac:dyDescent="0.3">
      <c r="A3" t="s">
        <v>611</v>
      </c>
      <c r="B3" t="s">
        <v>12</v>
      </c>
      <c r="C3">
        <v>2</v>
      </c>
      <c r="D3" t="s">
        <v>644</v>
      </c>
    </row>
    <row r="4" spans="1:4" x14ac:dyDescent="0.3">
      <c r="A4" t="s">
        <v>611</v>
      </c>
      <c r="B4" t="s">
        <v>12</v>
      </c>
      <c r="C4">
        <v>3</v>
      </c>
      <c r="D4" t="s">
        <v>645</v>
      </c>
    </row>
    <row r="5" spans="1:4" x14ac:dyDescent="0.3">
      <c r="A5" t="s">
        <v>611</v>
      </c>
      <c r="B5" t="s">
        <v>12</v>
      </c>
      <c r="C5">
        <v>4</v>
      </c>
      <c r="D5" t="s">
        <v>646</v>
      </c>
    </row>
    <row r="6" spans="1:4" x14ac:dyDescent="0.3">
      <c r="A6" t="s">
        <v>611</v>
      </c>
      <c r="B6" t="s">
        <v>12</v>
      </c>
      <c r="C6">
        <v>5</v>
      </c>
      <c r="D6" t="s">
        <v>647</v>
      </c>
    </row>
    <row r="7" spans="1:4" x14ac:dyDescent="0.3">
      <c r="A7" t="s">
        <v>611</v>
      </c>
      <c r="B7" t="s">
        <v>12</v>
      </c>
      <c r="C7">
        <v>6</v>
      </c>
      <c r="D7" t="s">
        <v>648</v>
      </c>
    </row>
    <row r="8" spans="1:4" x14ac:dyDescent="0.3">
      <c r="A8" t="s">
        <v>611</v>
      </c>
      <c r="B8" t="s">
        <v>12</v>
      </c>
      <c r="C8">
        <v>7</v>
      </c>
      <c r="D8" t="s">
        <v>649</v>
      </c>
    </row>
    <row r="9" spans="1:4" x14ac:dyDescent="0.3">
      <c r="A9" t="s">
        <v>611</v>
      </c>
      <c r="B9" t="s">
        <v>12</v>
      </c>
      <c r="C9">
        <v>8</v>
      </c>
      <c r="D9" t="s">
        <v>650</v>
      </c>
    </row>
    <row r="10" spans="1:4" x14ac:dyDescent="0.3">
      <c r="A10" t="s">
        <v>611</v>
      </c>
      <c r="B10" t="s">
        <v>12</v>
      </c>
      <c r="C10">
        <v>9</v>
      </c>
      <c r="D10" t="s">
        <v>651</v>
      </c>
    </row>
    <row r="11" spans="1:4" x14ac:dyDescent="0.3">
      <c r="A11" t="s">
        <v>611</v>
      </c>
      <c r="B11" t="s">
        <v>12</v>
      </c>
      <c r="C11">
        <v>10</v>
      </c>
      <c r="D11" t="s">
        <v>652</v>
      </c>
    </row>
    <row r="12" spans="1:4" x14ac:dyDescent="0.3">
      <c r="A12" t="s">
        <v>611</v>
      </c>
      <c r="B12" t="s">
        <v>12</v>
      </c>
      <c r="C12">
        <v>11</v>
      </c>
      <c r="D12" t="s">
        <v>653</v>
      </c>
    </row>
    <row r="13" spans="1:4" x14ac:dyDescent="0.3">
      <c r="A13" t="s">
        <v>611</v>
      </c>
      <c r="B13" t="s">
        <v>12</v>
      </c>
      <c r="C13">
        <v>12</v>
      </c>
      <c r="D13" t="s">
        <v>654</v>
      </c>
    </row>
    <row r="14" spans="1:4" x14ac:dyDescent="0.3">
      <c r="A14" t="s">
        <v>611</v>
      </c>
      <c r="B14" t="s">
        <v>12</v>
      </c>
      <c r="C14">
        <v>13</v>
      </c>
      <c r="D14" t="s">
        <v>655</v>
      </c>
    </row>
    <row r="15" spans="1:4" x14ac:dyDescent="0.3">
      <c r="A15" t="s">
        <v>611</v>
      </c>
      <c r="B15" t="s">
        <v>12</v>
      </c>
      <c r="C15">
        <v>14</v>
      </c>
      <c r="D15" t="s">
        <v>656</v>
      </c>
    </row>
    <row r="16" spans="1:4" x14ac:dyDescent="0.3">
      <c r="A16" t="s">
        <v>611</v>
      </c>
      <c r="B16" t="s">
        <v>12</v>
      </c>
      <c r="C16">
        <v>15</v>
      </c>
      <c r="D16" t="s">
        <v>657</v>
      </c>
    </row>
    <row r="17" spans="1:4" x14ac:dyDescent="0.3">
      <c r="A17" t="s">
        <v>611</v>
      </c>
      <c r="B17" t="s">
        <v>12</v>
      </c>
      <c r="C17">
        <v>16</v>
      </c>
      <c r="D17" t="s">
        <v>658</v>
      </c>
    </row>
    <row r="18" spans="1:4" x14ac:dyDescent="0.3">
      <c r="A18" t="s">
        <v>611</v>
      </c>
      <c r="B18" t="s">
        <v>12</v>
      </c>
      <c r="C18">
        <v>17</v>
      </c>
      <c r="D18" t="s">
        <v>659</v>
      </c>
    </row>
    <row r="19" spans="1:4" x14ac:dyDescent="0.3">
      <c r="A19" t="s">
        <v>611</v>
      </c>
      <c r="B19" t="s">
        <v>12</v>
      </c>
      <c r="C19">
        <v>18</v>
      </c>
      <c r="D19" t="s">
        <v>660</v>
      </c>
    </row>
    <row r="20" spans="1:4" x14ac:dyDescent="0.3">
      <c r="A20" t="s">
        <v>611</v>
      </c>
      <c r="B20" t="s">
        <v>12</v>
      </c>
      <c r="C20">
        <v>19</v>
      </c>
      <c r="D20" t="s">
        <v>661</v>
      </c>
    </row>
    <row r="21" spans="1:4" x14ac:dyDescent="0.3">
      <c r="A21" t="s">
        <v>611</v>
      </c>
      <c r="B21" t="s">
        <v>12</v>
      </c>
      <c r="C21">
        <v>20</v>
      </c>
      <c r="D21" t="s">
        <v>662</v>
      </c>
    </row>
    <row r="22" spans="1:4" x14ac:dyDescent="0.3">
      <c r="A22" t="s">
        <v>611</v>
      </c>
      <c r="B22" t="s">
        <v>12</v>
      </c>
      <c r="C22">
        <v>21</v>
      </c>
      <c r="D22" t="s">
        <v>663</v>
      </c>
    </row>
    <row r="23" spans="1:4" x14ac:dyDescent="0.3">
      <c r="A23" t="s">
        <v>611</v>
      </c>
      <c r="B23" t="s">
        <v>12</v>
      </c>
      <c r="C23">
        <v>22</v>
      </c>
      <c r="D23" t="s">
        <v>664</v>
      </c>
    </row>
    <row r="24" spans="1:4" x14ac:dyDescent="0.3">
      <c r="A24" t="s">
        <v>611</v>
      </c>
      <c r="B24" t="s">
        <v>12</v>
      </c>
      <c r="C24">
        <v>23</v>
      </c>
      <c r="D24" t="s">
        <v>665</v>
      </c>
    </row>
    <row r="25" spans="1:4" x14ac:dyDescent="0.3">
      <c r="A25" t="s">
        <v>611</v>
      </c>
      <c r="B25" t="s">
        <v>12</v>
      </c>
      <c r="C25">
        <v>24</v>
      </c>
      <c r="D25" t="s">
        <v>666</v>
      </c>
    </row>
    <row r="26" spans="1:4" x14ac:dyDescent="0.3">
      <c r="A26" t="s">
        <v>611</v>
      </c>
      <c r="B26" t="s">
        <v>12</v>
      </c>
      <c r="C26">
        <v>25</v>
      </c>
      <c r="D26" t="s">
        <v>667</v>
      </c>
    </row>
    <row r="27" spans="1:4" x14ac:dyDescent="0.3">
      <c r="A27" t="s">
        <v>611</v>
      </c>
      <c r="B27" t="s">
        <v>12</v>
      </c>
      <c r="C27">
        <v>26</v>
      </c>
      <c r="D27" t="s">
        <v>668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1"/>
  <sheetViews>
    <sheetView workbookViewId="0"/>
  </sheetViews>
  <sheetFormatPr defaultRowHeight="14.4" x14ac:dyDescent="0.3"/>
  <cols>
    <col min="1" max="1" width="48" customWidth="1"/>
    <col min="2" max="2" width="17" customWidth="1"/>
    <col min="3" max="3" width="14" customWidth="1"/>
    <col min="4" max="6" width="12" customWidth="1"/>
  </cols>
  <sheetData>
    <row r="1" spans="1:6" x14ac:dyDescent="0.3">
      <c r="A1" t="s">
        <v>609</v>
      </c>
      <c r="B1" t="s">
        <v>618</v>
      </c>
      <c r="C1" t="s">
        <v>669</v>
      </c>
      <c r="D1" t="s">
        <v>670</v>
      </c>
      <c r="E1" t="s">
        <v>619</v>
      </c>
      <c r="F1" t="s">
        <v>671</v>
      </c>
    </row>
    <row r="2" spans="1:6" x14ac:dyDescent="0.3">
      <c r="A2" t="s">
        <v>611</v>
      </c>
      <c r="B2" t="s">
        <v>13</v>
      </c>
      <c r="C2" t="s">
        <v>672</v>
      </c>
      <c r="F2" t="s">
        <v>673</v>
      </c>
    </row>
    <row r="3" spans="1:6" x14ac:dyDescent="0.3">
      <c r="A3" t="s">
        <v>611</v>
      </c>
      <c r="B3" t="s">
        <v>13</v>
      </c>
      <c r="C3" t="s">
        <v>674</v>
      </c>
      <c r="F3" t="s">
        <v>673</v>
      </c>
    </row>
    <row r="4" spans="1:6" x14ac:dyDescent="0.3">
      <c r="A4" t="s">
        <v>611</v>
      </c>
      <c r="B4" t="s">
        <v>13</v>
      </c>
      <c r="C4" t="s">
        <v>629</v>
      </c>
      <c r="F4" t="s">
        <v>673</v>
      </c>
    </row>
    <row r="5" spans="1:6" x14ac:dyDescent="0.3">
      <c r="A5" t="s">
        <v>611</v>
      </c>
      <c r="B5" t="s">
        <v>13</v>
      </c>
      <c r="C5" t="s">
        <v>653</v>
      </c>
      <c r="F5" t="s">
        <v>673</v>
      </c>
    </row>
    <row r="6" spans="1:6" x14ac:dyDescent="0.3">
      <c r="A6" t="s">
        <v>611</v>
      </c>
      <c r="B6" t="s">
        <v>13</v>
      </c>
      <c r="C6" t="s">
        <v>663</v>
      </c>
      <c r="F6" t="s">
        <v>673</v>
      </c>
    </row>
    <row r="7" spans="1:6" x14ac:dyDescent="0.3">
      <c r="A7" t="s">
        <v>611</v>
      </c>
      <c r="B7" t="s">
        <v>13</v>
      </c>
      <c r="C7" t="s">
        <v>664</v>
      </c>
      <c r="F7" t="s">
        <v>673</v>
      </c>
    </row>
    <row r="8" spans="1:6" x14ac:dyDescent="0.3">
      <c r="A8" t="s">
        <v>611</v>
      </c>
      <c r="B8" t="s">
        <v>13</v>
      </c>
      <c r="C8" t="s">
        <v>655</v>
      </c>
      <c r="F8" t="s">
        <v>675</v>
      </c>
    </row>
    <row r="9" spans="1:6" x14ac:dyDescent="0.3">
      <c r="A9" t="s">
        <v>611</v>
      </c>
      <c r="B9" t="s">
        <v>13</v>
      </c>
      <c r="C9" t="s">
        <v>676</v>
      </c>
      <c r="F9" t="s">
        <v>675</v>
      </c>
    </row>
    <row r="10" spans="1:6" x14ac:dyDescent="0.3">
      <c r="A10" t="s">
        <v>611</v>
      </c>
      <c r="B10" t="s">
        <v>13</v>
      </c>
      <c r="C10" t="s">
        <v>677</v>
      </c>
      <c r="F10" t="s">
        <v>675</v>
      </c>
    </row>
    <row r="11" spans="1:6" x14ac:dyDescent="0.3">
      <c r="A11" t="s">
        <v>611</v>
      </c>
      <c r="B11" t="s">
        <v>13</v>
      </c>
      <c r="C11" t="s">
        <v>678</v>
      </c>
      <c r="F11" t="s">
        <v>675</v>
      </c>
    </row>
    <row r="12" spans="1:6" x14ac:dyDescent="0.3">
      <c r="A12" t="s">
        <v>611</v>
      </c>
      <c r="B12" t="s">
        <v>13</v>
      </c>
      <c r="C12" t="s">
        <v>679</v>
      </c>
      <c r="F12" t="s">
        <v>675</v>
      </c>
    </row>
    <row r="13" spans="1:6" x14ac:dyDescent="0.3">
      <c r="A13" t="s">
        <v>611</v>
      </c>
      <c r="B13" t="s">
        <v>13</v>
      </c>
      <c r="C13" t="s">
        <v>680</v>
      </c>
      <c r="F13" t="s">
        <v>675</v>
      </c>
    </row>
    <row r="14" spans="1:6" x14ac:dyDescent="0.3">
      <c r="A14" t="s">
        <v>611</v>
      </c>
      <c r="B14" t="s">
        <v>13</v>
      </c>
      <c r="C14" t="s">
        <v>628</v>
      </c>
      <c r="F14" t="s">
        <v>675</v>
      </c>
    </row>
    <row r="15" spans="1:6" x14ac:dyDescent="0.3">
      <c r="A15" t="s">
        <v>611</v>
      </c>
      <c r="B15" t="s">
        <v>13</v>
      </c>
      <c r="C15" t="s">
        <v>631</v>
      </c>
      <c r="F15" t="s">
        <v>675</v>
      </c>
    </row>
    <row r="16" spans="1:6" x14ac:dyDescent="0.3">
      <c r="A16" t="s">
        <v>611</v>
      </c>
      <c r="B16" t="s">
        <v>13</v>
      </c>
      <c r="C16" t="s">
        <v>640</v>
      </c>
      <c r="F16" t="s">
        <v>675</v>
      </c>
    </row>
    <row r="17" spans="1:6" x14ac:dyDescent="0.3">
      <c r="A17" t="s">
        <v>611</v>
      </c>
      <c r="B17" t="s">
        <v>13</v>
      </c>
      <c r="C17" t="s">
        <v>641</v>
      </c>
      <c r="F17" t="s">
        <v>675</v>
      </c>
    </row>
    <row r="18" spans="1:6" x14ac:dyDescent="0.3">
      <c r="A18" t="s">
        <v>611</v>
      </c>
      <c r="B18" t="s">
        <v>13</v>
      </c>
      <c r="C18" t="s">
        <v>681</v>
      </c>
      <c r="F18" t="s">
        <v>675</v>
      </c>
    </row>
    <row r="19" spans="1:6" x14ac:dyDescent="0.3">
      <c r="A19" t="s">
        <v>611</v>
      </c>
      <c r="B19" t="s">
        <v>13</v>
      </c>
      <c r="C19" t="s">
        <v>682</v>
      </c>
      <c r="F19" t="s">
        <v>675</v>
      </c>
    </row>
    <row r="20" spans="1:6" x14ac:dyDescent="0.3">
      <c r="A20" t="s">
        <v>611</v>
      </c>
      <c r="B20" t="s">
        <v>13</v>
      </c>
      <c r="C20" t="s">
        <v>650</v>
      </c>
      <c r="F20" t="s">
        <v>675</v>
      </c>
    </row>
    <row r="21" spans="1:6" x14ac:dyDescent="0.3">
      <c r="A21" t="s">
        <v>611</v>
      </c>
      <c r="B21" t="s">
        <v>13</v>
      </c>
      <c r="C21" t="s">
        <v>683</v>
      </c>
      <c r="F21" t="s">
        <v>675</v>
      </c>
    </row>
    <row r="22" spans="1:6" x14ac:dyDescent="0.3">
      <c r="A22" t="s">
        <v>611</v>
      </c>
      <c r="B22" t="s">
        <v>13</v>
      </c>
      <c r="C22" t="s">
        <v>684</v>
      </c>
      <c r="F22" t="s">
        <v>675</v>
      </c>
    </row>
    <row r="23" spans="1:6" x14ac:dyDescent="0.3">
      <c r="A23" t="s">
        <v>611</v>
      </c>
      <c r="B23" t="s">
        <v>13</v>
      </c>
      <c r="C23" t="s">
        <v>685</v>
      </c>
      <c r="F23" t="s">
        <v>675</v>
      </c>
    </row>
    <row r="24" spans="1:6" x14ac:dyDescent="0.3">
      <c r="A24" t="s">
        <v>611</v>
      </c>
      <c r="B24" t="s">
        <v>13</v>
      </c>
      <c r="C24" t="s">
        <v>668</v>
      </c>
      <c r="F24" t="s">
        <v>675</v>
      </c>
    </row>
    <row r="25" spans="1:6" x14ac:dyDescent="0.3">
      <c r="A25" t="s">
        <v>611</v>
      </c>
      <c r="B25" t="s">
        <v>13</v>
      </c>
      <c r="C25" t="s">
        <v>686</v>
      </c>
      <c r="F25" t="s">
        <v>675</v>
      </c>
    </row>
    <row r="26" spans="1:6" x14ac:dyDescent="0.3">
      <c r="A26" t="s">
        <v>611</v>
      </c>
      <c r="B26" t="s">
        <v>13</v>
      </c>
      <c r="C26" t="s">
        <v>357</v>
      </c>
      <c r="F26" t="s">
        <v>675</v>
      </c>
    </row>
    <row r="27" spans="1:6" x14ac:dyDescent="0.3">
      <c r="A27" t="s">
        <v>611</v>
      </c>
      <c r="B27" t="s">
        <v>13</v>
      </c>
      <c r="C27" t="s">
        <v>687</v>
      </c>
      <c r="F27" t="s">
        <v>688</v>
      </c>
    </row>
    <row r="28" spans="1:6" x14ac:dyDescent="0.3">
      <c r="A28" t="s">
        <v>611</v>
      </c>
      <c r="B28" t="s">
        <v>13</v>
      </c>
      <c r="C28" t="s">
        <v>689</v>
      </c>
      <c r="F28" t="s">
        <v>688</v>
      </c>
    </row>
    <row r="29" spans="1:6" x14ac:dyDescent="0.3">
      <c r="A29" t="s">
        <v>611</v>
      </c>
      <c r="B29" t="s">
        <v>13</v>
      </c>
      <c r="C29" t="s">
        <v>690</v>
      </c>
      <c r="F29" t="s">
        <v>688</v>
      </c>
    </row>
    <row r="30" spans="1:6" x14ac:dyDescent="0.3">
      <c r="A30" t="s">
        <v>611</v>
      </c>
      <c r="B30" t="s">
        <v>13</v>
      </c>
      <c r="C30" t="s">
        <v>691</v>
      </c>
      <c r="F30" t="s">
        <v>688</v>
      </c>
    </row>
    <row r="31" spans="1:6" x14ac:dyDescent="0.3">
      <c r="A31" t="s">
        <v>611</v>
      </c>
      <c r="B31" t="s">
        <v>13</v>
      </c>
      <c r="C31" t="s">
        <v>692</v>
      </c>
      <c r="F31" t="s">
        <v>675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8"/>
  <sheetViews>
    <sheetView workbookViewId="0"/>
  </sheetViews>
  <sheetFormatPr defaultRowHeight="14.4" x14ac:dyDescent="0.3"/>
  <cols>
    <col min="1" max="1" width="48" customWidth="1"/>
    <col min="2" max="2" width="12" customWidth="1"/>
    <col min="3" max="3" width="14" customWidth="1"/>
    <col min="4" max="5" width="12" customWidth="1"/>
    <col min="6" max="6" width="18" customWidth="1"/>
  </cols>
  <sheetData>
    <row r="1" spans="1:6" x14ac:dyDescent="0.3">
      <c r="A1" t="s">
        <v>609</v>
      </c>
      <c r="B1" t="s">
        <v>618</v>
      </c>
      <c r="C1" t="s">
        <v>669</v>
      </c>
      <c r="D1" t="s">
        <v>670</v>
      </c>
      <c r="E1" t="s">
        <v>619</v>
      </c>
      <c r="F1" t="s">
        <v>671</v>
      </c>
    </row>
    <row r="2" spans="1:6" x14ac:dyDescent="0.3">
      <c r="A2" t="s">
        <v>611</v>
      </c>
      <c r="B2" t="s">
        <v>14</v>
      </c>
      <c r="C2" t="s">
        <v>337</v>
      </c>
      <c r="E2">
        <v>1</v>
      </c>
      <c r="F2" t="s">
        <v>337</v>
      </c>
    </row>
    <row r="3" spans="1:6" x14ac:dyDescent="0.3">
      <c r="A3" t="s">
        <v>611</v>
      </c>
      <c r="B3" t="s">
        <v>14</v>
      </c>
      <c r="C3" t="s">
        <v>337</v>
      </c>
      <c r="E3">
        <v>2</v>
      </c>
      <c r="F3" t="s">
        <v>693</v>
      </c>
    </row>
    <row r="4" spans="1:6" x14ac:dyDescent="0.3">
      <c r="A4" t="s">
        <v>611</v>
      </c>
      <c r="B4" t="s">
        <v>14</v>
      </c>
      <c r="C4" t="s">
        <v>337</v>
      </c>
      <c r="E4">
        <v>3</v>
      </c>
      <c r="F4" t="s">
        <v>694</v>
      </c>
    </row>
    <row r="5" spans="1:6" x14ac:dyDescent="0.3">
      <c r="A5" t="s">
        <v>611</v>
      </c>
      <c r="B5" t="s">
        <v>14</v>
      </c>
      <c r="C5" t="s">
        <v>337</v>
      </c>
      <c r="E5">
        <v>4</v>
      </c>
      <c r="F5" t="s">
        <v>428</v>
      </c>
    </row>
    <row r="6" spans="1:6" x14ac:dyDescent="0.3">
      <c r="A6" t="s">
        <v>611</v>
      </c>
      <c r="B6" t="s">
        <v>14</v>
      </c>
      <c r="C6" t="s">
        <v>337</v>
      </c>
      <c r="E6">
        <v>5</v>
      </c>
      <c r="F6" t="s">
        <v>695</v>
      </c>
    </row>
    <row r="7" spans="1:6" x14ac:dyDescent="0.3">
      <c r="A7" t="s">
        <v>611</v>
      </c>
      <c r="B7" t="s">
        <v>14</v>
      </c>
      <c r="C7" t="s">
        <v>341</v>
      </c>
      <c r="E7">
        <v>1</v>
      </c>
      <c r="F7" t="s">
        <v>341</v>
      </c>
    </row>
    <row r="8" spans="1:6" x14ac:dyDescent="0.3">
      <c r="A8" t="s">
        <v>611</v>
      </c>
      <c r="B8" t="s">
        <v>14</v>
      </c>
      <c r="C8" t="s">
        <v>341</v>
      </c>
      <c r="E8">
        <v>2</v>
      </c>
      <c r="F8" t="s">
        <v>696</v>
      </c>
    </row>
    <row r="9" spans="1:6" x14ac:dyDescent="0.3">
      <c r="A9" t="s">
        <v>611</v>
      </c>
      <c r="B9" t="s">
        <v>14</v>
      </c>
      <c r="C9" t="s">
        <v>341</v>
      </c>
      <c r="E9">
        <v>3</v>
      </c>
      <c r="F9" t="s">
        <v>697</v>
      </c>
    </row>
    <row r="10" spans="1:6" x14ac:dyDescent="0.3">
      <c r="A10" t="s">
        <v>611</v>
      </c>
      <c r="B10" t="s">
        <v>14</v>
      </c>
      <c r="C10" t="s">
        <v>341</v>
      </c>
      <c r="E10">
        <v>4</v>
      </c>
      <c r="F10" t="s">
        <v>698</v>
      </c>
    </row>
    <row r="11" spans="1:6" x14ac:dyDescent="0.3">
      <c r="A11" t="s">
        <v>611</v>
      </c>
      <c r="B11" t="s">
        <v>14</v>
      </c>
      <c r="C11" t="s">
        <v>341</v>
      </c>
      <c r="E11">
        <v>5</v>
      </c>
      <c r="F11" t="s">
        <v>699</v>
      </c>
    </row>
    <row r="12" spans="1:6" x14ac:dyDescent="0.3">
      <c r="A12" t="s">
        <v>611</v>
      </c>
      <c r="B12" t="s">
        <v>14</v>
      </c>
      <c r="C12" t="s">
        <v>343</v>
      </c>
      <c r="E12">
        <v>1</v>
      </c>
      <c r="F12" t="s">
        <v>343</v>
      </c>
    </row>
    <row r="13" spans="1:6" x14ac:dyDescent="0.3">
      <c r="A13" t="s">
        <v>611</v>
      </c>
      <c r="B13" t="s">
        <v>14</v>
      </c>
      <c r="C13" t="s">
        <v>343</v>
      </c>
      <c r="E13">
        <v>2</v>
      </c>
      <c r="F13" t="s">
        <v>700</v>
      </c>
    </row>
    <row r="14" spans="1:6" x14ac:dyDescent="0.3">
      <c r="A14" t="s">
        <v>611</v>
      </c>
      <c r="B14" t="s">
        <v>14</v>
      </c>
      <c r="C14" t="s">
        <v>343</v>
      </c>
      <c r="E14">
        <v>3</v>
      </c>
      <c r="F14" t="s">
        <v>701</v>
      </c>
    </row>
    <row r="15" spans="1:6" x14ac:dyDescent="0.3">
      <c r="A15" t="s">
        <v>611</v>
      </c>
      <c r="B15" t="s">
        <v>14</v>
      </c>
      <c r="C15" t="s">
        <v>343</v>
      </c>
      <c r="E15">
        <v>4</v>
      </c>
      <c r="F15" t="s">
        <v>702</v>
      </c>
    </row>
    <row r="16" spans="1:6" x14ac:dyDescent="0.3">
      <c r="A16" t="s">
        <v>611</v>
      </c>
      <c r="B16" t="s">
        <v>14</v>
      </c>
      <c r="C16" t="s">
        <v>343</v>
      </c>
      <c r="E16">
        <v>5</v>
      </c>
      <c r="F16" t="s">
        <v>703</v>
      </c>
    </row>
    <row r="17" spans="1:6" x14ac:dyDescent="0.3">
      <c r="A17" t="s">
        <v>611</v>
      </c>
      <c r="B17" t="s">
        <v>14</v>
      </c>
      <c r="C17" t="s">
        <v>343</v>
      </c>
      <c r="E17">
        <v>6</v>
      </c>
      <c r="F17" t="s">
        <v>704</v>
      </c>
    </row>
    <row r="18" spans="1:6" x14ac:dyDescent="0.3">
      <c r="A18" t="s">
        <v>611</v>
      </c>
      <c r="B18" t="s">
        <v>14</v>
      </c>
      <c r="C18" t="s">
        <v>345</v>
      </c>
      <c r="E18">
        <v>1</v>
      </c>
      <c r="F18" t="s">
        <v>345</v>
      </c>
    </row>
    <row r="19" spans="1:6" x14ac:dyDescent="0.3">
      <c r="A19" t="s">
        <v>611</v>
      </c>
      <c r="B19" t="s">
        <v>14</v>
      </c>
      <c r="C19" t="s">
        <v>345</v>
      </c>
      <c r="E19">
        <v>2</v>
      </c>
      <c r="F19" t="s">
        <v>705</v>
      </c>
    </row>
    <row r="20" spans="1:6" x14ac:dyDescent="0.3">
      <c r="A20" t="s">
        <v>611</v>
      </c>
      <c r="B20" t="s">
        <v>14</v>
      </c>
      <c r="C20" t="s">
        <v>345</v>
      </c>
      <c r="E20">
        <v>3</v>
      </c>
      <c r="F20" t="s">
        <v>706</v>
      </c>
    </row>
    <row r="21" spans="1:6" x14ac:dyDescent="0.3">
      <c r="A21" t="s">
        <v>611</v>
      </c>
      <c r="B21" t="s">
        <v>14</v>
      </c>
      <c r="C21" t="s">
        <v>345</v>
      </c>
      <c r="E21">
        <v>4</v>
      </c>
      <c r="F21" t="s">
        <v>707</v>
      </c>
    </row>
    <row r="22" spans="1:6" x14ac:dyDescent="0.3">
      <c r="A22" t="s">
        <v>611</v>
      </c>
      <c r="B22" t="s">
        <v>14</v>
      </c>
      <c r="C22" t="s">
        <v>345</v>
      </c>
      <c r="E22">
        <v>5</v>
      </c>
      <c r="F22" t="s">
        <v>708</v>
      </c>
    </row>
    <row r="23" spans="1:6" x14ac:dyDescent="0.3">
      <c r="A23" t="s">
        <v>611</v>
      </c>
      <c r="B23" t="s">
        <v>14</v>
      </c>
      <c r="C23" t="s">
        <v>347</v>
      </c>
      <c r="E23">
        <v>1</v>
      </c>
      <c r="F23" t="s">
        <v>709</v>
      </c>
    </row>
    <row r="24" spans="1:6" x14ac:dyDescent="0.3">
      <c r="A24" t="s">
        <v>611</v>
      </c>
      <c r="B24" t="s">
        <v>14</v>
      </c>
      <c r="C24" t="s">
        <v>347</v>
      </c>
      <c r="E24">
        <v>2</v>
      </c>
      <c r="F24" t="s">
        <v>710</v>
      </c>
    </row>
    <row r="25" spans="1:6" x14ac:dyDescent="0.3">
      <c r="A25" t="s">
        <v>611</v>
      </c>
      <c r="B25" t="s">
        <v>14</v>
      </c>
      <c r="C25" t="s">
        <v>347</v>
      </c>
      <c r="E25">
        <v>3</v>
      </c>
      <c r="F25" t="s">
        <v>711</v>
      </c>
    </row>
    <row r="26" spans="1:6" x14ac:dyDescent="0.3">
      <c r="A26" t="s">
        <v>611</v>
      </c>
      <c r="B26" t="s">
        <v>14</v>
      </c>
      <c r="C26" t="s">
        <v>347</v>
      </c>
      <c r="E26">
        <v>4</v>
      </c>
      <c r="F26" t="s">
        <v>712</v>
      </c>
    </row>
    <row r="27" spans="1:6" x14ac:dyDescent="0.3">
      <c r="A27" t="s">
        <v>611</v>
      </c>
      <c r="B27" t="s">
        <v>14</v>
      </c>
      <c r="C27" t="s">
        <v>347</v>
      </c>
      <c r="E27">
        <v>5</v>
      </c>
      <c r="F27" t="s">
        <v>713</v>
      </c>
    </row>
    <row r="28" spans="1:6" x14ac:dyDescent="0.3">
      <c r="A28" t="s">
        <v>611</v>
      </c>
      <c r="B28" t="s">
        <v>14</v>
      </c>
      <c r="C28" t="s">
        <v>349</v>
      </c>
      <c r="E28">
        <v>1</v>
      </c>
      <c r="F28" t="s">
        <v>714</v>
      </c>
    </row>
    <row r="29" spans="1:6" x14ac:dyDescent="0.3">
      <c r="A29" t="s">
        <v>611</v>
      </c>
      <c r="B29" t="s">
        <v>14</v>
      </c>
      <c r="C29" t="s">
        <v>349</v>
      </c>
      <c r="E29">
        <v>2</v>
      </c>
      <c r="F29" t="s">
        <v>715</v>
      </c>
    </row>
    <row r="30" spans="1:6" x14ac:dyDescent="0.3">
      <c r="A30" t="s">
        <v>611</v>
      </c>
      <c r="B30" t="s">
        <v>14</v>
      </c>
      <c r="C30" t="s">
        <v>349</v>
      </c>
      <c r="E30">
        <v>3</v>
      </c>
      <c r="F30" t="s">
        <v>716</v>
      </c>
    </row>
    <row r="31" spans="1:6" x14ac:dyDescent="0.3">
      <c r="A31" t="s">
        <v>611</v>
      </c>
      <c r="B31" t="s">
        <v>14</v>
      </c>
      <c r="C31" t="s">
        <v>349</v>
      </c>
      <c r="E31">
        <v>4</v>
      </c>
      <c r="F31" t="s">
        <v>717</v>
      </c>
    </row>
    <row r="32" spans="1:6" x14ac:dyDescent="0.3">
      <c r="A32" t="s">
        <v>611</v>
      </c>
      <c r="B32" t="s">
        <v>14</v>
      </c>
      <c r="C32" t="s">
        <v>349</v>
      </c>
      <c r="E32">
        <v>5</v>
      </c>
      <c r="F32" t="s">
        <v>634</v>
      </c>
    </row>
    <row r="33" spans="1:6" x14ac:dyDescent="0.3">
      <c r="A33" t="s">
        <v>611</v>
      </c>
      <c r="B33" t="s">
        <v>14</v>
      </c>
      <c r="C33" t="s">
        <v>351</v>
      </c>
      <c r="E33">
        <v>1</v>
      </c>
      <c r="F33" t="s">
        <v>718</v>
      </c>
    </row>
    <row r="34" spans="1:6" x14ac:dyDescent="0.3">
      <c r="A34" t="s">
        <v>611</v>
      </c>
      <c r="B34" t="s">
        <v>14</v>
      </c>
      <c r="C34" t="s">
        <v>351</v>
      </c>
      <c r="E34">
        <v>2</v>
      </c>
      <c r="F34" t="s">
        <v>719</v>
      </c>
    </row>
    <row r="35" spans="1:6" x14ac:dyDescent="0.3">
      <c r="A35" t="s">
        <v>611</v>
      </c>
      <c r="B35" t="s">
        <v>14</v>
      </c>
      <c r="C35" t="s">
        <v>351</v>
      </c>
      <c r="E35">
        <v>3</v>
      </c>
      <c r="F35" t="s">
        <v>720</v>
      </c>
    </row>
    <row r="36" spans="1:6" x14ac:dyDescent="0.3">
      <c r="A36" t="s">
        <v>611</v>
      </c>
      <c r="B36" t="s">
        <v>14</v>
      </c>
      <c r="C36" t="s">
        <v>351</v>
      </c>
      <c r="E36">
        <v>4</v>
      </c>
      <c r="F36" t="s">
        <v>627</v>
      </c>
    </row>
    <row r="37" spans="1:6" x14ac:dyDescent="0.3">
      <c r="A37" t="s">
        <v>611</v>
      </c>
      <c r="B37" t="s">
        <v>14</v>
      </c>
      <c r="C37" t="s">
        <v>351</v>
      </c>
      <c r="E37">
        <v>5</v>
      </c>
      <c r="F37" t="s">
        <v>721</v>
      </c>
    </row>
    <row r="38" spans="1:6" x14ac:dyDescent="0.3">
      <c r="A38" t="s">
        <v>611</v>
      </c>
      <c r="B38" t="s">
        <v>14</v>
      </c>
      <c r="C38" t="s">
        <v>353</v>
      </c>
      <c r="E38">
        <v>1</v>
      </c>
      <c r="F38" t="s">
        <v>713</v>
      </c>
    </row>
    <row r="39" spans="1:6" x14ac:dyDescent="0.3">
      <c r="A39" t="s">
        <v>611</v>
      </c>
      <c r="B39" t="s">
        <v>14</v>
      </c>
      <c r="C39" t="s">
        <v>353</v>
      </c>
      <c r="E39">
        <v>2</v>
      </c>
      <c r="F39" t="s">
        <v>722</v>
      </c>
    </row>
    <row r="40" spans="1:6" x14ac:dyDescent="0.3">
      <c r="A40" t="s">
        <v>611</v>
      </c>
      <c r="B40" t="s">
        <v>14</v>
      </c>
      <c r="C40" t="s">
        <v>353</v>
      </c>
      <c r="E40">
        <v>3</v>
      </c>
      <c r="F40" t="s">
        <v>723</v>
      </c>
    </row>
    <row r="41" spans="1:6" x14ac:dyDescent="0.3">
      <c r="A41" t="s">
        <v>611</v>
      </c>
      <c r="B41" t="s">
        <v>14</v>
      </c>
      <c r="C41" t="s">
        <v>353</v>
      </c>
      <c r="E41">
        <v>4</v>
      </c>
      <c r="F41" t="s">
        <v>724</v>
      </c>
    </row>
    <row r="42" spans="1:6" x14ac:dyDescent="0.3">
      <c r="A42" t="s">
        <v>611</v>
      </c>
      <c r="B42" t="s">
        <v>14</v>
      </c>
      <c r="C42" t="s">
        <v>353</v>
      </c>
      <c r="E42">
        <v>5</v>
      </c>
      <c r="F42" t="s">
        <v>725</v>
      </c>
    </row>
    <row r="43" spans="1:6" x14ac:dyDescent="0.3">
      <c r="A43" t="s">
        <v>611</v>
      </c>
      <c r="B43" t="s">
        <v>14</v>
      </c>
      <c r="C43" t="s">
        <v>355</v>
      </c>
      <c r="E43">
        <v>1</v>
      </c>
      <c r="F43" t="s">
        <v>726</v>
      </c>
    </row>
    <row r="44" spans="1:6" x14ac:dyDescent="0.3">
      <c r="A44" t="s">
        <v>611</v>
      </c>
      <c r="B44" t="s">
        <v>14</v>
      </c>
      <c r="C44" t="s">
        <v>355</v>
      </c>
      <c r="E44">
        <v>2</v>
      </c>
      <c r="F44" t="s">
        <v>727</v>
      </c>
    </row>
    <row r="45" spans="1:6" x14ac:dyDescent="0.3">
      <c r="A45" t="s">
        <v>611</v>
      </c>
      <c r="B45" t="s">
        <v>14</v>
      </c>
      <c r="C45" t="s">
        <v>355</v>
      </c>
      <c r="E45">
        <v>3</v>
      </c>
      <c r="F45" t="s">
        <v>728</v>
      </c>
    </row>
    <row r="46" spans="1:6" x14ac:dyDescent="0.3">
      <c r="A46" t="s">
        <v>611</v>
      </c>
      <c r="B46" t="s">
        <v>14</v>
      </c>
      <c r="C46" t="s">
        <v>355</v>
      </c>
      <c r="E46">
        <v>4</v>
      </c>
      <c r="F46" t="s">
        <v>729</v>
      </c>
    </row>
    <row r="47" spans="1:6" x14ac:dyDescent="0.3">
      <c r="A47" t="s">
        <v>611</v>
      </c>
      <c r="B47" t="s">
        <v>14</v>
      </c>
      <c r="C47" t="s">
        <v>357</v>
      </c>
      <c r="E47">
        <v>1</v>
      </c>
      <c r="F47" t="s">
        <v>357</v>
      </c>
    </row>
    <row r="48" spans="1:6" x14ac:dyDescent="0.3">
      <c r="A48" t="s">
        <v>611</v>
      </c>
      <c r="B48" t="s">
        <v>14</v>
      </c>
      <c r="C48" t="s">
        <v>357</v>
      </c>
      <c r="E48">
        <v>2</v>
      </c>
      <c r="F48" t="s">
        <v>730</v>
      </c>
    </row>
    <row r="49" spans="1:6" x14ac:dyDescent="0.3">
      <c r="A49" t="s">
        <v>611</v>
      </c>
      <c r="B49" t="s">
        <v>14</v>
      </c>
      <c r="C49" t="s">
        <v>357</v>
      </c>
      <c r="E49">
        <v>3</v>
      </c>
      <c r="F49" t="s">
        <v>731</v>
      </c>
    </row>
    <row r="50" spans="1:6" x14ac:dyDescent="0.3">
      <c r="A50" t="s">
        <v>611</v>
      </c>
      <c r="B50" t="s">
        <v>14</v>
      </c>
      <c r="C50" t="s">
        <v>357</v>
      </c>
      <c r="E50">
        <v>4</v>
      </c>
      <c r="F50" t="s">
        <v>732</v>
      </c>
    </row>
    <row r="51" spans="1:6" x14ac:dyDescent="0.3">
      <c r="A51" t="s">
        <v>611</v>
      </c>
      <c r="B51" t="s">
        <v>14</v>
      </c>
      <c r="C51" t="s">
        <v>360</v>
      </c>
      <c r="E51">
        <v>1</v>
      </c>
      <c r="F51" t="s">
        <v>360</v>
      </c>
    </row>
    <row r="52" spans="1:6" x14ac:dyDescent="0.3">
      <c r="A52" t="s">
        <v>611</v>
      </c>
      <c r="B52" t="s">
        <v>14</v>
      </c>
      <c r="C52" t="s">
        <v>360</v>
      </c>
      <c r="E52">
        <v>2</v>
      </c>
      <c r="F52" t="s">
        <v>733</v>
      </c>
    </row>
    <row r="53" spans="1:6" x14ac:dyDescent="0.3">
      <c r="A53" t="s">
        <v>611</v>
      </c>
      <c r="B53" t="s">
        <v>14</v>
      </c>
      <c r="C53" t="s">
        <v>360</v>
      </c>
      <c r="E53">
        <v>3</v>
      </c>
      <c r="F53" t="s">
        <v>734</v>
      </c>
    </row>
    <row r="54" spans="1:6" x14ac:dyDescent="0.3">
      <c r="A54" t="s">
        <v>611</v>
      </c>
      <c r="B54" t="s">
        <v>14</v>
      </c>
      <c r="C54" t="s">
        <v>360</v>
      </c>
      <c r="E54">
        <v>4</v>
      </c>
      <c r="F54" t="s">
        <v>735</v>
      </c>
    </row>
    <row r="55" spans="1:6" x14ac:dyDescent="0.3">
      <c r="A55" t="s">
        <v>611</v>
      </c>
      <c r="B55" t="s">
        <v>14</v>
      </c>
      <c r="C55" t="s">
        <v>362</v>
      </c>
      <c r="E55">
        <v>1</v>
      </c>
      <c r="F55" t="s">
        <v>723</v>
      </c>
    </row>
    <row r="56" spans="1:6" x14ac:dyDescent="0.3">
      <c r="A56" t="s">
        <v>611</v>
      </c>
      <c r="B56" t="s">
        <v>14</v>
      </c>
      <c r="C56" t="s">
        <v>362</v>
      </c>
      <c r="E56">
        <v>2</v>
      </c>
      <c r="F56" t="s">
        <v>362</v>
      </c>
    </row>
    <row r="57" spans="1:6" x14ac:dyDescent="0.3">
      <c r="A57" t="s">
        <v>611</v>
      </c>
      <c r="B57" t="s">
        <v>14</v>
      </c>
      <c r="C57" t="s">
        <v>362</v>
      </c>
      <c r="E57">
        <v>3</v>
      </c>
      <c r="F57" t="s">
        <v>736</v>
      </c>
    </row>
    <row r="58" spans="1:6" x14ac:dyDescent="0.3">
      <c r="A58" t="s">
        <v>611</v>
      </c>
      <c r="B58" t="s">
        <v>14</v>
      </c>
      <c r="C58" t="s">
        <v>362</v>
      </c>
      <c r="E58">
        <v>4</v>
      </c>
      <c r="F58" t="s">
        <v>724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8"/>
  <sheetViews>
    <sheetView workbookViewId="0"/>
  </sheetViews>
  <sheetFormatPr defaultRowHeight="14.4" x14ac:dyDescent="0.3"/>
  <cols>
    <col min="1" max="1" width="48" customWidth="1"/>
    <col min="2" max="2" width="12" customWidth="1"/>
    <col min="3" max="3" width="23" customWidth="1"/>
    <col min="4" max="5" width="12" customWidth="1"/>
    <col min="6" max="6" width="15" customWidth="1"/>
  </cols>
  <sheetData>
    <row r="1" spans="1:6" x14ac:dyDescent="0.3">
      <c r="A1" t="s">
        <v>609</v>
      </c>
      <c r="B1" t="s">
        <v>618</v>
      </c>
      <c r="C1" t="s">
        <v>669</v>
      </c>
      <c r="D1" t="s">
        <v>670</v>
      </c>
      <c r="E1" t="s">
        <v>619</v>
      </c>
      <c r="F1" t="s">
        <v>671</v>
      </c>
    </row>
    <row r="2" spans="1:6" x14ac:dyDescent="0.3">
      <c r="A2" t="s">
        <v>611</v>
      </c>
      <c r="B2" t="s">
        <v>15</v>
      </c>
      <c r="C2" t="s">
        <v>737</v>
      </c>
      <c r="E2">
        <v>1</v>
      </c>
      <c r="F2" t="s">
        <v>738</v>
      </c>
    </row>
    <row r="3" spans="1:6" x14ac:dyDescent="0.3">
      <c r="A3" t="s">
        <v>611</v>
      </c>
      <c r="B3" t="s">
        <v>15</v>
      </c>
      <c r="C3" t="s">
        <v>737</v>
      </c>
      <c r="E3">
        <v>2</v>
      </c>
      <c r="F3" t="s">
        <v>739</v>
      </c>
    </row>
    <row r="4" spans="1:6" x14ac:dyDescent="0.3">
      <c r="A4" t="s">
        <v>611</v>
      </c>
      <c r="B4" t="s">
        <v>15</v>
      </c>
      <c r="C4" t="s">
        <v>737</v>
      </c>
      <c r="E4">
        <v>3</v>
      </c>
      <c r="F4" t="s">
        <v>740</v>
      </c>
    </row>
    <row r="5" spans="1:6" x14ac:dyDescent="0.3">
      <c r="A5" t="s">
        <v>611</v>
      </c>
      <c r="B5" t="s">
        <v>15</v>
      </c>
      <c r="C5" t="s">
        <v>737</v>
      </c>
      <c r="E5">
        <v>4</v>
      </c>
      <c r="F5" t="s">
        <v>741</v>
      </c>
    </row>
    <row r="6" spans="1:6" x14ac:dyDescent="0.3">
      <c r="A6" t="s">
        <v>611</v>
      </c>
      <c r="B6" t="s">
        <v>15</v>
      </c>
      <c r="C6" t="s">
        <v>737</v>
      </c>
      <c r="E6">
        <v>5</v>
      </c>
      <c r="F6" t="s">
        <v>337</v>
      </c>
    </row>
    <row r="7" spans="1:6" x14ac:dyDescent="0.3">
      <c r="A7" t="s">
        <v>611</v>
      </c>
      <c r="B7" t="s">
        <v>15</v>
      </c>
      <c r="C7" t="s">
        <v>737</v>
      </c>
      <c r="E7">
        <v>6</v>
      </c>
      <c r="F7" t="s">
        <v>742</v>
      </c>
    </row>
    <row r="8" spans="1:6" x14ac:dyDescent="0.3">
      <c r="A8" t="s">
        <v>611</v>
      </c>
      <c r="B8" t="s">
        <v>15</v>
      </c>
      <c r="C8" t="s">
        <v>737</v>
      </c>
      <c r="E8">
        <v>7</v>
      </c>
      <c r="F8" t="s">
        <v>743</v>
      </c>
    </row>
    <row r="9" spans="1:6" x14ac:dyDescent="0.3">
      <c r="A9" t="s">
        <v>611</v>
      </c>
      <c r="B9" t="s">
        <v>15</v>
      </c>
      <c r="C9" t="s">
        <v>744</v>
      </c>
      <c r="E9">
        <v>1</v>
      </c>
      <c r="F9" t="s">
        <v>745</v>
      </c>
    </row>
    <row r="10" spans="1:6" x14ac:dyDescent="0.3">
      <c r="A10" t="s">
        <v>611</v>
      </c>
      <c r="B10" t="s">
        <v>15</v>
      </c>
      <c r="C10" t="s">
        <v>744</v>
      </c>
      <c r="E10">
        <v>2</v>
      </c>
      <c r="F10" t="s">
        <v>746</v>
      </c>
    </row>
    <row r="11" spans="1:6" x14ac:dyDescent="0.3">
      <c r="A11" t="s">
        <v>611</v>
      </c>
      <c r="B11" t="s">
        <v>15</v>
      </c>
      <c r="C11" t="s">
        <v>744</v>
      </c>
      <c r="E11">
        <v>3</v>
      </c>
      <c r="F11" t="s">
        <v>747</v>
      </c>
    </row>
    <row r="12" spans="1:6" x14ac:dyDescent="0.3">
      <c r="A12" t="s">
        <v>611</v>
      </c>
      <c r="B12" t="s">
        <v>15</v>
      </c>
      <c r="C12" t="s">
        <v>744</v>
      </c>
      <c r="E12">
        <v>4</v>
      </c>
      <c r="F12" t="s">
        <v>748</v>
      </c>
    </row>
    <row r="13" spans="1:6" x14ac:dyDescent="0.3">
      <c r="A13" t="s">
        <v>611</v>
      </c>
      <c r="B13" t="s">
        <v>15</v>
      </c>
      <c r="C13" t="s">
        <v>744</v>
      </c>
      <c r="E13">
        <v>5</v>
      </c>
      <c r="F13" t="s">
        <v>749</v>
      </c>
    </row>
    <row r="14" spans="1:6" x14ac:dyDescent="0.3">
      <c r="A14" t="s">
        <v>611</v>
      </c>
      <c r="B14" t="s">
        <v>15</v>
      </c>
      <c r="C14" t="s">
        <v>744</v>
      </c>
      <c r="E14">
        <v>6</v>
      </c>
      <c r="F14" t="s">
        <v>627</v>
      </c>
    </row>
    <row r="15" spans="1:6" x14ac:dyDescent="0.3">
      <c r="A15" t="s">
        <v>611</v>
      </c>
      <c r="B15" t="s">
        <v>15</v>
      </c>
      <c r="C15" t="s">
        <v>744</v>
      </c>
      <c r="E15">
        <v>7</v>
      </c>
      <c r="F15" t="s">
        <v>750</v>
      </c>
    </row>
    <row r="16" spans="1:6" x14ac:dyDescent="0.3">
      <c r="A16" t="s">
        <v>611</v>
      </c>
      <c r="B16" t="s">
        <v>15</v>
      </c>
      <c r="C16" t="s">
        <v>751</v>
      </c>
      <c r="E16">
        <v>1</v>
      </c>
      <c r="F16" t="s">
        <v>655</v>
      </c>
    </row>
    <row r="17" spans="1:6" x14ac:dyDescent="0.3">
      <c r="A17" t="s">
        <v>611</v>
      </c>
      <c r="B17" t="s">
        <v>15</v>
      </c>
      <c r="C17" t="s">
        <v>751</v>
      </c>
      <c r="E17">
        <v>2</v>
      </c>
      <c r="F17" t="s">
        <v>752</v>
      </c>
    </row>
    <row r="18" spans="1:6" x14ac:dyDescent="0.3">
      <c r="A18" t="s">
        <v>611</v>
      </c>
      <c r="B18" t="s">
        <v>15</v>
      </c>
      <c r="C18" t="s">
        <v>751</v>
      </c>
      <c r="E18">
        <v>3</v>
      </c>
      <c r="F18" t="s">
        <v>753</v>
      </c>
    </row>
    <row r="19" spans="1:6" x14ac:dyDescent="0.3">
      <c r="A19" t="s">
        <v>611</v>
      </c>
      <c r="B19" t="s">
        <v>15</v>
      </c>
      <c r="C19" t="s">
        <v>751</v>
      </c>
      <c r="E19">
        <v>4</v>
      </c>
      <c r="F19" t="s">
        <v>754</v>
      </c>
    </row>
    <row r="20" spans="1:6" x14ac:dyDescent="0.3">
      <c r="A20" t="s">
        <v>611</v>
      </c>
      <c r="B20" t="s">
        <v>15</v>
      </c>
      <c r="C20" t="s">
        <v>751</v>
      </c>
      <c r="E20">
        <v>5</v>
      </c>
      <c r="F20" t="s">
        <v>755</v>
      </c>
    </row>
    <row r="21" spans="1:6" x14ac:dyDescent="0.3">
      <c r="A21" t="s">
        <v>611</v>
      </c>
      <c r="B21" t="s">
        <v>15</v>
      </c>
      <c r="C21" t="s">
        <v>751</v>
      </c>
      <c r="E21">
        <v>6</v>
      </c>
      <c r="F21" t="s">
        <v>756</v>
      </c>
    </row>
    <row r="22" spans="1:6" x14ac:dyDescent="0.3">
      <c r="A22" t="s">
        <v>611</v>
      </c>
      <c r="B22" t="s">
        <v>15</v>
      </c>
      <c r="C22" t="s">
        <v>751</v>
      </c>
      <c r="E22">
        <v>7</v>
      </c>
      <c r="F22" t="s">
        <v>757</v>
      </c>
    </row>
    <row r="23" spans="1:6" x14ac:dyDescent="0.3">
      <c r="A23" t="s">
        <v>611</v>
      </c>
      <c r="B23" t="s">
        <v>15</v>
      </c>
      <c r="C23" t="s">
        <v>758</v>
      </c>
      <c r="E23">
        <v>1</v>
      </c>
      <c r="F23" t="s">
        <v>667</v>
      </c>
    </row>
    <row r="24" spans="1:6" x14ac:dyDescent="0.3">
      <c r="A24" t="s">
        <v>611</v>
      </c>
      <c r="B24" t="s">
        <v>15</v>
      </c>
      <c r="C24" t="s">
        <v>758</v>
      </c>
      <c r="E24">
        <v>2</v>
      </c>
      <c r="F24" t="s">
        <v>678</v>
      </c>
    </row>
    <row r="25" spans="1:6" x14ac:dyDescent="0.3">
      <c r="A25" t="s">
        <v>611</v>
      </c>
      <c r="B25" t="s">
        <v>15</v>
      </c>
      <c r="C25" t="s">
        <v>758</v>
      </c>
      <c r="E25">
        <v>3</v>
      </c>
      <c r="F25" t="s">
        <v>759</v>
      </c>
    </row>
    <row r="26" spans="1:6" x14ac:dyDescent="0.3">
      <c r="A26" t="s">
        <v>611</v>
      </c>
      <c r="B26" t="s">
        <v>15</v>
      </c>
      <c r="C26" t="s">
        <v>758</v>
      </c>
      <c r="E26">
        <v>4</v>
      </c>
      <c r="F26" t="s">
        <v>760</v>
      </c>
    </row>
    <row r="27" spans="1:6" x14ac:dyDescent="0.3">
      <c r="A27" t="s">
        <v>611</v>
      </c>
      <c r="B27" t="s">
        <v>15</v>
      </c>
      <c r="C27" t="s">
        <v>758</v>
      </c>
      <c r="E27">
        <v>5</v>
      </c>
      <c r="F27" t="s">
        <v>761</v>
      </c>
    </row>
    <row r="28" spans="1:6" x14ac:dyDescent="0.3">
      <c r="A28" t="s">
        <v>611</v>
      </c>
      <c r="B28" t="s">
        <v>15</v>
      </c>
      <c r="C28" t="s">
        <v>758</v>
      </c>
      <c r="E28">
        <v>6</v>
      </c>
      <c r="F28" t="s">
        <v>762</v>
      </c>
    </row>
    <row r="29" spans="1:6" x14ac:dyDescent="0.3">
      <c r="A29" t="s">
        <v>611</v>
      </c>
      <c r="B29" t="s">
        <v>15</v>
      </c>
      <c r="C29" t="s">
        <v>763</v>
      </c>
      <c r="E29">
        <v>1</v>
      </c>
      <c r="F29" t="s">
        <v>762</v>
      </c>
    </row>
    <row r="30" spans="1:6" x14ac:dyDescent="0.3">
      <c r="A30" t="s">
        <v>611</v>
      </c>
      <c r="B30" t="s">
        <v>15</v>
      </c>
      <c r="C30" t="s">
        <v>763</v>
      </c>
      <c r="E30">
        <v>2</v>
      </c>
      <c r="F30" t="s">
        <v>623</v>
      </c>
    </row>
    <row r="31" spans="1:6" x14ac:dyDescent="0.3">
      <c r="A31" t="s">
        <v>611</v>
      </c>
      <c r="B31" t="s">
        <v>15</v>
      </c>
      <c r="C31" t="s">
        <v>763</v>
      </c>
      <c r="E31">
        <v>3</v>
      </c>
      <c r="F31" t="s">
        <v>764</v>
      </c>
    </row>
    <row r="32" spans="1:6" x14ac:dyDescent="0.3">
      <c r="A32" t="s">
        <v>611</v>
      </c>
      <c r="B32" t="s">
        <v>15</v>
      </c>
      <c r="C32" t="s">
        <v>763</v>
      </c>
      <c r="E32">
        <v>4</v>
      </c>
      <c r="F32" t="s">
        <v>765</v>
      </c>
    </row>
    <row r="33" spans="1:6" x14ac:dyDescent="0.3">
      <c r="A33" t="s">
        <v>611</v>
      </c>
      <c r="B33" t="s">
        <v>15</v>
      </c>
      <c r="C33" t="s">
        <v>763</v>
      </c>
      <c r="E33">
        <v>5</v>
      </c>
      <c r="F33" t="s">
        <v>766</v>
      </c>
    </row>
    <row r="34" spans="1:6" x14ac:dyDescent="0.3">
      <c r="A34" t="s">
        <v>611</v>
      </c>
      <c r="B34" t="s">
        <v>15</v>
      </c>
      <c r="C34" t="s">
        <v>763</v>
      </c>
      <c r="E34">
        <v>6</v>
      </c>
      <c r="F34" t="s">
        <v>767</v>
      </c>
    </row>
    <row r="35" spans="1:6" x14ac:dyDescent="0.3">
      <c r="A35" t="s">
        <v>611</v>
      </c>
      <c r="B35" t="s">
        <v>15</v>
      </c>
      <c r="C35" t="s">
        <v>763</v>
      </c>
      <c r="E35">
        <v>7</v>
      </c>
      <c r="F35" t="s">
        <v>768</v>
      </c>
    </row>
    <row r="36" spans="1:6" x14ac:dyDescent="0.3">
      <c r="A36" t="s">
        <v>611</v>
      </c>
      <c r="B36" t="s">
        <v>15</v>
      </c>
      <c r="C36" t="s">
        <v>769</v>
      </c>
      <c r="E36">
        <v>1</v>
      </c>
      <c r="F36" t="s">
        <v>770</v>
      </c>
    </row>
    <row r="37" spans="1:6" x14ac:dyDescent="0.3">
      <c r="A37" t="s">
        <v>611</v>
      </c>
      <c r="B37" t="s">
        <v>15</v>
      </c>
      <c r="C37" t="s">
        <v>769</v>
      </c>
      <c r="E37">
        <v>2</v>
      </c>
      <c r="F37" t="s">
        <v>629</v>
      </c>
    </row>
    <row r="38" spans="1:6" x14ac:dyDescent="0.3">
      <c r="A38" t="s">
        <v>611</v>
      </c>
      <c r="B38" t="s">
        <v>15</v>
      </c>
      <c r="C38" t="s">
        <v>769</v>
      </c>
      <c r="E38">
        <v>3</v>
      </c>
      <c r="F38" t="s">
        <v>771</v>
      </c>
    </row>
    <row r="39" spans="1:6" x14ac:dyDescent="0.3">
      <c r="A39" t="s">
        <v>611</v>
      </c>
      <c r="B39" t="s">
        <v>15</v>
      </c>
      <c r="C39" t="s">
        <v>769</v>
      </c>
      <c r="E39">
        <v>4</v>
      </c>
      <c r="F39" t="s">
        <v>668</v>
      </c>
    </row>
    <row r="40" spans="1:6" x14ac:dyDescent="0.3">
      <c r="A40" t="s">
        <v>611</v>
      </c>
      <c r="B40" t="s">
        <v>15</v>
      </c>
      <c r="C40" t="s">
        <v>769</v>
      </c>
      <c r="E40">
        <v>5</v>
      </c>
      <c r="F40" t="s">
        <v>772</v>
      </c>
    </row>
    <row r="41" spans="1:6" x14ac:dyDescent="0.3">
      <c r="A41" t="s">
        <v>611</v>
      </c>
      <c r="B41" t="s">
        <v>15</v>
      </c>
      <c r="C41" t="s">
        <v>769</v>
      </c>
      <c r="E41">
        <v>6</v>
      </c>
      <c r="F41" t="s">
        <v>773</v>
      </c>
    </row>
    <row r="42" spans="1:6" x14ac:dyDescent="0.3">
      <c r="A42" t="s">
        <v>611</v>
      </c>
      <c r="B42" t="s">
        <v>15</v>
      </c>
      <c r="C42" t="s">
        <v>769</v>
      </c>
      <c r="E42">
        <v>7</v>
      </c>
      <c r="F42" t="s">
        <v>745</v>
      </c>
    </row>
    <row r="43" spans="1:6" x14ac:dyDescent="0.3">
      <c r="A43" t="s">
        <v>611</v>
      </c>
      <c r="B43" t="s">
        <v>15</v>
      </c>
      <c r="C43" t="s">
        <v>774</v>
      </c>
      <c r="E43">
        <v>1</v>
      </c>
      <c r="F43" t="s">
        <v>775</v>
      </c>
    </row>
    <row r="44" spans="1:6" x14ac:dyDescent="0.3">
      <c r="A44" t="s">
        <v>611</v>
      </c>
      <c r="B44" t="s">
        <v>15</v>
      </c>
      <c r="C44" t="s">
        <v>774</v>
      </c>
      <c r="E44">
        <v>2</v>
      </c>
      <c r="F44" t="s">
        <v>776</v>
      </c>
    </row>
    <row r="45" spans="1:6" x14ac:dyDescent="0.3">
      <c r="A45" t="s">
        <v>611</v>
      </c>
      <c r="B45" t="s">
        <v>15</v>
      </c>
      <c r="C45" t="s">
        <v>774</v>
      </c>
      <c r="E45">
        <v>3</v>
      </c>
      <c r="F45" t="s">
        <v>777</v>
      </c>
    </row>
    <row r="46" spans="1:6" x14ac:dyDescent="0.3">
      <c r="A46" t="s">
        <v>611</v>
      </c>
      <c r="B46" t="s">
        <v>15</v>
      </c>
      <c r="C46" t="s">
        <v>774</v>
      </c>
      <c r="E46">
        <v>4</v>
      </c>
      <c r="F46" t="s">
        <v>778</v>
      </c>
    </row>
    <row r="47" spans="1:6" x14ac:dyDescent="0.3">
      <c r="A47" t="s">
        <v>611</v>
      </c>
      <c r="B47" t="s">
        <v>15</v>
      </c>
      <c r="C47" t="s">
        <v>774</v>
      </c>
      <c r="E47">
        <v>5</v>
      </c>
      <c r="F47" t="s">
        <v>779</v>
      </c>
    </row>
    <row r="48" spans="1:6" x14ac:dyDescent="0.3">
      <c r="A48" t="s">
        <v>611</v>
      </c>
      <c r="B48" t="s">
        <v>15</v>
      </c>
      <c r="C48" t="s">
        <v>774</v>
      </c>
      <c r="E48">
        <v>6</v>
      </c>
      <c r="F48" t="s">
        <v>780</v>
      </c>
    </row>
    <row r="49" spans="1:6" x14ac:dyDescent="0.3">
      <c r="A49" t="s">
        <v>611</v>
      </c>
      <c r="B49" t="s">
        <v>15</v>
      </c>
      <c r="C49" t="s">
        <v>781</v>
      </c>
      <c r="E49">
        <v>1</v>
      </c>
      <c r="F49" t="s">
        <v>653</v>
      </c>
    </row>
    <row r="50" spans="1:6" x14ac:dyDescent="0.3">
      <c r="A50" t="s">
        <v>611</v>
      </c>
      <c r="B50" t="s">
        <v>15</v>
      </c>
      <c r="C50" t="s">
        <v>781</v>
      </c>
      <c r="E50">
        <v>2</v>
      </c>
      <c r="F50" t="s">
        <v>684</v>
      </c>
    </row>
    <row r="51" spans="1:6" x14ac:dyDescent="0.3">
      <c r="A51" t="s">
        <v>611</v>
      </c>
      <c r="B51" t="s">
        <v>15</v>
      </c>
      <c r="C51" t="s">
        <v>781</v>
      </c>
      <c r="E51">
        <v>3</v>
      </c>
      <c r="F51" t="s">
        <v>683</v>
      </c>
    </row>
    <row r="52" spans="1:6" x14ac:dyDescent="0.3">
      <c r="A52" t="s">
        <v>611</v>
      </c>
      <c r="B52" t="s">
        <v>15</v>
      </c>
      <c r="C52" t="s">
        <v>781</v>
      </c>
      <c r="E52">
        <v>4</v>
      </c>
      <c r="F52" t="s">
        <v>685</v>
      </c>
    </row>
    <row r="53" spans="1:6" x14ac:dyDescent="0.3">
      <c r="A53" t="s">
        <v>611</v>
      </c>
      <c r="B53" t="s">
        <v>15</v>
      </c>
      <c r="C53" t="s">
        <v>781</v>
      </c>
      <c r="E53">
        <v>5</v>
      </c>
      <c r="F53" t="s">
        <v>664</v>
      </c>
    </row>
    <row r="54" spans="1:6" x14ac:dyDescent="0.3">
      <c r="A54" t="s">
        <v>611</v>
      </c>
      <c r="B54" t="s">
        <v>15</v>
      </c>
      <c r="C54" t="s">
        <v>781</v>
      </c>
      <c r="E54">
        <v>6</v>
      </c>
      <c r="F54" t="s">
        <v>782</v>
      </c>
    </row>
    <row r="55" spans="1:6" x14ac:dyDescent="0.3">
      <c r="A55" t="s">
        <v>611</v>
      </c>
      <c r="B55" t="s">
        <v>15</v>
      </c>
      <c r="C55" t="s">
        <v>783</v>
      </c>
      <c r="E55">
        <v>1</v>
      </c>
      <c r="F55" t="s">
        <v>638</v>
      </c>
    </row>
    <row r="56" spans="1:6" x14ac:dyDescent="0.3">
      <c r="A56" t="s">
        <v>611</v>
      </c>
      <c r="B56" t="s">
        <v>15</v>
      </c>
      <c r="C56" t="s">
        <v>783</v>
      </c>
      <c r="E56">
        <v>2</v>
      </c>
      <c r="F56" t="s">
        <v>784</v>
      </c>
    </row>
    <row r="57" spans="1:6" x14ac:dyDescent="0.3">
      <c r="A57" t="s">
        <v>611</v>
      </c>
      <c r="B57" t="s">
        <v>15</v>
      </c>
      <c r="C57" t="s">
        <v>783</v>
      </c>
      <c r="E57">
        <v>3</v>
      </c>
      <c r="F57" t="s">
        <v>785</v>
      </c>
    </row>
    <row r="58" spans="1:6" x14ac:dyDescent="0.3">
      <c r="A58" t="s">
        <v>611</v>
      </c>
      <c r="B58" t="s">
        <v>15</v>
      </c>
      <c r="C58" t="s">
        <v>783</v>
      </c>
      <c r="E58">
        <v>4</v>
      </c>
      <c r="F58" t="s">
        <v>776</v>
      </c>
    </row>
    <row r="59" spans="1:6" x14ac:dyDescent="0.3">
      <c r="A59" t="s">
        <v>611</v>
      </c>
      <c r="B59" t="s">
        <v>15</v>
      </c>
      <c r="C59" t="s">
        <v>783</v>
      </c>
      <c r="E59">
        <v>5</v>
      </c>
      <c r="F59" t="s">
        <v>786</v>
      </c>
    </row>
    <row r="60" spans="1:6" x14ac:dyDescent="0.3">
      <c r="A60" t="s">
        <v>611</v>
      </c>
      <c r="B60" t="s">
        <v>15</v>
      </c>
      <c r="C60" t="s">
        <v>783</v>
      </c>
      <c r="E60">
        <v>6</v>
      </c>
      <c r="F60" t="s">
        <v>787</v>
      </c>
    </row>
    <row r="61" spans="1:6" x14ac:dyDescent="0.3">
      <c r="A61" t="s">
        <v>611</v>
      </c>
      <c r="B61" t="s">
        <v>15</v>
      </c>
      <c r="C61" t="s">
        <v>783</v>
      </c>
      <c r="E61">
        <v>7</v>
      </c>
      <c r="F61" t="s">
        <v>788</v>
      </c>
    </row>
    <row r="62" spans="1:6" x14ac:dyDescent="0.3">
      <c r="A62" t="s">
        <v>611</v>
      </c>
      <c r="B62" t="s">
        <v>15</v>
      </c>
      <c r="C62" t="s">
        <v>789</v>
      </c>
      <c r="E62">
        <v>1</v>
      </c>
      <c r="F62" t="s">
        <v>790</v>
      </c>
    </row>
    <row r="63" spans="1:6" x14ac:dyDescent="0.3">
      <c r="A63" t="s">
        <v>611</v>
      </c>
      <c r="B63" t="s">
        <v>15</v>
      </c>
      <c r="C63" t="s">
        <v>789</v>
      </c>
      <c r="E63">
        <v>2</v>
      </c>
      <c r="F63" t="s">
        <v>672</v>
      </c>
    </row>
    <row r="64" spans="1:6" x14ac:dyDescent="0.3">
      <c r="A64" t="s">
        <v>611</v>
      </c>
      <c r="B64" t="s">
        <v>15</v>
      </c>
      <c r="C64" t="s">
        <v>789</v>
      </c>
      <c r="E64">
        <v>3</v>
      </c>
      <c r="F64" t="s">
        <v>791</v>
      </c>
    </row>
    <row r="65" spans="1:6" x14ac:dyDescent="0.3">
      <c r="A65" t="s">
        <v>611</v>
      </c>
      <c r="B65" t="s">
        <v>15</v>
      </c>
      <c r="C65" t="s">
        <v>789</v>
      </c>
      <c r="E65">
        <v>4</v>
      </c>
      <c r="F65" t="s">
        <v>743</v>
      </c>
    </row>
    <row r="66" spans="1:6" x14ac:dyDescent="0.3">
      <c r="A66" t="s">
        <v>611</v>
      </c>
      <c r="B66" t="s">
        <v>15</v>
      </c>
      <c r="C66" t="s">
        <v>789</v>
      </c>
      <c r="E66">
        <v>5</v>
      </c>
      <c r="F66" t="s">
        <v>792</v>
      </c>
    </row>
    <row r="67" spans="1:6" x14ac:dyDescent="0.3">
      <c r="A67" t="s">
        <v>611</v>
      </c>
      <c r="B67" t="s">
        <v>15</v>
      </c>
      <c r="C67" t="s">
        <v>789</v>
      </c>
      <c r="E67">
        <v>6</v>
      </c>
      <c r="F67" t="s">
        <v>793</v>
      </c>
    </row>
    <row r="68" spans="1:6" x14ac:dyDescent="0.3">
      <c r="A68" t="s">
        <v>611</v>
      </c>
      <c r="B68" t="s">
        <v>15</v>
      </c>
      <c r="C68" t="s">
        <v>789</v>
      </c>
      <c r="E68">
        <v>7</v>
      </c>
      <c r="F68" t="s">
        <v>794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4.4" x14ac:dyDescent="0.3"/>
  <cols>
    <col min="1" max="1" width="48" customWidth="1"/>
    <col min="2" max="2" width="13" customWidth="1"/>
    <col min="3" max="4" width="12" customWidth="1"/>
  </cols>
  <sheetData>
    <row r="1" spans="1:4" x14ac:dyDescent="0.3">
      <c r="A1" t="s">
        <v>609</v>
      </c>
      <c r="B1" t="s">
        <v>618</v>
      </c>
      <c r="C1" t="s">
        <v>619</v>
      </c>
      <c r="D1" t="s">
        <v>620</v>
      </c>
    </row>
    <row r="2" spans="1:4" x14ac:dyDescent="0.3">
      <c r="A2" t="s">
        <v>612</v>
      </c>
      <c r="B2" t="s">
        <v>16</v>
      </c>
      <c r="C2">
        <v>1</v>
      </c>
      <c r="D2" t="s">
        <v>795</v>
      </c>
    </row>
    <row r="3" spans="1:4" x14ac:dyDescent="0.3">
      <c r="A3" t="s">
        <v>612</v>
      </c>
      <c r="B3" t="s">
        <v>16</v>
      </c>
      <c r="C3">
        <v>2</v>
      </c>
      <c r="D3" t="s">
        <v>796</v>
      </c>
    </row>
    <row r="4" spans="1:4" x14ac:dyDescent="0.3">
      <c r="A4" t="s">
        <v>612</v>
      </c>
      <c r="B4" t="s">
        <v>16</v>
      </c>
      <c r="C4">
        <v>3</v>
      </c>
      <c r="D4" t="s">
        <v>797</v>
      </c>
    </row>
    <row r="5" spans="1:4" x14ac:dyDescent="0.3">
      <c r="A5" t="s">
        <v>612</v>
      </c>
      <c r="B5" t="s">
        <v>16</v>
      </c>
      <c r="C5">
        <v>4</v>
      </c>
      <c r="D5" t="s">
        <v>798</v>
      </c>
    </row>
    <row r="6" spans="1:4" x14ac:dyDescent="0.3">
      <c r="A6" t="s">
        <v>612</v>
      </c>
      <c r="B6" t="s">
        <v>16</v>
      </c>
      <c r="C6">
        <v>5</v>
      </c>
      <c r="D6" t="s">
        <v>799</v>
      </c>
    </row>
    <row r="7" spans="1:4" x14ac:dyDescent="0.3">
      <c r="A7" t="s">
        <v>612</v>
      </c>
      <c r="B7" t="s">
        <v>16</v>
      </c>
      <c r="C7">
        <v>6</v>
      </c>
      <c r="D7" t="s">
        <v>800</v>
      </c>
    </row>
    <row r="8" spans="1:4" x14ac:dyDescent="0.3">
      <c r="A8" t="s">
        <v>612</v>
      </c>
      <c r="B8" t="s">
        <v>16</v>
      </c>
      <c r="C8">
        <v>7</v>
      </c>
      <c r="D8" t="s">
        <v>801</v>
      </c>
    </row>
    <row r="9" spans="1:4" x14ac:dyDescent="0.3">
      <c r="A9" t="s">
        <v>612</v>
      </c>
      <c r="B9" t="s">
        <v>16</v>
      </c>
      <c r="C9">
        <v>8</v>
      </c>
      <c r="D9" t="s">
        <v>802</v>
      </c>
    </row>
    <row r="10" spans="1:4" x14ac:dyDescent="0.3">
      <c r="A10" t="s">
        <v>612</v>
      </c>
      <c r="B10" t="s">
        <v>16</v>
      </c>
      <c r="C10">
        <v>9</v>
      </c>
      <c r="D10" t="s">
        <v>803</v>
      </c>
    </row>
    <row r="11" spans="1:4" x14ac:dyDescent="0.3">
      <c r="A11" t="s">
        <v>612</v>
      </c>
      <c r="B11" t="s">
        <v>16</v>
      </c>
      <c r="C11">
        <v>10</v>
      </c>
      <c r="D11" t="s">
        <v>804</v>
      </c>
    </row>
    <row r="12" spans="1:4" x14ac:dyDescent="0.3">
      <c r="A12" t="s">
        <v>612</v>
      </c>
      <c r="B12" t="s">
        <v>16</v>
      </c>
      <c r="C12">
        <v>11</v>
      </c>
      <c r="D12" t="s">
        <v>805</v>
      </c>
    </row>
    <row r="13" spans="1:4" x14ac:dyDescent="0.3">
      <c r="A13" t="s">
        <v>612</v>
      </c>
      <c r="B13" t="s">
        <v>16</v>
      </c>
      <c r="C13">
        <v>12</v>
      </c>
      <c r="D13" t="s">
        <v>806</v>
      </c>
    </row>
    <row r="14" spans="1:4" x14ac:dyDescent="0.3">
      <c r="A14" t="s">
        <v>612</v>
      </c>
      <c r="B14" t="s">
        <v>16</v>
      </c>
      <c r="C14">
        <v>13</v>
      </c>
      <c r="D14" t="s">
        <v>807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4"/>
  <sheetViews>
    <sheetView workbookViewId="0"/>
  </sheetViews>
  <sheetFormatPr defaultRowHeight="14.4" x14ac:dyDescent="0.3"/>
  <cols>
    <col min="1" max="1" width="48" customWidth="1"/>
    <col min="2" max="2" width="16" customWidth="1"/>
    <col min="3" max="4" width="12" customWidth="1"/>
  </cols>
  <sheetData>
    <row r="1" spans="1:4" x14ac:dyDescent="0.3">
      <c r="A1" t="s">
        <v>609</v>
      </c>
      <c r="B1" t="s">
        <v>618</v>
      </c>
      <c r="C1" t="s">
        <v>619</v>
      </c>
      <c r="D1" t="s">
        <v>620</v>
      </c>
    </row>
    <row r="2" spans="1:4" x14ac:dyDescent="0.3">
      <c r="A2" t="s">
        <v>612</v>
      </c>
      <c r="B2" t="s">
        <v>17</v>
      </c>
      <c r="C2">
        <v>1</v>
      </c>
      <c r="D2" t="s">
        <v>808</v>
      </c>
    </row>
    <row r="3" spans="1:4" x14ac:dyDescent="0.3">
      <c r="A3" t="s">
        <v>612</v>
      </c>
      <c r="B3" t="s">
        <v>17</v>
      </c>
      <c r="C3">
        <v>2</v>
      </c>
      <c r="D3" t="s">
        <v>644</v>
      </c>
    </row>
    <row r="4" spans="1:4" x14ac:dyDescent="0.3">
      <c r="A4" t="s">
        <v>612</v>
      </c>
      <c r="B4" t="s">
        <v>17</v>
      </c>
      <c r="C4">
        <v>3</v>
      </c>
      <c r="D4" t="s">
        <v>651</v>
      </c>
    </row>
    <row r="5" spans="1:4" x14ac:dyDescent="0.3">
      <c r="A5" t="s">
        <v>612</v>
      </c>
      <c r="B5" t="s">
        <v>17</v>
      </c>
      <c r="C5">
        <v>4</v>
      </c>
      <c r="D5" t="s">
        <v>809</v>
      </c>
    </row>
    <row r="6" spans="1:4" x14ac:dyDescent="0.3">
      <c r="A6" t="s">
        <v>612</v>
      </c>
      <c r="B6" t="s">
        <v>17</v>
      </c>
      <c r="C6">
        <v>5</v>
      </c>
      <c r="D6" t="s">
        <v>645</v>
      </c>
    </row>
    <row r="7" spans="1:4" x14ac:dyDescent="0.3">
      <c r="A7" t="s">
        <v>612</v>
      </c>
      <c r="B7" t="s">
        <v>17</v>
      </c>
      <c r="C7">
        <v>6</v>
      </c>
      <c r="D7" t="s">
        <v>810</v>
      </c>
    </row>
    <row r="8" spans="1:4" x14ac:dyDescent="0.3">
      <c r="A8" t="s">
        <v>612</v>
      </c>
      <c r="B8" t="s">
        <v>17</v>
      </c>
      <c r="C8">
        <v>7</v>
      </c>
      <c r="D8" t="s">
        <v>643</v>
      </c>
    </row>
    <row r="9" spans="1:4" x14ac:dyDescent="0.3">
      <c r="A9" t="s">
        <v>612</v>
      </c>
      <c r="B9" t="s">
        <v>17</v>
      </c>
      <c r="C9">
        <v>8</v>
      </c>
      <c r="D9" t="s">
        <v>811</v>
      </c>
    </row>
    <row r="10" spans="1:4" x14ac:dyDescent="0.3">
      <c r="A10" t="s">
        <v>612</v>
      </c>
      <c r="B10" t="s">
        <v>17</v>
      </c>
      <c r="C10">
        <v>9</v>
      </c>
      <c r="D10" t="s">
        <v>812</v>
      </c>
    </row>
    <row r="11" spans="1:4" x14ac:dyDescent="0.3">
      <c r="A11" t="s">
        <v>612</v>
      </c>
      <c r="B11" t="s">
        <v>17</v>
      </c>
      <c r="C11">
        <v>10</v>
      </c>
      <c r="D11" t="s">
        <v>813</v>
      </c>
    </row>
    <row r="12" spans="1:4" x14ac:dyDescent="0.3">
      <c r="A12" t="s">
        <v>612</v>
      </c>
      <c r="B12" t="s">
        <v>17</v>
      </c>
      <c r="C12">
        <v>11</v>
      </c>
      <c r="D12" t="s">
        <v>814</v>
      </c>
    </row>
    <row r="13" spans="1:4" x14ac:dyDescent="0.3">
      <c r="A13" t="s">
        <v>612</v>
      </c>
      <c r="B13" t="s">
        <v>17</v>
      </c>
      <c r="C13">
        <v>12</v>
      </c>
      <c r="D13" t="s">
        <v>648</v>
      </c>
    </row>
    <row r="14" spans="1:4" x14ac:dyDescent="0.3">
      <c r="A14" t="s">
        <v>612</v>
      </c>
      <c r="B14" t="s">
        <v>17</v>
      </c>
      <c r="C14">
        <v>13</v>
      </c>
      <c r="D14" t="s">
        <v>815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1"/>
  <sheetViews>
    <sheetView workbookViewId="0"/>
  </sheetViews>
  <sheetFormatPr defaultRowHeight="14.4" x14ac:dyDescent="0.3"/>
  <cols>
    <col min="1" max="1" width="48" customWidth="1"/>
    <col min="2" max="2" width="15" customWidth="1"/>
    <col min="3" max="3" width="12" customWidth="1"/>
    <col min="4" max="4" width="17" customWidth="1"/>
  </cols>
  <sheetData>
    <row r="1" spans="1:4" x14ac:dyDescent="0.3">
      <c r="A1" t="s">
        <v>609</v>
      </c>
      <c r="B1" t="s">
        <v>618</v>
      </c>
      <c r="C1" t="s">
        <v>619</v>
      </c>
      <c r="D1" t="s">
        <v>620</v>
      </c>
    </row>
    <row r="2" spans="1:4" x14ac:dyDescent="0.3">
      <c r="A2" t="s">
        <v>612</v>
      </c>
      <c r="B2" t="s">
        <v>18</v>
      </c>
      <c r="C2">
        <v>1</v>
      </c>
      <c r="D2" t="s">
        <v>816</v>
      </c>
    </row>
    <row r="3" spans="1:4" x14ac:dyDescent="0.3">
      <c r="A3" t="s">
        <v>612</v>
      </c>
      <c r="B3" t="s">
        <v>18</v>
      </c>
      <c r="C3">
        <v>2</v>
      </c>
      <c r="D3" t="s">
        <v>817</v>
      </c>
    </row>
    <row r="4" spans="1:4" x14ac:dyDescent="0.3">
      <c r="A4" t="s">
        <v>612</v>
      </c>
      <c r="B4" t="s">
        <v>18</v>
      </c>
      <c r="C4">
        <v>3</v>
      </c>
      <c r="D4" t="s">
        <v>818</v>
      </c>
    </row>
    <row r="5" spans="1:4" x14ac:dyDescent="0.3">
      <c r="A5" t="s">
        <v>612</v>
      </c>
      <c r="B5" t="s">
        <v>18</v>
      </c>
      <c r="C5">
        <v>4</v>
      </c>
      <c r="D5" t="s">
        <v>819</v>
      </c>
    </row>
    <row r="6" spans="1:4" x14ac:dyDescent="0.3">
      <c r="A6" t="s">
        <v>612</v>
      </c>
      <c r="B6" t="s">
        <v>18</v>
      </c>
      <c r="C6">
        <v>5</v>
      </c>
      <c r="D6" t="s">
        <v>820</v>
      </c>
    </row>
    <row r="7" spans="1:4" x14ac:dyDescent="0.3">
      <c r="A7" t="s">
        <v>612</v>
      </c>
      <c r="B7" t="s">
        <v>18</v>
      </c>
      <c r="C7">
        <v>6</v>
      </c>
      <c r="D7" t="s">
        <v>821</v>
      </c>
    </row>
    <row r="8" spans="1:4" x14ac:dyDescent="0.3">
      <c r="A8" t="s">
        <v>612</v>
      </c>
      <c r="B8" t="s">
        <v>18</v>
      </c>
      <c r="C8">
        <v>7</v>
      </c>
      <c r="D8" t="s">
        <v>822</v>
      </c>
    </row>
    <row r="9" spans="1:4" x14ac:dyDescent="0.3">
      <c r="A9" t="s">
        <v>612</v>
      </c>
      <c r="B9" t="s">
        <v>18</v>
      </c>
      <c r="C9">
        <v>8</v>
      </c>
      <c r="D9" t="s">
        <v>823</v>
      </c>
    </row>
    <row r="10" spans="1:4" x14ac:dyDescent="0.3">
      <c r="A10" t="s">
        <v>612</v>
      </c>
      <c r="B10" t="s">
        <v>18</v>
      </c>
      <c r="C10">
        <v>9</v>
      </c>
      <c r="D10" t="s">
        <v>824</v>
      </c>
    </row>
    <row r="11" spans="1:4" x14ac:dyDescent="0.3">
      <c r="A11" t="s">
        <v>612</v>
      </c>
      <c r="B11" t="s">
        <v>18</v>
      </c>
      <c r="C11">
        <v>10</v>
      </c>
      <c r="D11" t="s">
        <v>825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0"/>
  <sheetViews>
    <sheetView workbookViewId="0"/>
  </sheetViews>
  <sheetFormatPr defaultRowHeight="14.4" x14ac:dyDescent="0.3"/>
  <cols>
    <col min="1" max="1" width="48" customWidth="1"/>
    <col min="2" max="2" width="18" customWidth="1"/>
    <col min="3" max="3" width="12" customWidth="1"/>
    <col min="4" max="4" width="20" customWidth="1"/>
  </cols>
  <sheetData>
    <row r="1" spans="1:4" x14ac:dyDescent="0.3">
      <c r="A1" t="s">
        <v>609</v>
      </c>
      <c r="B1" t="s">
        <v>618</v>
      </c>
      <c r="C1" t="s">
        <v>619</v>
      </c>
      <c r="D1" t="s">
        <v>620</v>
      </c>
    </row>
    <row r="2" spans="1:4" x14ac:dyDescent="0.3">
      <c r="A2" t="s">
        <v>612</v>
      </c>
      <c r="B2" t="s">
        <v>19</v>
      </c>
      <c r="C2">
        <v>1</v>
      </c>
      <c r="D2" t="s">
        <v>826</v>
      </c>
    </row>
    <row r="3" spans="1:4" x14ac:dyDescent="0.3">
      <c r="A3" t="s">
        <v>612</v>
      </c>
      <c r="B3" t="s">
        <v>19</v>
      </c>
      <c r="C3">
        <v>2</v>
      </c>
      <c r="D3" t="s">
        <v>827</v>
      </c>
    </row>
    <row r="4" spans="1:4" x14ac:dyDescent="0.3">
      <c r="A4" t="s">
        <v>612</v>
      </c>
      <c r="B4" t="s">
        <v>19</v>
      </c>
      <c r="C4">
        <v>3</v>
      </c>
      <c r="D4" t="s">
        <v>828</v>
      </c>
    </row>
    <row r="5" spans="1:4" x14ac:dyDescent="0.3">
      <c r="A5" t="s">
        <v>612</v>
      </c>
      <c r="B5" t="s">
        <v>19</v>
      </c>
      <c r="C5">
        <v>4</v>
      </c>
      <c r="D5" t="s">
        <v>829</v>
      </c>
    </row>
    <row r="6" spans="1:4" x14ac:dyDescent="0.3">
      <c r="A6" t="s">
        <v>612</v>
      </c>
      <c r="B6" t="s">
        <v>19</v>
      </c>
      <c r="C6">
        <v>5</v>
      </c>
      <c r="D6" t="s">
        <v>830</v>
      </c>
    </row>
    <row r="7" spans="1:4" x14ac:dyDescent="0.3">
      <c r="A7" t="s">
        <v>612</v>
      </c>
      <c r="B7" t="s">
        <v>19</v>
      </c>
      <c r="C7">
        <v>6</v>
      </c>
      <c r="D7" t="s">
        <v>831</v>
      </c>
    </row>
    <row r="8" spans="1:4" x14ac:dyDescent="0.3">
      <c r="A8" t="s">
        <v>612</v>
      </c>
      <c r="B8" t="s">
        <v>19</v>
      </c>
      <c r="C8">
        <v>7</v>
      </c>
      <c r="D8" t="s">
        <v>800</v>
      </c>
    </row>
    <row r="9" spans="1:4" x14ac:dyDescent="0.3">
      <c r="A9" t="s">
        <v>612</v>
      </c>
      <c r="B9" t="s">
        <v>19</v>
      </c>
      <c r="C9">
        <v>8</v>
      </c>
      <c r="D9" t="s">
        <v>832</v>
      </c>
    </row>
    <row r="10" spans="1:4" x14ac:dyDescent="0.3">
      <c r="A10" t="s">
        <v>612</v>
      </c>
      <c r="B10" t="s">
        <v>19</v>
      </c>
      <c r="C10">
        <v>9</v>
      </c>
      <c r="D10" t="s">
        <v>833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
  <sheetViews>
    <sheetView workbookViewId="0"/>
  </sheetViews>
  <sheetFormatPr defaultRowHeight="14.4" x14ac:dyDescent="0.3"/>
  <cols>
    <col min="1" max="1" width="48" customWidth="1"/>
    <col min="2" max="2" width="13" customWidth="1"/>
    <col min="3" max="4" width="12" customWidth="1"/>
  </cols>
  <sheetData>
    <row r="1" spans="1:4" x14ac:dyDescent="0.3">
      <c r="A1" t="s">
        <v>609</v>
      </c>
      <c r="B1" t="s">
        <v>618</v>
      </c>
      <c r="C1" t="s">
        <v>619</v>
      </c>
      <c r="D1" t="s">
        <v>620</v>
      </c>
    </row>
    <row r="2" spans="1:4" x14ac:dyDescent="0.3">
      <c r="A2" t="s">
        <v>612</v>
      </c>
      <c r="B2" t="s">
        <v>20</v>
      </c>
      <c r="C2">
        <v>1</v>
      </c>
      <c r="D2" t="s">
        <v>834</v>
      </c>
    </row>
    <row r="3" spans="1:4" x14ac:dyDescent="0.3">
      <c r="A3" t="s">
        <v>612</v>
      </c>
      <c r="B3" t="s">
        <v>20</v>
      </c>
      <c r="C3">
        <v>2</v>
      </c>
      <c r="D3" t="s">
        <v>835</v>
      </c>
    </row>
    <row r="4" spans="1:4" x14ac:dyDescent="0.3">
      <c r="A4" t="s">
        <v>612</v>
      </c>
      <c r="B4" t="s">
        <v>20</v>
      </c>
      <c r="C4">
        <v>3</v>
      </c>
      <c r="D4" t="s">
        <v>836</v>
      </c>
    </row>
    <row r="5" spans="1:4" x14ac:dyDescent="0.3">
      <c r="A5" t="s">
        <v>612</v>
      </c>
      <c r="B5" t="s">
        <v>20</v>
      </c>
      <c r="C5">
        <v>4</v>
      </c>
      <c r="D5" t="s">
        <v>837</v>
      </c>
    </row>
    <row r="6" spans="1:4" x14ac:dyDescent="0.3">
      <c r="A6" t="s">
        <v>612</v>
      </c>
      <c r="B6" t="s">
        <v>20</v>
      </c>
      <c r="C6">
        <v>5</v>
      </c>
      <c r="D6" t="s">
        <v>838</v>
      </c>
    </row>
    <row r="7" spans="1:4" x14ac:dyDescent="0.3">
      <c r="A7" t="s">
        <v>612</v>
      </c>
      <c r="B7" t="s">
        <v>20</v>
      </c>
      <c r="C7">
        <v>6</v>
      </c>
      <c r="D7" t="s">
        <v>839</v>
      </c>
    </row>
    <row r="8" spans="1:4" x14ac:dyDescent="0.3">
      <c r="A8" t="s">
        <v>612</v>
      </c>
      <c r="B8" t="s">
        <v>20</v>
      </c>
      <c r="C8">
        <v>7</v>
      </c>
      <c r="D8" t="s">
        <v>840</v>
      </c>
    </row>
    <row r="9" spans="1:4" x14ac:dyDescent="0.3">
      <c r="A9" t="s">
        <v>612</v>
      </c>
      <c r="B9" t="s">
        <v>20</v>
      </c>
      <c r="C9">
        <v>8</v>
      </c>
      <c r="D9" t="s">
        <v>841</v>
      </c>
    </row>
    <row r="10" spans="1:4" x14ac:dyDescent="0.3">
      <c r="A10" t="s">
        <v>612</v>
      </c>
      <c r="B10" t="s">
        <v>20</v>
      </c>
      <c r="C10">
        <v>9</v>
      </c>
      <c r="D10" t="s">
        <v>842</v>
      </c>
    </row>
    <row r="11" spans="1:4" x14ac:dyDescent="0.3">
      <c r="A11" t="s">
        <v>612</v>
      </c>
      <c r="B11" t="s">
        <v>20</v>
      </c>
      <c r="C11">
        <v>10</v>
      </c>
      <c r="D11" t="s">
        <v>843</v>
      </c>
    </row>
    <row r="12" spans="1:4" x14ac:dyDescent="0.3">
      <c r="A12" t="s">
        <v>612</v>
      </c>
      <c r="B12" t="s">
        <v>20</v>
      </c>
      <c r="C12">
        <v>11</v>
      </c>
      <c r="D12" t="s">
        <v>844</v>
      </c>
    </row>
    <row r="13" spans="1:4" x14ac:dyDescent="0.3">
      <c r="A13" t="s">
        <v>612</v>
      </c>
      <c r="B13" t="s">
        <v>20</v>
      </c>
      <c r="C13">
        <v>12</v>
      </c>
      <c r="D13" t="s">
        <v>845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8"/>
  <sheetViews>
    <sheetView workbookViewId="0"/>
  </sheetViews>
  <sheetFormatPr defaultRowHeight="14.4" x14ac:dyDescent="0.3"/>
  <cols>
    <col min="1" max="1" width="48" customWidth="1"/>
    <col min="2" max="2" width="16" customWidth="1"/>
    <col min="3" max="4" width="12" customWidth="1"/>
  </cols>
  <sheetData>
    <row r="1" spans="1:4" x14ac:dyDescent="0.3">
      <c r="A1" t="s">
        <v>609</v>
      </c>
      <c r="B1" t="s">
        <v>618</v>
      </c>
      <c r="C1" t="s">
        <v>619</v>
      </c>
      <c r="D1" t="s">
        <v>620</v>
      </c>
    </row>
    <row r="2" spans="1:4" x14ac:dyDescent="0.3">
      <c r="A2" t="s">
        <v>612</v>
      </c>
      <c r="B2" t="s">
        <v>21</v>
      </c>
      <c r="C2">
        <v>1</v>
      </c>
      <c r="D2" t="s">
        <v>797</v>
      </c>
    </row>
    <row r="3" spans="1:4" x14ac:dyDescent="0.3">
      <c r="A3" t="s">
        <v>612</v>
      </c>
      <c r="B3" t="s">
        <v>21</v>
      </c>
      <c r="C3">
        <v>2</v>
      </c>
      <c r="D3" t="s">
        <v>846</v>
      </c>
    </row>
    <row r="4" spans="1:4" x14ac:dyDescent="0.3">
      <c r="A4" t="s">
        <v>612</v>
      </c>
      <c r="B4" t="s">
        <v>21</v>
      </c>
      <c r="C4">
        <v>3</v>
      </c>
      <c r="D4" t="s">
        <v>847</v>
      </c>
    </row>
    <row r="5" spans="1:4" x14ac:dyDescent="0.3">
      <c r="A5" t="s">
        <v>612</v>
      </c>
      <c r="B5" t="s">
        <v>21</v>
      </c>
      <c r="C5">
        <v>4</v>
      </c>
      <c r="D5" t="s">
        <v>848</v>
      </c>
    </row>
    <row r="6" spans="1:4" x14ac:dyDescent="0.3">
      <c r="A6" t="s">
        <v>612</v>
      </c>
      <c r="B6" t="s">
        <v>21</v>
      </c>
      <c r="C6">
        <v>5</v>
      </c>
      <c r="D6" t="s">
        <v>849</v>
      </c>
    </row>
    <row r="7" spans="1:4" x14ac:dyDescent="0.3">
      <c r="A7" t="s">
        <v>612</v>
      </c>
      <c r="B7" t="s">
        <v>21</v>
      </c>
      <c r="C7">
        <v>6</v>
      </c>
      <c r="D7" t="s">
        <v>850</v>
      </c>
    </row>
    <row r="8" spans="1:4" x14ac:dyDescent="0.3">
      <c r="A8" t="s">
        <v>612</v>
      </c>
      <c r="B8" t="s">
        <v>21</v>
      </c>
      <c r="C8">
        <v>7</v>
      </c>
      <c r="D8" t="s">
        <v>851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2"/>
  <sheetViews>
    <sheetView workbookViewId="0"/>
  </sheetViews>
  <sheetFormatPr defaultRowHeight="14.4" x14ac:dyDescent="0.3"/>
  <cols>
    <col min="1" max="1" width="48" customWidth="1"/>
    <col min="2" max="2" width="14" customWidth="1"/>
    <col min="3" max="3" width="12" customWidth="1"/>
    <col min="4" max="4" width="14" customWidth="1"/>
  </cols>
  <sheetData>
    <row r="1" spans="1:4" x14ac:dyDescent="0.3">
      <c r="A1" t="s">
        <v>609</v>
      </c>
      <c r="B1" t="s">
        <v>618</v>
      </c>
      <c r="C1" t="s">
        <v>619</v>
      </c>
      <c r="D1" t="s">
        <v>620</v>
      </c>
    </row>
    <row r="2" spans="1:4" x14ac:dyDescent="0.3">
      <c r="A2" t="s">
        <v>612</v>
      </c>
      <c r="B2" t="s">
        <v>22</v>
      </c>
      <c r="C2">
        <v>1</v>
      </c>
      <c r="D2" t="s">
        <v>852</v>
      </c>
    </row>
    <row r="3" spans="1:4" x14ac:dyDescent="0.3">
      <c r="A3" t="s">
        <v>612</v>
      </c>
      <c r="B3" t="s">
        <v>22</v>
      </c>
      <c r="C3">
        <v>2</v>
      </c>
      <c r="D3" t="s">
        <v>853</v>
      </c>
    </row>
    <row r="4" spans="1:4" x14ac:dyDescent="0.3">
      <c r="A4" t="s">
        <v>612</v>
      </c>
      <c r="B4" t="s">
        <v>22</v>
      </c>
      <c r="C4">
        <v>3</v>
      </c>
      <c r="D4" t="s">
        <v>854</v>
      </c>
    </row>
    <row r="5" spans="1:4" x14ac:dyDescent="0.3">
      <c r="A5" t="s">
        <v>612</v>
      </c>
      <c r="B5" t="s">
        <v>22</v>
      </c>
      <c r="C5">
        <v>4</v>
      </c>
      <c r="D5" t="s">
        <v>855</v>
      </c>
    </row>
    <row r="6" spans="1:4" x14ac:dyDescent="0.3">
      <c r="A6" t="s">
        <v>612</v>
      </c>
      <c r="B6" t="s">
        <v>22</v>
      </c>
      <c r="C6">
        <v>5</v>
      </c>
      <c r="D6" t="s">
        <v>829</v>
      </c>
    </row>
    <row r="7" spans="1:4" x14ac:dyDescent="0.3">
      <c r="A7" t="s">
        <v>612</v>
      </c>
      <c r="B7" t="s">
        <v>22</v>
      </c>
      <c r="C7">
        <v>6</v>
      </c>
      <c r="D7" t="s">
        <v>856</v>
      </c>
    </row>
    <row r="8" spans="1:4" x14ac:dyDescent="0.3">
      <c r="A8" t="s">
        <v>612</v>
      </c>
      <c r="B8" t="s">
        <v>22</v>
      </c>
      <c r="C8">
        <v>7</v>
      </c>
      <c r="D8" t="s">
        <v>857</v>
      </c>
    </row>
    <row r="9" spans="1:4" x14ac:dyDescent="0.3">
      <c r="A9" t="s">
        <v>612</v>
      </c>
      <c r="B9" t="s">
        <v>22</v>
      </c>
      <c r="C9">
        <v>8</v>
      </c>
      <c r="D9" t="s">
        <v>858</v>
      </c>
    </row>
    <row r="10" spans="1:4" x14ac:dyDescent="0.3">
      <c r="A10" t="s">
        <v>612</v>
      </c>
      <c r="B10" t="s">
        <v>22</v>
      </c>
      <c r="C10">
        <v>9</v>
      </c>
      <c r="D10" t="s">
        <v>859</v>
      </c>
    </row>
    <row r="11" spans="1:4" x14ac:dyDescent="0.3">
      <c r="A11" t="s">
        <v>612</v>
      </c>
      <c r="B11" t="s">
        <v>22</v>
      </c>
      <c r="C11">
        <v>10</v>
      </c>
      <c r="D11" t="s">
        <v>860</v>
      </c>
    </row>
    <row r="12" spans="1:4" x14ac:dyDescent="0.3">
      <c r="A12" t="s">
        <v>612</v>
      </c>
      <c r="B12" t="s">
        <v>22</v>
      </c>
      <c r="C12">
        <v>11</v>
      </c>
      <c r="D12" t="s">
        <v>861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8"/>
  <sheetViews>
    <sheetView workbookViewId="0"/>
  </sheetViews>
  <sheetFormatPr defaultRowHeight="14.4" x14ac:dyDescent="0.3"/>
  <cols>
    <col min="1" max="1" width="48" customWidth="1"/>
    <col min="2" max="2" width="16" customWidth="1"/>
    <col min="3" max="4" width="12" customWidth="1"/>
  </cols>
  <sheetData>
    <row r="1" spans="1:4" x14ac:dyDescent="0.3">
      <c r="A1" t="s">
        <v>609</v>
      </c>
      <c r="B1" t="s">
        <v>618</v>
      </c>
      <c r="C1" t="s">
        <v>619</v>
      </c>
      <c r="D1" t="s">
        <v>620</v>
      </c>
    </row>
    <row r="2" spans="1:4" x14ac:dyDescent="0.3">
      <c r="A2" t="s">
        <v>612</v>
      </c>
      <c r="B2" t="s">
        <v>23</v>
      </c>
      <c r="C2">
        <v>1</v>
      </c>
      <c r="D2" t="s">
        <v>862</v>
      </c>
    </row>
    <row r="3" spans="1:4" x14ac:dyDescent="0.3">
      <c r="A3" t="s">
        <v>612</v>
      </c>
      <c r="B3" t="s">
        <v>23</v>
      </c>
      <c r="C3">
        <v>2</v>
      </c>
      <c r="D3" t="s">
        <v>863</v>
      </c>
    </row>
    <row r="4" spans="1:4" x14ac:dyDescent="0.3">
      <c r="A4" t="s">
        <v>612</v>
      </c>
      <c r="B4" t="s">
        <v>23</v>
      </c>
      <c r="C4">
        <v>3</v>
      </c>
      <c r="D4" t="s">
        <v>847</v>
      </c>
    </row>
    <row r="5" spans="1:4" x14ac:dyDescent="0.3">
      <c r="A5" t="s">
        <v>612</v>
      </c>
      <c r="B5" t="s">
        <v>23</v>
      </c>
      <c r="C5">
        <v>4</v>
      </c>
      <c r="D5" t="s">
        <v>864</v>
      </c>
    </row>
    <row r="6" spans="1:4" x14ac:dyDescent="0.3">
      <c r="A6" t="s">
        <v>612</v>
      </c>
      <c r="B6" t="s">
        <v>23</v>
      </c>
      <c r="C6">
        <v>5</v>
      </c>
      <c r="D6" t="s">
        <v>865</v>
      </c>
    </row>
    <row r="7" spans="1:4" x14ac:dyDescent="0.3">
      <c r="A7" t="s">
        <v>612</v>
      </c>
      <c r="B7" t="s">
        <v>23</v>
      </c>
      <c r="C7">
        <v>6</v>
      </c>
      <c r="D7" t="s">
        <v>866</v>
      </c>
    </row>
    <row r="8" spans="1:4" x14ac:dyDescent="0.3">
      <c r="A8" t="s">
        <v>612</v>
      </c>
      <c r="B8" t="s">
        <v>23</v>
      </c>
      <c r="C8">
        <v>7</v>
      </c>
      <c r="D8" t="s">
        <v>867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8"/>
  <sheetViews>
    <sheetView workbookViewId="0"/>
  </sheetViews>
  <sheetFormatPr defaultRowHeight="14.4" x14ac:dyDescent="0.3"/>
  <cols>
    <col min="1" max="1" width="48" customWidth="1"/>
    <col min="2" max="2" width="16" customWidth="1"/>
    <col min="3" max="3" width="14" customWidth="1"/>
    <col min="4" max="5" width="12" customWidth="1"/>
    <col min="6" max="6" width="15" customWidth="1"/>
  </cols>
  <sheetData>
    <row r="1" spans="1:6" x14ac:dyDescent="0.3">
      <c r="A1" t="s">
        <v>609</v>
      </c>
      <c r="B1" t="s">
        <v>618</v>
      </c>
      <c r="C1" t="s">
        <v>669</v>
      </c>
      <c r="D1" t="s">
        <v>670</v>
      </c>
      <c r="E1" t="s">
        <v>619</v>
      </c>
      <c r="F1" t="s">
        <v>671</v>
      </c>
    </row>
    <row r="2" spans="1:6" x14ac:dyDescent="0.3">
      <c r="A2" t="s">
        <v>612</v>
      </c>
      <c r="B2" t="s">
        <v>613</v>
      </c>
      <c r="C2" t="s">
        <v>337</v>
      </c>
      <c r="E2">
        <v>1</v>
      </c>
      <c r="F2" t="s">
        <v>711</v>
      </c>
    </row>
    <row r="3" spans="1:6" x14ac:dyDescent="0.3">
      <c r="A3" t="s">
        <v>612</v>
      </c>
      <c r="B3" t="s">
        <v>613</v>
      </c>
      <c r="C3" t="s">
        <v>337</v>
      </c>
      <c r="E3">
        <v>2</v>
      </c>
      <c r="F3" t="s">
        <v>693</v>
      </c>
    </row>
    <row r="4" spans="1:6" x14ac:dyDescent="0.3">
      <c r="A4" t="s">
        <v>612</v>
      </c>
      <c r="B4" t="s">
        <v>613</v>
      </c>
      <c r="C4" t="s">
        <v>337</v>
      </c>
      <c r="E4">
        <v>3</v>
      </c>
      <c r="F4" t="s">
        <v>337</v>
      </c>
    </row>
    <row r="5" spans="1:6" x14ac:dyDescent="0.3">
      <c r="A5" t="s">
        <v>612</v>
      </c>
      <c r="B5" t="s">
        <v>613</v>
      </c>
      <c r="C5" t="s">
        <v>337</v>
      </c>
      <c r="E5">
        <v>4</v>
      </c>
      <c r="F5" t="s">
        <v>868</v>
      </c>
    </row>
    <row r="6" spans="1:6" x14ac:dyDescent="0.3">
      <c r="A6" t="s">
        <v>612</v>
      </c>
      <c r="B6" t="s">
        <v>613</v>
      </c>
      <c r="C6" t="s">
        <v>341</v>
      </c>
      <c r="E6">
        <v>1</v>
      </c>
      <c r="F6" t="s">
        <v>869</v>
      </c>
    </row>
    <row r="7" spans="1:6" x14ac:dyDescent="0.3">
      <c r="A7" t="s">
        <v>612</v>
      </c>
      <c r="B7" t="s">
        <v>613</v>
      </c>
      <c r="C7" t="s">
        <v>341</v>
      </c>
      <c r="E7">
        <v>2</v>
      </c>
      <c r="F7" t="s">
        <v>341</v>
      </c>
    </row>
    <row r="8" spans="1:6" x14ac:dyDescent="0.3">
      <c r="A8" t="s">
        <v>612</v>
      </c>
      <c r="B8" t="s">
        <v>613</v>
      </c>
      <c r="C8" t="s">
        <v>341</v>
      </c>
      <c r="E8">
        <v>3</v>
      </c>
      <c r="F8" t="s">
        <v>698</v>
      </c>
    </row>
    <row r="9" spans="1:6" x14ac:dyDescent="0.3">
      <c r="A9" t="s">
        <v>612</v>
      </c>
      <c r="B9" t="s">
        <v>613</v>
      </c>
      <c r="C9" t="s">
        <v>341</v>
      </c>
      <c r="E9">
        <v>4</v>
      </c>
      <c r="F9" t="s">
        <v>696</v>
      </c>
    </row>
    <row r="10" spans="1:6" x14ac:dyDescent="0.3">
      <c r="A10" t="s">
        <v>612</v>
      </c>
      <c r="B10" t="s">
        <v>613</v>
      </c>
      <c r="C10" t="s">
        <v>343</v>
      </c>
      <c r="E10">
        <v>1</v>
      </c>
      <c r="F10" t="s">
        <v>343</v>
      </c>
    </row>
    <row r="11" spans="1:6" x14ac:dyDescent="0.3">
      <c r="A11" t="s">
        <v>612</v>
      </c>
      <c r="B11" t="s">
        <v>613</v>
      </c>
      <c r="C11" t="s">
        <v>343</v>
      </c>
      <c r="E11">
        <v>2</v>
      </c>
      <c r="F11" t="s">
        <v>870</v>
      </c>
    </row>
    <row r="12" spans="1:6" x14ac:dyDescent="0.3">
      <c r="A12" t="s">
        <v>612</v>
      </c>
      <c r="B12" t="s">
        <v>613</v>
      </c>
      <c r="C12" t="s">
        <v>343</v>
      </c>
      <c r="E12">
        <v>3</v>
      </c>
      <c r="F12" t="s">
        <v>702</v>
      </c>
    </row>
    <row r="13" spans="1:6" x14ac:dyDescent="0.3">
      <c r="A13" t="s">
        <v>612</v>
      </c>
      <c r="B13" t="s">
        <v>613</v>
      </c>
      <c r="C13" t="s">
        <v>343</v>
      </c>
      <c r="E13">
        <v>4</v>
      </c>
      <c r="F13" t="s">
        <v>871</v>
      </c>
    </row>
    <row r="14" spans="1:6" x14ac:dyDescent="0.3">
      <c r="A14" t="s">
        <v>612</v>
      </c>
      <c r="B14" t="s">
        <v>613</v>
      </c>
      <c r="C14" t="s">
        <v>345</v>
      </c>
      <c r="E14">
        <v>1</v>
      </c>
      <c r="F14" t="s">
        <v>872</v>
      </c>
    </row>
    <row r="15" spans="1:6" x14ac:dyDescent="0.3">
      <c r="A15" t="s">
        <v>612</v>
      </c>
      <c r="B15" t="s">
        <v>613</v>
      </c>
      <c r="C15" t="s">
        <v>345</v>
      </c>
      <c r="E15">
        <v>2</v>
      </c>
      <c r="F15" t="s">
        <v>345</v>
      </c>
    </row>
    <row r="16" spans="1:6" x14ac:dyDescent="0.3">
      <c r="A16" t="s">
        <v>612</v>
      </c>
      <c r="B16" t="s">
        <v>613</v>
      </c>
      <c r="C16" t="s">
        <v>345</v>
      </c>
      <c r="E16">
        <v>3</v>
      </c>
      <c r="F16" t="s">
        <v>706</v>
      </c>
    </row>
    <row r="17" spans="1:6" x14ac:dyDescent="0.3">
      <c r="A17" t="s">
        <v>612</v>
      </c>
      <c r="B17" t="s">
        <v>613</v>
      </c>
      <c r="C17" t="s">
        <v>345</v>
      </c>
      <c r="E17">
        <v>4</v>
      </c>
      <c r="F17" t="s">
        <v>705</v>
      </c>
    </row>
    <row r="18" spans="1:6" x14ac:dyDescent="0.3">
      <c r="A18" t="s">
        <v>612</v>
      </c>
      <c r="B18" t="s">
        <v>613</v>
      </c>
      <c r="C18" t="s">
        <v>347</v>
      </c>
      <c r="E18">
        <v>1</v>
      </c>
      <c r="F18" t="s">
        <v>709</v>
      </c>
    </row>
    <row r="19" spans="1:6" x14ac:dyDescent="0.3">
      <c r="A19" t="s">
        <v>612</v>
      </c>
      <c r="B19" t="s">
        <v>613</v>
      </c>
      <c r="C19" t="s">
        <v>347</v>
      </c>
      <c r="E19">
        <v>2</v>
      </c>
      <c r="F19" t="s">
        <v>713</v>
      </c>
    </row>
    <row r="20" spans="1:6" x14ac:dyDescent="0.3">
      <c r="A20" t="s">
        <v>612</v>
      </c>
      <c r="B20" t="s">
        <v>613</v>
      </c>
      <c r="C20" t="s">
        <v>347</v>
      </c>
      <c r="E20">
        <v>3</v>
      </c>
      <c r="F20" t="s">
        <v>712</v>
      </c>
    </row>
    <row r="21" spans="1:6" x14ac:dyDescent="0.3">
      <c r="A21" t="s">
        <v>612</v>
      </c>
      <c r="B21" t="s">
        <v>613</v>
      </c>
      <c r="C21" t="s">
        <v>347</v>
      </c>
      <c r="E21">
        <v>4</v>
      </c>
      <c r="F21" t="s">
        <v>347</v>
      </c>
    </row>
    <row r="22" spans="1:6" x14ac:dyDescent="0.3">
      <c r="A22" t="s">
        <v>612</v>
      </c>
      <c r="B22" t="s">
        <v>613</v>
      </c>
      <c r="C22" t="s">
        <v>349</v>
      </c>
      <c r="E22">
        <v>1</v>
      </c>
      <c r="F22" t="s">
        <v>634</v>
      </c>
    </row>
    <row r="23" spans="1:6" x14ac:dyDescent="0.3">
      <c r="A23" t="s">
        <v>612</v>
      </c>
      <c r="B23" t="s">
        <v>613</v>
      </c>
      <c r="C23" t="s">
        <v>349</v>
      </c>
      <c r="E23">
        <v>2</v>
      </c>
      <c r="F23" t="s">
        <v>717</v>
      </c>
    </row>
    <row r="24" spans="1:6" x14ac:dyDescent="0.3">
      <c r="A24" t="s">
        <v>612</v>
      </c>
      <c r="B24" t="s">
        <v>613</v>
      </c>
      <c r="C24" t="s">
        <v>349</v>
      </c>
      <c r="E24">
        <v>3</v>
      </c>
      <c r="F24" t="s">
        <v>349</v>
      </c>
    </row>
    <row r="25" spans="1:6" x14ac:dyDescent="0.3">
      <c r="A25" t="s">
        <v>612</v>
      </c>
      <c r="B25" t="s">
        <v>613</v>
      </c>
      <c r="C25" t="s">
        <v>349</v>
      </c>
      <c r="E25">
        <v>4</v>
      </c>
      <c r="F25" t="s">
        <v>714</v>
      </c>
    </row>
    <row r="26" spans="1:6" x14ac:dyDescent="0.3">
      <c r="A26" t="s">
        <v>612</v>
      </c>
      <c r="B26" t="s">
        <v>613</v>
      </c>
      <c r="C26" t="s">
        <v>351</v>
      </c>
      <c r="E26">
        <v>1</v>
      </c>
      <c r="F26" t="s">
        <v>351</v>
      </c>
    </row>
    <row r="27" spans="1:6" x14ac:dyDescent="0.3">
      <c r="A27" t="s">
        <v>612</v>
      </c>
      <c r="B27" t="s">
        <v>613</v>
      </c>
      <c r="C27" t="s">
        <v>351</v>
      </c>
      <c r="E27">
        <v>2</v>
      </c>
      <c r="F27" t="s">
        <v>718</v>
      </c>
    </row>
    <row r="28" spans="1:6" x14ac:dyDescent="0.3">
      <c r="A28" t="s">
        <v>612</v>
      </c>
      <c r="B28" t="s">
        <v>613</v>
      </c>
      <c r="C28" t="s">
        <v>351</v>
      </c>
      <c r="E28">
        <v>3</v>
      </c>
      <c r="F28" t="s">
        <v>721</v>
      </c>
    </row>
    <row r="29" spans="1:6" x14ac:dyDescent="0.3">
      <c r="A29" t="s">
        <v>612</v>
      </c>
      <c r="B29" t="s">
        <v>613</v>
      </c>
      <c r="C29" t="s">
        <v>351</v>
      </c>
      <c r="E29">
        <v>4</v>
      </c>
      <c r="F29" t="s">
        <v>873</v>
      </c>
    </row>
    <row r="30" spans="1:6" x14ac:dyDescent="0.3">
      <c r="A30" t="s">
        <v>612</v>
      </c>
      <c r="B30" t="s">
        <v>613</v>
      </c>
      <c r="C30" t="s">
        <v>353</v>
      </c>
      <c r="E30">
        <v>1</v>
      </c>
      <c r="F30" t="s">
        <v>874</v>
      </c>
    </row>
    <row r="31" spans="1:6" x14ac:dyDescent="0.3">
      <c r="A31" t="s">
        <v>612</v>
      </c>
      <c r="B31" t="s">
        <v>613</v>
      </c>
      <c r="C31" t="s">
        <v>353</v>
      </c>
      <c r="E31">
        <v>2</v>
      </c>
      <c r="F31" t="s">
        <v>353</v>
      </c>
    </row>
    <row r="32" spans="1:6" x14ac:dyDescent="0.3">
      <c r="A32" t="s">
        <v>612</v>
      </c>
      <c r="B32" t="s">
        <v>613</v>
      </c>
      <c r="C32" t="s">
        <v>353</v>
      </c>
      <c r="E32">
        <v>3</v>
      </c>
      <c r="F32" t="s">
        <v>713</v>
      </c>
    </row>
    <row r="33" spans="1:6" x14ac:dyDescent="0.3">
      <c r="A33" t="s">
        <v>612</v>
      </c>
      <c r="B33" t="s">
        <v>613</v>
      </c>
      <c r="C33" t="s">
        <v>353</v>
      </c>
      <c r="E33">
        <v>4</v>
      </c>
      <c r="F33" t="s">
        <v>722</v>
      </c>
    </row>
    <row r="34" spans="1:6" x14ac:dyDescent="0.3">
      <c r="A34" t="s">
        <v>612</v>
      </c>
      <c r="B34" t="s">
        <v>613</v>
      </c>
      <c r="C34" t="s">
        <v>355</v>
      </c>
      <c r="E34">
        <v>1</v>
      </c>
      <c r="F34" t="s">
        <v>728</v>
      </c>
    </row>
    <row r="35" spans="1:6" x14ac:dyDescent="0.3">
      <c r="A35" t="s">
        <v>612</v>
      </c>
      <c r="B35" t="s">
        <v>613</v>
      </c>
      <c r="C35" t="s">
        <v>355</v>
      </c>
      <c r="E35">
        <v>2</v>
      </c>
      <c r="F35" t="s">
        <v>726</v>
      </c>
    </row>
    <row r="36" spans="1:6" x14ac:dyDescent="0.3">
      <c r="A36" t="s">
        <v>612</v>
      </c>
      <c r="B36" t="s">
        <v>613</v>
      </c>
      <c r="C36" t="s">
        <v>355</v>
      </c>
      <c r="E36">
        <v>3</v>
      </c>
      <c r="F36" t="s">
        <v>355</v>
      </c>
    </row>
    <row r="37" spans="1:6" x14ac:dyDescent="0.3">
      <c r="A37" t="s">
        <v>612</v>
      </c>
      <c r="B37" t="s">
        <v>613</v>
      </c>
      <c r="C37" t="s">
        <v>355</v>
      </c>
      <c r="E37">
        <v>4</v>
      </c>
      <c r="F37" t="s">
        <v>812</v>
      </c>
    </row>
    <row r="38" spans="1:6" x14ac:dyDescent="0.3">
      <c r="A38" t="s">
        <v>612</v>
      </c>
      <c r="B38" t="s">
        <v>613</v>
      </c>
      <c r="C38" t="s">
        <v>355</v>
      </c>
      <c r="E38">
        <v>5</v>
      </c>
      <c r="F38" t="s">
        <v>727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7"/>
  <sheetViews>
    <sheetView workbookViewId="0"/>
  </sheetViews>
  <sheetFormatPr defaultRowHeight="14.4" x14ac:dyDescent="0.3"/>
  <cols>
    <col min="1" max="1" width="48" customWidth="1"/>
    <col min="2" max="2" width="21" customWidth="1"/>
    <col min="3" max="3" width="14" customWidth="1"/>
    <col min="4" max="5" width="12" customWidth="1"/>
    <col min="6" max="6" width="15" customWidth="1"/>
  </cols>
  <sheetData>
    <row r="1" spans="1:6" x14ac:dyDescent="0.3">
      <c r="A1" t="s">
        <v>609</v>
      </c>
      <c r="B1" t="s">
        <v>618</v>
      </c>
      <c r="C1" t="s">
        <v>669</v>
      </c>
      <c r="D1" t="s">
        <v>670</v>
      </c>
      <c r="E1" t="s">
        <v>619</v>
      </c>
      <c r="F1" t="s">
        <v>671</v>
      </c>
    </row>
    <row r="2" spans="1:6" x14ac:dyDescent="0.3">
      <c r="A2" t="s">
        <v>612</v>
      </c>
      <c r="B2" t="s">
        <v>614</v>
      </c>
      <c r="C2" t="s">
        <v>337</v>
      </c>
      <c r="E2">
        <v>1</v>
      </c>
      <c r="F2" t="s">
        <v>875</v>
      </c>
    </row>
    <row r="3" spans="1:6" x14ac:dyDescent="0.3">
      <c r="A3" t="s">
        <v>612</v>
      </c>
      <c r="B3" t="s">
        <v>614</v>
      </c>
      <c r="C3" t="s">
        <v>337</v>
      </c>
      <c r="E3">
        <v>2</v>
      </c>
      <c r="F3" t="s">
        <v>876</v>
      </c>
    </row>
    <row r="4" spans="1:6" x14ac:dyDescent="0.3">
      <c r="A4" t="s">
        <v>612</v>
      </c>
      <c r="B4" t="s">
        <v>614</v>
      </c>
      <c r="C4" t="s">
        <v>337</v>
      </c>
      <c r="E4">
        <v>3</v>
      </c>
      <c r="F4" t="s">
        <v>877</v>
      </c>
    </row>
    <row r="5" spans="1:6" x14ac:dyDescent="0.3">
      <c r="A5" t="s">
        <v>612</v>
      </c>
      <c r="B5" t="s">
        <v>614</v>
      </c>
      <c r="C5" t="s">
        <v>337</v>
      </c>
      <c r="E5">
        <v>4</v>
      </c>
      <c r="F5" t="s">
        <v>878</v>
      </c>
    </row>
    <row r="6" spans="1:6" x14ac:dyDescent="0.3">
      <c r="A6" t="s">
        <v>612</v>
      </c>
      <c r="B6" t="s">
        <v>614</v>
      </c>
      <c r="C6" t="s">
        <v>341</v>
      </c>
      <c r="E6">
        <v>1</v>
      </c>
      <c r="F6" t="s">
        <v>879</v>
      </c>
    </row>
    <row r="7" spans="1:6" x14ac:dyDescent="0.3">
      <c r="A7" t="s">
        <v>612</v>
      </c>
      <c r="B7" t="s">
        <v>614</v>
      </c>
      <c r="C7" t="s">
        <v>341</v>
      </c>
      <c r="E7">
        <v>2</v>
      </c>
      <c r="F7" t="s">
        <v>880</v>
      </c>
    </row>
    <row r="8" spans="1:6" x14ac:dyDescent="0.3">
      <c r="A8" t="s">
        <v>612</v>
      </c>
      <c r="B8" t="s">
        <v>614</v>
      </c>
      <c r="C8" t="s">
        <v>341</v>
      </c>
      <c r="E8">
        <v>3</v>
      </c>
      <c r="F8" t="s">
        <v>881</v>
      </c>
    </row>
    <row r="9" spans="1:6" x14ac:dyDescent="0.3">
      <c r="A9" t="s">
        <v>612</v>
      </c>
      <c r="B9" t="s">
        <v>614</v>
      </c>
      <c r="C9" t="s">
        <v>341</v>
      </c>
      <c r="E9">
        <v>4</v>
      </c>
      <c r="F9" t="s">
        <v>882</v>
      </c>
    </row>
    <row r="10" spans="1:6" x14ac:dyDescent="0.3">
      <c r="A10" t="s">
        <v>612</v>
      </c>
      <c r="B10" t="s">
        <v>614</v>
      </c>
      <c r="C10" t="s">
        <v>343</v>
      </c>
      <c r="E10">
        <v>1</v>
      </c>
      <c r="F10" t="s">
        <v>883</v>
      </c>
    </row>
    <row r="11" spans="1:6" x14ac:dyDescent="0.3">
      <c r="A11" t="s">
        <v>612</v>
      </c>
      <c r="B11" t="s">
        <v>614</v>
      </c>
      <c r="C11" t="s">
        <v>343</v>
      </c>
      <c r="E11">
        <v>2</v>
      </c>
      <c r="F11" t="s">
        <v>884</v>
      </c>
    </row>
    <row r="12" spans="1:6" x14ac:dyDescent="0.3">
      <c r="A12" t="s">
        <v>612</v>
      </c>
      <c r="B12" t="s">
        <v>614</v>
      </c>
      <c r="C12" t="s">
        <v>343</v>
      </c>
      <c r="E12">
        <v>3</v>
      </c>
      <c r="F12" t="s">
        <v>885</v>
      </c>
    </row>
    <row r="13" spans="1:6" x14ac:dyDescent="0.3">
      <c r="A13" t="s">
        <v>612</v>
      </c>
      <c r="B13" t="s">
        <v>614</v>
      </c>
      <c r="C13" t="s">
        <v>343</v>
      </c>
      <c r="E13">
        <v>4</v>
      </c>
      <c r="F13" t="s">
        <v>886</v>
      </c>
    </row>
    <row r="14" spans="1:6" x14ac:dyDescent="0.3">
      <c r="A14" t="s">
        <v>612</v>
      </c>
      <c r="B14" t="s">
        <v>614</v>
      </c>
      <c r="C14" t="s">
        <v>345</v>
      </c>
      <c r="E14">
        <v>1</v>
      </c>
      <c r="F14" t="s">
        <v>887</v>
      </c>
    </row>
    <row r="15" spans="1:6" x14ac:dyDescent="0.3">
      <c r="A15" t="s">
        <v>612</v>
      </c>
      <c r="B15" t="s">
        <v>614</v>
      </c>
      <c r="C15" t="s">
        <v>345</v>
      </c>
      <c r="E15">
        <v>2</v>
      </c>
      <c r="F15" t="s">
        <v>888</v>
      </c>
    </row>
    <row r="16" spans="1:6" x14ac:dyDescent="0.3">
      <c r="A16" t="s">
        <v>612</v>
      </c>
      <c r="B16" t="s">
        <v>614</v>
      </c>
      <c r="C16" t="s">
        <v>345</v>
      </c>
      <c r="E16">
        <v>3</v>
      </c>
      <c r="F16" t="s">
        <v>889</v>
      </c>
    </row>
    <row r="17" spans="1:6" x14ac:dyDescent="0.3">
      <c r="A17" t="s">
        <v>612</v>
      </c>
      <c r="B17" t="s">
        <v>614</v>
      </c>
      <c r="C17" t="s">
        <v>345</v>
      </c>
      <c r="E17">
        <v>4</v>
      </c>
      <c r="F17" t="s">
        <v>890</v>
      </c>
    </row>
    <row r="18" spans="1:6" x14ac:dyDescent="0.3">
      <c r="A18" t="s">
        <v>612</v>
      </c>
      <c r="B18" t="s">
        <v>614</v>
      </c>
      <c r="C18" t="s">
        <v>347</v>
      </c>
      <c r="E18">
        <v>1</v>
      </c>
      <c r="F18" t="s">
        <v>891</v>
      </c>
    </row>
    <row r="19" spans="1:6" x14ac:dyDescent="0.3">
      <c r="A19" t="s">
        <v>612</v>
      </c>
      <c r="B19" t="s">
        <v>614</v>
      </c>
      <c r="C19" t="s">
        <v>347</v>
      </c>
      <c r="E19">
        <v>2</v>
      </c>
      <c r="F19" t="s">
        <v>892</v>
      </c>
    </row>
    <row r="20" spans="1:6" x14ac:dyDescent="0.3">
      <c r="A20" t="s">
        <v>612</v>
      </c>
      <c r="B20" t="s">
        <v>614</v>
      </c>
      <c r="C20" t="s">
        <v>347</v>
      </c>
      <c r="E20">
        <v>3</v>
      </c>
      <c r="F20" t="s">
        <v>893</v>
      </c>
    </row>
    <row r="21" spans="1:6" x14ac:dyDescent="0.3">
      <c r="A21" t="s">
        <v>612</v>
      </c>
      <c r="B21" t="s">
        <v>614</v>
      </c>
      <c r="C21" t="s">
        <v>347</v>
      </c>
      <c r="E21">
        <v>4</v>
      </c>
      <c r="F21" t="s">
        <v>894</v>
      </c>
    </row>
    <row r="22" spans="1:6" x14ac:dyDescent="0.3">
      <c r="A22" t="s">
        <v>612</v>
      </c>
      <c r="B22" t="s">
        <v>614</v>
      </c>
      <c r="C22" t="s">
        <v>349</v>
      </c>
      <c r="E22">
        <v>1</v>
      </c>
      <c r="F22" t="s">
        <v>895</v>
      </c>
    </row>
    <row r="23" spans="1:6" x14ac:dyDescent="0.3">
      <c r="A23" t="s">
        <v>612</v>
      </c>
      <c r="B23" t="s">
        <v>614</v>
      </c>
      <c r="C23" t="s">
        <v>349</v>
      </c>
      <c r="E23">
        <v>2</v>
      </c>
      <c r="F23" t="s">
        <v>896</v>
      </c>
    </row>
    <row r="24" spans="1:6" x14ac:dyDescent="0.3">
      <c r="A24" t="s">
        <v>612</v>
      </c>
      <c r="B24" t="s">
        <v>614</v>
      </c>
      <c r="C24" t="s">
        <v>349</v>
      </c>
      <c r="E24">
        <v>3</v>
      </c>
      <c r="F24" t="s">
        <v>897</v>
      </c>
    </row>
    <row r="25" spans="1:6" x14ac:dyDescent="0.3">
      <c r="A25" t="s">
        <v>612</v>
      </c>
      <c r="B25" t="s">
        <v>614</v>
      </c>
      <c r="C25" t="s">
        <v>349</v>
      </c>
      <c r="E25">
        <v>4</v>
      </c>
      <c r="F25" t="s">
        <v>898</v>
      </c>
    </row>
    <row r="26" spans="1:6" x14ac:dyDescent="0.3">
      <c r="A26" t="s">
        <v>612</v>
      </c>
      <c r="B26" t="s">
        <v>614</v>
      </c>
      <c r="C26" t="s">
        <v>351</v>
      </c>
      <c r="E26">
        <v>1</v>
      </c>
      <c r="F26" t="s">
        <v>899</v>
      </c>
    </row>
    <row r="27" spans="1:6" x14ac:dyDescent="0.3">
      <c r="A27" t="s">
        <v>612</v>
      </c>
      <c r="B27" t="s">
        <v>614</v>
      </c>
      <c r="C27" t="s">
        <v>351</v>
      </c>
      <c r="E27">
        <v>2</v>
      </c>
      <c r="F27" t="s">
        <v>900</v>
      </c>
    </row>
    <row r="28" spans="1:6" x14ac:dyDescent="0.3">
      <c r="A28" t="s">
        <v>612</v>
      </c>
      <c r="B28" t="s">
        <v>614</v>
      </c>
      <c r="C28" t="s">
        <v>351</v>
      </c>
      <c r="E28">
        <v>3</v>
      </c>
      <c r="F28" t="s">
        <v>901</v>
      </c>
    </row>
    <row r="29" spans="1:6" x14ac:dyDescent="0.3">
      <c r="A29" t="s">
        <v>612</v>
      </c>
      <c r="B29" t="s">
        <v>614</v>
      </c>
      <c r="C29" t="s">
        <v>351</v>
      </c>
      <c r="E29">
        <v>4</v>
      </c>
      <c r="F29" t="s">
        <v>902</v>
      </c>
    </row>
    <row r="30" spans="1:6" x14ac:dyDescent="0.3">
      <c r="A30" t="s">
        <v>612</v>
      </c>
      <c r="B30" t="s">
        <v>614</v>
      </c>
      <c r="C30" t="s">
        <v>353</v>
      </c>
      <c r="E30">
        <v>1</v>
      </c>
      <c r="F30" t="s">
        <v>903</v>
      </c>
    </row>
    <row r="31" spans="1:6" x14ac:dyDescent="0.3">
      <c r="A31" t="s">
        <v>612</v>
      </c>
      <c r="B31" t="s">
        <v>614</v>
      </c>
      <c r="C31" t="s">
        <v>353</v>
      </c>
      <c r="E31">
        <v>2</v>
      </c>
      <c r="F31" t="s">
        <v>904</v>
      </c>
    </row>
    <row r="32" spans="1:6" x14ac:dyDescent="0.3">
      <c r="A32" t="s">
        <v>612</v>
      </c>
      <c r="B32" t="s">
        <v>614</v>
      </c>
      <c r="C32" t="s">
        <v>353</v>
      </c>
      <c r="E32">
        <v>3</v>
      </c>
      <c r="F32" t="s">
        <v>905</v>
      </c>
    </row>
    <row r="33" spans="1:6" x14ac:dyDescent="0.3">
      <c r="A33" t="s">
        <v>612</v>
      </c>
      <c r="B33" t="s">
        <v>614</v>
      </c>
      <c r="C33" t="s">
        <v>353</v>
      </c>
      <c r="E33">
        <v>4</v>
      </c>
      <c r="F33" t="s">
        <v>906</v>
      </c>
    </row>
    <row r="34" spans="1:6" x14ac:dyDescent="0.3">
      <c r="A34" t="s">
        <v>612</v>
      </c>
      <c r="B34" t="s">
        <v>614</v>
      </c>
      <c r="C34" t="s">
        <v>355</v>
      </c>
      <c r="E34">
        <v>1</v>
      </c>
      <c r="F34" t="s">
        <v>907</v>
      </c>
    </row>
    <row r="35" spans="1:6" x14ac:dyDescent="0.3">
      <c r="A35" t="s">
        <v>612</v>
      </c>
      <c r="B35" t="s">
        <v>614</v>
      </c>
      <c r="C35" t="s">
        <v>355</v>
      </c>
      <c r="E35">
        <v>2</v>
      </c>
      <c r="F35" t="s">
        <v>908</v>
      </c>
    </row>
    <row r="36" spans="1:6" x14ac:dyDescent="0.3">
      <c r="A36" t="s">
        <v>612</v>
      </c>
      <c r="B36" t="s">
        <v>614</v>
      </c>
      <c r="C36" t="s">
        <v>355</v>
      </c>
      <c r="E36">
        <v>3</v>
      </c>
      <c r="F36" t="s">
        <v>909</v>
      </c>
    </row>
    <row r="37" spans="1:6" x14ac:dyDescent="0.3">
      <c r="A37" t="s">
        <v>612</v>
      </c>
      <c r="B37" t="s">
        <v>614</v>
      </c>
      <c r="C37" t="s">
        <v>355</v>
      </c>
      <c r="E37">
        <v>4</v>
      </c>
      <c r="F37" t="s">
        <v>910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15"/>
  <sheetViews>
    <sheetView workbookViewId="0"/>
  </sheetViews>
  <sheetFormatPr defaultRowHeight="14.4" x14ac:dyDescent="0.3"/>
  <cols>
    <col min="1" max="1" width="48" customWidth="1"/>
    <col min="2" max="2" width="30" customWidth="1"/>
    <col min="3" max="3" width="26" customWidth="1"/>
    <col min="4" max="5" width="12" customWidth="1"/>
    <col min="6" max="6" width="35" customWidth="1"/>
  </cols>
  <sheetData>
    <row r="1" spans="1:6" x14ac:dyDescent="0.3">
      <c r="A1" t="s">
        <v>609</v>
      </c>
      <c r="B1" t="s">
        <v>618</v>
      </c>
      <c r="C1" t="s">
        <v>669</v>
      </c>
      <c r="D1" t="s">
        <v>670</v>
      </c>
      <c r="E1" t="s">
        <v>619</v>
      </c>
      <c r="F1" t="s">
        <v>671</v>
      </c>
    </row>
    <row r="2" spans="1:6" x14ac:dyDescent="0.3">
      <c r="A2" t="s">
        <v>612</v>
      </c>
      <c r="B2" t="s">
        <v>615</v>
      </c>
      <c r="C2" t="s">
        <v>911</v>
      </c>
      <c r="D2" t="s">
        <v>709</v>
      </c>
      <c r="F2" t="s">
        <v>912</v>
      </c>
    </row>
    <row r="3" spans="1:6" x14ac:dyDescent="0.3">
      <c r="A3" t="s">
        <v>612</v>
      </c>
      <c r="B3" t="s">
        <v>615</v>
      </c>
      <c r="C3" t="s">
        <v>911</v>
      </c>
      <c r="D3" t="s">
        <v>913</v>
      </c>
      <c r="E3">
        <v>1</v>
      </c>
      <c r="F3" t="s">
        <v>914</v>
      </c>
    </row>
    <row r="4" spans="1:6" x14ac:dyDescent="0.3">
      <c r="A4" t="s">
        <v>612</v>
      </c>
      <c r="B4" t="s">
        <v>615</v>
      </c>
      <c r="C4" t="s">
        <v>911</v>
      </c>
      <c r="D4" t="s">
        <v>913</v>
      </c>
      <c r="E4">
        <v>2</v>
      </c>
      <c r="F4" t="s">
        <v>915</v>
      </c>
    </row>
    <row r="5" spans="1:6" x14ac:dyDescent="0.3">
      <c r="A5" t="s">
        <v>612</v>
      </c>
      <c r="B5" t="s">
        <v>615</v>
      </c>
      <c r="C5" t="s">
        <v>911</v>
      </c>
      <c r="D5" t="s">
        <v>913</v>
      </c>
      <c r="E5">
        <v>3</v>
      </c>
      <c r="F5" t="s">
        <v>916</v>
      </c>
    </row>
    <row r="6" spans="1:6" x14ac:dyDescent="0.3">
      <c r="A6" t="s">
        <v>612</v>
      </c>
      <c r="B6" t="s">
        <v>615</v>
      </c>
      <c r="C6" t="s">
        <v>911</v>
      </c>
      <c r="D6" t="s">
        <v>913</v>
      </c>
      <c r="E6">
        <v>4</v>
      </c>
      <c r="F6" t="s">
        <v>917</v>
      </c>
    </row>
    <row r="7" spans="1:6" x14ac:dyDescent="0.3">
      <c r="A7" t="s">
        <v>612</v>
      </c>
      <c r="B7" t="s">
        <v>615</v>
      </c>
      <c r="C7" t="s">
        <v>911</v>
      </c>
      <c r="D7" t="s">
        <v>913</v>
      </c>
      <c r="E7">
        <v>5</v>
      </c>
      <c r="F7" t="s">
        <v>918</v>
      </c>
    </row>
    <row r="8" spans="1:6" x14ac:dyDescent="0.3">
      <c r="A8" t="s">
        <v>612</v>
      </c>
      <c r="B8" t="s">
        <v>615</v>
      </c>
      <c r="C8" t="s">
        <v>911</v>
      </c>
      <c r="D8" t="s">
        <v>913</v>
      </c>
      <c r="E8">
        <v>6</v>
      </c>
      <c r="F8" t="s">
        <v>919</v>
      </c>
    </row>
    <row r="9" spans="1:6" x14ac:dyDescent="0.3">
      <c r="A9" t="s">
        <v>612</v>
      </c>
      <c r="B9" t="s">
        <v>615</v>
      </c>
      <c r="C9" t="s">
        <v>911</v>
      </c>
      <c r="D9" t="s">
        <v>913</v>
      </c>
      <c r="E9">
        <v>7</v>
      </c>
      <c r="F9" t="s">
        <v>920</v>
      </c>
    </row>
    <row r="10" spans="1:6" x14ac:dyDescent="0.3">
      <c r="A10" t="s">
        <v>612</v>
      </c>
      <c r="B10" t="s">
        <v>615</v>
      </c>
      <c r="C10" t="s">
        <v>911</v>
      </c>
      <c r="D10" t="s">
        <v>913</v>
      </c>
      <c r="E10">
        <v>8</v>
      </c>
      <c r="F10" t="s">
        <v>921</v>
      </c>
    </row>
    <row r="11" spans="1:6" x14ac:dyDescent="0.3">
      <c r="A11" t="s">
        <v>612</v>
      </c>
      <c r="B11" t="s">
        <v>615</v>
      </c>
      <c r="C11" t="s">
        <v>911</v>
      </c>
      <c r="D11" t="s">
        <v>922</v>
      </c>
      <c r="E11">
        <v>1</v>
      </c>
      <c r="F11" t="s">
        <v>923</v>
      </c>
    </row>
    <row r="12" spans="1:6" x14ac:dyDescent="0.3">
      <c r="A12" t="s">
        <v>612</v>
      </c>
      <c r="B12" t="s">
        <v>615</v>
      </c>
      <c r="C12" t="s">
        <v>911</v>
      </c>
      <c r="D12" t="s">
        <v>922</v>
      </c>
      <c r="E12">
        <v>2</v>
      </c>
      <c r="F12" t="s">
        <v>924</v>
      </c>
    </row>
    <row r="13" spans="1:6" x14ac:dyDescent="0.3">
      <c r="A13" t="s">
        <v>612</v>
      </c>
      <c r="B13" t="s">
        <v>615</v>
      </c>
      <c r="C13" t="s">
        <v>911</v>
      </c>
      <c r="D13" t="s">
        <v>922</v>
      </c>
      <c r="E13">
        <v>3</v>
      </c>
      <c r="F13" t="s">
        <v>925</v>
      </c>
    </row>
    <row r="14" spans="1:6" x14ac:dyDescent="0.3">
      <c r="A14" t="s">
        <v>612</v>
      </c>
      <c r="B14" t="s">
        <v>615</v>
      </c>
      <c r="C14" t="s">
        <v>911</v>
      </c>
      <c r="D14" t="s">
        <v>922</v>
      </c>
      <c r="E14">
        <v>4</v>
      </c>
      <c r="F14" t="s">
        <v>926</v>
      </c>
    </row>
    <row r="15" spans="1:6" x14ac:dyDescent="0.3">
      <c r="A15" t="s">
        <v>612</v>
      </c>
      <c r="B15" t="s">
        <v>615</v>
      </c>
      <c r="C15" t="s">
        <v>911</v>
      </c>
      <c r="D15" t="s">
        <v>922</v>
      </c>
      <c r="E15">
        <v>5</v>
      </c>
      <c r="F15" t="s">
        <v>927</v>
      </c>
    </row>
    <row r="16" spans="1:6" x14ac:dyDescent="0.3">
      <c r="A16" t="s">
        <v>612</v>
      </c>
      <c r="B16" t="s">
        <v>615</v>
      </c>
      <c r="C16" t="s">
        <v>928</v>
      </c>
      <c r="D16" t="s">
        <v>709</v>
      </c>
      <c r="F16" t="s">
        <v>912</v>
      </c>
    </row>
    <row r="17" spans="1:6" x14ac:dyDescent="0.3">
      <c r="A17" t="s">
        <v>612</v>
      </c>
      <c r="B17" t="s">
        <v>615</v>
      </c>
      <c r="C17" t="s">
        <v>928</v>
      </c>
      <c r="D17" t="s">
        <v>913</v>
      </c>
      <c r="E17">
        <v>1</v>
      </c>
      <c r="F17" t="s">
        <v>929</v>
      </c>
    </row>
    <row r="18" spans="1:6" x14ac:dyDescent="0.3">
      <c r="A18" t="s">
        <v>612</v>
      </c>
      <c r="B18" t="s">
        <v>615</v>
      </c>
      <c r="C18" t="s">
        <v>928</v>
      </c>
      <c r="D18" t="s">
        <v>913</v>
      </c>
      <c r="E18">
        <v>2</v>
      </c>
      <c r="F18" t="s">
        <v>930</v>
      </c>
    </row>
    <row r="19" spans="1:6" x14ac:dyDescent="0.3">
      <c r="A19" t="s">
        <v>612</v>
      </c>
      <c r="B19" t="s">
        <v>615</v>
      </c>
      <c r="C19" t="s">
        <v>928</v>
      </c>
      <c r="D19" t="s">
        <v>913</v>
      </c>
      <c r="E19">
        <v>3</v>
      </c>
      <c r="F19" t="s">
        <v>931</v>
      </c>
    </row>
    <row r="20" spans="1:6" x14ac:dyDescent="0.3">
      <c r="A20" t="s">
        <v>612</v>
      </c>
      <c r="B20" t="s">
        <v>615</v>
      </c>
      <c r="C20" t="s">
        <v>928</v>
      </c>
      <c r="D20" t="s">
        <v>913</v>
      </c>
      <c r="E20">
        <v>4</v>
      </c>
      <c r="F20" t="s">
        <v>932</v>
      </c>
    </row>
    <row r="21" spans="1:6" x14ac:dyDescent="0.3">
      <c r="A21" t="s">
        <v>612</v>
      </c>
      <c r="B21" t="s">
        <v>615</v>
      </c>
      <c r="C21" t="s">
        <v>928</v>
      </c>
      <c r="D21" t="s">
        <v>913</v>
      </c>
      <c r="E21">
        <v>5</v>
      </c>
      <c r="F21" t="s">
        <v>933</v>
      </c>
    </row>
    <row r="22" spans="1:6" x14ac:dyDescent="0.3">
      <c r="A22" t="s">
        <v>612</v>
      </c>
      <c r="B22" t="s">
        <v>615</v>
      </c>
      <c r="C22" t="s">
        <v>928</v>
      </c>
      <c r="D22" t="s">
        <v>913</v>
      </c>
      <c r="E22">
        <v>6</v>
      </c>
      <c r="F22" t="s">
        <v>934</v>
      </c>
    </row>
    <row r="23" spans="1:6" x14ac:dyDescent="0.3">
      <c r="A23" t="s">
        <v>612</v>
      </c>
      <c r="B23" t="s">
        <v>615</v>
      </c>
      <c r="C23" t="s">
        <v>928</v>
      </c>
      <c r="D23" t="s">
        <v>913</v>
      </c>
      <c r="E23">
        <v>7</v>
      </c>
      <c r="F23" t="s">
        <v>935</v>
      </c>
    </row>
    <row r="24" spans="1:6" x14ac:dyDescent="0.3">
      <c r="A24" t="s">
        <v>612</v>
      </c>
      <c r="B24" t="s">
        <v>615</v>
      </c>
      <c r="C24" t="s">
        <v>928</v>
      </c>
      <c r="D24" t="s">
        <v>922</v>
      </c>
      <c r="E24">
        <v>1</v>
      </c>
      <c r="F24" t="s">
        <v>936</v>
      </c>
    </row>
    <row r="25" spans="1:6" x14ac:dyDescent="0.3">
      <c r="A25" t="s">
        <v>612</v>
      </c>
      <c r="B25" t="s">
        <v>615</v>
      </c>
      <c r="C25" t="s">
        <v>928</v>
      </c>
      <c r="D25" t="s">
        <v>922</v>
      </c>
      <c r="E25">
        <v>2</v>
      </c>
      <c r="F25" t="s">
        <v>937</v>
      </c>
    </row>
    <row r="26" spans="1:6" x14ac:dyDescent="0.3">
      <c r="A26" t="s">
        <v>612</v>
      </c>
      <c r="B26" t="s">
        <v>615</v>
      </c>
      <c r="C26" t="s">
        <v>928</v>
      </c>
      <c r="D26" t="s">
        <v>922</v>
      </c>
      <c r="E26">
        <v>3</v>
      </c>
      <c r="F26" t="s">
        <v>938</v>
      </c>
    </row>
    <row r="27" spans="1:6" x14ac:dyDescent="0.3">
      <c r="A27" t="s">
        <v>612</v>
      </c>
      <c r="B27" t="s">
        <v>615</v>
      </c>
      <c r="C27" t="s">
        <v>928</v>
      </c>
      <c r="D27" t="s">
        <v>922</v>
      </c>
      <c r="E27">
        <v>4</v>
      </c>
      <c r="F27" t="s">
        <v>939</v>
      </c>
    </row>
    <row r="28" spans="1:6" x14ac:dyDescent="0.3">
      <c r="A28" t="s">
        <v>612</v>
      </c>
      <c r="B28" t="s">
        <v>615</v>
      </c>
      <c r="C28" t="s">
        <v>928</v>
      </c>
      <c r="D28" t="s">
        <v>922</v>
      </c>
      <c r="E28">
        <v>5</v>
      </c>
      <c r="F28" t="s">
        <v>940</v>
      </c>
    </row>
    <row r="29" spans="1:6" x14ac:dyDescent="0.3">
      <c r="A29" t="s">
        <v>612</v>
      </c>
      <c r="B29" t="s">
        <v>615</v>
      </c>
      <c r="C29" t="s">
        <v>928</v>
      </c>
      <c r="D29" t="s">
        <v>922</v>
      </c>
      <c r="E29">
        <v>6</v>
      </c>
      <c r="F29" t="s">
        <v>941</v>
      </c>
    </row>
    <row r="30" spans="1:6" x14ac:dyDescent="0.3">
      <c r="A30" t="s">
        <v>612</v>
      </c>
      <c r="B30" t="s">
        <v>615</v>
      </c>
      <c r="C30" t="s">
        <v>928</v>
      </c>
      <c r="D30" t="s">
        <v>922</v>
      </c>
      <c r="E30">
        <v>7</v>
      </c>
      <c r="F30" t="s">
        <v>942</v>
      </c>
    </row>
    <row r="31" spans="1:6" x14ac:dyDescent="0.3">
      <c r="A31" t="s">
        <v>612</v>
      </c>
      <c r="B31" t="s">
        <v>615</v>
      </c>
      <c r="C31" t="s">
        <v>943</v>
      </c>
      <c r="D31" t="s">
        <v>709</v>
      </c>
      <c r="F31" t="s">
        <v>912</v>
      </c>
    </row>
    <row r="32" spans="1:6" x14ac:dyDescent="0.3">
      <c r="A32" t="s">
        <v>612</v>
      </c>
      <c r="B32" t="s">
        <v>615</v>
      </c>
      <c r="C32" t="s">
        <v>943</v>
      </c>
      <c r="D32" t="s">
        <v>913</v>
      </c>
      <c r="E32">
        <v>1</v>
      </c>
      <c r="F32" t="s">
        <v>944</v>
      </c>
    </row>
    <row r="33" spans="1:6" x14ac:dyDescent="0.3">
      <c r="A33" t="s">
        <v>612</v>
      </c>
      <c r="B33" t="s">
        <v>615</v>
      </c>
      <c r="C33" t="s">
        <v>943</v>
      </c>
      <c r="D33" t="s">
        <v>913</v>
      </c>
      <c r="E33">
        <v>2</v>
      </c>
      <c r="F33" t="s">
        <v>945</v>
      </c>
    </row>
    <row r="34" spans="1:6" x14ac:dyDescent="0.3">
      <c r="A34" t="s">
        <v>612</v>
      </c>
      <c r="B34" t="s">
        <v>615</v>
      </c>
      <c r="C34" t="s">
        <v>943</v>
      </c>
      <c r="D34" t="s">
        <v>913</v>
      </c>
      <c r="E34">
        <v>3</v>
      </c>
      <c r="F34" t="s">
        <v>946</v>
      </c>
    </row>
    <row r="35" spans="1:6" x14ac:dyDescent="0.3">
      <c r="A35" t="s">
        <v>612</v>
      </c>
      <c r="B35" t="s">
        <v>615</v>
      </c>
      <c r="C35" t="s">
        <v>943</v>
      </c>
      <c r="D35" t="s">
        <v>913</v>
      </c>
      <c r="E35">
        <v>4</v>
      </c>
      <c r="F35" t="s">
        <v>947</v>
      </c>
    </row>
    <row r="36" spans="1:6" x14ac:dyDescent="0.3">
      <c r="A36" t="s">
        <v>612</v>
      </c>
      <c r="B36" t="s">
        <v>615</v>
      </c>
      <c r="C36" t="s">
        <v>943</v>
      </c>
      <c r="D36" t="s">
        <v>913</v>
      </c>
      <c r="E36">
        <v>5</v>
      </c>
      <c r="F36" t="s">
        <v>948</v>
      </c>
    </row>
    <row r="37" spans="1:6" x14ac:dyDescent="0.3">
      <c r="A37" t="s">
        <v>612</v>
      </c>
      <c r="B37" t="s">
        <v>615</v>
      </c>
      <c r="C37" t="s">
        <v>943</v>
      </c>
      <c r="D37" t="s">
        <v>913</v>
      </c>
      <c r="E37">
        <v>6</v>
      </c>
      <c r="F37" t="s">
        <v>949</v>
      </c>
    </row>
    <row r="38" spans="1:6" x14ac:dyDescent="0.3">
      <c r="A38" t="s">
        <v>612</v>
      </c>
      <c r="B38" t="s">
        <v>615</v>
      </c>
      <c r="C38" t="s">
        <v>943</v>
      </c>
      <c r="D38" t="s">
        <v>922</v>
      </c>
      <c r="E38">
        <v>1</v>
      </c>
      <c r="F38" t="s">
        <v>950</v>
      </c>
    </row>
    <row r="39" spans="1:6" x14ac:dyDescent="0.3">
      <c r="A39" t="s">
        <v>612</v>
      </c>
      <c r="B39" t="s">
        <v>615</v>
      </c>
      <c r="C39" t="s">
        <v>943</v>
      </c>
      <c r="D39" t="s">
        <v>922</v>
      </c>
      <c r="E39">
        <v>2</v>
      </c>
      <c r="F39" t="s">
        <v>951</v>
      </c>
    </row>
    <row r="40" spans="1:6" x14ac:dyDescent="0.3">
      <c r="A40" t="s">
        <v>612</v>
      </c>
      <c r="B40" t="s">
        <v>615</v>
      </c>
      <c r="C40" t="s">
        <v>943</v>
      </c>
      <c r="D40" t="s">
        <v>922</v>
      </c>
      <c r="E40">
        <v>3</v>
      </c>
      <c r="F40" t="s">
        <v>952</v>
      </c>
    </row>
    <row r="41" spans="1:6" x14ac:dyDescent="0.3">
      <c r="A41" t="s">
        <v>612</v>
      </c>
      <c r="B41" t="s">
        <v>615</v>
      </c>
      <c r="C41" t="s">
        <v>943</v>
      </c>
      <c r="D41" t="s">
        <v>922</v>
      </c>
      <c r="E41">
        <v>4</v>
      </c>
      <c r="F41" t="s">
        <v>953</v>
      </c>
    </row>
    <row r="42" spans="1:6" x14ac:dyDescent="0.3">
      <c r="A42" t="s">
        <v>612</v>
      </c>
      <c r="B42" t="s">
        <v>615</v>
      </c>
      <c r="C42" t="s">
        <v>954</v>
      </c>
      <c r="D42" t="s">
        <v>709</v>
      </c>
      <c r="F42" t="s">
        <v>912</v>
      </c>
    </row>
    <row r="43" spans="1:6" x14ac:dyDescent="0.3">
      <c r="A43" t="s">
        <v>612</v>
      </c>
      <c r="B43" t="s">
        <v>615</v>
      </c>
      <c r="C43" t="s">
        <v>954</v>
      </c>
      <c r="D43" t="s">
        <v>913</v>
      </c>
      <c r="E43">
        <v>1</v>
      </c>
      <c r="F43" t="s">
        <v>955</v>
      </c>
    </row>
    <row r="44" spans="1:6" x14ac:dyDescent="0.3">
      <c r="A44" t="s">
        <v>612</v>
      </c>
      <c r="B44" t="s">
        <v>615</v>
      </c>
      <c r="C44" t="s">
        <v>954</v>
      </c>
      <c r="D44" t="s">
        <v>913</v>
      </c>
      <c r="E44">
        <v>2</v>
      </c>
      <c r="F44" t="s">
        <v>956</v>
      </c>
    </row>
    <row r="45" spans="1:6" x14ac:dyDescent="0.3">
      <c r="A45" t="s">
        <v>612</v>
      </c>
      <c r="B45" t="s">
        <v>615</v>
      </c>
      <c r="C45" t="s">
        <v>954</v>
      </c>
      <c r="D45" t="s">
        <v>913</v>
      </c>
      <c r="E45">
        <v>3</v>
      </c>
      <c r="F45" t="s">
        <v>957</v>
      </c>
    </row>
    <row r="46" spans="1:6" x14ac:dyDescent="0.3">
      <c r="A46" t="s">
        <v>612</v>
      </c>
      <c r="B46" t="s">
        <v>615</v>
      </c>
      <c r="C46" t="s">
        <v>954</v>
      </c>
      <c r="D46" t="s">
        <v>913</v>
      </c>
      <c r="E46">
        <v>4</v>
      </c>
      <c r="F46" t="s">
        <v>958</v>
      </c>
    </row>
    <row r="47" spans="1:6" x14ac:dyDescent="0.3">
      <c r="A47" t="s">
        <v>612</v>
      </c>
      <c r="B47" t="s">
        <v>615</v>
      </c>
      <c r="C47" t="s">
        <v>954</v>
      </c>
      <c r="D47" t="s">
        <v>913</v>
      </c>
      <c r="E47">
        <v>5</v>
      </c>
      <c r="F47" t="s">
        <v>959</v>
      </c>
    </row>
    <row r="48" spans="1:6" x14ac:dyDescent="0.3">
      <c r="A48" t="s">
        <v>612</v>
      </c>
      <c r="B48" t="s">
        <v>615</v>
      </c>
      <c r="C48" t="s">
        <v>954</v>
      </c>
      <c r="D48" t="s">
        <v>913</v>
      </c>
      <c r="E48">
        <v>6</v>
      </c>
      <c r="F48" t="s">
        <v>960</v>
      </c>
    </row>
    <row r="49" spans="1:6" x14ac:dyDescent="0.3">
      <c r="A49" t="s">
        <v>612</v>
      </c>
      <c r="B49" t="s">
        <v>615</v>
      </c>
      <c r="C49" t="s">
        <v>954</v>
      </c>
      <c r="D49" t="s">
        <v>913</v>
      </c>
      <c r="E49">
        <v>7</v>
      </c>
      <c r="F49" t="s">
        <v>961</v>
      </c>
    </row>
    <row r="50" spans="1:6" x14ac:dyDescent="0.3">
      <c r="A50" t="s">
        <v>612</v>
      </c>
      <c r="B50" t="s">
        <v>615</v>
      </c>
      <c r="C50" t="s">
        <v>954</v>
      </c>
      <c r="D50" t="s">
        <v>922</v>
      </c>
      <c r="E50">
        <v>1</v>
      </c>
      <c r="F50" t="s">
        <v>962</v>
      </c>
    </row>
    <row r="51" spans="1:6" x14ac:dyDescent="0.3">
      <c r="A51" t="s">
        <v>612</v>
      </c>
      <c r="B51" t="s">
        <v>615</v>
      </c>
      <c r="C51" t="s">
        <v>954</v>
      </c>
      <c r="D51" t="s">
        <v>922</v>
      </c>
      <c r="E51">
        <v>2</v>
      </c>
      <c r="F51" t="s">
        <v>963</v>
      </c>
    </row>
    <row r="52" spans="1:6" x14ac:dyDescent="0.3">
      <c r="A52" t="s">
        <v>612</v>
      </c>
      <c r="B52" t="s">
        <v>615</v>
      </c>
      <c r="C52" t="s">
        <v>954</v>
      </c>
      <c r="D52" t="s">
        <v>922</v>
      </c>
      <c r="E52">
        <v>3</v>
      </c>
      <c r="F52" t="s">
        <v>964</v>
      </c>
    </row>
    <row r="53" spans="1:6" x14ac:dyDescent="0.3">
      <c r="A53" t="s">
        <v>612</v>
      </c>
      <c r="B53" t="s">
        <v>615</v>
      </c>
      <c r="C53" t="s">
        <v>954</v>
      </c>
      <c r="D53" t="s">
        <v>922</v>
      </c>
      <c r="E53">
        <v>4</v>
      </c>
      <c r="F53" t="s">
        <v>965</v>
      </c>
    </row>
    <row r="54" spans="1:6" x14ac:dyDescent="0.3">
      <c r="A54" t="s">
        <v>612</v>
      </c>
      <c r="B54" t="s">
        <v>615</v>
      </c>
      <c r="C54" t="s">
        <v>966</v>
      </c>
      <c r="D54" t="s">
        <v>709</v>
      </c>
      <c r="F54" t="s">
        <v>967</v>
      </c>
    </row>
    <row r="55" spans="1:6" x14ac:dyDescent="0.3">
      <c r="A55" t="s">
        <v>612</v>
      </c>
      <c r="B55" t="s">
        <v>615</v>
      </c>
      <c r="C55" t="s">
        <v>966</v>
      </c>
      <c r="D55" t="s">
        <v>913</v>
      </c>
      <c r="E55">
        <v>1</v>
      </c>
      <c r="F55" t="s">
        <v>968</v>
      </c>
    </row>
    <row r="56" spans="1:6" x14ac:dyDescent="0.3">
      <c r="A56" t="s">
        <v>612</v>
      </c>
      <c r="B56" t="s">
        <v>615</v>
      </c>
      <c r="C56" t="s">
        <v>966</v>
      </c>
      <c r="D56" t="s">
        <v>913</v>
      </c>
      <c r="E56">
        <v>2</v>
      </c>
      <c r="F56" t="s">
        <v>969</v>
      </c>
    </row>
    <row r="57" spans="1:6" x14ac:dyDescent="0.3">
      <c r="A57" t="s">
        <v>612</v>
      </c>
      <c r="B57" t="s">
        <v>615</v>
      </c>
      <c r="C57" t="s">
        <v>966</v>
      </c>
      <c r="D57" t="s">
        <v>913</v>
      </c>
      <c r="E57">
        <v>3</v>
      </c>
      <c r="F57" t="s">
        <v>970</v>
      </c>
    </row>
    <row r="58" spans="1:6" x14ac:dyDescent="0.3">
      <c r="A58" t="s">
        <v>612</v>
      </c>
      <c r="B58" t="s">
        <v>615</v>
      </c>
      <c r="C58" t="s">
        <v>966</v>
      </c>
      <c r="D58" t="s">
        <v>913</v>
      </c>
      <c r="E58">
        <v>4</v>
      </c>
      <c r="F58" t="s">
        <v>971</v>
      </c>
    </row>
    <row r="59" spans="1:6" x14ac:dyDescent="0.3">
      <c r="A59" t="s">
        <v>612</v>
      </c>
      <c r="B59" t="s">
        <v>615</v>
      </c>
      <c r="C59" t="s">
        <v>966</v>
      </c>
      <c r="D59" t="s">
        <v>913</v>
      </c>
      <c r="E59">
        <v>5</v>
      </c>
      <c r="F59" t="s">
        <v>972</v>
      </c>
    </row>
    <row r="60" spans="1:6" x14ac:dyDescent="0.3">
      <c r="A60" t="s">
        <v>612</v>
      </c>
      <c r="B60" t="s">
        <v>615</v>
      </c>
      <c r="C60" t="s">
        <v>966</v>
      </c>
      <c r="D60" t="s">
        <v>913</v>
      </c>
      <c r="E60">
        <v>6</v>
      </c>
      <c r="F60" t="s">
        <v>973</v>
      </c>
    </row>
    <row r="61" spans="1:6" x14ac:dyDescent="0.3">
      <c r="A61" t="s">
        <v>612</v>
      </c>
      <c r="B61" t="s">
        <v>615</v>
      </c>
      <c r="C61" t="s">
        <v>966</v>
      </c>
      <c r="D61" t="s">
        <v>913</v>
      </c>
      <c r="E61">
        <v>7</v>
      </c>
      <c r="F61" t="s">
        <v>974</v>
      </c>
    </row>
    <row r="62" spans="1:6" x14ac:dyDescent="0.3">
      <c r="A62" t="s">
        <v>612</v>
      </c>
      <c r="B62" t="s">
        <v>615</v>
      </c>
      <c r="C62" t="s">
        <v>966</v>
      </c>
      <c r="D62" t="s">
        <v>913</v>
      </c>
      <c r="E62">
        <v>8</v>
      </c>
      <c r="F62" t="s">
        <v>975</v>
      </c>
    </row>
    <row r="63" spans="1:6" x14ac:dyDescent="0.3">
      <c r="A63" t="s">
        <v>612</v>
      </c>
      <c r="B63" t="s">
        <v>615</v>
      </c>
      <c r="C63" t="s">
        <v>966</v>
      </c>
      <c r="D63" t="s">
        <v>913</v>
      </c>
      <c r="E63">
        <v>9</v>
      </c>
      <c r="F63" t="s">
        <v>976</v>
      </c>
    </row>
    <row r="64" spans="1:6" x14ac:dyDescent="0.3">
      <c r="A64" t="s">
        <v>612</v>
      </c>
      <c r="B64" t="s">
        <v>615</v>
      </c>
      <c r="C64" t="s">
        <v>966</v>
      </c>
      <c r="D64" t="s">
        <v>913</v>
      </c>
      <c r="E64">
        <v>10</v>
      </c>
      <c r="F64" t="s">
        <v>977</v>
      </c>
    </row>
    <row r="65" spans="1:6" x14ac:dyDescent="0.3">
      <c r="A65" t="s">
        <v>612</v>
      </c>
      <c r="B65" t="s">
        <v>615</v>
      </c>
      <c r="C65" t="s">
        <v>966</v>
      </c>
      <c r="D65" t="s">
        <v>922</v>
      </c>
      <c r="E65">
        <v>1</v>
      </c>
      <c r="F65" t="s">
        <v>978</v>
      </c>
    </row>
    <row r="66" spans="1:6" x14ac:dyDescent="0.3">
      <c r="A66" t="s">
        <v>612</v>
      </c>
      <c r="B66" t="s">
        <v>615</v>
      </c>
      <c r="C66" t="s">
        <v>966</v>
      </c>
      <c r="D66" t="s">
        <v>922</v>
      </c>
      <c r="E66">
        <v>2</v>
      </c>
      <c r="F66" t="s">
        <v>979</v>
      </c>
    </row>
    <row r="67" spans="1:6" x14ac:dyDescent="0.3">
      <c r="A67" t="s">
        <v>612</v>
      </c>
      <c r="B67" t="s">
        <v>615</v>
      </c>
      <c r="C67" t="s">
        <v>966</v>
      </c>
      <c r="D67" t="s">
        <v>922</v>
      </c>
      <c r="E67">
        <v>3</v>
      </c>
      <c r="F67" t="s">
        <v>980</v>
      </c>
    </row>
    <row r="68" spans="1:6" x14ac:dyDescent="0.3">
      <c r="A68" t="s">
        <v>612</v>
      </c>
      <c r="B68" t="s">
        <v>615</v>
      </c>
      <c r="C68" t="s">
        <v>966</v>
      </c>
      <c r="D68" t="s">
        <v>922</v>
      </c>
      <c r="E68">
        <v>4</v>
      </c>
      <c r="F68" t="s">
        <v>981</v>
      </c>
    </row>
    <row r="69" spans="1:6" x14ac:dyDescent="0.3">
      <c r="A69" t="s">
        <v>612</v>
      </c>
      <c r="B69" t="s">
        <v>615</v>
      </c>
      <c r="C69" t="s">
        <v>966</v>
      </c>
      <c r="D69" t="s">
        <v>922</v>
      </c>
      <c r="E69">
        <v>5</v>
      </c>
      <c r="F69" t="s">
        <v>982</v>
      </c>
    </row>
    <row r="70" spans="1:6" x14ac:dyDescent="0.3">
      <c r="A70" t="s">
        <v>612</v>
      </c>
      <c r="B70" t="s">
        <v>615</v>
      </c>
      <c r="C70" t="s">
        <v>983</v>
      </c>
      <c r="D70" t="s">
        <v>709</v>
      </c>
      <c r="F70" t="s">
        <v>967</v>
      </c>
    </row>
    <row r="71" spans="1:6" x14ac:dyDescent="0.3">
      <c r="A71" t="s">
        <v>612</v>
      </c>
      <c r="B71" t="s">
        <v>615</v>
      </c>
      <c r="C71" t="s">
        <v>983</v>
      </c>
      <c r="D71" t="s">
        <v>913</v>
      </c>
      <c r="E71">
        <v>1</v>
      </c>
      <c r="F71" t="s">
        <v>984</v>
      </c>
    </row>
    <row r="72" spans="1:6" x14ac:dyDescent="0.3">
      <c r="A72" t="s">
        <v>612</v>
      </c>
      <c r="B72" t="s">
        <v>615</v>
      </c>
      <c r="C72" t="s">
        <v>983</v>
      </c>
      <c r="D72" t="s">
        <v>913</v>
      </c>
      <c r="E72">
        <v>2</v>
      </c>
      <c r="F72" t="s">
        <v>985</v>
      </c>
    </row>
    <row r="73" spans="1:6" x14ac:dyDescent="0.3">
      <c r="A73" t="s">
        <v>612</v>
      </c>
      <c r="B73" t="s">
        <v>615</v>
      </c>
      <c r="C73" t="s">
        <v>983</v>
      </c>
      <c r="D73" t="s">
        <v>913</v>
      </c>
      <c r="E73">
        <v>3</v>
      </c>
      <c r="F73" t="s">
        <v>986</v>
      </c>
    </row>
    <row r="74" spans="1:6" x14ac:dyDescent="0.3">
      <c r="A74" t="s">
        <v>612</v>
      </c>
      <c r="B74" t="s">
        <v>615</v>
      </c>
      <c r="C74" t="s">
        <v>983</v>
      </c>
      <c r="D74" t="s">
        <v>913</v>
      </c>
      <c r="E74">
        <v>4</v>
      </c>
      <c r="F74" t="s">
        <v>987</v>
      </c>
    </row>
    <row r="75" spans="1:6" x14ac:dyDescent="0.3">
      <c r="A75" t="s">
        <v>612</v>
      </c>
      <c r="B75" t="s">
        <v>615</v>
      </c>
      <c r="C75" t="s">
        <v>983</v>
      </c>
      <c r="D75" t="s">
        <v>913</v>
      </c>
      <c r="E75">
        <v>5</v>
      </c>
      <c r="F75" t="s">
        <v>988</v>
      </c>
    </row>
    <row r="76" spans="1:6" x14ac:dyDescent="0.3">
      <c r="A76" t="s">
        <v>612</v>
      </c>
      <c r="B76" t="s">
        <v>615</v>
      </c>
      <c r="C76" t="s">
        <v>983</v>
      </c>
      <c r="D76" t="s">
        <v>913</v>
      </c>
      <c r="E76">
        <v>6</v>
      </c>
      <c r="F76" t="s">
        <v>989</v>
      </c>
    </row>
    <row r="77" spans="1:6" x14ac:dyDescent="0.3">
      <c r="A77" t="s">
        <v>612</v>
      </c>
      <c r="B77" t="s">
        <v>615</v>
      </c>
      <c r="C77" t="s">
        <v>983</v>
      </c>
      <c r="D77" t="s">
        <v>913</v>
      </c>
      <c r="E77">
        <v>7</v>
      </c>
      <c r="F77" t="s">
        <v>990</v>
      </c>
    </row>
    <row r="78" spans="1:6" x14ac:dyDescent="0.3">
      <c r="A78" t="s">
        <v>612</v>
      </c>
      <c r="B78" t="s">
        <v>615</v>
      </c>
      <c r="C78" t="s">
        <v>983</v>
      </c>
      <c r="D78" t="s">
        <v>913</v>
      </c>
      <c r="E78">
        <v>8</v>
      </c>
      <c r="F78" t="s">
        <v>991</v>
      </c>
    </row>
    <row r="79" spans="1:6" x14ac:dyDescent="0.3">
      <c r="A79" t="s">
        <v>612</v>
      </c>
      <c r="B79" t="s">
        <v>615</v>
      </c>
      <c r="C79" t="s">
        <v>983</v>
      </c>
      <c r="D79" t="s">
        <v>913</v>
      </c>
      <c r="E79">
        <v>9</v>
      </c>
      <c r="F79" t="s">
        <v>992</v>
      </c>
    </row>
    <row r="80" spans="1:6" x14ac:dyDescent="0.3">
      <c r="A80" t="s">
        <v>612</v>
      </c>
      <c r="B80" t="s">
        <v>615</v>
      </c>
      <c r="C80" t="s">
        <v>983</v>
      </c>
      <c r="D80" t="s">
        <v>913</v>
      </c>
      <c r="E80">
        <v>10</v>
      </c>
      <c r="F80" t="s">
        <v>993</v>
      </c>
    </row>
    <row r="81" spans="1:6" x14ac:dyDescent="0.3">
      <c r="A81" t="s">
        <v>612</v>
      </c>
      <c r="B81" t="s">
        <v>615</v>
      </c>
      <c r="C81" t="s">
        <v>983</v>
      </c>
      <c r="D81" t="s">
        <v>922</v>
      </c>
      <c r="E81">
        <v>1</v>
      </c>
      <c r="F81" t="s">
        <v>994</v>
      </c>
    </row>
    <row r="82" spans="1:6" x14ac:dyDescent="0.3">
      <c r="A82" t="s">
        <v>612</v>
      </c>
      <c r="B82" t="s">
        <v>615</v>
      </c>
      <c r="C82" t="s">
        <v>983</v>
      </c>
      <c r="D82" t="s">
        <v>922</v>
      </c>
      <c r="E82">
        <v>2</v>
      </c>
      <c r="F82" t="s">
        <v>995</v>
      </c>
    </row>
    <row r="83" spans="1:6" x14ac:dyDescent="0.3">
      <c r="A83" t="s">
        <v>612</v>
      </c>
      <c r="B83" t="s">
        <v>615</v>
      </c>
      <c r="C83" t="s">
        <v>983</v>
      </c>
      <c r="D83" t="s">
        <v>922</v>
      </c>
      <c r="E83">
        <v>3</v>
      </c>
      <c r="F83" t="s">
        <v>996</v>
      </c>
    </row>
    <row r="84" spans="1:6" x14ac:dyDescent="0.3">
      <c r="A84" t="s">
        <v>612</v>
      </c>
      <c r="B84" t="s">
        <v>615</v>
      </c>
      <c r="C84" t="s">
        <v>983</v>
      </c>
      <c r="D84" t="s">
        <v>922</v>
      </c>
      <c r="E84">
        <v>4</v>
      </c>
      <c r="F84" t="s">
        <v>997</v>
      </c>
    </row>
    <row r="85" spans="1:6" x14ac:dyDescent="0.3">
      <c r="A85" t="s">
        <v>612</v>
      </c>
      <c r="B85" t="s">
        <v>615</v>
      </c>
      <c r="C85" t="s">
        <v>983</v>
      </c>
      <c r="D85" t="s">
        <v>922</v>
      </c>
      <c r="E85">
        <v>5</v>
      </c>
      <c r="F85" t="s">
        <v>998</v>
      </c>
    </row>
    <row r="86" spans="1:6" x14ac:dyDescent="0.3">
      <c r="A86" t="s">
        <v>612</v>
      </c>
      <c r="B86" t="s">
        <v>615</v>
      </c>
      <c r="C86" t="s">
        <v>999</v>
      </c>
      <c r="D86" t="s">
        <v>709</v>
      </c>
      <c r="F86" t="s">
        <v>967</v>
      </c>
    </row>
    <row r="87" spans="1:6" x14ac:dyDescent="0.3">
      <c r="A87" t="s">
        <v>612</v>
      </c>
      <c r="B87" t="s">
        <v>615</v>
      </c>
      <c r="C87" t="s">
        <v>999</v>
      </c>
      <c r="D87" t="s">
        <v>913</v>
      </c>
      <c r="E87">
        <v>1</v>
      </c>
      <c r="F87" t="s">
        <v>1000</v>
      </c>
    </row>
    <row r="88" spans="1:6" x14ac:dyDescent="0.3">
      <c r="A88" t="s">
        <v>612</v>
      </c>
      <c r="B88" t="s">
        <v>615</v>
      </c>
      <c r="C88" t="s">
        <v>999</v>
      </c>
      <c r="D88" t="s">
        <v>913</v>
      </c>
      <c r="E88">
        <v>2</v>
      </c>
      <c r="F88" t="s">
        <v>1001</v>
      </c>
    </row>
    <row r="89" spans="1:6" x14ac:dyDescent="0.3">
      <c r="A89" t="s">
        <v>612</v>
      </c>
      <c r="B89" t="s">
        <v>615</v>
      </c>
      <c r="C89" t="s">
        <v>999</v>
      </c>
      <c r="D89" t="s">
        <v>913</v>
      </c>
      <c r="E89">
        <v>3</v>
      </c>
      <c r="F89" t="s">
        <v>1002</v>
      </c>
    </row>
    <row r="90" spans="1:6" x14ac:dyDescent="0.3">
      <c r="A90" t="s">
        <v>612</v>
      </c>
      <c r="B90" t="s">
        <v>615</v>
      </c>
      <c r="C90" t="s">
        <v>999</v>
      </c>
      <c r="D90" t="s">
        <v>913</v>
      </c>
      <c r="E90">
        <v>4</v>
      </c>
      <c r="F90" t="s">
        <v>1003</v>
      </c>
    </row>
    <row r="91" spans="1:6" x14ac:dyDescent="0.3">
      <c r="A91" t="s">
        <v>612</v>
      </c>
      <c r="B91" t="s">
        <v>615</v>
      </c>
      <c r="C91" t="s">
        <v>999</v>
      </c>
      <c r="D91" t="s">
        <v>913</v>
      </c>
      <c r="E91">
        <v>5</v>
      </c>
      <c r="F91" t="s">
        <v>1004</v>
      </c>
    </row>
    <row r="92" spans="1:6" x14ac:dyDescent="0.3">
      <c r="A92" t="s">
        <v>612</v>
      </c>
      <c r="B92" t="s">
        <v>615</v>
      </c>
      <c r="C92" t="s">
        <v>999</v>
      </c>
      <c r="D92" t="s">
        <v>913</v>
      </c>
      <c r="E92">
        <v>6</v>
      </c>
      <c r="F92" t="s">
        <v>1005</v>
      </c>
    </row>
    <row r="93" spans="1:6" x14ac:dyDescent="0.3">
      <c r="A93" t="s">
        <v>612</v>
      </c>
      <c r="B93" t="s">
        <v>615</v>
      </c>
      <c r="C93" t="s">
        <v>999</v>
      </c>
      <c r="D93" t="s">
        <v>913</v>
      </c>
      <c r="E93">
        <v>7</v>
      </c>
      <c r="F93" t="s">
        <v>1006</v>
      </c>
    </row>
    <row r="94" spans="1:6" x14ac:dyDescent="0.3">
      <c r="A94" t="s">
        <v>612</v>
      </c>
      <c r="B94" t="s">
        <v>615</v>
      </c>
      <c r="C94" t="s">
        <v>999</v>
      </c>
      <c r="D94" t="s">
        <v>913</v>
      </c>
      <c r="E94">
        <v>8</v>
      </c>
      <c r="F94" t="s">
        <v>1007</v>
      </c>
    </row>
    <row r="95" spans="1:6" x14ac:dyDescent="0.3">
      <c r="A95" t="s">
        <v>612</v>
      </c>
      <c r="B95" t="s">
        <v>615</v>
      </c>
      <c r="C95" t="s">
        <v>999</v>
      </c>
      <c r="D95" t="s">
        <v>913</v>
      </c>
      <c r="E95">
        <v>9</v>
      </c>
      <c r="F95" t="s">
        <v>1008</v>
      </c>
    </row>
    <row r="96" spans="1:6" x14ac:dyDescent="0.3">
      <c r="A96" t="s">
        <v>612</v>
      </c>
      <c r="B96" t="s">
        <v>615</v>
      </c>
      <c r="C96" t="s">
        <v>999</v>
      </c>
      <c r="D96" t="s">
        <v>922</v>
      </c>
      <c r="E96">
        <v>1</v>
      </c>
      <c r="F96" t="s">
        <v>1009</v>
      </c>
    </row>
    <row r="97" spans="1:6" x14ac:dyDescent="0.3">
      <c r="A97" t="s">
        <v>612</v>
      </c>
      <c r="B97" t="s">
        <v>615</v>
      </c>
      <c r="C97" t="s">
        <v>999</v>
      </c>
      <c r="D97" t="s">
        <v>922</v>
      </c>
      <c r="E97">
        <v>2</v>
      </c>
      <c r="F97" t="s">
        <v>1010</v>
      </c>
    </row>
    <row r="98" spans="1:6" x14ac:dyDescent="0.3">
      <c r="A98" t="s">
        <v>612</v>
      </c>
      <c r="B98" t="s">
        <v>615</v>
      </c>
      <c r="C98" t="s">
        <v>999</v>
      </c>
      <c r="D98" t="s">
        <v>922</v>
      </c>
      <c r="E98">
        <v>3</v>
      </c>
      <c r="F98" t="s">
        <v>1011</v>
      </c>
    </row>
    <row r="99" spans="1:6" x14ac:dyDescent="0.3">
      <c r="A99" t="s">
        <v>612</v>
      </c>
      <c r="B99" t="s">
        <v>615</v>
      </c>
      <c r="C99" t="s">
        <v>999</v>
      </c>
      <c r="D99" t="s">
        <v>922</v>
      </c>
      <c r="E99">
        <v>4</v>
      </c>
      <c r="F99" t="s">
        <v>1012</v>
      </c>
    </row>
    <row r="100" spans="1:6" x14ac:dyDescent="0.3">
      <c r="A100" t="s">
        <v>612</v>
      </c>
      <c r="B100" t="s">
        <v>615</v>
      </c>
      <c r="C100" t="s">
        <v>999</v>
      </c>
      <c r="D100" t="s">
        <v>922</v>
      </c>
      <c r="E100">
        <v>5</v>
      </c>
      <c r="F100" t="s">
        <v>1013</v>
      </c>
    </row>
    <row r="101" spans="1:6" x14ac:dyDescent="0.3">
      <c r="A101" t="s">
        <v>612</v>
      </c>
      <c r="B101" t="s">
        <v>615</v>
      </c>
      <c r="C101" t="s">
        <v>1014</v>
      </c>
      <c r="D101" t="s">
        <v>709</v>
      </c>
      <c r="F101" t="s">
        <v>967</v>
      </c>
    </row>
    <row r="102" spans="1:6" x14ac:dyDescent="0.3">
      <c r="A102" t="s">
        <v>612</v>
      </c>
      <c r="B102" t="s">
        <v>615</v>
      </c>
      <c r="C102" t="s">
        <v>1014</v>
      </c>
      <c r="D102" t="s">
        <v>913</v>
      </c>
      <c r="E102">
        <v>1</v>
      </c>
      <c r="F102" t="s">
        <v>1015</v>
      </c>
    </row>
    <row r="103" spans="1:6" x14ac:dyDescent="0.3">
      <c r="A103" t="s">
        <v>612</v>
      </c>
      <c r="B103" t="s">
        <v>615</v>
      </c>
      <c r="C103" t="s">
        <v>1014</v>
      </c>
      <c r="D103" t="s">
        <v>913</v>
      </c>
      <c r="E103">
        <v>2</v>
      </c>
      <c r="F103" t="s">
        <v>1016</v>
      </c>
    </row>
    <row r="104" spans="1:6" x14ac:dyDescent="0.3">
      <c r="A104" t="s">
        <v>612</v>
      </c>
      <c r="B104" t="s">
        <v>615</v>
      </c>
      <c r="C104" t="s">
        <v>1014</v>
      </c>
      <c r="D104" t="s">
        <v>913</v>
      </c>
      <c r="E104">
        <v>3</v>
      </c>
      <c r="F104" t="s">
        <v>1017</v>
      </c>
    </row>
    <row r="105" spans="1:6" x14ac:dyDescent="0.3">
      <c r="A105" t="s">
        <v>612</v>
      </c>
      <c r="B105" t="s">
        <v>615</v>
      </c>
      <c r="C105" t="s">
        <v>1014</v>
      </c>
      <c r="D105" t="s">
        <v>913</v>
      </c>
      <c r="E105">
        <v>4</v>
      </c>
      <c r="F105" t="s">
        <v>1018</v>
      </c>
    </row>
    <row r="106" spans="1:6" x14ac:dyDescent="0.3">
      <c r="A106" t="s">
        <v>612</v>
      </c>
      <c r="B106" t="s">
        <v>615</v>
      </c>
      <c r="C106" t="s">
        <v>1014</v>
      </c>
      <c r="D106" t="s">
        <v>913</v>
      </c>
      <c r="E106">
        <v>5</v>
      </c>
      <c r="F106" t="s">
        <v>1019</v>
      </c>
    </row>
    <row r="107" spans="1:6" x14ac:dyDescent="0.3">
      <c r="A107" t="s">
        <v>612</v>
      </c>
      <c r="B107" t="s">
        <v>615</v>
      </c>
      <c r="C107" t="s">
        <v>1014</v>
      </c>
      <c r="D107" t="s">
        <v>913</v>
      </c>
      <c r="E107">
        <v>6</v>
      </c>
      <c r="F107" t="s">
        <v>1020</v>
      </c>
    </row>
    <row r="108" spans="1:6" x14ac:dyDescent="0.3">
      <c r="A108" t="s">
        <v>612</v>
      </c>
      <c r="B108" t="s">
        <v>615</v>
      </c>
      <c r="C108" t="s">
        <v>1014</v>
      </c>
      <c r="D108" t="s">
        <v>913</v>
      </c>
      <c r="E108">
        <v>7</v>
      </c>
      <c r="F108" t="s">
        <v>1021</v>
      </c>
    </row>
    <row r="109" spans="1:6" x14ac:dyDescent="0.3">
      <c r="A109" t="s">
        <v>612</v>
      </c>
      <c r="B109" t="s">
        <v>615</v>
      </c>
      <c r="C109" t="s">
        <v>1014</v>
      </c>
      <c r="D109" t="s">
        <v>913</v>
      </c>
      <c r="E109">
        <v>8</v>
      </c>
      <c r="F109" t="s">
        <v>1022</v>
      </c>
    </row>
    <row r="110" spans="1:6" x14ac:dyDescent="0.3">
      <c r="A110" t="s">
        <v>612</v>
      </c>
      <c r="B110" t="s">
        <v>615</v>
      </c>
      <c r="C110" t="s">
        <v>1014</v>
      </c>
      <c r="D110" t="s">
        <v>913</v>
      </c>
      <c r="E110">
        <v>9</v>
      </c>
      <c r="F110" t="s">
        <v>1023</v>
      </c>
    </row>
    <row r="111" spans="1:6" x14ac:dyDescent="0.3">
      <c r="A111" t="s">
        <v>612</v>
      </c>
      <c r="B111" t="s">
        <v>615</v>
      </c>
      <c r="C111" t="s">
        <v>1014</v>
      </c>
      <c r="D111" t="s">
        <v>922</v>
      </c>
      <c r="E111">
        <v>1</v>
      </c>
      <c r="F111" t="s">
        <v>1024</v>
      </c>
    </row>
    <row r="112" spans="1:6" x14ac:dyDescent="0.3">
      <c r="A112" t="s">
        <v>612</v>
      </c>
      <c r="B112" t="s">
        <v>615</v>
      </c>
      <c r="C112" t="s">
        <v>1014</v>
      </c>
      <c r="D112" t="s">
        <v>922</v>
      </c>
      <c r="E112">
        <v>2</v>
      </c>
      <c r="F112" t="s">
        <v>1025</v>
      </c>
    </row>
    <row r="113" spans="1:6" x14ac:dyDescent="0.3">
      <c r="A113" t="s">
        <v>612</v>
      </c>
      <c r="B113" t="s">
        <v>615</v>
      </c>
      <c r="C113" t="s">
        <v>1014</v>
      </c>
      <c r="D113" t="s">
        <v>922</v>
      </c>
      <c r="E113">
        <v>3</v>
      </c>
      <c r="F113" t="s">
        <v>1026</v>
      </c>
    </row>
    <row r="114" spans="1:6" x14ac:dyDescent="0.3">
      <c r="A114" t="s">
        <v>612</v>
      </c>
      <c r="B114" t="s">
        <v>615</v>
      </c>
      <c r="C114" t="s">
        <v>1014</v>
      </c>
      <c r="D114" t="s">
        <v>922</v>
      </c>
      <c r="E114">
        <v>4</v>
      </c>
      <c r="F114" t="s">
        <v>1027</v>
      </c>
    </row>
    <row r="115" spans="1:6" x14ac:dyDescent="0.3">
      <c r="A115" t="s">
        <v>612</v>
      </c>
      <c r="B115" t="s">
        <v>615</v>
      </c>
      <c r="C115" t="s">
        <v>1014</v>
      </c>
      <c r="D115" t="s">
        <v>922</v>
      </c>
      <c r="E115">
        <v>5</v>
      </c>
      <c r="F115" t="s">
        <v>1028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71"/>
  <sheetViews>
    <sheetView workbookViewId="0"/>
  </sheetViews>
  <sheetFormatPr defaultRowHeight="14.4" x14ac:dyDescent="0.3"/>
  <cols>
    <col min="1" max="1" width="48" customWidth="1"/>
    <col min="2" max="2" width="13" customWidth="1"/>
    <col min="3" max="3" width="14" customWidth="1"/>
    <col min="4" max="5" width="12" customWidth="1"/>
    <col min="6" max="6" width="16" customWidth="1"/>
  </cols>
  <sheetData>
    <row r="1" spans="1:6" x14ac:dyDescent="0.3">
      <c r="A1" t="s">
        <v>609</v>
      </c>
      <c r="B1" t="s">
        <v>618</v>
      </c>
      <c r="C1" t="s">
        <v>669</v>
      </c>
      <c r="D1" t="s">
        <v>670</v>
      </c>
      <c r="E1" t="s">
        <v>619</v>
      </c>
      <c r="F1" t="s">
        <v>671</v>
      </c>
    </row>
    <row r="2" spans="1:6" x14ac:dyDescent="0.3">
      <c r="A2" t="s">
        <v>616</v>
      </c>
      <c r="B2" t="s">
        <v>27</v>
      </c>
      <c r="C2" t="s">
        <v>337</v>
      </c>
      <c r="D2" t="s">
        <v>913</v>
      </c>
      <c r="E2">
        <v>1</v>
      </c>
      <c r="F2" t="s">
        <v>337</v>
      </c>
    </row>
    <row r="3" spans="1:6" x14ac:dyDescent="0.3">
      <c r="A3" t="s">
        <v>616</v>
      </c>
      <c r="B3" t="s">
        <v>27</v>
      </c>
      <c r="C3" t="s">
        <v>337</v>
      </c>
      <c r="D3" t="s">
        <v>913</v>
      </c>
      <c r="E3">
        <v>2</v>
      </c>
      <c r="F3" t="s">
        <v>1029</v>
      </c>
    </row>
    <row r="4" spans="1:6" x14ac:dyDescent="0.3">
      <c r="A4" t="s">
        <v>616</v>
      </c>
      <c r="B4" t="s">
        <v>27</v>
      </c>
      <c r="C4" t="s">
        <v>337</v>
      </c>
      <c r="D4" t="s">
        <v>913</v>
      </c>
      <c r="E4">
        <v>3</v>
      </c>
      <c r="F4" t="s">
        <v>1030</v>
      </c>
    </row>
    <row r="5" spans="1:6" x14ac:dyDescent="0.3">
      <c r="A5" t="s">
        <v>616</v>
      </c>
      <c r="B5" t="s">
        <v>27</v>
      </c>
      <c r="C5" t="s">
        <v>337</v>
      </c>
      <c r="D5" t="s">
        <v>913</v>
      </c>
      <c r="E5">
        <v>4</v>
      </c>
      <c r="F5" t="s">
        <v>1031</v>
      </c>
    </row>
    <row r="6" spans="1:6" x14ac:dyDescent="0.3">
      <c r="A6" t="s">
        <v>616</v>
      </c>
      <c r="B6" t="s">
        <v>27</v>
      </c>
      <c r="C6" t="s">
        <v>337</v>
      </c>
      <c r="D6" t="s">
        <v>922</v>
      </c>
      <c r="E6">
        <v>1</v>
      </c>
      <c r="F6" t="s">
        <v>1032</v>
      </c>
    </row>
    <row r="7" spans="1:6" x14ac:dyDescent="0.3">
      <c r="A7" t="s">
        <v>616</v>
      </c>
      <c r="B7" t="s">
        <v>27</v>
      </c>
      <c r="C7" t="s">
        <v>337</v>
      </c>
      <c r="D7" t="s">
        <v>922</v>
      </c>
      <c r="E7">
        <v>2</v>
      </c>
      <c r="F7" t="s">
        <v>1033</v>
      </c>
    </row>
    <row r="8" spans="1:6" x14ac:dyDescent="0.3">
      <c r="A8" t="s">
        <v>616</v>
      </c>
      <c r="B8" t="s">
        <v>27</v>
      </c>
      <c r="C8" t="s">
        <v>337</v>
      </c>
      <c r="D8" t="s">
        <v>922</v>
      </c>
      <c r="E8">
        <v>3</v>
      </c>
      <c r="F8" t="s">
        <v>1034</v>
      </c>
    </row>
    <row r="9" spans="1:6" x14ac:dyDescent="0.3">
      <c r="A9" t="s">
        <v>616</v>
      </c>
      <c r="B9" t="s">
        <v>27</v>
      </c>
      <c r="C9" t="s">
        <v>341</v>
      </c>
      <c r="D9" t="s">
        <v>913</v>
      </c>
      <c r="E9">
        <v>1</v>
      </c>
      <c r="F9" t="s">
        <v>341</v>
      </c>
    </row>
    <row r="10" spans="1:6" x14ac:dyDescent="0.3">
      <c r="A10" t="s">
        <v>616</v>
      </c>
      <c r="B10" t="s">
        <v>27</v>
      </c>
      <c r="C10" t="s">
        <v>341</v>
      </c>
      <c r="D10" t="s">
        <v>913</v>
      </c>
      <c r="E10">
        <v>2</v>
      </c>
      <c r="F10" t="s">
        <v>1035</v>
      </c>
    </row>
    <row r="11" spans="1:6" x14ac:dyDescent="0.3">
      <c r="A11" t="s">
        <v>616</v>
      </c>
      <c r="B11" t="s">
        <v>27</v>
      </c>
      <c r="C11" t="s">
        <v>341</v>
      </c>
      <c r="D11" t="s">
        <v>913</v>
      </c>
      <c r="E11">
        <v>3</v>
      </c>
      <c r="F11" t="s">
        <v>1036</v>
      </c>
    </row>
    <row r="12" spans="1:6" x14ac:dyDescent="0.3">
      <c r="A12" t="s">
        <v>616</v>
      </c>
      <c r="B12" t="s">
        <v>27</v>
      </c>
      <c r="C12" t="s">
        <v>341</v>
      </c>
      <c r="D12" t="s">
        <v>913</v>
      </c>
      <c r="E12">
        <v>4</v>
      </c>
      <c r="F12" t="s">
        <v>1037</v>
      </c>
    </row>
    <row r="13" spans="1:6" x14ac:dyDescent="0.3">
      <c r="A13" t="s">
        <v>616</v>
      </c>
      <c r="B13" t="s">
        <v>27</v>
      </c>
      <c r="C13" t="s">
        <v>341</v>
      </c>
      <c r="D13" t="s">
        <v>913</v>
      </c>
      <c r="E13">
        <v>5</v>
      </c>
      <c r="F13" t="s">
        <v>1031</v>
      </c>
    </row>
    <row r="14" spans="1:6" x14ac:dyDescent="0.3">
      <c r="A14" t="s">
        <v>616</v>
      </c>
      <c r="B14" t="s">
        <v>27</v>
      </c>
      <c r="C14" t="s">
        <v>341</v>
      </c>
      <c r="D14" t="s">
        <v>922</v>
      </c>
      <c r="E14">
        <v>1</v>
      </c>
      <c r="F14" t="s">
        <v>1038</v>
      </c>
    </row>
    <row r="15" spans="1:6" x14ac:dyDescent="0.3">
      <c r="A15" t="s">
        <v>616</v>
      </c>
      <c r="B15" t="s">
        <v>27</v>
      </c>
      <c r="C15" t="s">
        <v>341</v>
      </c>
      <c r="D15" t="s">
        <v>922</v>
      </c>
      <c r="E15">
        <v>2</v>
      </c>
      <c r="F15" t="s">
        <v>1039</v>
      </c>
    </row>
    <row r="16" spans="1:6" x14ac:dyDescent="0.3">
      <c r="A16" t="s">
        <v>616</v>
      </c>
      <c r="B16" t="s">
        <v>27</v>
      </c>
      <c r="C16" t="s">
        <v>341</v>
      </c>
      <c r="D16" t="s">
        <v>922</v>
      </c>
      <c r="E16">
        <v>3</v>
      </c>
      <c r="F16" t="s">
        <v>1040</v>
      </c>
    </row>
    <row r="17" spans="1:6" x14ac:dyDescent="0.3">
      <c r="A17" t="s">
        <v>616</v>
      </c>
      <c r="B17" t="s">
        <v>27</v>
      </c>
      <c r="C17" t="s">
        <v>343</v>
      </c>
      <c r="D17" t="s">
        <v>913</v>
      </c>
      <c r="E17">
        <v>1</v>
      </c>
      <c r="F17" t="s">
        <v>1041</v>
      </c>
    </row>
    <row r="18" spans="1:6" x14ac:dyDescent="0.3">
      <c r="A18" t="s">
        <v>616</v>
      </c>
      <c r="B18" t="s">
        <v>27</v>
      </c>
      <c r="C18" t="s">
        <v>343</v>
      </c>
      <c r="D18" t="s">
        <v>913</v>
      </c>
      <c r="E18">
        <v>2</v>
      </c>
      <c r="F18" t="s">
        <v>1042</v>
      </c>
    </row>
    <row r="19" spans="1:6" x14ac:dyDescent="0.3">
      <c r="A19" t="s">
        <v>616</v>
      </c>
      <c r="B19" t="s">
        <v>27</v>
      </c>
      <c r="C19" t="s">
        <v>343</v>
      </c>
      <c r="D19" t="s">
        <v>913</v>
      </c>
      <c r="E19">
        <v>3</v>
      </c>
      <c r="F19" t="s">
        <v>1043</v>
      </c>
    </row>
    <row r="20" spans="1:6" x14ac:dyDescent="0.3">
      <c r="A20" t="s">
        <v>616</v>
      </c>
      <c r="B20" t="s">
        <v>27</v>
      </c>
      <c r="C20" t="s">
        <v>343</v>
      </c>
      <c r="D20" t="s">
        <v>913</v>
      </c>
      <c r="E20">
        <v>4</v>
      </c>
      <c r="F20" t="s">
        <v>1031</v>
      </c>
    </row>
    <row r="21" spans="1:6" x14ac:dyDescent="0.3">
      <c r="A21" t="s">
        <v>616</v>
      </c>
      <c r="B21" t="s">
        <v>27</v>
      </c>
      <c r="C21" t="s">
        <v>343</v>
      </c>
      <c r="D21" t="s">
        <v>922</v>
      </c>
      <c r="E21">
        <v>1</v>
      </c>
      <c r="F21" t="s">
        <v>1032</v>
      </c>
    </row>
    <row r="22" spans="1:6" x14ac:dyDescent="0.3">
      <c r="A22" t="s">
        <v>616</v>
      </c>
      <c r="B22" t="s">
        <v>27</v>
      </c>
      <c r="C22" t="s">
        <v>343</v>
      </c>
      <c r="D22" t="s">
        <v>922</v>
      </c>
      <c r="E22">
        <v>2</v>
      </c>
      <c r="F22" t="s">
        <v>1044</v>
      </c>
    </row>
    <row r="23" spans="1:6" x14ac:dyDescent="0.3">
      <c r="A23" t="s">
        <v>616</v>
      </c>
      <c r="B23" t="s">
        <v>27</v>
      </c>
      <c r="C23" t="s">
        <v>343</v>
      </c>
      <c r="D23" t="s">
        <v>922</v>
      </c>
      <c r="E23">
        <v>3</v>
      </c>
      <c r="F23" t="s">
        <v>1045</v>
      </c>
    </row>
    <row r="24" spans="1:6" x14ac:dyDescent="0.3">
      <c r="A24" t="s">
        <v>616</v>
      </c>
      <c r="B24" t="s">
        <v>27</v>
      </c>
      <c r="C24" t="s">
        <v>343</v>
      </c>
      <c r="D24" t="s">
        <v>922</v>
      </c>
      <c r="E24">
        <v>4</v>
      </c>
      <c r="F24" t="s">
        <v>1046</v>
      </c>
    </row>
    <row r="25" spans="1:6" x14ac:dyDescent="0.3">
      <c r="A25" t="s">
        <v>616</v>
      </c>
      <c r="B25" t="s">
        <v>27</v>
      </c>
      <c r="C25" t="s">
        <v>345</v>
      </c>
      <c r="D25" t="s">
        <v>913</v>
      </c>
      <c r="E25">
        <v>1</v>
      </c>
      <c r="F25" t="s">
        <v>1029</v>
      </c>
    </row>
    <row r="26" spans="1:6" x14ac:dyDescent="0.3">
      <c r="A26" t="s">
        <v>616</v>
      </c>
      <c r="B26" t="s">
        <v>27</v>
      </c>
      <c r="C26" t="s">
        <v>345</v>
      </c>
      <c r="D26" t="s">
        <v>913</v>
      </c>
      <c r="E26">
        <v>2</v>
      </c>
      <c r="F26" t="s">
        <v>1042</v>
      </c>
    </row>
    <row r="27" spans="1:6" x14ac:dyDescent="0.3">
      <c r="A27" t="s">
        <v>616</v>
      </c>
      <c r="B27" t="s">
        <v>27</v>
      </c>
      <c r="C27" t="s">
        <v>345</v>
      </c>
      <c r="D27" t="s">
        <v>913</v>
      </c>
      <c r="E27">
        <v>3</v>
      </c>
      <c r="F27" t="s">
        <v>1041</v>
      </c>
    </row>
    <row r="28" spans="1:6" x14ac:dyDescent="0.3">
      <c r="A28" t="s">
        <v>616</v>
      </c>
      <c r="B28" t="s">
        <v>27</v>
      </c>
      <c r="C28" t="s">
        <v>345</v>
      </c>
      <c r="D28" t="s">
        <v>913</v>
      </c>
      <c r="E28">
        <v>4</v>
      </c>
      <c r="F28" t="s">
        <v>1035</v>
      </c>
    </row>
    <row r="29" spans="1:6" x14ac:dyDescent="0.3">
      <c r="A29" t="s">
        <v>616</v>
      </c>
      <c r="B29" t="s">
        <v>27</v>
      </c>
      <c r="C29" t="s">
        <v>345</v>
      </c>
      <c r="D29" t="s">
        <v>922</v>
      </c>
      <c r="E29">
        <v>1</v>
      </c>
      <c r="F29" t="s">
        <v>1032</v>
      </c>
    </row>
    <row r="30" spans="1:6" x14ac:dyDescent="0.3">
      <c r="A30" t="s">
        <v>616</v>
      </c>
      <c r="B30" t="s">
        <v>27</v>
      </c>
      <c r="C30" t="s">
        <v>345</v>
      </c>
      <c r="D30" t="s">
        <v>922</v>
      </c>
      <c r="E30">
        <v>2</v>
      </c>
      <c r="F30" t="s">
        <v>1046</v>
      </c>
    </row>
    <row r="31" spans="1:6" x14ac:dyDescent="0.3">
      <c r="A31" t="s">
        <v>616</v>
      </c>
      <c r="B31" t="s">
        <v>27</v>
      </c>
      <c r="C31" t="s">
        <v>345</v>
      </c>
      <c r="D31" t="s">
        <v>922</v>
      </c>
      <c r="E31">
        <v>3</v>
      </c>
      <c r="F31" t="s">
        <v>1040</v>
      </c>
    </row>
    <row r="32" spans="1:6" x14ac:dyDescent="0.3">
      <c r="A32" t="s">
        <v>616</v>
      </c>
      <c r="B32" t="s">
        <v>27</v>
      </c>
      <c r="C32" t="s">
        <v>345</v>
      </c>
      <c r="D32" t="s">
        <v>922</v>
      </c>
      <c r="E32">
        <v>4</v>
      </c>
      <c r="F32" t="s">
        <v>1033</v>
      </c>
    </row>
    <row r="33" spans="1:6" x14ac:dyDescent="0.3">
      <c r="A33" t="s">
        <v>616</v>
      </c>
      <c r="B33" t="s">
        <v>27</v>
      </c>
      <c r="C33" t="s">
        <v>347</v>
      </c>
      <c r="D33" t="s">
        <v>913</v>
      </c>
      <c r="E33">
        <v>1</v>
      </c>
      <c r="F33" t="s">
        <v>1029</v>
      </c>
    </row>
    <row r="34" spans="1:6" x14ac:dyDescent="0.3">
      <c r="A34" t="s">
        <v>616</v>
      </c>
      <c r="B34" t="s">
        <v>27</v>
      </c>
      <c r="C34" t="s">
        <v>347</v>
      </c>
      <c r="D34" t="s">
        <v>913</v>
      </c>
      <c r="E34">
        <v>2</v>
      </c>
      <c r="F34" t="s">
        <v>1042</v>
      </c>
    </row>
    <row r="35" spans="1:6" x14ac:dyDescent="0.3">
      <c r="A35" t="s">
        <v>616</v>
      </c>
      <c r="B35" t="s">
        <v>27</v>
      </c>
      <c r="C35" t="s">
        <v>347</v>
      </c>
      <c r="D35" t="s">
        <v>913</v>
      </c>
      <c r="E35">
        <v>3</v>
      </c>
      <c r="F35" t="s">
        <v>1031</v>
      </c>
    </row>
    <row r="36" spans="1:6" x14ac:dyDescent="0.3">
      <c r="A36" t="s">
        <v>616</v>
      </c>
      <c r="B36" t="s">
        <v>27</v>
      </c>
      <c r="C36" t="s">
        <v>347</v>
      </c>
      <c r="D36" t="s">
        <v>913</v>
      </c>
      <c r="E36">
        <v>4</v>
      </c>
      <c r="F36" t="s">
        <v>337</v>
      </c>
    </row>
    <row r="37" spans="1:6" x14ac:dyDescent="0.3">
      <c r="A37" t="s">
        <v>616</v>
      </c>
      <c r="B37" t="s">
        <v>27</v>
      </c>
      <c r="C37" t="s">
        <v>347</v>
      </c>
      <c r="D37" t="s">
        <v>922</v>
      </c>
      <c r="E37">
        <v>1</v>
      </c>
      <c r="F37" t="s">
        <v>1033</v>
      </c>
    </row>
    <row r="38" spans="1:6" x14ac:dyDescent="0.3">
      <c r="A38" t="s">
        <v>616</v>
      </c>
      <c r="B38" t="s">
        <v>27</v>
      </c>
      <c r="C38" t="s">
        <v>347</v>
      </c>
      <c r="D38" t="s">
        <v>922</v>
      </c>
      <c r="E38">
        <v>2</v>
      </c>
      <c r="F38" t="s">
        <v>1034</v>
      </c>
    </row>
    <row r="39" spans="1:6" x14ac:dyDescent="0.3">
      <c r="A39" t="s">
        <v>616</v>
      </c>
      <c r="B39" t="s">
        <v>27</v>
      </c>
      <c r="C39" t="s">
        <v>347</v>
      </c>
      <c r="D39" t="s">
        <v>922</v>
      </c>
      <c r="E39">
        <v>3</v>
      </c>
      <c r="F39" t="s">
        <v>1032</v>
      </c>
    </row>
    <row r="40" spans="1:6" x14ac:dyDescent="0.3">
      <c r="A40" t="s">
        <v>616</v>
      </c>
      <c r="B40" t="s">
        <v>27</v>
      </c>
      <c r="C40" t="s">
        <v>347</v>
      </c>
      <c r="D40" t="s">
        <v>922</v>
      </c>
      <c r="E40">
        <v>4</v>
      </c>
      <c r="F40" t="s">
        <v>1046</v>
      </c>
    </row>
    <row r="41" spans="1:6" x14ac:dyDescent="0.3">
      <c r="A41" t="s">
        <v>616</v>
      </c>
      <c r="B41" t="s">
        <v>27</v>
      </c>
      <c r="C41" t="s">
        <v>349</v>
      </c>
      <c r="D41" t="s">
        <v>913</v>
      </c>
      <c r="E41">
        <v>1</v>
      </c>
      <c r="F41" t="s">
        <v>1030</v>
      </c>
    </row>
    <row r="42" spans="1:6" x14ac:dyDescent="0.3">
      <c r="A42" t="s">
        <v>616</v>
      </c>
      <c r="B42" t="s">
        <v>27</v>
      </c>
      <c r="C42" t="s">
        <v>349</v>
      </c>
      <c r="D42" t="s">
        <v>913</v>
      </c>
      <c r="E42">
        <v>2</v>
      </c>
      <c r="F42" t="s">
        <v>1042</v>
      </c>
    </row>
    <row r="43" spans="1:6" x14ac:dyDescent="0.3">
      <c r="A43" t="s">
        <v>616</v>
      </c>
      <c r="B43" t="s">
        <v>27</v>
      </c>
      <c r="C43" t="s">
        <v>349</v>
      </c>
      <c r="D43" t="s">
        <v>913</v>
      </c>
      <c r="E43">
        <v>3</v>
      </c>
      <c r="F43" t="s">
        <v>1031</v>
      </c>
    </row>
    <row r="44" spans="1:6" x14ac:dyDescent="0.3">
      <c r="A44" t="s">
        <v>616</v>
      </c>
      <c r="B44" t="s">
        <v>27</v>
      </c>
      <c r="C44" t="s">
        <v>349</v>
      </c>
      <c r="D44" t="s">
        <v>913</v>
      </c>
      <c r="E44">
        <v>4</v>
      </c>
      <c r="F44" t="s">
        <v>1035</v>
      </c>
    </row>
    <row r="45" spans="1:6" x14ac:dyDescent="0.3">
      <c r="A45" t="s">
        <v>616</v>
      </c>
      <c r="B45" t="s">
        <v>27</v>
      </c>
      <c r="C45" t="s">
        <v>349</v>
      </c>
      <c r="D45" t="s">
        <v>922</v>
      </c>
      <c r="E45">
        <v>1</v>
      </c>
      <c r="F45" t="s">
        <v>1033</v>
      </c>
    </row>
    <row r="46" spans="1:6" x14ac:dyDescent="0.3">
      <c r="A46" t="s">
        <v>616</v>
      </c>
      <c r="B46" t="s">
        <v>27</v>
      </c>
      <c r="C46" t="s">
        <v>349</v>
      </c>
      <c r="D46" t="s">
        <v>922</v>
      </c>
      <c r="E46">
        <v>2</v>
      </c>
      <c r="F46" t="s">
        <v>1034</v>
      </c>
    </row>
    <row r="47" spans="1:6" x14ac:dyDescent="0.3">
      <c r="A47" t="s">
        <v>616</v>
      </c>
      <c r="B47" t="s">
        <v>27</v>
      </c>
      <c r="C47" t="s">
        <v>349</v>
      </c>
      <c r="D47" t="s">
        <v>922</v>
      </c>
      <c r="E47">
        <v>3</v>
      </c>
      <c r="F47" t="s">
        <v>1032</v>
      </c>
    </row>
    <row r="48" spans="1:6" x14ac:dyDescent="0.3">
      <c r="A48" t="s">
        <v>616</v>
      </c>
      <c r="B48" t="s">
        <v>27</v>
      </c>
      <c r="C48" t="s">
        <v>351</v>
      </c>
      <c r="D48" t="s">
        <v>913</v>
      </c>
      <c r="E48">
        <v>1</v>
      </c>
      <c r="F48" t="s">
        <v>1043</v>
      </c>
    </row>
    <row r="49" spans="1:6" x14ac:dyDescent="0.3">
      <c r="A49" t="s">
        <v>616</v>
      </c>
      <c r="B49" t="s">
        <v>27</v>
      </c>
      <c r="C49" t="s">
        <v>351</v>
      </c>
      <c r="D49" t="s">
        <v>913</v>
      </c>
      <c r="E49">
        <v>2</v>
      </c>
      <c r="F49" t="s">
        <v>1042</v>
      </c>
    </row>
    <row r="50" spans="1:6" x14ac:dyDescent="0.3">
      <c r="A50" t="s">
        <v>616</v>
      </c>
      <c r="B50" t="s">
        <v>27</v>
      </c>
      <c r="C50" t="s">
        <v>351</v>
      </c>
      <c r="D50" t="s">
        <v>913</v>
      </c>
      <c r="E50">
        <v>3</v>
      </c>
      <c r="F50" t="s">
        <v>1030</v>
      </c>
    </row>
    <row r="51" spans="1:6" x14ac:dyDescent="0.3">
      <c r="A51" t="s">
        <v>616</v>
      </c>
      <c r="B51" t="s">
        <v>27</v>
      </c>
      <c r="C51" t="s">
        <v>351</v>
      </c>
      <c r="D51" t="s">
        <v>913</v>
      </c>
      <c r="E51">
        <v>4</v>
      </c>
      <c r="F51" t="s">
        <v>1035</v>
      </c>
    </row>
    <row r="52" spans="1:6" x14ac:dyDescent="0.3">
      <c r="A52" t="s">
        <v>616</v>
      </c>
      <c r="B52" t="s">
        <v>27</v>
      </c>
      <c r="C52" t="s">
        <v>351</v>
      </c>
      <c r="D52" t="s">
        <v>922</v>
      </c>
      <c r="E52">
        <v>1</v>
      </c>
      <c r="F52" t="s">
        <v>1047</v>
      </c>
    </row>
    <row r="53" spans="1:6" x14ac:dyDescent="0.3">
      <c r="A53" t="s">
        <v>616</v>
      </c>
      <c r="B53" t="s">
        <v>27</v>
      </c>
      <c r="C53" t="s">
        <v>351</v>
      </c>
      <c r="D53" t="s">
        <v>922</v>
      </c>
      <c r="E53">
        <v>2</v>
      </c>
      <c r="F53" t="s">
        <v>1045</v>
      </c>
    </row>
    <row r="54" spans="1:6" x14ac:dyDescent="0.3">
      <c r="A54" t="s">
        <v>616</v>
      </c>
      <c r="B54" t="s">
        <v>27</v>
      </c>
      <c r="C54" t="s">
        <v>351</v>
      </c>
      <c r="D54" t="s">
        <v>922</v>
      </c>
      <c r="E54">
        <v>3</v>
      </c>
      <c r="F54" t="s">
        <v>1044</v>
      </c>
    </row>
    <row r="55" spans="1:6" x14ac:dyDescent="0.3">
      <c r="A55" t="s">
        <v>616</v>
      </c>
      <c r="B55" t="s">
        <v>27</v>
      </c>
      <c r="C55" t="s">
        <v>351</v>
      </c>
      <c r="D55" t="s">
        <v>922</v>
      </c>
      <c r="E55">
        <v>4</v>
      </c>
      <c r="F55" t="s">
        <v>1048</v>
      </c>
    </row>
    <row r="56" spans="1:6" x14ac:dyDescent="0.3">
      <c r="A56" t="s">
        <v>616</v>
      </c>
      <c r="B56" t="s">
        <v>27</v>
      </c>
      <c r="C56" t="s">
        <v>353</v>
      </c>
      <c r="D56" t="s">
        <v>913</v>
      </c>
      <c r="E56">
        <v>1</v>
      </c>
      <c r="F56" t="s">
        <v>1029</v>
      </c>
    </row>
    <row r="57" spans="1:6" x14ac:dyDescent="0.3">
      <c r="A57" t="s">
        <v>616</v>
      </c>
      <c r="B57" t="s">
        <v>27</v>
      </c>
      <c r="C57" t="s">
        <v>353</v>
      </c>
      <c r="D57" t="s">
        <v>913</v>
      </c>
      <c r="E57">
        <v>2</v>
      </c>
      <c r="F57" t="s">
        <v>337</v>
      </c>
    </row>
    <row r="58" spans="1:6" x14ac:dyDescent="0.3">
      <c r="A58" t="s">
        <v>616</v>
      </c>
      <c r="B58" t="s">
        <v>27</v>
      </c>
      <c r="C58" t="s">
        <v>353</v>
      </c>
      <c r="D58" t="s">
        <v>913</v>
      </c>
      <c r="E58">
        <v>3</v>
      </c>
      <c r="F58" t="s">
        <v>1041</v>
      </c>
    </row>
    <row r="59" spans="1:6" x14ac:dyDescent="0.3">
      <c r="A59" t="s">
        <v>616</v>
      </c>
      <c r="B59" t="s">
        <v>27</v>
      </c>
      <c r="C59" t="s">
        <v>353</v>
      </c>
      <c r="D59" t="s">
        <v>913</v>
      </c>
      <c r="E59">
        <v>4</v>
      </c>
      <c r="F59" t="s">
        <v>1042</v>
      </c>
    </row>
    <row r="60" spans="1:6" x14ac:dyDescent="0.3">
      <c r="A60" t="s">
        <v>616</v>
      </c>
      <c r="B60" t="s">
        <v>27</v>
      </c>
      <c r="C60" t="s">
        <v>353</v>
      </c>
      <c r="D60" t="s">
        <v>922</v>
      </c>
      <c r="E60">
        <v>1</v>
      </c>
      <c r="F60" t="s">
        <v>1032</v>
      </c>
    </row>
    <row r="61" spans="1:6" x14ac:dyDescent="0.3">
      <c r="A61" t="s">
        <v>616</v>
      </c>
      <c r="B61" t="s">
        <v>27</v>
      </c>
      <c r="C61" t="s">
        <v>353</v>
      </c>
      <c r="D61" t="s">
        <v>922</v>
      </c>
      <c r="E61">
        <v>2</v>
      </c>
      <c r="F61" t="s">
        <v>1046</v>
      </c>
    </row>
    <row r="62" spans="1:6" x14ac:dyDescent="0.3">
      <c r="A62" t="s">
        <v>616</v>
      </c>
      <c r="B62" t="s">
        <v>27</v>
      </c>
      <c r="C62" t="s">
        <v>353</v>
      </c>
      <c r="D62" t="s">
        <v>922</v>
      </c>
      <c r="E62">
        <v>3</v>
      </c>
      <c r="F62" t="s">
        <v>1033</v>
      </c>
    </row>
    <row r="63" spans="1:6" x14ac:dyDescent="0.3">
      <c r="A63" t="s">
        <v>616</v>
      </c>
      <c r="B63" t="s">
        <v>27</v>
      </c>
      <c r="C63" t="s">
        <v>353</v>
      </c>
      <c r="D63" t="s">
        <v>922</v>
      </c>
      <c r="E63">
        <v>4</v>
      </c>
      <c r="F63" t="s">
        <v>1037</v>
      </c>
    </row>
    <row r="64" spans="1:6" x14ac:dyDescent="0.3">
      <c r="A64" t="s">
        <v>616</v>
      </c>
      <c r="B64" t="s">
        <v>27</v>
      </c>
      <c r="C64" t="s">
        <v>355</v>
      </c>
      <c r="D64" t="s">
        <v>913</v>
      </c>
      <c r="E64">
        <v>1</v>
      </c>
      <c r="F64" t="s">
        <v>1043</v>
      </c>
    </row>
    <row r="65" spans="1:6" x14ac:dyDescent="0.3">
      <c r="A65" t="s">
        <v>616</v>
      </c>
      <c r="B65" t="s">
        <v>27</v>
      </c>
      <c r="C65" t="s">
        <v>355</v>
      </c>
      <c r="D65" t="s">
        <v>913</v>
      </c>
      <c r="E65">
        <v>2</v>
      </c>
      <c r="F65" t="s">
        <v>1042</v>
      </c>
    </row>
    <row r="66" spans="1:6" x14ac:dyDescent="0.3">
      <c r="A66" t="s">
        <v>616</v>
      </c>
      <c r="B66" t="s">
        <v>27</v>
      </c>
      <c r="C66" t="s">
        <v>355</v>
      </c>
      <c r="D66" t="s">
        <v>913</v>
      </c>
      <c r="E66">
        <v>3</v>
      </c>
      <c r="F66" t="s">
        <v>1041</v>
      </c>
    </row>
    <row r="67" spans="1:6" x14ac:dyDescent="0.3">
      <c r="A67" t="s">
        <v>616</v>
      </c>
      <c r="B67" t="s">
        <v>27</v>
      </c>
      <c r="C67" t="s">
        <v>355</v>
      </c>
      <c r="D67" t="s">
        <v>922</v>
      </c>
      <c r="E67">
        <v>1</v>
      </c>
      <c r="F67" t="s">
        <v>1049</v>
      </c>
    </row>
    <row r="68" spans="1:6" x14ac:dyDescent="0.3">
      <c r="A68" t="s">
        <v>616</v>
      </c>
      <c r="B68" t="s">
        <v>27</v>
      </c>
      <c r="C68" t="s">
        <v>355</v>
      </c>
      <c r="D68" t="s">
        <v>922</v>
      </c>
      <c r="E68">
        <v>2</v>
      </c>
      <c r="F68" t="s">
        <v>1032</v>
      </c>
    </row>
    <row r="69" spans="1:6" x14ac:dyDescent="0.3">
      <c r="A69" t="s">
        <v>616</v>
      </c>
      <c r="B69" t="s">
        <v>27</v>
      </c>
      <c r="C69" t="s">
        <v>355</v>
      </c>
      <c r="D69" t="s">
        <v>922</v>
      </c>
      <c r="E69">
        <v>3</v>
      </c>
      <c r="F69" t="s">
        <v>1046</v>
      </c>
    </row>
    <row r="70" spans="1:6" x14ac:dyDescent="0.3">
      <c r="A70" t="s">
        <v>616</v>
      </c>
      <c r="B70" t="s">
        <v>27</v>
      </c>
      <c r="C70" t="s">
        <v>355</v>
      </c>
      <c r="D70" t="s">
        <v>922</v>
      </c>
      <c r="E70">
        <v>4</v>
      </c>
      <c r="F70" t="s">
        <v>1033</v>
      </c>
    </row>
    <row r="71" spans="1:6" x14ac:dyDescent="0.3">
      <c r="A71" t="s">
        <v>616</v>
      </c>
      <c r="B71" t="s">
        <v>27</v>
      </c>
      <c r="C71" t="s">
        <v>355</v>
      </c>
      <c r="D71" t="s">
        <v>922</v>
      </c>
      <c r="E71">
        <v>5</v>
      </c>
      <c r="F71" t="s">
        <v>1036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32"/>
  <sheetViews>
    <sheetView workbookViewId="0"/>
  </sheetViews>
  <sheetFormatPr defaultRowHeight="14.4" x14ac:dyDescent="0.3"/>
  <cols>
    <col min="1" max="1" width="48" customWidth="1"/>
    <col min="2" max="2" width="16" customWidth="1"/>
    <col min="3" max="5" width="12" customWidth="1"/>
    <col min="6" max="6" width="16" customWidth="1"/>
  </cols>
  <sheetData>
    <row r="1" spans="1:6" x14ac:dyDescent="0.3">
      <c r="A1" t="s">
        <v>609</v>
      </c>
      <c r="B1" t="s">
        <v>618</v>
      </c>
      <c r="C1" t="s">
        <v>669</v>
      </c>
      <c r="D1" t="s">
        <v>670</v>
      </c>
      <c r="E1" t="s">
        <v>619</v>
      </c>
      <c r="F1" t="s">
        <v>671</v>
      </c>
    </row>
    <row r="2" spans="1:6" x14ac:dyDescent="0.3">
      <c r="A2" t="s">
        <v>616</v>
      </c>
      <c r="B2" t="s">
        <v>28</v>
      </c>
      <c r="C2" t="s">
        <v>878</v>
      </c>
      <c r="E2">
        <v>1</v>
      </c>
      <c r="F2" t="s">
        <v>1032</v>
      </c>
    </row>
    <row r="3" spans="1:6" x14ac:dyDescent="0.3">
      <c r="A3" t="s">
        <v>616</v>
      </c>
      <c r="B3" t="s">
        <v>28</v>
      </c>
      <c r="C3" t="s">
        <v>878</v>
      </c>
      <c r="E3">
        <v>2</v>
      </c>
      <c r="F3" t="s">
        <v>1033</v>
      </c>
    </row>
    <row r="4" spans="1:6" x14ac:dyDescent="0.3">
      <c r="A4" t="s">
        <v>616</v>
      </c>
      <c r="B4" t="s">
        <v>28</v>
      </c>
      <c r="C4" t="s">
        <v>878</v>
      </c>
      <c r="E4">
        <v>3</v>
      </c>
      <c r="F4" t="s">
        <v>1034</v>
      </c>
    </row>
    <row r="5" spans="1:6" x14ac:dyDescent="0.3">
      <c r="A5" t="s">
        <v>616</v>
      </c>
      <c r="B5" t="s">
        <v>28</v>
      </c>
      <c r="C5" t="s">
        <v>882</v>
      </c>
      <c r="E5">
        <v>1</v>
      </c>
      <c r="F5" t="s">
        <v>1038</v>
      </c>
    </row>
    <row r="6" spans="1:6" x14ac:dyDescent="0.3">
      <c r="A6" t="s">
        <v>616</v>
      </c>
      <c r="B6" t="s">
        <v>28</v>
      </c>
      <c r="C6" t="s">
        <v>882</v>
      </c>
      <c r="E6">
        <v>2</v>
      </c>
      <c r="F6" t="s">
        <v>1039</v>
      </c>
    </row>
    <row r="7" spans="1:6" x14ac:dyDescent="0.3">
      <c r="A7" t="s">
        <v>616</v>
      </c>
      <c r="B7" t="s">
        <v>28</v>
      </c>
      <c r="C7" t="s">
        <v>882</v>
      </c>
      <c r="E7">
        <v>3</v>
      </c>
      <c r="F7" t="s">
        <v>1040</v>
      </c>
    </row>
    <row r="8" spans="1:6" x14ac:dyDescent="0.3">
      <c r="A8" t="s">
        <v>616</v>
      </c>
      <c r="B8" t="s">
        <v>28</v>
      </c>
      <c r="C8" t="s">
        <v>1050</v>
      </c>
      <c r="E8">
        <v>1</v>
      </c>
      <c r="F8" t="s">
        <v>1032</v>
      </c>
    </row>
    <row r="9" spans="1:6" x14ac:dyDescent="0.3">
      <c r="A9" t="s">
        <v>616</v>
      </c>
      <c r="B9" t="s">
        <v>28</v>
      </c>
      <c r="C9" t="s">
        <v>1050</v>
      </c>
      <c r="E9">
        <v>2</v>
      </c>
      <c r="F9" t="s">
        <v>1046</v>
      </c>
    </row>
    <row r="10" spans="1:6" x14ac:dyDescent="0.3">
      <c r="A10" t="s">
        <v>616</v>
      </c>
      <c r="B10" t="s">
        <v>28</v>
      </c>
      <c r="C10" t="s">
        <v>1050</v>
      </c>
      <c r="E10">
        <v>3</v>
      </c>
      <c r="F10" t="s">
        <v>1044</v>
      </c>
    </row>
    <row r="11" spans="1:6" x14ac:dyDescent="0.3">
      <c r="A11" t="s">
        <v>616</v>
      </c>
      <c r="B11" t="s">
        <v>28</v>
      </c>
      <c r="C11" t="s">
        <v>1050</v>
      </c>
      <c r="E11">
        <v>4</v>
      </c>
      <c r="F11" t="s">
        <v>1045</v>
      </c>
    </row>
    <row r="12" spans="1:6" x14ac:dyDescent="0.3">
      <c r="A12" t="s">
        <v>616</v>
      </c>
      <c r="B12" t="s">
        <v>28</v>
      </c>
      <c r="C12" t="s">
        <v>889</v>
      </c>
      <c r="E12">
        <v>1</v>
      </c>
      <c r="F12" t="s">
        <v>1032</v>
      </c>
    </row>
    <row r="13" spans="1:6" x14ac:dyDescent="0.3">
      <c r="A13" t="s">
        <v>616</v>
      </c>
      <c r="B13" t="s">
        <v>28</v>
      </c>
      <c r="C13" t="s">
        <v>889</v>
      </c>
      <c r="E13">
        <v>2</v>
      </c>
      <c r="F13" t="s">
        <v>1046</v>
      </c>
    </row>
    <row r="14" spans="1:6" x14ac:dyDescent="0.3">
      <c r="A14" t="s">
        <v>616</v>
      </c>
      <c r="B14" t="s">
        <v>28</v>
      </c>
      <c r="C14" t="s">
        <v>889</v>
      </c>
      <c r="E14">
        <v>3</v>
      </c>
      <c r="F14" t="s">
        <v>1040</v>
      </c>
    </row>
    <row r="15" spans="1:6" x14ac:dyDescent="0.3">
      <c r="A15" t="s">
        <v>616</v>
      </c>
      <c r="B15" t="s">
        <v>28</v>
      </c>
      <c r="C15" t="s">
        <v>876</v>
      </c>
      <c r="E15">
        <v>1</v>
      </c>
      <c r="F15" t="s">
        <v>1033</v>
      </c>
    </row>
    <row r="16" spans="1:6" x14ac:dyDescent="0.3">
      <c r="A16" t="s">
        <v>616</v>
      </c>
      <c r="B16" t="s">
        <v>28</v>
      </c>
      <c r="C16" t="s">
        <v>876</v>
      </c>
      <c r="E16">
        <v>2</v>
      </c>
      <c r="F16" t="s">
        <v>1034</v>
      </c>
    </row>
    <row r="17" spans="1:6" x14ac:dyDescent="0.3">
      <c r="A17" t="s">
        <v>616</v>
      </c>
      <c r="B17" t="s">
        <v>28</v>
      </c>
      <c r="C17" t="s">
        <v>876</v>
      </c>
      <c r="E17">
        <v>3</v>
      </c>
      <c r="F17" t="s">
        <v>1032</v>
      </c>
    </row>
    <row r="18" spans="1:6" x14ac:dyDescent="0.3">
      <c r="A18" t="s">
        <v>616</v>
      </c>
      <c r="B18" t="s">
        <v>28</v>
      </c>
      <c r="C18" t="s">
        <v>876</v>
      </c>
      <c r="E18">
        <v>4</v>
      </c>
      <c r="F18" t="s">
        <v>1046</v>
      </c>
    </row>
    <row r="19" spans="1:6" x14ac:dyDescent="0.3">
      <c r="A19" t="s">
        <v>616</v>
      </c>
      <c r="B19" t="s">
        <v>28</v>
      </c>
      <c r="C19" t="s">
        <v>1051</v>
      </c>
      <c r="E19">
        <v>1</v>
      </c>
      <c r="F19" t="s">
        <v>1033</v>
      </c>
    </row>
    <row r="20" spans="1:6" x14ac:dyDescent="0.3">
      <c r="A20" t="s">
        <v>616</v>
      </c>
      <c r="B20" t="s">
        <v>28</v>
      </c>
      <c r="C20" t="s">
        <v>1051</v>
      </c>
      <c r="E20">
        <v>2</v>
      </c>
      <c r="F20" t="s">
        <v>1034</v>
      </c>
    </row>
    <row r="21" spans="1:6" x14ac:dyDescent="0.3">
      <c r="A21" t="s">
        <v>616</v>
      </c>
      <c r="B21" t="s">
        <v>28</v>
      </c>
      <c r="C21" t="s">
        <v>1051</v>
      </c>
      <c r="E21">
        <v>3</v>
      </c>
      <c r="F21" t="s">
        <v>1032</v>
      </c>
    </row>
    <row r="22" spans="1:6" x14ac:dyDescent="0.3">
      <c r="A22" t="s">
        <v>616</v>
      </c>
      <c r="B22" t="s">
        <v>28</v>
      </c>
      <c r="C22" t="s">
        <v>1052</v>
      </c>
      <c r="E22">
        <v>1</v>
      </c>
      <c r="F22" t="s">
        <v>1047</v>
      </c>
    </row>
    <row r="23" spans="1:6" x14ac:dyDescent="0.3">
      <c r="A23" t="s">
        <v>616</v>
      </c>
      <c r="B23" t="s">
        <v>28</v>
      </c>
      <c r="C23" t="s">
        <v>1052</v>
      </c>
      <c r="E23">
        <v>2</v>
      </c>
      <c r="F23" t="s">
        <v>1045</v>
      </c>
    </row>
    <row r="24" spans="1:6" x14ac:dyDescent="0.3">
      <c r="A24" t="s">
        <v>616</v>
      </c>
      <c r="B24" t="s">
        <v>28</v>
      </c>
      <c r="C24" t="s">
        <v>1052</v>
      </c>
      <c r="E24">
        <v>3</v>
      </c>
      <c r="F24" t="s">
        <v>1040</v>
      </c>
    </row>
    <row r="25" spans="1:6" x14ac:dyDescent="0.3">
      <c r="A25" t="s">
        <v>616</v>
      </c>
      <c r="B25" t="s">
        <v>28</v>
      </c>
      <c r="C25" t="s">
        <v>1052</v>
      </c>
      <c r="E25">
        <v>4</v>
      </c>
      <c r="F25" t="s">
        <v>1044</v>
      </c>
    </row>
    <row r="26" spans="1:6" x14ac:dyDescent="0.3">
      <c r="A26" t="s">
        <v>616</v>
      </c>
      <c r="B26" t="s">
        <v>28</v>
      </c>
      <c r="C26" t="s">
        <v>1053</v>
      </c>
      <c r="E26">
        <v>1</v>
      </c>
      <c r="F26" t="s">
        <v>1032</v>
      </c>
    </row>
    <row r="27" spans="1:6" x14ac:dyDescent="0.3">
      <c r="A27" t="s">
        <v>616</v>
      </c>
      <c r="B27" t="s">
        <v>28</v>
      </c>
      <c r="C27" t="s">
        <v>1053</v>
      </c>
      <c r="E27">
        <v>2</v>
      </c>
      <c r="F27" t="s">
        <v>1046</v>
      </c>
    </row>
    <row r="28" spans="1:6" x14ac:dyDescent="0.3">
      <c r="A28" t="s">
        <v>616</v>
      </c>
      <c r="B28" t="s">
        <v>28</v>
      </c>
      <c r="C28" t="s">
        <v>1053</v>
      </c>
      <c r="E28">
        <v>3</v>
      </c>
      <c r="F28" t="s">
        <v>1033</v>
      </c>
    </row>
    <row r="29" spans="1:6" x14ac:dyDescent="0.3">
      <c r="A29" t="s">
        <v>616</v>
      </c>
      <c r="B29" t="s">
        <v>28</v>
      </c>
      <c r="C29" t="s">
        <v>1054</v>
      </c>
      <c r="E29">
        <v>1</v>
      </c>
      <c r="F29" t="s">
        <v>1049</v>
      </c>
    </row>
    <row r="30" spans="1:6" x14ac:dyDescent="0.3">
      <c r="A30" t="s">
        <v>616</v>
      </c>
      <c r="B30" t="s">
        <v>28</v>
      </c>
      <c r="C30" t="s">
        <v>1054</v>
      </c>
      <c r="E30">
        <v>2</v>
      </c>
      <c r="F30" t="s">
        <v>1036</v>
      </c>
    </row>
    <row r="31" spans="1:6" x14ac:dyDescent="0.3">
      <c r="A31" t="s">
        <v>616</v>
      </c>
      <c r="B31" t="s">
        <v>28</v>
      </c>
      <c r="C31" t="s">
        <v>1054</v>
      </c>
      <c r="E31">
        <v>3</v>
      </c>
      <c r="F31" t="s">
        <v>1032</v>
      </c>
    </row>
    <row r="32" spans="1:6" x14ac:dyDescent="0.3">
      <c r="A32" t="s">
        <v>616</v>
      </c>
      <c r="B32" t="s">
        <v>28</v>
      </c>
      <c r="C32" t="s">
        <v>1054</v>
      </c>
      <c r="E32">
        <v>4</v>
      </c>
      <c r="F32" t="s">
        <v>1046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98"/>
  <sheetViews>
    <sheetView workbookViewId="0"/>
  </sheetViews>
  <sheetFormatPr defaultRowHeight="14.4" x14ac:dyDescent="0.3"/>
  <cols>
    <col min="1" max="1" width="48" customWidth="1"/>
    <col min="2" max="2" width="14" customWidth="1"/>
    <col min="3" max="3" width="21" customWidth="1"/>
    <col min="4" max="5" width="12" customWidth="1"/>
    <col min="6" max="6" width="20" customWidth="1"/>
  </cols>
  <sheetData>
    <row r="1" spans="1:6" x14ac:dyDescent="0.3">
      <c r="A1" t="s">
        <v>609</v>
      </c>
      <c r="B1" t="s">
        <v>618</v>
      </c>
      <c r="C1" t="s">
        <v>669</v>
      </c>
      <c r="D1" t="s">
        <v>670</v>
      </c>
      <c r="E1" t="s">
        <v>619</v>
      </c>
      <c r="F1" t="s">
        <v>671</v>
      </c>
    </row>
    <row r="2" spans="1:6" x14ac:dyDescent="0.3">
      <c r="A2" t="s">
        <v>617</v>
      </c>
      <c r="B2" t="s">
        <v>29</v>
      </c>
      <c r="C2" t="s">
        <v>1055</v>
      </c>
      <c r="E2">
        <v>1</v>
      </c>
      <c r="F2" t="s">
        <v>738</v>
      </c>
    </row>
    <row r="3" spans="1:6" x14ac:dyDescent="0.3">
      <c r="A3" t="s">
        <v>617</v>
      </c>
      <c r="B3" t="s">
        <v>29</v>
      </c>
      <c r="C3" t="s">
        <v>1055</v>
      </c>
      <c r="E3">
        <v>2</v>
      </c>
      <c r="F3" t="s">
        <v>1056</v>
      </c>
    </row>
    <row r="4" spans="1:6" x14ac:dyDescent="0.3">
      <c r="A4" t="s">
        <v>617</v>
      </c>
      <c r="B4" t="s">
        <v>29</v>
      </c>
      <c r="C4" t="s">
        <v>1055</v>
      </c>
      <c r="E4">
        <v>3</v>
      </c>
      <c r="F4" t="s">
        <v>667</v>
      </c>
    </row>
    <row r="5" spans="1:6" x14ac:dyDescent="0.3">
      <c r="A5" t="s">
        <v>617</v>
      </c>
      <c r="B5" t="s">
        <v>29</v>
      </c>
      <c r="C5" t="s">
        <v>1055</v>
      </c>
      <c r="E5">
        <v>4</v>
      </c>
      <c r="F5" t="s">
        <v>747</v>
      </c>
    </row>
    <row r="6" spans="1:6" x14ac:dyDescent="0.3">
      <c r="A6" t="s">
        <v>617</v>
      </c>
      <c r="B6" t="s">
        <v>29</v>
      </c>
      <c r="C6" t="s">
        <v>1055</v>
      </c>
      <c r="E6">
        <v>5</v>
      </c>
      <c r="F6" t="s">
        <v>1057</v>
      </c>
    </row>
    <row r="7" spans="1:6" x14ac:dyDescent="0.3">
      <c r="A7" t="s">
        <v>617</v>
      </c>
      <c r="B7" t="s">
        <v>29</v>
      </c>
      <c r="C7" t="s">
        <v>1055</v>
      </c>
      <c r="E7">
        <v>6</v>
      </c>
      <c r="F7" t="s">
        <v>357</v>
      </c>
    </row>
    <row r="8" spans="1:6" x14ac:dyDescent="0.3">
      <c r="A8" t="s">
        <v>617</v>
      </c>
      <c r="B8" t="s">
        <v>29</v>
      </c>
      <c r="C8" t="s">
        <v>1055</v>
      </c>
      <c r="E8">
        <v>7</v>
      </c>
      <c r="F8" t="s">
        <v>1058</v>
      </c>
    </row>
    <row r="9" spans="1:6" x14ac:dyDescent="0.3">
      <c r="A9" t="s">
        <v>617</v>
      </c>
      <c r="B9" t="s">
        <v>29</v>
      </c>
      <c r="C9" t="s">
        <v>1055</v>
      </c>
      <c r="E9">
        <v>8</v>
      </c>
      <c r="F9" t="s">
        <v>1059</v>
      </c>
    </row>
    <row r="10" spans="1:6" x14ac:dyDescent="0.3">
      <c r="A10" t="s">
        <v>617</v>
      </c>
      <c r="B10" t="s">
        <v>29</v>
      </c>
      <c r="C10" t="s">
        <v>1055</v>
      </c>
      <c r="E10">
        <v>9</v>
      </c>
      <c r="F10" t="s">
        <v>1060</v>
      </c>
    </row>
    <row r="11" spans="1:6" x14ac:dyDescent="0.3">
      <c r="A11" t="s">
        <v>617</v>
      </c>
      <c r="B11" t="s">
        <v>29</v>
      </c>
      <c r="C11" t="s">
        <v>1055</v>
      </c>
      <c r="E11">
        <v>10</v>
      </c>
      <c r="F11" t="s">
        <v>1061</v>
      </c>
    </row>
    <row r="12" spans="1:6" x14ac:dyDescent="0.3">
      <c r="A12" t="s">
        <v>617</v>
      </c>
      <c r="B12" t="s">
        <v>29</v>
      </c>
      <c r="C12" t="s">
        <v>1062</v>
      </c>
      <c r="E12">
        <v>1</v>
      </c>
      <c r="F12" t="s">
        <v>1063</v>
      </c>
    </row>
    <row r="13" spans="1:6" x14ac:dyDescent="0.3">
      <c r="A13" t="s">
        <v>617</v>
      </c>
      <c r="B13" t="s">
        <v>29</v>
      </c>
      <c r="C13" t="s">
        <v>1062</v>
      </c>
      <c r="E13">
        <v>2</v>
      </c>
      <c r="F13" t="s">
        <v>1064</v>
      </c>
    </row>
    <row r="14" spans="1:6" x14ac:dyDescent="0.3">
      <c r="A14" t="s">
        <v>617</v>
      </c>
      <c r="B14" t="s">
        <v>29</v>
      </c>
      <c r="C14" t="s">
        <v>1062</v>
      </c>
      <c r="E14">
        <v>3</v>
      </c>
      <c r="F14" t="s">
        <v>1065</v>
      </c>
    </row>
    <row r="15" spans="1:6" x14ac:dyDescent="0.3">
      <c r="A15" t="s">
        <v>617</v>
      </c>
      <c r="B15" t="s">
        <v>29</v>
      </c>
      <c r="C15" t="s">
        <v>1062</v>
      </c>
      <c r="E15">
        <v>4</v>
      </c>
      <c r="F15" t="s">
        <v>1066</v>
      </c>
    </row>
    <row r="16" spans="1:6" x14ac:dyDescent="0.3">
      <c r="A16" t="s">
        <v>617</v>
      </c>
      <c r="B16" t="s">
        <v>29</v>
      </c>
      <c r="C16" t="s">
        <v>1062</v>
      </c>
      <c r="E16">
        <v>5</v>
      </c>
      <c r="F16" t="s">
        <v>1067</v>
      </c>
    </row>
    <row r="17" spans="1:6" x14ac:dyDescent="0.3">
      <c r="A17" t="s">
        <v>617</v>
      </c>
      <c r="B17" t="s">
        <v>29</v>
      </c>
      <c r="C17" t="s">
        <v>1062</v>
      </c>
      <c r="E17">
        <v>6</v>
      </c>
      <c r="F17" t="s">
        <v>1068</v>
      </c>
    </row>
    <row r="18" spans="1:6" x14ac:dyDescent="0.3">
      <c r="A18" t="s">
        <v>617</v>
      </c>
      <c r="B18" t="s">
        <v>29</v>
      </c>
      <c r="C18" t="s">
        <v>1062</v>
      </c>
      <c r="E18">
        <v>7</v>
      </c>
      <c r="F18" t="s">
        <v>1069</v>
      </c>
    </row>
    <row r="19" spans="1:6" x14ac:dyDescent="0.3">
      <c r="A19" t="s">
        <v>617</v>
      </c>
      <c r="B19" t="s">
        <v>29</v>
      </c>
      <c r="C19" t="s">
        <v>1062</v>
      </c>
      <c r="E19">
        <v>8</v>
      </c>
      <c r="F19" t="s">
        <v>1070</v>
      </c>
    </row>
    <row r="20" spans="1:6" x14ac:dyDescent="0.3">
      <c r="A20" t="s">
        <v>617</v>
      </c>
      <c r="B20" t="s">
        <v>29</v>
      </c>
      <c r="C20" t="s">
        <v>1062</v>
      </c>
      <c r="E20">
        <v>9</v>
      </c>
      <c r="F20" t="s">
        <v>1071</v>
      </c>
    </row>
    <row r="21" spans="1:6" x14ac:dyDescent="0.3">
      <c r="A21" t="s">
        <v>617</v>
      </c>
      <c r="B21" t="s">
        <v>29</v>
      </c>
      <c r="C21" t="s">
        <v>1062</v>
      </c>
      <c r="E21">
        <v>10</v>
      </c>
      <c r="F21" t="s">
        <v>1072</v>
      </c>
    </row>
    <row r="22" spans="1:6" x14ac:dyDescent="0.3">
      <c r="A22" t="s">
        <v>617</v>
      </c>
      <c r="B22" t="s">
        <v>29</v>
      </c>
      <c r="C22" t="s">
        <v>1073</v>
      </c>
      <c r="E22">
        <v>1</v>
      </c>
      <c r="F22" t="s">
        <v>1074</v>
      </c>
    </row>
    <row r="23" spans="1:6" x14ac:dyDescent="0.3">
      <c r="A23" t="s">
        <v>617</v>
      </c>
      <c r="B23" t="s">
        <v>29</v>
      </c>
      <c r="C23" t="s">
        <v>1073</v>
      </c>
      <c r="E23">
        <v>2</v>
      </c>
      <c r="F23" t="s">
        <v>1075</v>
      </c>
    </row>
    <row r="24" spans="1:6" x14ac:dyDescent="0.3">
      <c r="A24" t="s">
        <v>617</v>
      </c>
      <c r="B24" t="s">
        <v>29</v>
      </c>
      <c r="C24" t="s">
        <v>1073</v>
      </c>
      <c r="E24">
        <v>3</v>
      </c>
      <c r="F24" t="s">
        <v>666</v>
      </c>
    </row>
    <row r="25" spans="1:6" x14ac:dyDescent="0.3">
      <c r="A25" t="s">
        <v>617</v>
      </c>
      <c r="B25" t="s">
        <v>29</v>
      </c>
      <c r="C25" t="s">
        <v>1073</v>
      </c>
      <c r="E25">
        <v>4</v>
      </c>
      <c r="F25" t="s">
        <v>1076</v>
      </c>
    </row>
    <row r="26" spans="1:6" x14ac:dyDescent="0.3">
      <c r="A26" t="s">
        <v>617</v>
      </c>
      <c r="B26" t="s">
        <v>29</v>
      </c>
      <c r="C26" t="s">
        <v>1073</v>
      </c>
      <c r="E26">
        <v>5</v>
      </c>
      <c r="F26" t="s">
        <v>1077</v>
      </c>
    </row>
    <row r="27" spans="1:6" x14ac:dyDescent="0.3">
      <c r="A27" t="s">
        <v>617</v>
      </c>
      <c r="B27" t="s">
        <v>29</v>
      </c>
      <c r="C27" t="s">
        <v>1073</v>
      </c>
      <c r="E27">
        <v>6</v>
      </c>
      <c r="F27" t="s">
        <v>628</v>
      </c>
    </row>
    <row r="28" spans="1:6" x14ac:dyDescent="0.3">
      <c r="A28" t="s">
        <v>617</v>
      </c>
      <c r="B28" t="s">
        <v>29</v>
      </c>
      <c r="C28" t="s">
        <v>1073</v>
      </c>
      <c r="E28">
        <v>7</v>
      </c>
      <c r="F28" t="s">
        <v>1078</v>
      </c>
    </row>
    <row r="29" spans="1:6" x14ac:dyDescent="0.3">
      <c r="A29" t="s">
        <v>617</v>
      </c>
      <c r="B29" t="s">
        <v>29</v>
      </c>
      <c r="C29" t="s">
        <v>1073</v>
      </c>
      <c r="E29">
        <v>8</v>
      </c>
      <c r="F29" t="s">
        <v>1079</v>
      </c>
    </row>
    <row r="30" spans="1:6" x14ac:dyDescent="0.3">
      <c r="A30" t="s">
        <v>617</v>
      </c>
      <c r="B30" t="s">
        <v>29</v>
      </c>
      <c r="C30" t="s">
        <v>1073</v>
      </c>
      <c r="E30">
        <v>9</v>
      </c>
      <c r="F30" t="s">
        <v>1080</v>
      </c>
    </row>
    <row r="31" spans="1:6" x14ac:dyDescent="0.3">
      <c r="A31" t="s">
        <v>617</v>
      </c>
      <c r="B31" t="s">
        <v>29</v>
      </c>
      <c r="C31" t="s">
        <v>1073</v>
      </c>
      <c r="E31">
        <v>10</v>
      </c>
      <c r="F31" t="s">
        <v>1081</v>
      </c>
    </row>
    <row r="32" spans="1:6" x14ac:dyDescent="0.3">
      <c r="A32" t="s">
        <v>617</v>
      </c>
      <c r="B32" t="s">
        <v>29</v>
      </c>
      <c r="C32" t="s">
        <v>1082</v>
      </c>
      <c r="E32">
        <v>1</v>
      </c>
      <c r="F32" t="s">
        <v>1083</v>
      </c>
    </row>
    <row r="33" spans="1:6" x14ac:dyDescent="0.3">
      <c r="A33" t="s">
        <v>617</v>
      </c>
      <c r="B33" t="s">
        <v>29</v>
      </c>
      <c r="C33" t="s">
        <v>1082</v>
      </c>
      <c r="E33">
        <v>2</v>
      </c>
      <c r="F33" t="s">
        <v>748</v>
      </c>
    </row>
    <row r="34" spans="1:6" x14ac:dyDescent="0.3">
      <c r="A34" t="s">
        <v>617</v>
      </c>
      <c r="B34" t="s">
        <v>29</v>
      </c>
      <c r="C34" t="s">
        <v>1082</v>
      </c>
      <c r="E34">
        <v>3</v>
      </c>
      <c r="F34" t="s">
        <v>1084</v>
      </c>
    </row>
    <row r="35" spans="1:6" x14ac:dyDescent="0.3">
      <c r="A35" t="s">
        <v>617</v>
      </c>
      <c r="B35" t="s">
        <v>29</v>
      </c>
      <c r="C35" t="s">
        <v>1082</v>
      </c>
      <c r="E35">
        <v>4</v>
      </c>
      <c r="F35" t="s">
        <v>1085</v>
      </c>
    </row>
    <row r="36" spans="1:6" x14ac:dyDescent="0.3">
      <c r="A36" t="s">
        <v>617</v>
      </c>
      <c r="B36" t="s">
        <v>29</v>
      </c>
      <c r="C36" t="s">
        <v>1082</v>
      </c>
      <c r="E36">
        <v>5</v>
      </c>
      <c r="F36" t="s">
        <v>1086</v>
      </c>
    </row>
    <row r="37" spans="1:6" x14ac:dyDescent="0.3">
      <c r="A37" t="s">
        <v>617</v>
      </c>
      <c r="B37" t="s">
        <v>29</v>
      </c>
      <c r="C37" t="s">
        <v>1082</v>
      </c>
      <c r="E37">
        <v>6</v>
      </c>
      <c r="F37" t="s">
        <v>337</v>
      </c>
    </row>
    <row r="38" spans="1:6" x14ac:dyDescent="0.3">
      <c r="A38" t="s">
        <v>617</v>
      </c>
      <c r="B38" t="s">
        <v>29</v>
      </c>
      <c r="C38" t="s">
        <v>1082</v>
      </c>
      <c r="E38">
        <v>7</v>
      </c>
      <c r="F38" t="s">
        <v>428</v>
      </c>
    </row>
    <row r="39" spans="1:6" x14ac:dyDescent="0.3">
      <c r="A39" t="s">
        <v>617</v>
      </c>
      <c r="B39" t="s">
        <v>29</v>
      </c>
      <c r="C39" t="s">
        <v>1082</v>
      </c>
      <c r="E39">
        <v>8</v>
      </c>
      <c r="F39" t="s">
        <v>1087</v>
      </c>
    </row>
    <row r="40" spans="1:6" x14ac:dyDescent="0.3">
      <c r="A40" t="s">
        <v>617</v>
      </c>
      <c r="B40" t="s">
        <v>29</v>
      </c>
      <c r="C40" t="s">
        <v>1082</v>
      </c>
      <c r="E40">
        <v>9</v>
      </c>
      <c r="F40" t="s">
        <v>1088</v>
      </c>
    </row>
    <row r="41" spans="1:6" x14ac:dyDescent="0.3">
      <c r="A41" t="s">
        <v>617</v>
      </c>
      <c r="B41" t="s">
        <v>29</v>
      </c>
      <c r="C41" t="s">
        <v>1082</v>
      </c>
      <c r="E41">
        <v>10</v>
      </c>
      <c r="F41" t="s">
        <v>742</v>
      </c>
    </row>
    <row r="42" spans="1:6" x14ac:dyDescent="0.3">
      <c r="A42" t="s">
        <v>617</v>
      </c>
      <c r="B42" t="s">
        <v>29</v>
      </c>
      <c r="C42" t="s">
        <v>1089</v>
      </c>
      <c r="E42">
        <v>1</v>
      </c>
      <c r="F42" t="s">
        <v>655</v>
      </c>
    </row>
    <row r="43" spans="1:6" x14ac:dyDescent="0.3">
      <c r="A43" t="s">
        <v>617</v>
      </c>
      <c r="B43" t="s">
        <v>29</v>
      </c>
      <c r="C43" t="s">
        <v>1089</v>
      </c>
      <c r="E43">
        <v>2</v>
      </c>
      <c r="F43" t="s">
        <v>1090</v>
      </c>
    </row>
    <row r="44" spans="1:6" x14ac:dyDescent="0.3">
      <c r="A44" t="s">
        <v>617</v>
      </c>
      <c r="B44" t="s">
        <v>29</v>
      </c>
      <c r="C44" t="s">
        <v>1089</v>
      </c>
      <c r="E44">
        <v>3</v>
      </c>
      <c r="F44" t="s">
        <v>1091</v>
      </c>
    </row>
    <row r="45" spans="1:6" x14ac:dyDescent="0.3">
      <c r="A45" t="s">
        <v>617</v>
      </c>
      <c r="B45" t="s">
        <v>29</v>
      </c>
      <c r="C45" t="s">
        <v>1089</v>
      </c>
      <c r="E45">
        <v>4</v>
      </c>
      <c r="F45" t="s">
        <v>1092</v>
      </c>
    </row>
    <row r="46" spans="1:6" x14ac:dyDescent="0.3">
      <c r="A46" t="s">
        <v>617</v>
      </c>
      <c r="B46" t="s">
        <v>29</v>
      </c>
      <c r="C46" t="s">
        <v>1089</v>
      </c>
      <c r="E46">
        <v>5</v>
      </c>
      <c r="F46" t="s">
        <v>752</v>
      </c>
    </row>
    <row r="47" spans="1:6" x14ac:dyDescent="0.3">
      <c r="A47" t="s">
        <v>617</v>
      </c>
      <c r="B47" t="s">
        <v>29</v>
      </c>
      <c r="C47" t="s">
        <v>1089</v>
      </c>
      <c r="E47">
        <v>6</v>
      </c>
      <c r="F47" t="s">
        <v>1093</v>
      </c>
    </row>
    <row r="48" spans="1:6" x14ac:dyDescent="0.3">
      <c r="A48" t="s">
        <v>617</v>
      </c>
      <c r="B48" t="s">
        <v>29</v>
      </c>
      <c r="C48" t="s">
        <v>1089</v>
      </c>
      <c r="E48">
        <v>7</v>
      </c>
      <c r="F48" t="s">
        <v>1094</v>
      </c>
    </row>
    <row r="49" spans="1:6" x14ac:dyDescent="0.3">
      <c r="A49" t="s">
        <v>617</v>
      </c>
      <c r="B49" t="s">
        <v>29</v>
      </c>
      <c r="C49" t="s">
        <v>1089</v>
      </c>
      <c r="E49">
        <v>8</v>
      </c>
      <c r="F49" t="s">
        <v>712</v>
      </c>
    </row>
    <row r="50" spans="1:6" x14ac:dyDescent="0.3">
      <c r="A50" t="s">
        <v>617</v>
      </c>
      <c r="B50" t="s">
        <v>29</v>
      </c>
      <c r="C50" t="s">
        <v>1089</v>
      </c>
      <c r="E50">
        <v>9</v>
      </c>
      <c r="F50" t="s">
        <v>1095</v>
      </c>
    </row>
    <row r="51" spans="1:6" x14ac:dyDescent="0.3">
      <c r="A51" t="s">
        <v>617</v>
      </c>
      <c r="B51" t="s">
        <v>29</v>
      </c>
      <c r="C51" t="s">
        <v>1089</v>
      </c>
      <c r="E51">
        <v>10</v>
      </c>
      <c r="F51" t="s">
        <v>1096</v>
      </c>
    </row>
    <row r="52" spans="1:6" x14ac:dyDescent="0.3">
      <c r="A52" t="s">
        <v>617</v>
      </c>
      <c r="B52" t="s">
        <v>29</v>
      </c>
      <c r="C52" t="s">
        <v>1097</v>
      </c>
      <c r="E52">
        <v>1</v>
      </c>
      <c r="F52" t="s">
        <v>1098</v>
      </c>
    </row>
    <row r="53" spans="1:6" x14ac:dyDescent="0.3">
      <c r="A53" t="s">
        <v>617</v>
      </c>
      <c r="B53" t="s">
        <v>29</v>
      </c>
      <c r="C53" t="s">
        <v>1097</v>
      </c>
      <c r="E53">
        <v>2</v>
      </c>
      <c r="F53" t="s">
        <v>668</v>
      </c>
    </row>
    <row r="54" spans="1:6" x14ac:dyDescent="0.3">
      <c r="A54" t="s">
        <v>617</v>
      </c>
      <c r="B54" t="s">
        <v>29</v>
      </c>
      <c r="C54" t="s">
        <v>1097</v>
      </c>
      <c r="E54">
        <v>3</v>
      </c>
      <c r="F54" t="s">
        <v>1099</v>
      </c>
    </row>
    <row r="55" spans="1:6" x14ac:dyDescent="0.3">
      <c r="A55" t="s">
        <v>617</v>
      </c>
      <c r="B55" t="s">
        <v>29</v>
      </c>
      <c r="C55" t="s">
        <v>1097</v>
      </c>
      <c r="E55">
        <v>4</v>
      </c>
      <c r="F55" t="s">
        <v>1100</v>
      </c>
    </row>
    <row r="56" spans="1:6" x14ac:dyDescent="0.3">
      <c r="A56" t="s">
        <v>617</v>
      </c>
      <c r="B56" t="s">
        <v>29</v>
      </c>
      <c r="C56" t="s">
        <v>1097</v>
      </c>
      <c r="E56">
        <v>5</v>
      </c>
      <c r="F56" t="s">
        <v>1101</v>
      </c>
    </row>
    <row r="57" spans="1:6" x14ac:dyDescent="0.3">
      <c r="A57" t="s">
        <v>617</v>
      </c>
      <c r="B57" t="s">
        <v>29</v>
      </c>
      <c r="C57" t="s">
        <v>1097</v>
      </c>
      <c r="E57">
        <v>6</v>
      </c>
      <c r="F57" t="s">
        <v>629</v>
      </c>
    </row>
    <row r="58" spans="1:6" x14ac:dyDescent="0.3">
      <c r="A58" t="s">
        <v>617</v>
      </c>
      <c r="B58" t="s">
        <v>29</v>
      </c>
      <c r="C58" t="s">
        <v>1097</v>
      </c>
      <c r="E58">
        <v>7</v>
      </c>
      <c r="F58" t="s">
        <v>886</v>
      </c>
    </row>
    <row r="59" spans="1:6" x14ac:dyDescent="0.3">
      <c r="A59" t="s">
        <v>617</v>
      </c>
      <c r="B59" t="s">
        <v>29</v>
      </c>
      <c r="C59" t="s">
        <v>1097</v>
      </c>
      <c r="E59">
        <v>8</v>
      </c>
      <c r="F59" t="s">
        <v>1102</v>
      </c>
    </row>
    <row r="60" spans="1:6" x14ac:dyDescent="0.3">
      <c r="A60" t="s">
        <v>617</v>
      </c>
      <c r="B60" t="s">
        <v>29</v>
      </c>
      <c r="C60" t="s">
        <v>1097</v>
      </c>
      <c r="E60">
        <v>9</v>
      </c>
      <c r="F60" t="s">
        <v>1103</v>
      </c>
    </row>
    <row r="61" spans="1:6" x14ac:dyDescent="0.3">
      <c r="A61" t="s">
        <v>617</v>
      </c>
      <c r="B61" t="s">
        <v>29</v>
      </c>
      <c r="C61" t="s">
        <v>1097</v>
      </c>
      <c r="E61">
        <v>10</v>
      </c>
      <c r="F61" t="s">
        <v>1104</v>
      </c>
    </row>
    <row r="62" spans="1:6" x14ac:dyDescent="0.3">
      <c r="A62" t="s">
        <v>617</v>
      </c>
      <c r="B62" t="s">
        <v>29</v>
      </c>
      <c r="C62" t="s">
        <v>1105</v>
      </c>
      <c r="E62">
        <v>1</v>
      </c>
      <c r="F62" t="s">
        <v>653</v>
      </c>
    </row>
    <row r="63" spans="1:6" x14ac:dyDescent="0.3">
      <c r="A63" t="s">
        <v>617</v>
      </c>
      <c r="B63" t="s">
        <v>29</v>
      </c>
      <c r="C63" t="s">
        <v>1105</v>
      </c>
      <c r="E63">
        <v>2</v>
      </c>
      <c r="F63" t="s">
        <v>665</v>
      </c>
    </row>
    <row r="64" spans="1:6" x14ac:dyDescent="0.3">
      <c r="A64" t="s">
        <v>617</v>
      </c>
      <c r="B64" t="s">
        <v>29</v>
      </c>
      <c r="C64" t="s">
        <v>1105</v>
      </c>
      <c r="E64">
        <v>3</v>
      </c>
      <c r="F64" t="s">
        <v>685</v>
      </c>
    </row>
    <row r="65" spans="1:6" x14ac:dyDescent="0.3">
      <c r="A65" t="s">
        <v>617</v>
      </c>
      <c r="B65" t="s">
        <v>29</v>
      </c>
      <c r="C65" t="s">
        <v>1105</v>
      </c>
      <c r="E65">
        <v>4</v>
      </c>
      <c r="F65" t="s">
        <v>683</v>
      </c>
    </row>
    <row r="66" spans="1:6" x14ac:dyDescent="0.3">
      <c r="A66" t="s">
        <v>617</v>
      </c>
      <c r="B66" t="s">
        <v>29</v>
      </c>
      <c r="C66" t="s">
        <v>1105</v>
      </c>
      <c r="E66">
        <v>5</v>
      </c>
      <c r="F66" t="s">
        <v>689</v>
      </c>
    </row>
    <row r="67" spans="1:6" x14ac:dyDescent="0.3">
      <c r="A67" t="s">
        <v>617</v>
      </c>
      <c r="B67" t="s">
        <v>29</v>
      </c>
      <c r="C67" t="s">
        <v>1105</v>
      </c>
      <c r="E67">
        <v>6</v>
      </c>
      <c r="F67" t="s">
        <v>638</v>
      </c>
    </row>
    <row r="68" spans="1:6" x14ac:dyDescent="0.3">
      <c r="A68" t="s">
        <v>617</v>
      </c>
      <c r="B68" t="s">
        <v>29</v>
      </c>
      <c r="C68" t="s">
        <v>1105</v>
      </c>
      <c r="E68">
        <v>7</v>
      </c>
      <c r="F68" t="s">
        <v>1106</v>
      </c>
    </row>
    <row r="69" spans="1:6" x14ac:dyDescent="0.3">
      <c r="A69" t="s">
        <v>617</v>
      </c>
      <c r="B69" t="s">
        <v>29</v>
      </c>
      <c r="C69" t="s">
        <v>1105</v>
      </c>
      <c r="E69">
        <v>8</v>
      </c>
      <c r="F69" t="s">
        <v>659</v>
      </c>
    </row>
    <row r="70" spans="1:6" x14ac:dyDescent="0.3">
      <c r="A70" t="s">
        <v>617</v>
      </c>
      <c r="B70" t="s">
        <v>29</v>
      </c>
      <c r="C70" t="s">
        <v>1105</v>
      </c>
      <c r="E70">
        <v>9</v>
      </c>
      <c r="F70" t="s">
        <v>1107</v>
      </c>
    </row>
    <row r="71" spans="1:6" x14ac:dyDescent="0.3">
      <c r="A71" t="s">
        <v>617</v>
      </c>
      <c r="B71" t="s">
        <v>29</v>
      </c>
      <c r="C71" t="s">
        <v>1105</v>
      </c>
      <c r="E71">
        <v>10</v>
      </c>
      <c r="F71" t="s">
        <v>1108</v>
      </c>
    </row>
    <row r="72" spans="1:6" x14ac:dyDescent="0.3">
      <c r="A72" t="s">
        <v>617</v>
      </c>
      <c r="B72" t="s">
        <v>29</v>
      </c>
      <c r="C72" t="s">
        <v>1109</v>
      </c>
      <c r="E72">
        <v>1</v>
      </c>
      <c r="F72" t="s">
        <v>1110</v>
      </c>
    </row>
    <row r="73" spans="1:6" x14ac:dyDescent="0.3">
      <c r="A73" t="s">
        <v>617</v>
      </c>
      <c r="B73" t="s">
        <v>29</v>
      </c>
      <c r="C73" t="s">
        <v>1109</v>
      </c>
      <c r="E73">
        <v>2</v>
      </c>
      <c r="F73" t="s">
        <v>1111</v>
      </c>
    </row>
    <row r="74" spans="1:6" x14ac:dyDescent="0.3">
      <c r="A74" t="s">
        <v>617</v>
      </c>
      <c r="B74" t="s">
        <v>29</v>
      </c>
      <c r="C74" t="s">
        <v>1109</v>
      </c>
      <c r="E74">
        <v>3</v>
      </c>
      <c r="F74" t="s">
        <v>1112</v>
      </c>
    </row>
    <row r="75" spans="1:6" x14ac:dyDescent="0.3">
      <c r="A75" t="s">
        <v>617</v>
      </c>
      <c r="B75" t="s">
        <v>29</v>
      </c>
      <c r="C75" t="s">
        <v>1109</v>
      </c>
      <c r="E75">
        <v>4</v>
      </c>
      <c r="F75" t="s">
        <v>1113</v>
      </c>
    </row>
    <row r="76" spans="1:6" x14ac:dyDescent="0.3">
      <c r="A76" t="s">
        <v>617</v>
      </c>
      <c r="B76" t="s">
        <v>29</v>
      </c>
      <c r="C76" t="s">
        <v>1109</v>
      </c>
      <c r="E76">
        <v>5</v>
      </c>
      <c r="F76" t="s">
        <v>667</v>
      </c>
    </row>
    <row r="77" spans="1:6" x14ac:dyDescent="0.3">
      <c r="A77" t="s">
        <v>617</v>
      </c>
      <c r="B77" t="s">
        <v>29</v>
      </c>
      <c r="C77" t="s">
        <v>1109</v>
      </c>
      <c r="E77">
        <v>6</v>
      </c>
      <c r="F77" t="s">
        <v>357</v>
      </c>
    </row>
    <row r="78" spans="1:6" x14ac:dyDescent="0.3">
      <c r="A78" t="s">
        <v>617</v>
      </c>
      <c r="B78" t="s">
        <v>29</v>
      </c>
      <c r="C78" t="s">
        <v>1109</v>
      </c>
      <c r="E78">
        <v>7</v>
      </c>
      <c r="F78" t="s">
        <v>1114</v>
      </c>
    </row>
    <row r="79" spans="1:6" x14ac:dyDescent="0.3">
      <c r="A79" t="s">
        <v>617</v>
      </c>
      <c r="B79" t="s">
        <v>29</v>
      </c>
      <c r="C79" t="s">
        <v>1109</v>
      </c>
      <c r="E79">
        <v>8</v>
      </c>
      <c r="F79" t="s">
        <v>1115</v>
      </c>
    </row>
    <row r="80" spans="1:6" x14ac:dyDescent="0.3">
      <c r="A80" t="s">
        <v>617</v>
      </c>
      <c r="B80" t="s">
        <v>29</v>
      </c>
      <c r="C80" t="s">
        <v>1109</v>
      </c>
      <c r="E80">
        <v>9</v>
      </c>
      <c r="F80" t="s">
        <v>1116</v>
      </c>
    </row>
    <row r="81" spans="1:6" x14ac:dyDescent="0.3">
      <c r="A81" t="s">
        <v>617</v>
      </c>
      <c r="B81" t="s">
        <v>29</v>
      </c>
      <c r="C81" t="s">
        <v>1117</v>
      </c>
      <c r="E81">
        <v>1</v>
      </c>
      <c r="F81" t="s">
        <v>1118</v>
      </c>
    </row>
    <row r="82" spans="1:6" x14ac:dyDescent="0.3">
      <c r="A82" t="s">
        <v>617</v>
      </c>
      <c r="B82" t="s">
        <v>29</v>
      </c>
      <c r="C82" t="s">
        <v>1117</v>
      </c>
      <c r="E82">
        <v>2</v>
      </c>
      <c r="F82" t="s">
        <v>757</v>
      </c>
    </row>
    <row r="83" spans="1:6" x14ac:dyDescent="0.3">
      <c r="A83" t="s">
        <v>617</v>
      </c>
      <c r="B83" t="s">
        <v>29</v>
      </c>
      <c r="C83" t="s">
        <v>1117</v>
      </c>
      <c r="E83">
        <v>3</v>
      </c>
      <c r="F83" t="s">
        <v>1119</v>
      </c>
    </row>
    <row r="84" spans="1:6" x14ac:dyDescent="0.3">
      <c r="A84" t="s">
        <v>617</v>
      </c>
      <c r="B84" t="s">
        <v>29</v>
      </c>
      <c r="C84" t="s">
        <v>1117</v>
      </c>
      <c r="E84">
        <v>4</v>
      </c>
      <c r="F84" t="s">
        <v>1120</v>
      </c>
    </row>
    <row r="85" spans="1:6" x14ac:dyDescent="0.3">
      <c r="A85" t="s">
        <v>617</v>
      </c>
      <c r="B85" t="s">
        <v>29</v>
      </c>
      <c r="C85" t="s">
        <v>1117</v>
      </c>
      <c r="E85">
        <v>5</v>
      </c>
      <c r="F85" t="s">
        <v>1121</v>
      </c>
    </row>
    <row r="86" spans="1:6" x14ac:dyDescent="0.3">
      <c r="A86" t="s">
        <v>617</v>
      </c>
      <c r="B86" t="s">
        <v>29</v>
      </c>
      <c r="C86" t="s">
        <v>1117</v>
      </c>
      <c r="E86">
        <v>6</v>
      </c>
      <c r="F86" t="s">
        <v>1122</v>
      </c>
    </row>
    <row r="87" spans="1:6" x14ac:dyDescent="0.3">
      <c r="A87" t="s">
        <v>617</v>
      </c>
      <c r="B87" t="s">
        <v>29</v>
      </c>
      <c r="C87" t="s">
        <v>1117</v>
      </c>
      <c r="E87">
        <v>7</v>
      </c>
      <c r="F87" t="s">
        <v>640</v>
      </c>
    </row>
    <row r="88" spans="1:6" x14ac:dyDescent="0.3">
      <c r="A88" t="s">
        <v>617</v>
      </c>
      <c r="B88" t="s">
        <v>29</v>
      </c>
      <c r="C88" t="s">
        <v>1117</v>
      </c>
      <c r="E88">
        <v>8</v>
      </c>
      <c r="F88" t="s">
        <v>1123</v>
      </c>
    </row>
    <row r="89" spans="1:6" x14ac:dyDescent="0.3">
      <c r="A89" t="s">
        <v>617</v>
      </c>
      <c r="B89" t="s">
        <v>29</v>
      </c>
      <c r="C89" t="s">
        <v>1124</v>
      </c>
      <c r="E89">
        <v>1</v>
      </c>
      <c r="F89" t="s">
        <v>672</v>
      </c>
    </row>
    <row r="90" spans="1:6" x14ac:dyDescent="0.3">
      <c r="A90" t="s">
        <v>617</v>
      </c>
      <c r="B90" t="s">
        <v>29</v>
      </c>
      <c r="C90" t="s">
        <v>1124</v>
      </c>
      <c r="E90">
        <v>2</v>
      </c>
      <c r="F90" t="s">
        <v>1125</v>
      </c>
    </row>
    <row r="91" spans="1:6" x14ac:dyDescent="0.3">
      <c r="A91" t="s">
        <v>617</v>
      </c>
      <c r="B91" t="s">
        <v>29</v>
      </c>
      <c r="C91" t="s">
        <v>1124</v>
      </c>
      <c r="E91">
        <v>3</v>
      </c>
      <c r="F91" t="s">
        <v>1126</v>
      </c>
    </row>
    <row r="92" spans="1:6" x14ac:dyDescent="0.3">
      <c r="A92" t="s">
        <v>617</v>
      </c>
      <c r="B92" t="s">
        <v>29</v>
      </c>
      <c r="C92" t="s">
        <v>1124</v>
      </c>
      <c r="E92">
        <v>4</v>
      </c>
      <c r="F92" t="s">
        <v>663</v>
      </c>
    </row>
    <row r="93" spans="1:6" x14ac:dyDescent="0.3">
      <c r="A93" t="s">
        <v>617</v>
      </c>
      <c r="B93" t="s">
        <v>29</v>
      </c>
      <c r="C93" t="s">
        <v>1124</v>
      </c>
      <c r="E93">
        <v>5</v>
      </c>
      <c r="F93" t="s">
        <v>1127</v>
      </c>
    </row>
    <row r="94" spans="1:6" x14ac:dyDescent="0.3">
      <c r="A94" t="s">
        <v>617</v>
      </c>
      <c r="B94" t="s">
        <v>29</v>
      </c>
      <c r="C94" t="s">
        <v>1124</v>
      </c>
      <c r="E94">
        <v>6</v>
      </c>
      <c r="F94" t="s">
        <v>790</v>
      </c>
    </row>
    <row r="95" spans="1:6" x14ac:dyDescent="0.3">
      <c r="A95" t="s">
        <v>617</v>
      </c>
      <c r="B95" t="s">
        <v>29</v>
      </c>
      <c r="C95" t="s">
        <v>1124</v>
      </c>
      <c r="E95">
        <v>7</v>
      </c>
      <c r="F95" t="s">
        <v>642</v>
      </c>
    </row>
    <row r="96" spans="1:6" x14ac:dyDescent="0.3">
      <c r="A96" t="s">
        <v>617</v>
      </c>
      <c r="B96" t="s">
        <v>29</v>
      </c>
      <c r="C96" t="s">
        <v>1124</v>
      </c>
      <c r="E96">
        <v>8</v>
      </c>
      <c r="F96" t="s">
        <v>703</v>
      </c>
    </row>
    <row r="97" spans="1:6" x14ac:dyDescent="0.3">
      <c r="A97" t="s">
        <v>617</v>
      </c>
      <c r="B97" t="s">
        <v>29</v>
      </c>
      <c r="C97" t="s">
        <v>1124</v>
      </c>
      <c r="E97">
        <v>9</v>
      </c>
      <c r="F97" t="s">
        <v>1128</v>
      </c>
    </row>
    <row r="98" spans="1:6" x14ac:dyDescent="0.3">
      <c r="A98" t="s">
        <v>617</v>
      </c>
      <c r="B98" t="s">
        <v>29</v>
      </c>
      <c r="C98" t="s">
        <v>1124</v>
      </c>
      <c r="E98">
        <v>10</v>
      </c>
      <c r="F98" t="s">
        <v>1129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30"/>
  <sheetViews>
    <sheetView workbookViewId="0"/>
  </sheetViews>
  <sheetFormatPr defaultRowHeight="14.4" x14ac:dyDescent="0.3"/>
  <cols>
    <col min="1" max="1" width="48" customWidth="1"/>
    <col min="2" max="2" width="19" customWidth="1"/>
    <col min="3" max="5" width="12" customWidth="1"/>
    <col min="6" max="6" width="14" customWidth="1"/>
  </cols>
  <sheetData>
    <row r="1" spans="1:6" x14ac:dyDescent="0.3">
      <c r="A1" t="s">
        <v>609</v>
      </c>
      <c r="B1" t="s">
        <v>618</v>
      </c>
      <c r="C1" t="s">
        <v>669</v>
      </c>
      <c r="D1" t="s">
        <v>670</v>
      </c>
      <c r="E1" t="s">
        <v>619</v>
      </c>
      <c r="F1" t="s">
        <v>671</v>
      </c>
    </row>
    <row r="2" spans="1:6" x14ac:dyDescent="0.3">
      <c r="A2" t="s">
        <v>617</v>
      </c>
      <c r="B2" t="s">
        <v>30</v>
      </c>
      <c r="C2" t="s">
        <v>1130</v>
      </c>
      <c r="E2">
        <v>1</v>
      </c>
      <c r="F2" t="s">
        <v>1131</v>
      </c>
    </row>
    <row r="3" spans="1:6" x14ac:dyDescent="0.3">
      <c r="A3" t="s">
        <v>617</v>
      </c>
      <c r="B3" t="s">
        <v>30</v>
      </c>
      <c r="C3" t="s">
        <v>1130</v>
      </c>
      <c r="E3">
        <v>2</v>
      </c>
      <c r="F3" t="s">
        <v>1132</v>
      </c>
    </row>
    <row r="4" spans="1:6" x14ac:dyDescent="0.3">
      <c r="A4" t="s">
        <v>617</v>
      </c>
      <c r="B4" t="s">
        <v>30</v>
      </c>
      <c r="C4" t="s">
        <v>1130</v>
      </c>
      <c r="E4">
        <v>3</v>
      </c>
      <c r="F4" t="s">
        <v>1133</v>
      </c>
    </row>
    <row r="5" spans="1:6" x14ac:dyDescent="0.3">
      <c r="A5" t="s">
        <v>617</v>
      </c>
      <c r="B5" t="s">
        <v>30</v>
      </c>
      <c r="C5" t="s">
        <v>1130</v>
      </c>
      <c r="E5">
        <v>4</v>
      </c>
      <c r="F5" t="s">
        <v>1134</v>
      </c>
    </row>
    <row r="6" spans="1:6" x14ac:dyDescent="0.3">
      <c r="A6" t="s">
        <v>617</v>
      </c>
      <c r="B6" t="s">
        <v>30</v>
      </c>
      <c r="C6" t="s">
        <v>1130</v>
      </c>
      <c r="E6">
        <v>5</v>
      </c>
      <c r="F6" t="s">
        <v>1135</v>
      </c>
    </row>
    <row r="7" spans="1:6" x14ac:dyDescent="0.3">
      <c r="A7" t="s">
        <v>617</v>
      </c>
      <c r="B7" t="s">
        <v>30</v>
      </c>
      <c r="C7" t="s">
        <v>1130</v>
      </c>
      <c r="E7">
        <v>6</v>
      </c>
      <c r="F7" t="s">
        <v>650</v>
      </c>
    </row>
    <row r="8" spans="1:6" x14ac:dyDescent="0.3">
      <c r="A8" t="s">
        <v>617</v>
      </c>
      <c r="B8" t="s">
        <v>30</v>
      </c>
      <c r="C8" t="s">
        <v>1130</v>
      </c>
      <c r="E8">
        <v>7</v>
      </c>
      <c r="F8" t="s">
        <v>651</v>
      </c>
    </row>
    <row r="9" spans="1:6" x14ac:dyDescent="0.3">
      <c r="A9" t="s">
        <v>617</v>
      </c>
      <c r="B9" t="s">
        <v>30</v>
      </c>
      <c r="C9" t="s">
        <v>1130</v>
      </c>
      <c r="E9">
        <v>8</v>
      </c>
      <c r="F9" t="s">
        <v>1136</v>
      </c>
    </row>
    <row r="10" spans="1:6" x14ac:dyDescent="0.3">
      <c r="A10" t="s">
        <v>617</v>
      </c>
      <c r="B10" t="s">
        <v>30</v>
      </c>
      <c r="C10" t="s">
        <v>1137</v>
      </c>
      <c r="E10">
        <v>1</v>
      </c>
      <c r="F10" t="s">
        <v>1138</v>
      </c>
    </row>
    <row r="11" spans="1:6" x14ac:dyDescent="0.3">
      <c r="A11" t="s">
        <v>617</v>
      </c>
      <c r="B11" t="s">
        <v>30</v>
      </c>
      <c r="C11" t="s">
        <v>1137</v>
      </c>
      <c r="E11">
        <v>2</v>
      </c>
      <c r="F11" t="s">
        <v>1139</v>
      </c>
    </row>
    <row r="12" spans="1:6" x14ac:dyDescent="0.3">
      <c r="A12" t="s">
        <v>617</v>
      </c>
      <c r="B12" t="s">
        <v>30</v>
      </c>
      <c r="C12" t="s">
        <v>1137</v>
      </c>
      <c r="E12">
        <v>3</v>
      </c>
      <c r="F12" t="s">
        <v>1140</v>
      </c>
    </row>
    <row r="13" spans="1:6" x14ac:dyDescent="0.3">
      <c r="A13" t="s">
        <v>617</v>
      </c>
      <c r="B13" t="s">
        <v>30</v>
      </c>
      <c r="C13" t="s">
        <v>1137</v>
      </c>
      <c r="E13">
        <v>4</v>
      </c>
      <c r="F13" t="s">
        <v>1141</v>
      </c>
    </row>
    <row r="14" spans="1:6" x14ac:dyDescent="0.3">
      <c r="A14" t="s">
        <v>617</v>
      </c>
      <c r="B14" t="s">
        <v>30</v>
      </c>
      <c r="C14" t="s">
        <v>1137</v>
      </c>
      <c r="E14">
        <v>5</v>
      </c>
      <c r="F14" t="s">
        <v>1142</v>
      </c>
    </row>
    <row r="15" spans="1:6" x14ac:dyDescent="0.3">
      <c r="A15" t="s">
        <v>617</v>
      </c>
      <c r="B15" t="s">
        <v>30</v>
      </c>
      <c r="C15" t="s">
        <v>1137</v>
      </c>
      <c r="E15">
        <v>6</v>
      </c>
      <c r="F15" t="s">
        <v>1143</v>
      </c>
    </row>
    <row r="16" spans="1:6" x14ac:dyDescent="0.3">
      <c r="A16" t="s">
        <v>617</v>
      </c>
      <c r="B16" t="s">
        <v>30</v>
      </c>
      <c r="C16" t="s">
        <v>1144</v>
      </c>
      <c r="E16">
        <v>1</v>
      </c>
      <c r="F16" t="s">
        <v>1145</v>
      </c>
    </row>
    <row r="17" spans="1:6" x14ac:dyDescent="0.3">
      <c r="A17" t="s">
        <v>617</v>
      </c>
      <c r="B17" t="s">
        <v>30</v>
      </c>
      <c r="C17" t="s">
        <v>1144</v>
      </c>
      <c r="E17">
        <v>2</v>
      </c>
      <c r="F17" t="s">
        <v>1146</v>
      </c>
    </row>
    <row r="18" spans="1:6" x14ac:dyDescent="0.3">
      <c r="A18" t="s">
        <v>617</v>
      </c>
      <c r="B18" t="s">
        <v>30</v>
      </c>
      <c r="C18" t="s">
        <v>1144</v>
      </c>
      <c r="E18">
        <v>3</v>
      </c>
      <c r="F18" t="s">
        <v>1147</v>
      </c>
    </row>
    <row r="19" spans="1:6" x14ac:dyDescent="0.3">
      <c r="A19" t="s">
        <v>617</v>
      </c>
      <c r="B19" t="s">
        <v>30</v>
      </c>
      <c r="C19" t="s">
        <v>1144</v>
      </c>
      <c r="E19">
        <v>4</v>
      </c>
      <c r="F19" t="s">
        <v>1148</v>
      </c>
    </row>
    <row r="20" spans="1:6" x14ac:dyDescent="0.3">
      <c r="A20" t="s">
        <v>617</v>
      </c>
      <c r="B20" t="s">
        <v>30</v>
      </c>
      <c r="C20" t="s">
        <v>1144</v>
      </c>
      <c r="E20">
        <v>5</v>
      </c>
      <c r="F20" t="s">
        <v>1149</v>
      </c>
    </row>
    <row r="21" spans="1:6" x14ac:dyDescent="0.3">
      <c r="A21" t="s">
        <v>617</v>
      </c>
      <c r="B21" t="s">
        <v>30</v>
      </c>
      <c r="C21" t="s">
        <v>643</v>
      </c>
      <c r="E21">
        <v>1</v>
      </c>
      <c r="F21" t="s">
        <v>1150</v>
      </c>
    </row>
    <row r="22" spans="1:6" x14ac:dyDescent="0.3">
      <c r="A22" t="s">
        <v>617</v>
      </c>
      <c r="B22" t="s">
        <v>30</v>
      </c>
      <c r="C22" t="s">
        <v>643</v>
      </c>
      <c r="E22">
        <v>2</v>
      </c>
      <c r="F22" t="s">
        <v>1151</v>
      </c>
    </row>
    <row r="23" spans="1:6" x14ac:dyDescent="0.3">
      <c r="A23" t="s">
        <v>617</v>
      </c>
      <c r="B23" t="s">
        <v>30</v>
      </c>
      <c r="C23" t="s">
        <v>643</v>
      </c>
      <c r="E23">
        <v>3</v>
      </c>
      <c r="F23" t="s">
        <v>1152</v>
      </c>
    </row>
    <row r="24" spans="1:6" x14ac:dyDescent="0.3">
      <c r="A24" t="s">
        <v>617</v>
      </c>
      <c r="B24" t="s">
        <v>30</v>
      </c>
      <c r="C24" t="s">
        <v>643</v>
      </c>
      <c r="E24">
        <v>4</v>
      </c>
      <c r="F24" t="s">
        <v>813</v>
      </c>
    </row>
    <row r="25" spans="1:6" x14ac:dyDescent="0.3">
      <c r="A25" t="s">
        <v>617</v>
      </c>
      <c r="B25" t="s">
        <v>30</v>
      </c>
      <c r="C25" t="s">
        <v>643</v>
      </c>
      <c r="E25">
        <v>5</v>
      </c>
      <c r="F25" t="s">
        <v>1153</v>
      </c>
    </row>
    <row r="26" spans="1:6" x14ac:dyDescent="0.3">
      <c r="A26" t="s">
        <v>617</v>
      </c>
      <c r="B26" t="s">
        <v>30</v>
      </c>
      <c r="C26" t="s">
        <v>1154</v>
      </c>
      <c r="E26">
        <v>1</v>
      </c>
      <c r="F26" t="s">
        <v>1155</v>
      </c>
    </row>
    <row r="27" spans="1:6" x14ac:dyDescent="0.3">
      <c r="A27" t="s">
        <v>617</v>
      </c>
      <c r="B27" t="s">
        <v>30</v>
      </c>
      <c r="C27" t="s">
        <v>1154</v>
      </c>
      <c r="E27">
        <v>2</v>
      </c>
      <c r="F27" t="s">
        <v>1156</v>
      </c>
    </row>
    <row r="28" spans="1:6" x14ac:dyDescent="0.3">
      <c r="A28" t="s">
        <v>617</v>
      </c>
      <c r="B28" t="s">
        <v>30</v>
      </c>
      <c r="C28" t="s">
        <v>1154</v>
      </c>
      <c r="E28">
        <v>3</v>
      </c>
      <c r="F28" t="s">
        <v>1157</v>
      </c>
    </row>
    <row r="29" spans="1:6" x14ac:dyDescent="0.3">
      <c r="A29" t="s">
        <v>617</v>
      </c>
      <c r="B29" t="s">
        <v>30</v>
      </c>
      <c r="C29" t="s">
        <v>1154</v>
      </c>
      <c r="E29">
        <v>4</v>
      </c>
      <c r="F29" t="s">
        <v>1158</v>
      </c>
    </row>
    <row r="30" spans="1:6" x14ac:dyDescent="0.3">
      <c r="A30" t="s">
        <v>617</v>
      </c>
      <c r="B30" t="s">
        <v>30</v>
      </c>
      <c r="C30" t="s">
        <v>1154</v>
      </c>
      <c r="E30">
        <v>5</v>
      </c>
      <c r="F30" t="s">
        <v>1159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48"/>
  <sheetViews>
    <sheetView workbookViewId="0"/>
  </sheetViews>
  <sheetFormatPr defaultRowHeight="14.4" x14ac:dyDescent="0.3"/>
  <cols>
    <col min="1" max="1" width="24" customWidth="1"/>
    <col min="2" max="2" width="28" customWidth="1"/>
    <col min="3" max="3" width="24" customWidth="1"/>
    <col min="4" max="4" width="12" customWidth="1"/>
    <col min="5" max="5" width="10" customWidth="1"/>
    <col min="6" max="6" width="14" customWidth="1"/>
    <col min="7" max="8" width="42" customWidth="1"/>
    <col min="9" max="9" width="30" customWidth="1"/>
    <col min="10" max="10" width="28" customWidth="1"/>
    <col min="11" max="11" width="42" customWidth="1"/>
  </cols>
  <sheetData>
    <row r="1" spans="1:11" x14ac:dyDescent="0.3">
      <c r="A1" s="106" t="s">
        <v>620</v>
      </c>
      <c r="B1" s="106" t="s">
        <v>1160</v>
      </c>
      <c r="C1" s="106" t="s">
        <v>1161</v>
      </c>
      <c r="D1" s="106" t="s">
        <v>1162</v>
      </c>
      <c r="E1" s="106" t="s">
        <v>1061</v>
      </c>
      <c r="F1" s="106" t="s">
        <v>1163</v>
      </c>
      <c r="G1" s="106" t="s">
        <v>1164</v>
      </c>
      <c r="H1" s="106" t="s">
        <v>1165</v>
      </c>
      <c r="I1" s="106" t="s">
        <v>1166</v>
      </c>
      <c r="J1" s="106" t="s">
        <v>1167</v>
      </c>
      <c r="K1" s="106" t="s">
        <v>1168</v>
      </c>
    </row>
    <row r="2" spans="1:11" ht="28.8" x14ac:dyDescent="0.3">
      <c r="A2" s="57" t="s">
        <v>1169</v>
      </c>
      <c r="B2" s="57" t="s">
        <v>1170</v>
      </c>
      <c r="C2" s="57" t="s">
        <v>1171</v>
      </c>
      <c r="D2" s="57" t="s">
        <v>1172</v>
      </c>
      <c r="E2" s="57">
        <v>1</v>
      </c>
      <c r="F2" s="57" t="s">
        <v>1173</v>
      </c>
      <c r="G2" s="57" t="s">
        <v>1174</v>
      </c>
      <c r="H2" s="57" t="s">
        <v>1175</v>
      </c>
      <c r="I2" s="57" t="s">
        <v>1176</v>
      </c>
      <c r="J2" s="57" t="s">
        <v>1177</v>
      </c>
      <c r="K2" s="57" t="s">
        <v>1178</v>
      </c>
    </row>
    <row r="3" spans="1:11" ht="28.8" x14ac:dyDescent="0.3">
      <c r="A3" s="57" t="s">
        <v>1179</v>
      </c>
      <c r="B3" s="57" t="s">
        <v>1170</v>
      </c>
      <c r="C3" s="57" t="s">
        <v>1171</v>
      </c>
      <c r="D3" s="57" t="s">
        <v>1172</v>
      </c>
      <c r="E3" s="57">
        <v>1</v>
      </c>
      <c r="F3" s="57" t="s">
        <v>1173</v>
      </c>
      <c r="G3" s="57" t="s">
        <v>1174</v>
      </c>
      <c r="H3" s="57" t="s">
        <v>1175</v>
      </c>
      <c r="I3" s="57" t="s">
        <v>1176</v>
      </c>
      <c r="J3" s="57" t="s">
        <v>1177</v>
      </c>
      <c r="K3" s="57" t="s">
        <v>1178</v>
      </c>
    </row>
    <row r="4" spans="1:11" ht="28.8" x14ac:dyDescent="0.3">
      <c r="A4" s="57" t="s">
        <v>1180</v>
      </c>
      <c r="B4" s="57" t="s">
        <v>1170</v>
      </c>
      <c r="C4" s="57" t="s">
        <v>1171</v>
      </c>
      <c r="D4" s="57" t="s">
        <v>1172</v>
      </c>
      <c r="E4" s="57">
        <v>1</v>
      </c>
      <c r="F4" s="57" t="s">
        <v>1173</v>
      </c>
      <c r="G4" s="57" t="s">
        <v>1174</v>
      </c>
      <c r="H4" s="57" t="s">
        <v>1175</v>
      </c>
      <c r="I4" s="57" t="s">
        <v>1176</v>
      </c>
      <c r="J4" s="57" t="s">
        <v>1177</v>
      </c>
      <c r="K4" s="57" t="s">
        <v>1178</v>
      </c>
    </row>
    <row r="5" spans="1:11" ht="28.8" x14ac:dyDescent="0.3">
      <c r="A5" s="57" t="s">
        <v>1181</v>
      </c>
      <c r="B5" s="57" t="s">
        <v>1170</v>
      </c>
      <c r="C5" s="57" t="s">
        <v>1171</v>
      </c>
      <c r="D5" s="57" t="s">
        <v>1172</v>
      </c>
      <c r="E5" s="57">
        <v>1</v>
      </c>
      <c r="F5" s="57" t="s">
        <v>1173</v>
      </c>
      <c r="G5" s="57" t="s">
        <v>1174</v>
      </c>
      <c r="H5" s="57" t="s">
        <v>1175</v>
      </c>
      <c r="I5" s="57" t="s">
        <v>1176</v>
      </c>
      <c r="J5" s="57" t="s">
        <v>1177</v>
      </c>
      <c r="K5" s="57" t="s">
        <v>1178</v>
      </c>
    </row>
    <row r="6" spans="1:11" ht="28.8" x14ac:dyDescent="0.3">
      <c r="A6" s="57" t="s">
        <v>1182</v>
      </c>
      <c r="B6" s="57" t="s">
        <v>1170</v>
      </c>
      <c r="C6" s="57" t="s">
        <v>1171</v>
      </c>
      <c r="D6" s="57" t="s">
        <v>1172</v>
      </c>
      <c r="E6" s="57">
        <v>1</v>
      </c>
      <c r="F6" s="57" t="s">
        <v>1173</v>
      </c>
      <c r="G6" s="57" t="s">
        <v>1174</v>
      </c>
      <c r="H6" s="57" t="s">
        <v>1175</v>
      </c>
      <c r="I6" s="57" t="s">
        <v>1176</v>
      </c>
      <c r="J6" s="57" t="s">
        <v>1177</v>
      </c>
      <c r="K6" s="57" t="s">
        <v>1178</v>
      </c>
    </row>
    <row r="7" spans="1:11" ht="28.8" x14ac:dyDescent="0.3">
      <c r="A7" s="57" t="s">
        <v>1183</v>
      </c>
      <c r="B7" s="57" t="s">
        <v>1170</v>
      </c>
      <c r="C7" s="57" t="s">
        <v>1171</v>
      </c>
      <c r="D7" s="57" t="s">
        <v>1172</v>
      </c>
      <c r="E7" s="57">
        <v>1</v>
      </c>
      <c r="F7" s="57" t="s">
        <v>1173</v>
      </c>
      <c r="G7" s="57" t="s">
        <v>1174</v>
      </c>
      <c r="H7" s="57" t="s">
        <v>1175</v>
      </c>
      <c r="I7" s="57" t="s">
        <v>1176</v>
      </c>
      <c r="J7" s="57" t="s">
        <v>1177</v>
      </c>
      <c r="K7" s="57" t="s">
        <v>1178</v>
      </c>
    </row>
    <row r="8" spans="1:11" ht="28.8" x14ac:dyDescent="0.3">
      <c r="A8" s="57" t="s">
        <v>1184</v>
      </c>
      <c r="B8" s="57" t="s">
        <v>1170</v>
      </c>
      <c r="C8" s="57" t="s">
        <v>1171</v>
      </c>
      <c r="D8" s="57" t="s">
        <v>1172</v>
      </c>
      <c r="E8" s="57">
        <v>1</v>
      </c>
      <c r="F8" s="57" t="s">
        <v>1173</v>
      </c>
      <c r="G8" s="57" t="s">
        <v>1174</v>
      </c>
      <c r="H8" s="57" t="s">
        <v>1175</v>
      </c>
      <c r="I8" s="57" t="s">
        <v>1176</v>
      </c>
      <c r="J8" s="57" t="s">
        <v>1177</v>
      </c>
      <c r="K8" s="57" t="s">
        <v>1178</v>
      </c>
    </row>
    <row r="9" spans="1:11" ht="28.8" x14ac:dyDescent="0.3">
      <c r="A9" s="57" t="s">
        <v>1185</v>
      </c>
      <c r="B9" s="57" t="s">
        <v>1170</v>
      </c>
      <c r="C9" s="57" t="s">
        <v>1171</v>
      </c>
      <c r="D9" s="57" t="s">
        <v>1172</v>
      </c>
      <c r="E9" s="57">
        <v>1</v>
      </c>
      <c r="F9" s="57" t="s">
        <v>1173</v>
      </c>
      <c r="G9" s="57" t="s">
        <v>1174</v>
      </c>
      <c r="H9" s="57" t="s">
        <v>1175</v>
      </c>
      <c r="I9" s="57" t="s">
        <v>1176</v>
      </c>
      <c r="J9" s="57" t="s">
        <v>1177</v>
      </c>
      <c r="K9" s="57" t="s">
        <v>1178</v>
      </c>
    </row>
    <row r="10" spans="1:11" ht="28.8" x14ac:dyDescent="0.3">
      <c r="A10" s="57" t="s">
        <v>1186</v>
      </c>
      <c r="B10" s="57" t="s">
        <v>1170</v>
      </c>
      <c r="C10" s="57" t="s">
        <v>1187</v>
      </c>
      <c r="D10" s="57" t="s">
        <v>1172</v>
      </c>
      <c r="E10" s="57">
        <v>3</v>
      </c>
      <c r="F10" s="57" t="s">
        <v>1188</v>
      </c>
      <c r="G10" s="57" t="s">
        <v>1189</v>
      </c>
      <c r="H10" s="57" t="s">
        <v>1190</v>
      </c>
      <c r="I10" s="57" t="s">
        <v>1191</v>
      </c>
      <c r="J10" s="57" t="s">
        <v>1177</v>
      </c>
      <c r="K10" s="57" t="s">
        <v>1192</v>
      </c>
    </row>
    <row r="11" spans="1:11" ht="28.8" x14ac:dyDescent="0.3">
      <c r="A11" s="57" t="s">
        <v>807</v>
      </c>
      <c r="B11" s="57" t="s">
        <v>1170</v>
      </c>
      <c r="C11" s="57" t="s">
        <v>1187</v>
      </c>
      <c r="D11" s="57" t="s">
        <v>1172</v>
      </c>
      <c r="E11" s="57">
        <v>3</v>
      </c>
      <c r="F11" s="57" t="s">
        <v>1188</v>
      </c>
      <c r="G11" s="57" t="s">
        <v>1189</v>
      </c>
      <c r="H11" s="57" t="s">
        <v>1190</v>
      </c>
      <c r="I11" s="57" t="s">
        <v>1191</v>
      </c>
      <c r="J11" s="57" t="s">
        <v>1177</v>
      </c>
      <c r="K11" s="57" t="s">
        <v>1192</v>
      </c>
    </row>
    <row r="12" spans="1:11" ht="28.8" x14ac:dyDescent="0.3">
      <c r="A12" s="57" t="s">
        <v>1193</v>
      </c>
      <c r="B12" s="57" t="s">
        <v>1170</v>
      </c>
      <c r="C12" s="57" t="s">
        <v>1187</v>
      </c>
      <c r="D12" s="57" t="s">
        <v>1172</v>
      </c>
      <c r="E12" s="57">
        <v>3</v>
      </c>
      <c r="F12" s="57" t="s">
        <v>1188</v>
      </c>
      <c r="G12" s="57" t="s">
        <v>1189</v>
      </c>
      <c r="H12" s="57" t="s">
        <v>1190</v>
      </c>
      <c r="I12" s="57" t="s">
        <v>1191</v>
      </c>
      <c r="J12" s="57" t="s">
        <v>1177</v>
      </c>
      <c r="K12" s="57" t="s">
        <v>1192</v>
      </c>
    </row>
    <row r="13" spans="1:11" ht="28.8" x14ac:dyDescent="0.3">
      <c r="A13" s="57" t="s">
        <v>1194</v>
      </c>
      <c r="B13" s="57" t="s">
        <v>1170</v>
      </c>
      <c r="C13" s="57" t="s">
        <v>1187</v>
      </c>
      <c r="D13" s="57" t="s">
        <v>1172</v>
      </c>
      <c r="E13" s="57">
        <v>3</v>
      </c>
      <c r="F13" s="57" t="s">
        <v>1188</v>
      </c>
      <c r="G13" s="57" t="s">
        <v>1189</v>
      </c>
      <c r="H13" s="57" t="s">
        <v>1190</v>
      </c>
      <c r="I13" s="57" t="s">
        <v>1191</v>
      </c>
      <c r="J13" s="57" t="s">
        <v>1177</v>
      </c>
      <c r="K13" s="57" t="s">
        <v>1192</v>
      </c>
    </row>
    <row r="14" spans="1:11" ht="28.8" x14ac:dyDescent="0.3">
      <c r="A14" s="57" t="s">
        <v>806</v>
      </c>
      <c r="B14" s="57" t="s">
        <v>1170</v>
      </c>
      <c r="C14" s="57" t="s">
        <v>1187</v>
      </c>
      <c r="D14" s="57" t="s">
        <v>1172</v>
      </c>
      <c r="E14" s="57">
        <v>3</v>
      </c>
      <c r="F14" s="57" t="s">
        <v>1188</v>
      </c>
      <c r="G14" s="57" t="s">
        <v>1189</v>
      </c>
      <c r="H14" s="57" t="s">
        <v>1190</v>
      </c>
      <c r="I14" s="57" t="s">
        <v>1191</v>
      </c>
      <c r="J14" s="57" t="s">
        <v>1177</v>
      </c>
      <c r="K14" s="57" t="s">
        <v>1192</v>
      </c>
    </row>
    <row r="15" spans="1:11" ht="28.8" x14ac:dyDescent="0.3">
      <c r="A15" s="57" t="s">
        <v>1195</v>
      </c>
      <c r="B15" s="57" t="s">
        <v>1170</v>
      </c>
      <c r="C15" s="57" t="s">
        <v>1187</v>
      </c>
      <c r="D15" s="57" t="s">
        <v>1172</v>
      </c>
      <c r="E15" s="57">
        <v>3</v>
      </c>
      <c r="F15" s="57" t="s">
        <v>1188</v>
      </c>
      <c r="G15" s="57" t="s">
        <v>1189</v>
      </c>
      <c r="H15" s="57" t="s">
        <v>1190</v>
      </c>
      <c r="I15" s="57" t="s">
        <v>1191</v>
      </c>
      <c r="J15" s="57" t="s">
        <v>1177</v>
      </c>
      <c r="K15" s="57" t="s">
        <v>1192</v>
      </c>
    </row>
    <row r="16" spans="1:11" ht="28.8" x14ac:dyDescent="0.3">
      <c r="A16" s="57" t="s">
        <v>801</v>
      </c>
      <c r="B16" s="57" t="s">
        <v>1170</v>
      </c>
      <c r="C16" s="57" t="s">
        <v>1187</v>
      </c>
      <c r="D16" s="57" t="s">
        <v>1172</v>
      </c>
      <c r="E16" s="57">
        <v>3</v>
      </c>
      <c r="F16" s="57" t="s">
        <v>1188</v>
      </c>
      <c r="G16" s="57" t="s">
        <v>1189</v>
      </c>
      <c r="H16" s="57" t="s">
        <v>1190</v>
      </c>
      <c r="I16" s="57" t="s">
        <v>1191</v>
      </c>
      <c r="J16" s="57" t="s">
        <v>1177</v>
      </c>
      <c r="K16" s="57" t="s">
        <v>1192</v>
      </c>
    </row>
    <row r="17" spans="1:11" ht="28.8" x14ac:dyDescent="0.3">
      <c r="A17" s="57" t="s">
        <v>1196</v>
      </c>
      <c r="B17" s="57" t="s">
        <v>1170</v>
      </c>
      <c r="C17" s="57" t="s">
        <v>1187</v>
      </c>
      <c r="D17" s="57" t="s">
        <v>1172</v>
      </c>
      <c r="E17" s="57">
        <v>3</v>
      </c>
      <c r="F17" s="57" t="s">
        <v>1188</v>
      </c>
      <c r="G17" s="57" t="s">
        <v>1189</v>
      </c>
      <c r="H17" s="57" t="s">
        <v>1190</v>
      </c>
      <c r="I17" s="57" t="s">
        <v>1191</v>
      </c>
      <c r="J17" s="57" t="s">
        <v>1177</v>
      </c>
      <c r="K17" s="57" t="s">
        <v>1192</v>
      </c>
    </row>
    <row r="18" spans="1:11" ht="28.8" x14ac:dyDescent="0.3">
      <c r="A18" s="57" t="s">
        <v>1197</v>
      </c>
      <c r="B18" s="57" t="s">
        <v>1170</v>
      </c>
      <c r="C18" s="57" t="s">
        <v>1187</v>
      </c>
      <c r="D18" s="57" t="s">
        <v>1172</v>
      </c>
      <c r="E18" s="57">
        <v>3</v>
      </c>
      <c r="F18" s="57" t="s">
        <v>1188</v>
      </c>
      <c r="G18" s="57" t="s">
        <v>1189</v>
      </c>
      <c r="H18" s="57" t="s">
        <v>1190</v>
      </c>
      <c r="I18" s="57" t="s">
        <v>1191</v>
      </c>
      <c r="J18" s="57" t="s">
        <v>1177</v>
      </c>
      <c r="K18" s="57" t="s">
        <v>1192</v>
      </c>
    </row>
    <row r="19" spans="1:11" ht="28.8" x14ac:dyDescent="0.3">
      <c r="A19" s="57" t="s">
        <v>1198</v>
      </c>
      <c r="B19" s="57" t="s">
        <v>1170</v>
      </c>
      <c r="C19" s="57" t="s">
        <v>1187</v>
      </c>
      <c r="D19" s="57" t="s">
        <v>1172</v>
      </c>
      <c r="E19" s="57">
        <v>3</v>
      </c>
      <c r="F19" s="57" t="s">
        <v>1188</v>
      </c>
      <c r="G19" s="57" t="s">
        <v>1189</v>
      </c>
      <c r="H19" s="57" t="s">
        <v>1190</v>
      </c>
      <c r="I19" s="57" t="s">
        <v>1191</v>
      </c>
      <c r="J19" s="57" t="s">
        <v>1177</v>
      </c>
      <c r="K19" s="57" t="s">
        <v>1192</v>
      </c>
    </row>
    <row r="20" spans="1:11" ht="28.8" x14ac:dyDescent="0.3">
      <c r="A20" s="57" t="s">
        <v>1199</v>
      </c>
      <c r="B20" s="57" t="s">
        <v>1170</v>
      </c>
      <c r="C20" s="57" t="s">
        <v>1200</v>
      </c>
      <c r="D20" s="57" t="s">
        <v>1172</v>
      </c>
      <c r="E20" s="57">
        <v>5</v>
      </c>
      <c r="F20" s="57" t="s">
        <v>33</v>
      </c>
      <c r="G20" s="57" t="s">
        <v>1201</v>
      </c>
      <c r="H20" s="57" t="s">
        <v>1202</v>
      </c>
      <c r="I20" s="57" t="s">
        <v>1203</v>
      </c>
      <c r="J20" s="57" t="s">
        <v>1177</v>
      </c>
      <c r="K20" s="57" t="s">
        <v>1204</v>
      </c>
    </row>
    <row r="21" spans="1:11" ht="28.8" x14ac:dyDescent="0.3">
      <c r="A21" s="57" t="s">
        <v>1205</v>
      </c>
      <c r="B21" s="57" t="s">
        <v>1170</v>
      </c>
      <c r="C21" s="57" t="s">
        <v>1200</v>
      </c>
      <c r="D21" s="57" t="s">
        <v>1172</v>
      </c>
      <c r="E21" s="57">
        <v>5</v>
      </c>
      <c r="F21" s="57" t="s">
        <v>33</v>
      </c>
      <c r="G21" s="57" t="s">
        <v>1201</v>
      </c>
      <c r="H21" s="57" t="s">
        <v>1202</v>
      </c>
      <c r="I21" s="57" t="s">
        <v>1203</v>
      </c>
      <c r="J21" s="57" t="s">
        <v>1177</v>
      </c>
      <c r="K21" s="57" t="s">
        <v>1204</v>
      </c>
    </row>
    <row r="22" spans="1:11" ht="28.8" x14ac:dyDescent="0.3">
      <c r="A22" s="57" t="s">
        <v>1206</v>
      </c>
      <c r="B22" s="57" t="s">
        <v>1170</v>
      </c>
      <c r="C22" s="57" t="s">
        <v>1200</v>
      </c>
      <c r="D22" s="57" t="s">
        <v>1172</v>
      </c>
      <c r="E22" s="57">
        <v>5</v>
      </c>
      <c r="F22" s="57" t="s">
        <v>33</v>
      </c>
      <c r="G22" s="57" t="s">
        <v>1201</v>
      </c>
      <c r="H22" s="57" t="s">
        <v>1202</v>
      </c>
      <c r="I22" s="57" t="s">
        <v>1203</v>
      </c>
      <c r="J22" s="57" t="s">
        <v>1177</v>
      </c>
      <c r="K22" s="57" t="s">
        <v>1204</v>
      </c>
    </row>
    <row r="23" spans="1:11" ht="28.8" x14ac:dyDescent="0.3">
      <c r="A23" s="57" t="s">
        <v>797</v>
      </c>
      <c r="B23" s="57" t="s">
        <v>1170</v>
      </c>
      <c r="C23" s="57" t="s">
        <v>1200</v>
      </c>
      <c r="D23" s="57" t="s">
        <v>1172</v>
      </c>
      <c r="E23" s="57">
        <v>5</v>
      </c>
      <c r="F23" s="57" t="s">
        <v>33</v>
      </c>
      <c r="G23" s="57" t="s">
        <v>1201</v>
      </c>
      <c r="H23" s="57" t="s">
        <v>1202</v>
      </c>
      <c r="I23" s="57" t="s">
        <v>1203</v>
      </c>
      <c r="J23" s="57" t="s">
        <v>1177</v>
      </c>
      <c r="K23" s="57" t="s">
        <v>1204</v>
      </c>
    </row>
    <row r="24" spans="1:11" ht="28.8" x14ac:dyDescent="0.3">
      <c r="A24" s="57" t="s">
        <v>1207</v>
      </c>
      <c r="B24" s="57" t="s">
        <v>1170</v>
      </c>
      <c r="C24" s="57" t="s">
        <v>1200</v>
      </c>
      <c r="D24" s="57" t="s">
        <v>1172</v>
      </c>
      <c r="E24" s="57">
        <v>5</v>
      </c>
      <c r="F24" s="57" t="s">
        <v>33</v>
      </c>
      <c r="G24" s="57" t="s">
        <v>1201</v>
      </c>
      <c r="H24" s="57" t="s">
        <v>1202</v>
      </c>
      <c r="I24" s="57" t="s">
        <v>1203</v>
      </c>
      <c r="J24" s="57" t="s">
        <v>1177</v>
      </c>
      <c r="K24" s="57" t="s">
        <v>1204</v>
      </c>
    </row>
    <row r="25" spans="1:11" ht="28.8" x14ac:dyDescent="0.3">
      <c r="A25" s="57" t="s">
        <v>1208</v>
      </c>
      <c r="B25" s="57" t="s">
        <v>1170</v>
      </c>
      <c r="C25" s="57" t="s">
        <v>1200</v>
      </c>
      <c r="D25" s="57" t="s">
        <v>1172</v>
      </c>
      <c r="E25" s="57">
        <v>5</v>
      </c>
      <c r="F25" s="57" t="s">
        <v>33</v>
      </c>
      <c r="G25" s="57" t="s">
        <v>1201</v>
      </c>
      <c r="H25" s="57" t="s">
        <v>1202</v>
      </c>
      <c r="I25" s="57" t="s">
        <v>1203</v>
      </c>
      <c r="J25" s="57" t="s">
        <v>1177</v>
      </c>
      <c r="K25" s="57" t="s">
        <v>1204</v>
      </c>
    </row>
    <row r="26" spans="1:11" ht="28.8" x14ac:dyDescent="0.3">
      <c r="A26" s="57" t="s">
        <v>1209</v>
      </c>
      <c r="B26" s="57" t="s">
        <v>1170</v>
      </c>
      <c r="C26" s="57" t="s">
        <v>1200</v>
      </c>
      <c r="D26" s="57" t="s">
        <v>1172</v>
      </c>
      <c r="E26" s="57">
        <v>5</v>
      </c>
      <c r="F26" s="57" t="s">
        <v>33</v>
      </c>
      <c r="G26" s="57" t="s">
        <v>1201</v>
      </c>
      <c r="H26" s="57" t="s">
        <v>1202</v>
      </c>
      <c r="I26" s="57" t="s">
        <v>1203</v>
      </c>
      <c r="J26" s="57" t="s">
        <v>1177</v>
      </c>
      <c r="K26" s="57" t="s">
        <v>1204</v>
      </c>
    </row>
    <row r="27" spans="1:11" ht="28.8" x14ac:dyDescent="0.3">
      <c r="A27" s="57" t="s">
        <v>1210</v>
      </c>
      <c r="B27" s="57" t="s">
        <v>1170</v>
      </c>
      <c r="C27" s="57" t="s">
        <v>1200</v>
      </c>
      <c r="D27" s="57" t="s">
        <v>1172</v>
      </c>
      <c r="E27" s="57">
        <v>5</v>
      </c>
      <c r="F27" s="57" t="s">
        <v>33</v>
      </c>
      <c r="G27" s="57" t="s">
        <v>1201</v>
      </c>
      <c r="H27" s="57" t="s">
        <v>1202</v>
      </c>
      <c r="I27" s="57" t="s">
        <v>1203</v>
      </c>
      <c r="J27" s="57" t="s">
        <v>1177</v>
      </c>
      <c r="K27" s="57" t="s">
        <v>1204</v>
      </c>
    </row>
    <row r="28" spans="1:11" ht="43.2" x14ac:dyDescent="0.3">
      <c r="A28" s="57" t="s">
        <v>1211</v>
      </c>
      <c r="B28" s="57" t="s">
        <v>1170</v>
      </c>
      <c r="C28" s="57" t="s">
        <v>1212</v>
      </c>
      <c r="D28" s="57" t="s">
        <v>922</v>
      </c>
      <c r="E28" s="57">
        <v>5</v>
      </c>
      <c r="F28" s="57" t="s">
        <v>1213</v>
      </c>
      <c r="G28" s="57" t="s">
        <v>1214</v>
      </c>
      <c r="H28" s="57" t="s">
        <v>1215</v>
      </c>
      <c r="I28" s="57" t="s">
        <v>1216</v>
      </c>
      <c r="J28" s="57" t="s">
        <v>1217</v>
      </c>
      <c r="K28" s="57" t="s">
        <v>1218</v>
      </c>
    </row>
    <row r="29" spans="1:11" ht="43.2" x14ac:dyDescent="0.3">
      <c r="A29" s="57" t="s">
        <v>1219</v>
      </c>
      <c r="B29" s="57" t="s">
        <v>1170</v>
      </c>
      <c r="C29" s="57" t="s">
        <v>1212</v>
      </c>
      <c r="D29" s="57" t="s">
        <v>922</v>
      </c>
      <c r="E29" s="57">
        <v>5</v>
      </c>
      <c r="F29" s="57" t="s">
        <v>1213</v>
      </c>
      <c r="G29" s="57" t="s">
        <v>1214</v>
      </c>
      <c r="H29" s="57" t="s">
        <v>1215</v>
      </c>
      <c r="I29" s="57" t="s">
        <v>1216</v>
      </c>
      <c r="J29" s="57" t="s">
        <v>1217</v>
      </c>
      <c r="K29" s="57" t="s">
        <v>1218</v>
      </c>
    </row>
    <row r="30" spans="1:11" ht="43.2" x14ac:dyDescent="0.3">
      <c r="A30" s="57" t="s">
        <v>1220</v>
      </c>
      <c r="B30" s="57" t="s">
        <v>1170</v>
      </c>
      <c r="C30" s="57" t="s">
        <v>1212</v>
      </c>
      <c r="D30" s="57" t="s">
        <v>922</v>
      </c>
      <c r="E30" s="57">
        <v>5</v>
      </c>
      <c r="F30" s="57" t="s">
        <v>1213</v>
      </c>
      <c r="G30" s="57" t="s">
        <v>1214</v>
      </c>
      <c r="H30" s="57" t="s">
        <v>1215</v>
      </c>
      <c r="I30" s="57" t="s">
        <v>1216</v>
      </c>
      <c r="J30" s="57" t="s">
        <v>1217</v>
      </c>
      <c r="K30" s="57" t="s">
        <v>1218</v>
      </c>
    </row>
    <row r="31" spans="1:11" ht="43.2" x14ac:dyDescent="0.3">
      <c r="A31" s="57" t="s">
        <v>1221</v>
      </c>
      <c r="B31" s="57" t="s">
        <v>1170</v>
      </c>
      <c r="C31" s="57" t="s">
        <v>1212</v>
      </c>
      <c r="D31" s="57" t="s">
        <v>922</v>
      </c>
      <c r="E31" s="57">
        <v>5</v>
      </c>
      <c r="F31" s="57" t="s">
        <v>1213</v>
      </c>
      <c r="G31" s="57" t="s">
        <v>1214</v>
      </c>
      <c r="H31" s="57" t="s">
        <v>1215</v>
      </c>
      <c r="I31" s="57" t="s">
        <v>1216</v>
      </c>
      <c r="J31" s="57" t="s">
        <v>1217</v>
      </c>
      <c r="K31" s="57" t="s">
        <v>1218</v>
      </c>
    </row>
    <row r="32" spans="1:11" ht="43.2" x14ac:dyDescent="0.3">
      <c r="A32" s="57" t="s">
        <v>1222</v>
      </c>
      <c r="B32" s="57" t="s">
        <v>1170</v>
      </c>
      <c r="C32" s="57" t="s">
        <v>1212</v>
      </c>
      <c r="D32" s="57" t="s">
        <v>922</v>
      </c>
      <c r="E32" s="57">
        <v>5</v>
      </c>
      <c r="F32" s="57" t="s">
        <v>1213</v>
      </c>
      <c r="G32" s="57" t="s">
        <v>1214</v>
      </c>
      <c r="H32" s="57" t="s">
        <v>1215</v>
      </c>
      <c r="I32" s="57" t="s">
        <v>1216</v>
      </c>
      <c r="J32" s="57" t="s">
        <v>1217</v>
      </c>
      <c r="K32" s="57" t="s">
        <v>1218</v>
      </c>
    </row>
    <row r="33" spans="1:11" ht="43.2" x14ac:dyDescent="0.3">
      <c r="A33" s="57" t="s">
        <v>1223</v>
      </c>
      <c r="B33" s="57" t="s">
        <v>1170</v>
      </c>
      <c r="C33" s="57" t="s">
        <v>1212</v>
      </c>
      <c r="D33" s="57" t="s">
        <v>922</v>
      </c>
      <c r="E33" s="57">
        <v>5</v>
      </c>
      <c r="F33" s="57" t="s">
        <v>1213</v>
      </c>
      <c r="G33" s="57" t="s">
        <v>1214</v>
      </c>
      <c r="H33" s="57" t="s">
        <v>1215</v>
      </c>
      <c r="I33" s="57" t="s">
        <v>1216</v>
      </c>
      <c r="J33" s="57" t="s">
        <v>1217</v>
      </c>
      <c r="K33" s="57" t="s">
        <v>1218</v>
      </c>
    </row>
    <row r="34" spans="1:11" ht="43.2" x14ac:dyDescent="0.3">
      <c r="A34" s="57" t="s">
        <v>1224</v>
      </c>
      <c r="B34" s="57" t="s">
        <v>1170</v>
      </c>
      <c r="C34" s="57" t="s">
        <v>1212</v>
      </c>
      <c r="D34" s="57" t="s">
        <v>922</v>
      </c>
      <c r="E34" s="57">
        <v>5</v>
      </c>
      <c r="F34" s="57" t="s">
        <v>1213</v>
      </c>
      <c r="G34" s="57" t="s">
        <v>1214</v>
      </c>
      <c r="H34" s="57" t="s">
        <v>1215</v>
      </c>
      <c r="I34" s="57" t="s">
        <v>1216</v>
      </c>
      <c r="J34" s="57" t="s">
        <v>1217</v>
      </c>
      <c r="K34" s="57" t="s">
        <v>1218</v>
      </c>
    </row>
    <row r="35" spans="1:11" ht="43.2" x14ac:dyDescent="0.3">
      <c r="A35" s="57" t="s">
        <v>1225</v>
      </c>
      <c r="B35" s="57" t="s">
        <v>1170</v>
      </c>
      <c r="C35" s="57" t="s">
        <v>1212</v>
      </c>
      <c r="D35" s="57" t="s">
        <v>922</v>
      </c>
      <c r="E35" s="57">
        <v>5</v>
      </c>
      <c r="F35" s="57" t="s">
        <v>1213</v>
      </c>
      <c r="G35" s="57" t="s">
        <v>1214</v>
      </c>
      <c r="H35" s="57" t="s">
        <v>1215</v>
      </c>
      <c r="I35" s="57" t="s">
        <v>1216</v>
      </c>
      <c r="J35" s="57" t="s">
        <v>1217</v>
      </c>
      <c r="K35" s="57" t="s">
        <v>1218</v>
      </c>
    </row>
    <row r="36" spans="1:11" ht="43.2" x14ac:dyDescent="0.3">
      <c r="A36" s="57" t="s">
        <v>1226</v>
      </c>
      <c r="B36" s="57" t="s">
        <v>1170</v>
      </c>
      <c r="C36" s="57" t="s">
        <v>1212</v>
      </c>
      <c r="D36" s="57" t="s">
        <v>922</v>
      </c>
      <c r="E36" s="57">
        <v>5</v>
      </c>
      <c r="F36" s="57" t="s">
        <v>1213</v>
      </c>
      <c r="G36" s="57" t="s">
        <v>1214</v>
      </c>
      <c r="H36" s="57" t="s">
        <v>1215</v>
      </c>
      <c r="I36" s="57" t="s">
        <v>1216</v>
      </c>
      <c r="J36" s="57" t="s">
        <v>1217</v>
      </c>
      <c r="K36" s="57" t="s">
        <v>1218</v>
      </c>
    </row>
    <row r="37" spans="1:11" ht="43.2" x14ac:dyDescent="0.3">
      <c r="A37" s="57" t="s">
        <v>1227</v>
      </c>
      <c r="B37" s="57" t="s">
        <v>1170</v>
      </c>
      <c r="C37" s="57" t="s">
        <v>1212</v>
      </c>
      <c r="D37" s="57" t="s">
        <v>922</v>
      </c>
      <c r="E37" s="57">
        <v>5</v>
      </c>
      <c r="F37" s="57" t="s">
        <v>1213</v>
      </c>
      <c r="G37" s="57" t="s">
        <v>1214</v>
      </c>
      <c r="H37" s="57" t="s">
        <v>1215</v>
      </c>
      <c r="I37" s="57" t="s">
        <v>1216</v>
      </c>
      <c r="J37" s="57" t="s">
        <v>1217</v>
      </c>
      <c r="K37" s="57" t="s">
        <v>1218</v>
      </c>
    </row>
    <row r="38" spans="1:11" ht="28.8" x14ac:dyDescent="0.3">
      <c r="A38" s="57" t="s">
        <v>1221</v>
      </c>
      <c r="B38" s="57" t="s">
        <v>1228</v>
      </c>
      <c r="C38" s="57" t="s">
        <v>1221</v>
      </c>
      <c r="D38" s="57" t="s">
        <v>1172</v>
      </c>
      <c r="E38" s="57">
        <v>5</v>
      </c>
      <c r="F38" s="57" t="s">
        <v>33</v>
      </c>
      <c r="G38" s="57" t="s">
        <v>1229</v>
      </c>
      <c r="H38" s="57" t="s">
        <v>1230</v>
      </c>
      <c r="I38" s="57" t="s">
        <v>1231</v>
      </c>
      <c r="J38" s="57" t="s">
        <v>1177</v>
      </c>
      <c r="K38" s="57" t="s">
        <v>1232</v>
      </c>
    </row>
    <row r="39" spans="1:11" ht="28.8" x14ac:dyDescent="0.3">
      <c r="A39" s="57" t="s">
        <v>1233</v>
      </c>
      <c r="B39" s="57" t="s">
        <v>1228</v>
      </c>
      <c r="C39" s="57" t="s">
        <v>1221</v>
      </c>
      <c r="D39" s="57" t="s">
        <v>1172</v>
      </c>
      <c r="E39" s="57">
        <v>5</v>
      </c>
      <c r="F39" s="57" t="s">
        <v>33</v>
      </c>
      <c r="G39" s="57" t="s">
        <v>1229</v>
      </c>
      <c r="H39" s="57" t="s">
        <v>1230</v>
      </c>
      <c r="I39" s="57" t="s">
        <v>1231</v>
      </c>
      <c r="J39" s="57" t="s">
        <v>1177</v>
      </c>
      <c r="K39" s="57" t="s">
        <v>1232</v>
      </c>
    </row>
    <row r="40" spans="1:11" ht="28.8" x14ac:dyDescent="0.3">
      <c r="A40" s="57" t="s">
        <v>650</v>
      </c>
      <c r="B40" s="57" t="s">
        <v>1228</v>
      </c>
      <c r="C40" s="57" t="s">
        <v>1221</v>
      </c>
      <c r="D40" s="57" t="s">
        <v>1172</v>
      </c>
      <c r="E40" s="57">
        <v>5</v>
      </c>
      <c r="F40" s="57" t="s">
        <v>33</v>
      </c>
      <c r="G40" s="57" t="s">
        <v>1229</v>
      </c>
      <c r="H40" s="57" t="s">
        <v>1230</v>
      </c>
      <c r="I40" s="57" t="s">
        <v>1231</v>
      </c>
      <c r="J40" s="57" t="s">
        <v>1177</v>
      </c>
      <c r="K40" s="57" t="s">
        <v>1232</v>
      </c>
    </row>
    <row r="41" spans="1:11" ht="28.8" x14ac:dyDescent="0.3">
      <c r="A41" s="57" t="s">
        <v>1234</v>
      </c>
      <c r="B41" s="57" t="s">
        <v>1228</v>
      </c>
      <c r="C41" s="57" t="s">
        <v>1221</v>
      </c>
      <c r="D41" s="57" t="s">
        <v>1172</v>
      </c>
      <c r="E41" s="57">
        <v>5</v>
      </c>
      <c r="F41" s="57" t="s">
        <v>33</v>
      </c>
      <c r="G41" s="57" t="s">
        <v>1229</v>
      </c>
      <c r="H41" s="57" t="s">
        <v>1230</v>
      </c>
      <c r="I41" s="57" t="s">
        <v>1231</v>
      </c>
      <c r="J41" s="57" t="s">
        <v>1177</v>
      </c>
      <c r="K41" s="57" t="s">
        <v>1232</v>
      </c>
    </row>
    <row r="42" spans="1:11" ht="28.8" x14ac:dyDescent="0.3">
      <c r="A42" s="57" t="s">
        <v>1235</v>
      </c>
      <c r="B42" s="57" t="s">
        <v>1228</v>
      </c>
      <c r="C42" s="57" t="s">
        <v>1221</v>
      </c>
      <c r="D42" s="57" t="s">
        <v>1172</v>
      </c>
      <c r="E42" s="57">
        <v>5</v>
      </c>
      <c r="F42" s="57" t="s">
        <v>33</v>
      </c>
      <c r="G42" s="57" t="s">
        <v>1229</v>
      </c>
      <c r="H42" s="57" t="s">
        <v>1230</v>
      </c>
      <c r="I42" s="57" t="s">
        <v>1231</v>
      </c>
      <c r="J42" s="57" t="s">
        <v>1177</v>
      </c>
      <c r="K42" s="57" t="s">
        <v>1232</v>
      </c>
    </row>
    <row r="43" spans="1:11" ht="28.8" x14ac:dyDescent="0.3">
      <c r="A43" s="57" t="s">
        <v>1236</v>
      </c>
      <c r="B43" s="57" t="s">
        <v>1228</v>
      </c>
      <c r="C43" s="57" t="s">
        <v>1221</v>
      </c>
      <c r="D43" s="57" t="s">
        <v>1172</v>
      </c>
      <c r="E43" s="57">
        <v>5</v>
      </c>
      <c r="F43" s="57" t="s">
        <v>33</v>
      </c>
      <c r="G43" s="57" t="s">
        <v>1229</v>
      </c>
      <c r="H43" s="57" t="s">
        <v>1230</v>
      </c>
      <c r="I43" s="57" t="s">
        <v>1231</v>
      </c>
      <c r="J43" s="57" t="s">
        <v>1177</v>
      </c>
      <c r="K43" s="57" t="s">
        <v>1232</v>
      </c>
    </row>
    <row r="44" spans="1:11" ht="28.8" x14ac:dyDescent="0.3">
      <c r="A44" s="57" t="s">
        <v>1237</v>
      </c>
      <c r="B44" s="57" t="s">
        <v>1228</v>
      </c>
      <c r="C44" s="57" t="s">
        <v>1237</v>
      </c>
      <c r="D44" s="57" t="s">
        <v>1172</v>
      </c>
      <c r="E44" s="57">
        <v>3</v>
      </c>
      <c r="F44" s="57" t="s">
        <v>1188</v>
      </c>
      <c r="G44" s="57" t="s">
        <v>1238</v>
      </c>
      <c r="H44" s="57" t="s">
        <v>1239</v>
      </c>
      <c r="I44" s="57" t="s">
        <v>1240</v>
      </c>
      <c r="J44" s="57" t="s">
        <v>1177</v>
      </c>
      <c r="K44" s="57" t="s">
        <v>1241</v>
      </c>
    </row>
    <row r="45" spans="1:11" ht="28.8" x14ac:dyDescent="0.3">
      <c r="A45" s="57" t="s">
        <v>1242</v>
      </c>
      <c r="B45" s="57" t="s">
        <v>1228</v>
      </c>
      <c r="C45" s="57" t="s">
        <v>1237</v>
      </c>
      <c r="D45" s="57" t="s">
        <v>1172</v>
      </c>
      <c r="E45" s="57">
        <v>3</v>
      </c>
      <c r="F45" s="57" t="s">
        <v>1188</v>
      </c>
      <c r="G45" s="57" t="s">
        <v>1238</v>
      </c>
      <c r="H45" s="57" t="s">
        <v>1239</v>
      </c>
      <c r="I45" s="57" t="s">
        <v>1240</v>
      </c>
      <c r="J45" s="57" t="s">
        <v>1177</v>
      </c>
      <c r="K45" s="57" t="s">
        <v>1241</v>
      </c>
    </row>
    <row r="46" spans="1:11" ht="28.8" x14ac:dyDescent="0.3">
      <c r="A46" s="57" t="s">
        <v>1243</v>
      </c>
      <c r="B46" s="57" t="s">
        <v>1228</v>
      </c>
      <c r="C46" s="57" t="s">
        <v>1237</v>
      </c>
      <c r="D46" s="57" t="s">
        <v>1172</v>
      </c>
      <c r="E46" s="57">
        <v>3</v>
      </c>
      <c r="F46" s="57" t="s">
        <v>1188</v>
      </c>
      <c r="G46" s="57" t="s">
        <v>1238</v>
      </c>
      <c r="H46" s="57" t="s">
        <v>1239</v>
      </c>
      <c r="I46" s="57" t="s">
        <v>1240</v>
      </c>
      <c r="J46" s="57" t="s">
        <v>1177</v>
      </c>
      <c r="K46" s="57" t="s">
        <v>1241</v>
      </c>
    </row>
    <row r="47" spans="1:11" ht="28.8" x14ac:dyDescent="0.3">
      <c r="A47" s="57" t="s">
        <v>1244</v>
      </c>
      <c r="B47" s="57" t="s">
        <v>1228</v>
      </c>
      <c r="C47" s="57" t="s">
        <v>1237</v>
      </c>
      <c r="D47" s="57" t="s">
        <v>1172</v>
      </c>
      <c r="E47" s="57">
        <v>3</v>
      </c>
      <c r="F47" s="57" t="s">
        <v>1188</v>
      </c>
      <c r="G47" s="57" t="s">
        <v>1238</v>
      </c>
      <c r="H47" s="57" t="s">
        <v>1239</v>
      </c>
      <c r="I47" s="57" t="s">
        <v>1240</v>
      </c>
      <c r="J47" s="57" t="s">
        <v>1177</v>
      </c>
      <c r="K47" s="57" t="s">
        <v>1241</v>
      </c>
    </row>
    <row r="48" spans="1:11" ht="28.8" x14ac:dyDescent="0.3">
      <c r="A48" s="57" t="s">
        <v>1245</v>
      </c>
      <c r="B48" s="57" t="s">
        <v>1228</v>
      </c>
      <c r="C48" s="57" t="s">
        <v>1237</v>
      </c>
      <c r="D48" s="57" t="s">
        <v>1172</v>
      </c>
      <c r="E48" s="57">
        <v>3</v>
      </c>
      <c r="F48" s="57" t="s">
        <v>1188</v>
      </c>
      <c r="G48" s="57" t="s">
        <v>1238</v>
      </c>
      <c r="H48" s="57" t="s">
        <v>1239</v>
      </c>
      <c r="I48" s="57" t="s">
        <v>1240</v>
      </c>
      <c r="J48" s="57" t="s">
        <v>1177</v>
      </c>
      <c r="K48" s="57" t="s">
        <v>1241</v>
      </c>
    </row>
    <row r="49" spans="1:11" ht="28.8" x14ac:dyDescent="0.3">
      <c r="A49" s="57" t="s">
        <v>1246</v>
      </c>
      <c r="B49" s="57" t="s">
        <v>1228</v>
      </c>
      <c r="C49" s="57" t="s">
        <v>1237</v>
      </c>
      <c r="D49" s="57" t="s">
        <v>1172</v>
      </c>
      <c r="E49" s="57">
        <v>3</v>
      </c>
      <c r="F49" s="57" t="s">
        <v>1188</v>
      </c>
      <c r="G49" s="57" t="s">
        <v>1238</v>
      </c>
      <c r="H49" s="57" t="s">
        <v>1239</v>
      </c>
      <c r="I49" s="57" t="s">
        <v>1240</v>
      </c>
      <c r="J49" s="57" t="s">
        <v>1177</v>
      </c>
      <c r="K49" s="57" t="s">
        <v>1241</v>
      </c>
    </row>
    <row r="50" spans="1:11" ht="28.8" x14ac:dyDescent="0.3">
      <c r="A50" s="57" t="s">
        <v>1247</v>
      </c>
      <c r="B50" s="57" t="s">
        <v>1228</v>
      </c>
      <c r="C50" s="57" t="s">
        <v>1237</v>
      </c>
      <c r="D50" s="57" t="s">
        <v>1172</v>
      </c>
      <c r="E50" s="57">
        <v>3</v>
      </c>
      <c r="F50" s="57" t="s">
        <v>1188</v>
      </c>
      <c r="G50" s="57" t="s">
        <v>1238</v>
      </c>
      <c r="H50" s="57" t="s">
        <v>1239</v>
      </c>
      <c r="I50" s="57" t="s">
        <v>1240</v>
      </c>
      <c r="J50" s="57" t="s">
        <v>1177</v>
      </c>
      <c r="K50" s="57" t="s">
        <v>1241</v>
      </c>
    </row>
    <row r="51" spans="1:11" ht="28.8" x14ac:dyDescent="0.3">
      <c r="A51" s="57" t="s">
        <v>1248</v>
      </c>
      <c r="B51" s="57" t="s">
        <v>1228</v>
      </c>
      <c r="C51" s="57" t="s">
        <v>1237</v>
      </c>
      <c r="D51" s="57" t="s">
        <v>1172</v>
      </c>
      <c r="E51" s="57">
        <v>3</v>
      </c>
      <c r="F51" s="57" t="s">
        <v>1188</v>
      </c>
      <c r="G51" s="57" t="s">
        <v>1238</v>
      </c>
      <c r="H51" s="57" t="s">
        <v>1239</v>
      </c>
      <c r="I51" s="57" t="s">
        <v>1240</v>
      </c>
      <c r="J51" s="57" t="s">
        <v>1177</v>
      </c>
      <c r="K51" s="57" t="s">
        <v>1241</v>
      </c>
    </row>
    <row r="52" spans="1:11" ht="28.8" x14ac:dyDescent="0.3">
      <c r="A52" s="57" t="s">
        <v>1249</v>
      </c>
      <c r="B52" s="57" t="s">
        <v>1228</v>
      </c>
      <c r="C52" s="57" t="s">
        <v>1250</v>
      </c>
      <c r="D52" s="57" t="s">
        <v>1172</v>
      </c>
      <c r="E52" s="57">
        <v>2</v>
      </c>
      <c r="F52" s="57" t="s">
        <v>1173</v>
      </c>
      <c r="G52" s="57" t="s">
        <v>1251</v>
      </c>
      <c r="H52" s="57" t="s">
        <v>1252</v>
      </c>
      <c r="I52" s="57" t="s">
        <v>1253</v>
      </c>
      <c r="J52" s="57" t="s">
        <v>1177</v>
      </c>
      <c r="K52" s="57" t="s">
        <v>1254</v>
      </c>
    </row>
    <row r="53" spans="1:11" ht="28.8" x14ac:dyDescent="0.3">
      <c r="A53" s="57" t="s">
        <v>1255</v>
      </c>
      <c r="B53" s="57" t="s">
        <v>1228</v>
      </c>
      <c r="C53" s="57" t="s">
        <v>1250</v>
      </c>
      <c r="D53" s="57" t="s">
        <v>1172</v>
      </c>
      <c r="E53" s="57">
        <v>2</v>
      </c>
      <c r="F53" s="57" t="s">
        <v>1173</v>
      </c>
      <c r="G53" s="57" t="s">
        <v>1251</v>
      </c>
      <c r="H53" s="57" t="s">
        <v>1252</v>
      </c>
      <c r="I53" s="57" t="s">
        <v>1253</v>
      </c>
      <c r="J53" s="57" t="s">
        <v>1177</v>
      </c>
      <c r="K53" s="57" t="s">
        <v>1254</v>
      </c>
    </row>
    <row r="54" spans="1:11" ht="28.8" x14ac:dyDescent="0.3">
      <c r="A54" s="57" t="s">
        <v>1256</v>
      </c>
      <c r="B54" s="57" t="s">
        <v>1228</v>
      </c>
      <c r="C54" s="57" t="s">
        <v>1250</v>
      </c>
      <c r="D54" s="57" t="s">
        <v>1172</v>
      </c>
      <c r="E54" s="57">
        <v>2</v>
      </c>
      <c r="F54" s="57" t="s">
        <v>1173</v>
      </c>
      <c r="G54" s="57" t="s">
        <v>1251</v>
      </c>
      <c r="H54" s="57" t="s">
        <v>1252</v>
      </c>
      <c r="I54" s="57" t="s">
        <v>1253</v>
      </c>
      <c r="J54" s="57" t="s">
        <v>1177</v>
      </c>
      <c r="K54" s="57" t="s">
        <v>1254</v>
      </c>
    </row>
    <row r="55" spans="1:11" ht="28.8" x14ac:dyDescent="0.3">
      <c r="A55" s="57" t="s">
        <v>1257</v>
      </c>
      <c r="B55" s="57" t="s">
        <v>1228</v>
      </c>
      <c r="C55" s="57" t="s">
        <v>1250</v>
      </c>
      <c r="D55" s="57" t="s">
        <v>1172</v>
      </c>
      <c r="E55" s="57">
        <v>2</v>
      </c>
      <c r="F55" s="57" t="s">
        <v>1173</v>
      </c>
      <c r="G55" s="57" t="s">
        <v>1251</v>
      </c>
      <c r="H55" s="57" t="s">
        <v>1252</v>
      </c>
      <c r="I55" s="57" t="s">
        <v>1253</v>
      </c>
      <c r="J55" s="57" t="s">
        <v>1177</v>
      </c>
      <c r="K55" s="57" t="s">
        <v>1254</v>
      </c>
    </row>
    <row r="56" spans="1:11" ht="28.8" x14ac:dyDescent="0.3">
      <c r="A56" s="57" t="s">
        <v>1258</v>
      </c>
      <c r="B56" s="57" t="s">
        <v>1228</v>
      </c>
      <c r="C56" s="57" t="s">
        <v>1250</v>
      </c>
      <c r="D56" s="57" t="s">
        <v>1172</v>
      </c>
      <c r="E56" s="57">
        <v>2</v>
      </c>
      <c r="F56" s="57" t="s">
        <v>1173</v>
      </c>
      <c r="G56" s="57" t="s">
        <v>1251</v>
      </c>
      <c r="H56" s="57" t="s">
        <v>1252</v>
      </c>
      <c r="I56" s="57" t="s">
        <v>1253</v>
      </c>
      <c r="J56" s="57" t="s">
        <v>1177</v>
      </c>
      <c r="K56" s="57" t="s">
        <v>1254</v>
      </c>
    </row>
    <row r="57" spans="1:11" ht="28.8" x14ac:dyDescent="0.3">
      <c r="A57" s="57" t="s">
        <v>1259</v>
      </c>
      <c r="B57" s="57" t="s">
        <v>1228</v>
      </c>
      <c r="C57" s="57" t="s">
        <v>1250</v>
      </c>
      <c r="D57" s="57" t="s">
        <v>1172</v>
      </c>
      <c r="E57" s="57">
        <v>2</v>
      </c>
      <c r="F57" s="57" t="s">
        <v>1173</v>
      </c>
      <c r="G57" s="57" t="s">
        <v>1251</v>
      </c>
      <c r="H57" s="57" t="s">
        <v>1252</v>
      </c>
      <c r="I57" s="57" t="s">
        <v>1253</v>
      </c>
      <c r="J57" s="57" t="s">
        <v>1177</v>
      </c>
      <c r="K57" s="57" t="s">
        <v>1254</v>
      </c>
    </row>
    <row r="58" spans="1:11" ht="28.8" x14ac:dyDescent="0.3">
      <c r="A58" s="57" t="s">
        <v>1260</v>
      </c>
      <c r="B58" s="57" t="s">
        <v>1228</v>
      </c>
      <c r="C58" s="57" t="s">
        <v>1250</v>
      </c>
      <c r="D58" s="57" t="s">
        <v>1172</v>
      </c>
      <c r="E58" s="57">
        <v>2</v>
      </c>
      <c r="F58" s="57" t="s">
        <v>1173</v>
      </c>
      <c r="G58" s="57" t="s">
        <v>1251</v>
      </c>
      <c r="H58" s="57" t="s">
        <v>1252</v>
      </c>
      <c r="I58" s="57" t="s">
        <v>1253</v>
      </c>
      <c r="J58" s="57" t="s">
        <v>1177</v>
      </c>
      <c r="K58" s="57" t="s">
        <v>1254</v>
      </c>
    </row>
    <row r="59" spans="1:11" ht="28.8" x14ac:dyDescent="0.3">
      <c r="A59" s="57" t="s">
        <v>1261</v>
      </c>
      <c r="B59" s="57" t="s">
        <v>1228</v>
      </c>
      <c r="C59" s="57" t="s">
        <v>1250</v>
      </c>
      <c r="D59" s="57" t="s">
        <v>1172</v>
      </c>
      <c r="E59" s="57">
        <v>2</v>
      </c>
      <c r="F59" s="57" t="s">
        <v>1173</v>
      </c>
      <c r="G59" s="57" t="s">
        <v>1251</v>
      </c>
      <c r="H59" s="57" t="s">
        <v>1252</v>
      </c>
      <c r="I59" s="57" t="s">
        <v>1253</v>
      </c>
      <c r="J59" s="57" t="s">
        <v>1177</v>
      </c>
      <c r="K59" s="57" t="s">
        <v>1254</v>
      </c>
    </row>
    <row r="60" spans="1:11" ht="28.8" x14ac:dyDescent="0.3">
      <c r="A60" s="57" t="s">
        <v>1262</v>
      </c>
      <c r="B60" s="57" t="s">
        <v>1228</v>
      </c>
      <c r="C60" s="57" t="s">
        <v>1263</v>
      </c>
      <c r="D60" s="57" t="s">
        <v>922</v>
      </c>
      <c r="E60" s="57">
        <v>4</v>
      </c>
      <c r="F60" s="57" t="s">
        <v>33</v>
      </c>
      <c r="G60" s="57" t="s">
        <v>1264</v>
      </c>
      <c r="H60" s="57" t="s">
        <v>1265</v>
      </c>
      <c r="I60" s="57" t="s">
        <v>1266</v>
      </c>
      <c r="J60" s="57" t="s">
        <v>1177</v>
      </c>
      <c r="K60" s="57" t="s">
        <v>1267</v>
      </c>
    </row>
    <row r="61" spans="1:11" ht="28.8" x14ac:dyDescent="0.3">
      <c r="A61" s="57" t="s">
        <v>1268</v>
      </c>
      <c r="B61" s="57" t="s">
        <v>1228</v>
      </c>
      <c r="C61" s="57" t="s">
        <v>1263</v>
      </c>
      <c r="D61" s="57" t="s">
        <v>922</v>
      </c>
      <c r="E61" s="57">
        <v>4</v>
      </c>
      <c r="F61" s="57" t="s">
        <v>33</v>
      </c>
      <c r="G61" s="57" t="s">
        <v>1264</v>
      </c>
      <c r="H61" s="57" t="s">
        <v>1265</v>
      </c>
      <c r="I61" s="57" t="s">
        <v>1266</v>
      </c>
      <c r="J61" s="57" t="s">
        <v>1177</v>
      </c>
      <c r="K61" s="57" t="s">
        <v>1267</v>
      </c>
    </row>
    <row r="62" spans="1:11" ht="28.8" x14ac:dyDescent="0.3">
      <c r="A62" s="57" t="s">
        <v>864</v>
      </c>
      <c r="B62" s="57" t="s">
        <v>1228</v>
      </c>
      <c r="C62" s="57" t="s">
        <v>1263</v>
      </c>
      <c r="D62" s="57" t="s">
        <v>922</v>
      </c>
      <c r="E62" s="57">
        <v>4</v>
      </c>
      <c r="F62" s="57" t="s">
        <v>33</v>
      </c>
      <c r="G62" s="57" t="s">
        <v>1264</v>
      </c>
      <c r="H62" s="57" t="s">
        <v>1265</v>
      </c>
      <c r="I62" s="57" t="s">
        <v>1266</v>
      </c>
      <c r="J62" s="57" t="s">
        <v>1177</v>
      </c>
      <c r="K62" s="57" t="s">
        <v>1267</v>
      </c>
    </row>
    <row r="63" spans="1:11" ht="28.8" x14ac:dyDescent="0.3">
      <c r="A63" s="57" t="s">
        <v>1269</v>
      </c>
      <c r="B63" s="57" t="s">
        <v>1228</v>
      </c>
      <c r="C63" s="57" t="s">
        <v>1263</v>
      </c>
      <c r="D63" s="57" t="s">
        <v>922</v>
      </c>
      <c r="E63" s="57">
        <v>4</v>
      </c>
      <c r="F63" s="57" t="s">
        <v>33</v>
      </c>
      <c r="G63" s="57" t="s">
        <v>1264</v>
      </c>
      <c r="H63" s="57" t="s">
        <v>1265</v>
      </c>
      <c r="I63" s="57" t="s">
        <v>1266</v>
      </c>
      <c r="J63" s="57" t="s">
        <v>1177</v>
      </c>
      <c r="K63" s="57" t="s">
        <v>1267</v>
      </c>
    </row>
    <row r="64" spans="1:11" ht="28.8" x14ac:dyDescent="0.3">
      <c r="A64" s="57" t="s">
        <v>1270</v>
      </c>
      <c r="B64" s="57" t="s">
        <v>1228</v>
      </c>
      <c r="C64" s="57" t="s">
        <v>1263</v>
      </c>
      <c r="D64" s="57" t="s">
        <v>922</v>
      </c>
      <c r="E64" s="57">
        <v>4</v>
      </c>
      <c r="F64" s="57" t="s">
        <v>33</v>
      </c>
      <c r="G64" s="57" t="s">
        <v>1264</v>
      </c>
      <c r="H64" s="57" t="s">
        <v>1265</v>
      </c>
      <c r="I64" s="57" t="s">
        <v>1266</v>
      </c>
      <c r="J64" s="57" t="s">
        <v>1177</v>
      </c>
      <c r="K64" s="57" t="s">
        <v>1267</v>
      </c>
    </row>
    <row r="65" spans="1:11" ht="28.8" x14ac:dyDescent="0.3">
      <c r="A65" s="57" t="s">
        <v>1271</v>
      </c>
      <c r="B65" s="57" t="s">
        <v>1228</v>
      </c>
      <c r="C65" s="57" t="s">
        <v>1263</v>
      </c>
      <c r="D65" s="57" t="s">
        <v>922</v>
      </c>
      <c r="E65" s="57">
        <v>4</v>
      </c>
      <c r="F65" s="57" t="s">
        <v>33</v>
      </c>
      <c r="G65" s="57" t="s">
        <v>1264</v>
      </c>
      <c r="H65" s="57" t="s">
        <v>1265</v>
      </c>
      <c r="I65" s="57" t="s">
        <v>1266</v>
      </c>
      <c r="J65" s="57" t="s">
        <v>1177</v>
      </c>
      <c r="K65" s="57" t="s">
        <v>1267</v>
      </c>
    </row>
    <row r="66" spans="1:11" ht="28.8" x14ac:dyDescent="0.3">
      <c r="A66" s="57" t="s">
        <v>1272</v>
      </c>
      <c r="B66" s="57" t="s">
        <v>1228</v>
      </c>
      <c r="C66" s="57" t="s">
        <v>1263</v>
      </c>
      <c r="D66" s="57" t="s">
        <v>922</v>
      </c>
      <c r="E66" s="57">
        <v>4</v>
      </c>
      <c r="F66" s="57" t="s">
        <v>33</v>
      </c>
      <c r="G66" s="57" t="s">
        <v>1264</v>
      </c>
      <c r="H66" s="57" t="s">
        <v>1265</v>
      </c>
      <c r="I66" s="57" t="s">
        <v>1266</v>
      </c>
      <c r="J66" s="57" t="s">
        <v>1177</v>
      </c>
      <c r="K66" s="57" t="s">
        <v>1267</v>
      </c>
    </row>
    <row r="67" spans="1:11" ht="28.8" x14ac:dyDescent="0.3">
      <c r="A67" s="57" t="s">
        <v>1273</v>
      </c>
      <c r="B67" s="57" t="s">
        <v>1228</v>
      </c>
      <c r="C67" s="57" t="s">
        <v>1263</v>
      </c>
      <c r="D67" s="57" t="s">
        <v>922</v>
      </c>
      <c r="E67" s="57">
        <v>4</v>
      </c>
      <c r="F67" s="57" t="s">
        <v>33</v>
      </c>
      <c r="G67" s="57" t="s">
        <v>1264</v>
      </c>
      <c r="H67" s="57" t="s">
        <v>1265</v>
      </c>
      <c r="I67" s="57" t="s">
        <v>1266</v>
      </c>
      <c r="J67" s="57" t="s">
        <v>1177</v>
      </c>
      <c r="K67" s="57" t="s">
        <v>1267</v>
      </c>
    </row>
    <row r="68" spans="1:11" ht="28.8" x14ac:dyDescent="0.3">
      <c r="A68" s="57" t="s">
        <v>1194</v>
      </c>
      <c r="B68" s="57" t="s">
        <v>1274</v>
      </c>
      <c r="C68" s="57" t="s">
        <v>1275</v>
      </c>
      <c r="D68" s="57" t="s">
        <v>913</v>
      </c>
      <c r="E68" s="57">
        <v>3</v>
      </c>
      <c r="F68" s="57" t="s">
        <v>1173</v>
      </c>
      <c r="G68" s="57" t="s">
        <v>1276</v>
      </c>
      <c r="H68" s="57" t="s">
        <v>1277</v>
      </c>
      <c r="I68" s="57" t="s">
        <v>1278</v>
      </c>
      <c r="J68" s="57" t="s">
        <v>1217</v>
      </c>
      <c r="K68" s="57" t="s">
        <v>1279</v>
      </c>
    </row>
    <row r="69" spans="1:11" ht="28.8" x14ac:dyDescent="0.3">
      <c r="A69" s="57" t="s">
        <v>1280</v>
      </c>
      <c r="B69" s="57" t="s">
        <v>1274</v>
      </c>
      <c r="C69" s="57" t="s">
        <v>1275</v>
      </c>
      <c r="D69" s="57" t="s">
        <v>913</v>
      </c>
      <c r="E69" s="57">
        <v>3</v>
      </c>
      <c r="F69" s="57" t="s">
        <v>1173</v>
      </c>
      <c r="G69" s="57" t="s">
        <v>1276</v>
      </c>
      <c r="H69" s="57" t="s">
        <v>1277</v>
      </c>
      <c r="I69" s="57" t="s">
        <v>1278</v>
      </c>
      <c r="J69" s="57" t="s">
        <v>1217</v>
      </c>
      <c r="K69" s="57" t="s">
        <v>1279</v>
      </c>
    </row>
    <row r="70" spans="1:11" ht="28.8" x14ac:dyDescent="0.3">
      <c r="A70" s="57" t="s">
        <v>1281</v>
      </c>
      <c r="B70" s="57" t="s">
        <v>1274</v>
      </c>
      <c r="C70" s="57" t="s">
        <v>1275</v>
      </c>
      <c r="D70" s="57" t="s">
        <v>913</v>
      </c>
      <c r="E70" s="57">
        <v>3</v>
      </c>
      <c r="F70" s="57" t="s">
        <v>1173</v>
      </c>
      <c r="G70" s="57" t="s">
        <v>1276</v>
      </c>
      <c r="H70" s="57" t="s">
        <v>1277</v>
      </c>
      <c r="I70" s="57" t="s">
        <v>1278</v>
      </c>
      <c r="J70" s="57" t="s">
        <v>1217</v>
      </c>
      <c r="K70" s="57" t="s">
        <v>1279</v>
      </c>
    </row>
    <row r="71" spans="1:11" ht="28.8" x14ac:dyDescent="0.3">
      <c r="A71" s="57" t="s">
        <v>1282</v>
      </c>
      <c r="B71" s="57" t="s">
        <v>1274</v>
      </c>
      <c r="C71" s="57" t="s">
        <v>1275</v>
      </c>
      <c r="D71" s="57" t="s">
        <v>913</v>
      </c>
      <c r="E71" s="57">
        <v>3</v>
      </c>
      <c r="F71" s="57" t="s">
        <v>1173</v>
      </c>
      <c r="G71" s="57" t="s">
        <v>1276</v>
      </c>
      <c r="H71" s="57" t="s">
        <v>1277</v>
      </c>
      <c r="I71" s="57" t="s">
        <v>1278</v>
      </c>
      <c r="J71" s="57" t="s">
        <v>1217</v>
      </c>
      <c r="K71" s="57" t="s">
        <v>1279</v>
      </c>
    </row>
    <row r="72" spans="1:11" ht="28.8" x14ac:dyDescent="0.3">
      <c r="A72" s="57" t="s">
        <v>1283</v>
      </c>
      <c r="B72" s="57" t="s">
        <v>1274</v>
      </c>
      <c r="C72" s="57" t="s">
        <v>1275</v>
      </c>
      <c r="D72" s="57" t="s">
        <v>913</v>
      </c>
      <c r="E72" s="57">
        <v>3</v>
      </c>
      <c r="F72" s="57" t="s">
        <v>1173</v>
      </c>
      <c r="G72" s="57" t="s">
        <v>1276</v>
      </c>
      <c r="H72" s="57" t="s">
        <v>1277</v>
      </c>
      <c r="I72" s="57" t="s">
        <v>1278</v>
      </c>
      <c r="J72" s="57" t="s">
        <v>1217</v>
      </c>
      <c r="K72" s="57" t="s">
        <v>1279</v>
      </c>
    </row>
    <row r="73" spans="1:11" ht="28.8" x14ac:dyDescent="0.3">
      <c r="A73" s="57" t="s">
        <v>1284</v>
      </c>
      <c r="B73" s="57" t="s">
        <v>1274</v>
      </c>
      <c r="C73" s="57" t="s">
        <v>1275</v>
      </c>
      <c r="D73" s="57" t="s">
        <v>913</v>
      </c>
      <c r="E73" s="57">
        <v>3</v>
      </c>
      <c r="F73" s="57" t="s">
        <v>1173</v>
      </c>
      <c r="G73" s="57" t="s">
        <v>1276</v>
      </c>
      <c r="H73" s="57" t="s">
        <v>1277</v>
      </c>
      <c r="I73" s="57" t="s">
        <v>1278</v>
      </c>
      <c r="J73" s="57" t="s">
        <v>1217</v>
      </c>
      <c r="K73" s="57" t="s">
        <v>1279</v>
      </c>
    </row>
    <row r="74" spans="1:11" ht="28.8" x14ac:dyDescent="0.3">
      <c r="A74" s="57" t="s">
        <v>1285</v>
      </c>
      <c r="B74" s="57" t="s">
        <v>1274</v>
      </c>
      <c r="C74" s="57" t="s">
        <v>1275</v>
      </c>
      <c r="D74" s="57" t="s">
        <v>913</v>
      </c>
      <c r="E74" s="57">
        <v>3</v>
      </c>
      <c r="F74" s="57" t="s">
        <v>1173</v>
      </c>
      <c r="G74" s="57" t="s">
        <v>1276</v>
      </c>
      <c r="H74" s="57" t="s">
        <v>1277</v>
      </c>
      <c r="I74" s="57" t="s">
        <v>1278</v>
      </c>
      <c r="J74" s="57" t="s">
        <v>1217</v>
      </c>
      <c r="K74" s="57" t="s">
        <v>1279</v>
      </c>
    </row>
    <row r="75" spans="1:11" ht="28.8" x14ac:dyDescent="0.3">
      <c r="A75" s="57" t="s">
        <v>1286</v>
      </c>
      <c r="B75" s="57" t="s">
        <v>1274</v>
      </c>
      <c r="C75" s="57" t="s">
        <v>1275</v>
      </c>
      <c r="D75" s="57" t="s">
        <v>913</v>
      </c>
      <c r="E75" s="57">
        <v>3</v>
      </c>
      <c r="F75" s="57" t="s">
        <v>1173</v>
      </c>
      <c r="G75" s="57" t="s">
        <v>1276</v>
      </c>
      <c r="H75" s="57" t="s">
        <v>1277</v>
      </c>
      <c r="I75" s="57" t="s">
        <v>1278</v>
      </c>
      <c r="J75" s="57" t="s">
        <v>1217</v>
      </c>
      <c r="K75" s="57" t="s">
        <v>1279</v>
      </c>
    </row>
    <row r="76" spans="1:11" ht="28.8" x14ac:dyDescent="0.3">
      <c r="A76" s="57" t="s">
        <v>1287</v>
      </c>
      <c r="B76" s="57" t="s">
        <v>1274</v>
      </c>
      <c r="C76" s="57" t="s">
        <v>1275</v>
      </c>
      <c r="D76" s="57" t="s">
        <v>913</v>
      </c>
      <c r="E76" s="57">
        <v>3</v>
      </c>
      <c r="F76" s="57" t="s">
        <v>1173</v>
      </c>
      <c r="G76" s="57" t="s">
        <v>1276</v>
      </c>
      <c r="H76" s="57" t="s">
        <v>1277</v>
      </c>
      <c r="I76" s="57" t="s">
        <v>1278</v>
      </c>
      <c r="J76" s="57" t="s">
        <v>1217</v>
      </c>
      <c r="K76" s="57" t="s">
        <v>1279</v>
      </c>
    </row>
    <row r="77" spans="1:11" ht="28.8" x14ac:dyDescent="0.3">
      <c r="A77" s="57" t="s">
        <v>1288</v>
      </c>
      <c r="B77" s="57" t="s">
        <v>1274</v>
      </c>
      <c r="C77" s="57" t="s">
        <v>1275</v>
      </c>
      <c r="D77" s="57" t="s">
        <v>913</v>
      </c>
      <c r="E77" s="57">
        <v>3</v>
      </c>
      <c r="F77" s="57" t="s">
        <v>1173</v>
      </c>
      <c r="G77" s="57" t="s">
        <v>1276</v>
      </c>
      <c r="H77" s="57" t="s">
        <v>1277</v>
      </c>
      <c r="I77" s="57" t="s">
        <v>1278</v>
      </c>
      <c r="J77" s="57" t="s">
        <v>1217</v>
      </c>
      <c r="K77" s="57" t="s">
        <v>1279</v>
      </c>
    </row>
    <row r="78" spans="1:11" ht="28.8" x14ac:dyDescent="0.3">
      <c r="A78" s="57" t="s">
        <v>1289</v>
      </c>
      <c r="B78" s="57" t="s">
        <v>1274</v>
      </c>
      <c r="C78" s="57" t="s">
        <v>1275</v>
      </c>
      <c r="D78" s="57" t="s">
        <v>913</v>
      </c>
      <c r="E78" s="57">
        <v>3</v>
      </c>
      <c r="F78" s="57" t="s">
        <v>1173</v>
      </c>
      <c r="G78" s="57" t="s">
        <v>1276</v>
      </c>
      <c r="H78" s="57" t="s">
        <v>1277</v>
      </c>
      <c r="I78" s="57" t="s">
        <v>1278</v>
      </c>
      <c r="J78" s="57" t="s">
        <v>1217</v>
      </c>
      <c r="K78" s="57" t="s">
        <v>1279</v>
      </c>
    </row>
    <row r="79" spans="1:11" ht="28.8" x14ac:dyDescent="0.3">
      <c r="A79" s="57" t="s">
        <v>1290</v>
      </c>
      <c r="B79" s="57" t="s">
        <v>1274</v>
      </c>
      <c r="C79" s="57" t="s">
        <v>1275</v>
      </c>
      <c r="D79" s="57" t="s">
        <v>913</v>
      </c>
      <c r="E79" s="57">
        <v>3</v>
      </c>
      <c r="F79" s="57" t="s">
        <v>1173</v>
      </c>
      <c r="G79" s="57" t="s">
        <v>1276</v>
      </c>
      <c r="H79" s="57" t="s">
        <v>1277</v>
      </c>
      <c r="I79" s="57" t="s">
        <v>1278</v>
      </c>
      <c r="J79" s="57" t="s">
        <v>1217</v>
      </c>
      <c r="K79" s="57" t="s">
        <v>1279</v>
      </c>
    </row>
    <row r="80" spans="1:11" ht="28.8" x14ac:dyDescent="0.3">
      <c r="A80" s="57" t="s">
        <v>1291</v>
      </c>
      <c r="B80" s="57" t="s">
        <v>1274</v>
      </c>
      <c r="C80" s="57" t="s">
        <v>1275</v>
      </c>
      <c r="D80" s="57" t="s">
        <v>913</v>
      </c>
      <c r="E80" s="57">
        <v>3</v>
      </c>
      <c r="F80" s="57" t="s">
        <v>1173</v>
      </c>
      <c r="G80" s="57" t="s">
        <v>1276</v>
      </c>
      <c r="H80" s="57" t="s">
        <v>1277</v>
      </c>
      <c r="I80" s="57" t="s">
        <v>1278</v>
      </c>
      <c r="J80" s="57" t="s">
        <v>1217</v>
      </c>
      <c r="K80" s="57" t="s">
        <v>1279</v>
      </c>
    </row>
    <row r="81" spans="1:11" ht="28.8" x14ac:dyDescent="0.3">
      <c r="A81" s="57" t="s">
        <v>1292</v>
      </c>
      <c r="B81" s="57" t="s">
        <v>1274</v>
      </c>
      <c r="C81" s="57" t="s">
        <v>1275</v>
      </c>
      <c r="D81" s="57" t="s">
        <v>913</v>
      </c>
      <c r="E81" s="57">
        <v>3</v>
      </c>
      <c r="F81" s="57" t="s">
        <v>1173</v>
      </c>
      <c r="G81" s="57" t="s">
        <v>1276</v>
      </c>
      <c r="H81" s="57" t="s">
        <v>1277</v>
      </c>
      <c r="I81" s="57" t="s">
        <v>1278</v>
      </c>
      <c r="J81" s="57" t="s">
        <v>1217</v>
      </c>
      <c r="K81" s="57" t="s">
        <v>1279</v>
      </c>
    </row>
    <row r="82" spans="1:11" ht="28.8" x14ac:dyDescent="0.3">
      <c r="A82" s="57" t="s">
        <v>1293</v>
      </c>
      <c r="B82" s="57" t="s">
        <v>1274</v>
      </c>
      <c r="C82" s="57" t="s">
        <v>1275</v>
      </c>
      <c r="D82" s="57" t="s">
        <v>913</v>
      </c>
      <c r="E82" s="57">
        <v>3</v>
      </c>
      <c r="F82" s="57" t="s">
        <v>1173</v>
      </c>
      <c r="G82" s="57" t="s">
        <v>1276</v>
      </c>
      <c r="H82" s="57" t="s">
        <v>1277</v>
      </c>
      <c r="I82" s="57" t="s">
        <v>1278</v>
      </c>
      <c r="J82" s="57" t="s">
        <v>1217</v>
      </c>
      <c r="K82" s="57" t="s">
        <v>1279</v>
      </c>
    </row>
    <row r="83" spans="1:11" ht="28.8" x14ac:dyDescent="0.3">
      <c r="A83" s="57" t="s">
        <v>1294</v>
      </c>
      <c r="B83" s="57" t="s">
        <v>1274</v>
      </c>
      <c r="C83" s="57" t="s">
        <v>1275</v>
      </c>
      <c r="D83" s="57" t="s">
        <v>913</v>
      </c>
      <c r="E83" s="57">
        <v>3</v>
      </c>
      <c r="F83" s="57" t="s">
        <v>1173</v>
      </c>
      <c r="G83" s="57" t="s">
        <v>1276</v>
      </c>
      <c r="H83" s="57" t="s">
        <v>1277</v>
      </c>
      <c r="I83" s="57" t="s">
        <v>1278</v>
      </c>
      <c r="J83" s="57" t="s">
        <v>1217</v>
      </c>
      <c r="K83" s="57" t="s">
        <v>1279</v>
      </c>
    </row>
    <row r="84" spans="1:11" ht="28.8" x14ac:dyDescent="0.3">
      <c r="A84" s="57" t="s">
        <v>1211</v>
      </c>
      <c r="B84" s="57" t="s">
        <v>1295</v>
      </c>
      <c r="C84" s="57" t="s">
        <v>1296</v>
      </c>
      <c r="D84" s="57" t="s">
        <v>922</v>
      </c>
      <c r="E84" s="57">
        <v>5</v>
      </c>
      <c r="F84" s="57" t="s">
        <v>1213</v>
      </c>
      <c r="G84" s="57" t="s">
        <v>1297</v>
      </c>
      <c r="H84" s="57" t="s">
        <v>1298</v>
      </c>
      <c r="I84" s="57" t="s">
        <v>1299</v>
      </c>
      <c r="J84" s="57" t="s">
        <v>1300</v>
      </c>
      <c r="K84" s="57" t="s">
        <v>1301</v>
      </c>
    </row>
    <row r="85" spans="1:11" ht="28.8" x14ac:dyDescent="0.3">
      <c r="A85" s="57" t="s">
        <v>1219</v>
      </c>
      <c r="B85" s="57" t="s">
        <v>1295</v>
      </c>
      <c r="C85" s="57" t="s">
        <v>1296</v>
      </c>
      <c r="D85" s="57" t="s">
        <v>922</v>
      </c>
      <c r="E85" s="57">
        <v>5</v>
      </c>
      <c r="F85" s="57" t="s">
        <v>1213</v>
      </c>
      <c r="G85" s="57" t="s">
        <v>1297</v>
      </c>
      <c r="H85" s="57" t="s">
        <v>1298</v>
      </c>
      <c r="I85" s="57" t="s">
        <v>1299</v>
      </c>
      <c r="J85" s="57" t="s">
        <v>1300</v>
      </c>
      <c r="K85" s="57" t="s">
        <v>1301</v>
      </c>
    </row>
    <row r="86" spans="1:11" ht="28.8" x14ac:dyDescent="0.3">
      <c r="A86" s="57" t="s">
        <v>1302</v>
      </c>
      <c r="B86" s="57" t="s">
        <v>1295</v>
      </c>
      <c r="C86" s="57" t="s">
        <v>1296</v>
      </c>
      <c r="D86" s="57" t="s">
        <v>922</v>
      </c>
      <c r="E86" s="57">
        <v>5</v>
      </c>
      <c r="F86" s="57" t="s">
        <v>1213</v>
      </c>
      <c r="G86" s="57" t="s">
        <v>1297</v>
      </c>
      <c r="H86" s="57" t="s">
        <v>1298</v>
      </c>
      <c r="I86" s="57" t="s">
        <v>1299</v>
      </c>
      <c r="J86" s="57" t="s">
        <v>1300</v>
      </c>
      <c r="K86" s="57" t="s">
        <v>1301</v>
      </c>
    </row>
    <row r="87" spans="1:11" ht="28.8" x14ac:dyDescent="0.3">
      <c r="A87" s="57" t="s">
        <v>1303</v>
      </c>
      <c r="B87" s="57" t="s">
        <v>1295</v>
      </c>
      <c r="C87" s="57" t="s">
        <v>1296</v>
      </c>
      <c r="D87" s="57" t="s">
        <v>922</v>
      </c>
      <c r="E87" s="57">
        <v>5</v>
      </c>
      <c r="F87" s="57" t="s">
        <v>1213</v>
      </c>
      <c r="G87" s="57" t="s">
        <v>1297</v>
      </c>
      <c r="H87" s="57" t="s">
        <v>1298</v>
      </c>
      <c r="I87" s="57" t="s">
        <v>1299</v>
      </c>
      <c r="J87" s="57" t="s">
        <v>1300</v>
      </c>
      <c r="K87" s="57" t="s">
        <v>1301</v>
      </c>
    </row>
    <row r="88" spans="1:11" ht="28.8" x14ac:dyDescent="0.3">
      <c r="A88" s="57" t="s">
        <v>1225</v>
      </c>
      <c r="B88" s="57" t="s">
        <v>1295</v>
      </c>
      <c r="C88" s="57" t="s">
        <v>1296</v>
      </c>
      <c r="D88" s="57" t="s">
        <v>922</v>
      </c>
      <c r="E88" s="57">
        <v>5</v>
      </c>
      <c r="F88" s="57" t="s">
        <v>1213</v>
      </c>
      <c r="G88" s="57" t="s">
        <v>1297</v>
      </c>
      <c r="H88" s="57" t="s">
        <v>1298</v>
      </c>
      <c r="I88" s="57" t="s">
        <v>1299</v>
      </c>
      <c r="J88" s="57" t="s">
        <v>1300</v>
      </c>
      <c r="K88" s="57" t="s">
        <v>1301</v>
      </c>
    </row>
    <row r="89" spans="1:11" ht="28.8" x14ac:dyDescent="0.3">
      <c r="A89" s="57" t="s">
        <v>1304</v>
      </c>
      <c r="B89" s="57" t="s">
        <v>1295</v>
      </c>
      <c r="C89" s="57" t="s">
        <v>1296</v>
      </c>
      <c r="D89" s="57" t="s">
        <v>922</v>
      </c>
      <c r="E89" s="57">
        <v>5</v>
      </c>
      <c r="F89" s="57" t="s">
        <v>1213</v>
      </c>
      <c r="G89" s="57" t="s">
        <v>1297</v>
      </c>
      <c r="H89" s="57" t="s">
        <v>1298</v>
      </c>
      <c r="I89" s="57" t="s">
        <v>1299</v>
      </c>
      <c r="J89" s="57" t="s">
        <v>1300</v>
      </c>
      <c r="K89" s="57" t="s">
        <v>1301</v>
      </c>
    </row>
    <row r="90" spans="1:11" ht="28.8" x14ac:dyDescent="0.3">
      <c r="A90" s="57" t="s">
        <v>1305</v>
      </c>
      <c r="B90" s="57" t="s">
        <v>1295</v>
      </c>
      <c r="C90" s="57" t="s">
        <v>1296</v>
      </c>
      <c r="D90" s="57" t="s">
        <v>922</v>
      </c>
      <c r="E90" s="57">
        <v>5</v>
      </c>
      <c r="F90" s="57" t="s">
        <v>1213</v>
      </c>
      <c r="G90" s="57" t="s">
        <v>1297</v>
      </c>
      <c r="H90" s="57" t="s">
        <v>1298</v>
      </c>
      <c r="I90" s="57" t="s">
        <v>1299</v>
      </c>
      <c r="J90" s="57" t="s">
        <v>1300</v>
      </c>
      <c r="K90" s="57" t="s">
        <v>1301</v>
      </c>
    </row>
    <row r="91" spans="1:11" ht="28.8" x14ac:dyDescent="0.3">
      <c r="A91" s="57" t="s">
        <v>1306</v>
      </c>
      <c r="B91" s="57" t="s">
        <v>1307</v>
      </c>
      <c r="C91" s="57" t="s">
        <v>1308</v>
      </c>
      <c r="D91" s="57" t="s">
        <v>1172</v>
      </c>
      <c r="E91" s="57">
        <v>3</v>
      </c>
      <c r="F91" s="57" t="s">
        <v>1173</v>
      </c>
      <c r="G91" s="57" t="s">
        <v>1309</v>
      </c>
      <c r="H91" s="57" t="s">
        <v>1310</v>
      </c>
      <c r="I91" s="57" t="s">
        <v>1311</v>
      </c>
      <c r="J91" s="57" t="s">
        <v>1312</v>
      </c>
      <c r="K91" s="57" t="s">
        <v>1313</v>
      </c>
    </row>
    <row r="92" spans="1:11" ht="28.8" x14ac:dyDescent="0.3">
      <c r="A92" s="57" t="s">
        <v>1314</v>
      </c>
      <c r="B92" s="57" t="s">
        <v>1307</v>
      </c>
      <c r="C92" s="57" t="s">
        <v>1308</v>
      </c>
      <c r="D92" s="57" t="s">
        <v>1172</v>
      </c>
      <c r="E92" s="57">
        <v>3</v>
      </c>
      <c r="F92" s="57" t="s">
        <v>1173</v>
      </c>
      <c r="G92" s="57" t="s">
        <v>1309</v>
      </c>
      <c r="H92" s="57" t="s">
        <v>1310</v>
      </c>
      <c r="I92" s="57" t="s">
        <v>1311</v>
      </c>
      <c r="J92" s="57" t="s">
        <v>1312</v>
      </c>
      <c r="K92" s="57" t="s">
        <v>1313</v>
      </c>
    </row>
    <row r="93" spans="1:11" ht="28.8" x14ac:dyDescent="0.3">
      <c r="A93" s="57" t="s">
        <v>1315</v>
      </c>
      <c r="B93" s="57" t="s">
        <v>1307</v>
      </c>
      <c r="C93" s="57" t="s">
        <v>1308</v>
      </c>
      <c r="D93" s="57" t="s">
        <v>1172</v>
      </c>
      <c r="E93" s="57">
        <v>3</v>
      </c>
      <c r="F93" s="57" t="s">
        <v>1173</v>
      </c>
      <c r="G93" s="57" t="s">
        <v>1309</v>
      </c>
      <c r="H93" s="57" t="s">
        <v>1310</v>
      </c>
      <c r="I93" s="57" t="s">
        <v>1311</v>
      </c>
      <c r="J93" s="57" t="s">
        <v>1312</v>
      </c>
      <c r="K93" s="57" t="s">
        <v>1313</v>
      </c>
    </row>
    <row r="94" spans="1:11" ht="28.8" x14ac:dyDescent="0.3">
      <c r="A94" s="57" t="s">
        <v>1316</v>
      </c>
      <c r="B94" s="57" t="s">
        <v>1307</v>
      </c>
      <c r="C94" s="57" t="s">
        <v>1308</v>
      </c>
      <c r="D94" s="57" t="s">
        <v>1172</v>
      </c>
      <c r="E94" s="57">
        <v>3</v>
      </c>
      <c r="F94" s="57" t="s">
        <v>1188</v>
      </c>
      <c r="G94" s="57" t="s">
        <v>1309</v>
      </c>
      <c r="H94" s="57" t="s">
        <v>1310</v>
      </c>
      <c r="I94" s="57" t="s">
        <v>1311</v>
      </c>
      <c r="J94" s="57" t="s">
        <v>1312</v>
      </c>
      <c r="K94" s="57" t="s">
        <v>1313</v>
      </c>
    </row>
    <row r="95" spans="1:11" ht="28.8" x14ac:dyDescent="0.3">
      <c r="A95" s="57" t="s">
        <v>1317</v>
      </c>
      <c r="B95" s="57" t="s">
        <v>1307</v>
      </c>
      <c r="C95" s="57" t="s">
        <v>1308</v>
      </c>
      <c r="D95" s="57" t="s">
        <v>1172</v>
      </c>
      <c r="E95" s="57">
        <v>3</v>
      </c>
      <c r="F95" s="57" t="s">
        <v>1188</v>
      </c>
      <c r="G95" s="57" t="s">
        <v>1309</v>
      </c>
      <c r="H95" s="57" t="s">
        <v>1310</v>
      </c>
      <c r="I95" s="57" t="s">
        <v>1311</v>
      </c>
      <c r="J95" s="57" t="s">
        <v>1312</v>
      </c>
      <c r="K95" s="57" t="s">
        <v>1313</v>
      </c>
    </row>
    <row r="96" spans="1:11" ht="28.8" x14ac:dyDescent="0.3">
      <c r="A96" s="57" t="s">
        <v>1318</v>
      </c>
      <c r="B96" s="57" t="s">
        <v>1307</v>
      </c>
      <c r="C96" s="57" t="s">
        <v>1308</v>
      </c>
      <c r="D96" s="57" t="s">
        <v>1172</v>
      </c>
      <c r="E96" s="57">
        <v>3</v>
      </c>
      <c r="F96" s="57" t="s">
        <v>1188</v>
      </c>
      <c r="G96" s="57" t="s">
        <v>1309</v>
      </c>
      <c r="H96" s="57" t="s">
        <v>1310</v>
      </c>
      <c r="I96" s="57" t="s">
        <v>1311</v>
      </c>
      <c r="J96" s="57" t="s">
        <v>1312</v>
      </c>
      <c r="K96" s="57" t="s">
        <v>1313</v>
      </c>
    </row>
    <row r="97" spans="1:11" ht="28.8" x14ac:dyDescent="0.3">
      <c r="A97" s="57" t="s">
        <v>1319</v>
      </c>
      <c r="B97" s="57" t="s">
        <v>1307</v>
      </c>
      <c r="C97" s="57" t="s">
        <v>1308</v>
      </c>
      <c r="D97" s="57" t="s">
        <v>1172</v>
      </c>
      <c r="E97" s="57">
        <v>3</v>
      </c>
      <c r="F97" s="57" t="s">
        <v>1173</v>
      </c>
      <c r="G97" s="57" t="s">
        <v>1309</v>
      </c>
      <c r="H97" s="57" t="s">
        <v>1310</v>
      </c>
      <c r="I97" s="57" t="s">
        <v>1311</v>
      </c>
      <c r="J97" s="57" t="s">
        <v>1312</v>
      </c>
      <c r="K97" s="57" t="s">
        <v>1313</v>
      </c>
    </row>
    <row r="98" spans="1:11" ht="28.8" x14ac:dyDescent="0.3">
      <c r="A98" s="57" t="s">
        <v>1320</v>
      </c>
      <c r="B98" s="57" t="s">
        <v>1307</v>
      </c>
      <c r="C98" s="57" t="s">
        <v>1308</v>
      </c>
      <c r="D98" s="57" t="s">
        <v>1172</v>
      </c>
      <c r="E98" s="57">
        <v>3</v>
      </c>
      <c r="F98" s="57" t="s">
        <v>1188</v>
      </c>
      <c r="G98" s="57" t="s">
        <v>1309</v>
      </c>
      <c r="H98" s="57" t="s">
        <v>1310</v>
      </c>
      <c r="I98" s="57" t="s">
        <v>1311</v>
      </c>
      <c r="J98" s="57" t="s">
        <v>1312</v>
      </c>
      <c r="K98" s="57" t="s">
        <v>1313</v>
      </c>
    </row>
    <row r="99" spans="1:11" ht="28.8" x14ac:dyDescent="0.3">
      <c r="A99" s="57" t="s">
        <v>1321</v>
      </c>
      <c r="B99" s="57" t="s">
        <v>1307</v>
      </c>
      <c r="C99" s="57" t="s">
        <v>1308</v>
      </c>
      <c r="D99" s="57" t="s">
        <v>1172</v>
      </c>
      <c r="E99" s="57">
        <v>3</v>
      </c>
      <c r="F99" s="57" t="s">
        <v>1188</v>
      </c>
      <c r="G99" s="57" t="s">
        <v>1309</v>
      </c>
      <c r="H99" s="57" t="s">
        <v>1310</v>
      </c>
      <c r="I99" s="57" t="s">
        <v>1311</v>
      </c>
      <c r="J99" s="57" t="s">
        <v>1312</v>
      </c>
      <c r="K99" s="57" t="s">
        <v>1313</v>
      </c>
    </row>
    <row r="100" spans="1:11" ht="28.8" x14ac:dyDescent="0.3">
      <c r="A100" s="57" t="s">
        <v>1322</v>
      </c>
      <c r="B100" s="57" t="s">
        <v>1307</v>
      </c>
      <c r="C100" s="57" t="s">
        <v>1308</v>
      </c>
      <c r="D100" s="57" t="s">
        <v>1172</v>
      </c>
      <c r="E100" s="57">
        <v>3</v>
      </c>
      <c r="F100" s="57" t="s">
        <v>1188</v>
      </c>
      <c r="G100" s="57" t="s">
        <v>1309</v>
      </c>
      <c r="H100" s="57" t="s">
        <v>1310</v>
      </c>
      <c r="I100" s="57" t="s">
        <v>1311</v>
      </c>
      <c r="J100" s="57" t="s">
        <v>1312</v>
      </c>
      <c r="K100" s="57" t="s">
        <v>1313</v>
      </c>
    </row>
    <row r="101" spans="1:11" ht="28.8" x14ac:dyDescent="0.3">
      <c r="A101" s="57" t="s">
        <v>1323</v>
      </c>
      <c r="B101" s="57" t="s">
        <v>1307</v>
      </c>
      <c r="C101" s="57" t="s">
        <v>1308</v>
      </c>
      <c r="D101" s="57" t="s">
        <v>1172</v>
      </c>
      <c r="E101" s="57">
        <v>3</v>
      </c>
      <c r="F101" s="57" t="s">
        <v>1188</v>
      </c>
      <c r="G101" s="57" t="s">
        <v>1309</v>
      </c>
      <c r="H101" s="57" t="s">
        <v>1310</v>
      </c>
      <c r="I101" s="57" t="s">
        <v>1311</v>
      </c>
      <c r="J101" s="57" t="s">
        <v>1312</v>
      </c>
      <c r="K101" s="57" t="s">
        <v>1313</v>
      </c>
    </row>
    <row r="102" spans="1:11" ht="28.8" x14ac:dyDescent="0.3">
      <c r="A102" s="57" t="s">
        <v>1324</v>
      </c>
      <c r="B102" s="57" t="s">
        <v>1307</v>
      </c>
      <c r="C102" s="57" t="s">
        <v>1308</v>
      </c>
      <c r="D102" s="57" t="s">
        <v>1172</v>
      </c>
      <c r="E102" s="57">
        <v>3</v>
      </c>
      <c r="F102" s="57" t="s">
        <v>1188</v>
      </c>
      <c r="G102" s="57" t="s">
        <v>1309</v>
      </c>
      <c r="H102" s="57" t="s">
        <v>1310</v>
      </c>
      <c r="I102" s="57" t="s">
        <v>1311</v>
      </c>
      <c r="J102" s="57" t="s">
        <v>1312</v>
      </c>
      <c r="K102" s="57" t="s">
        <v>1313</v>
      </c>
    </row>
    <row r="103" spans="1:11" ht="28.8" x14ac:dyDescent="0.3">
      <c r="A103" s="57" t="s">
        <v>1325</v>
      </c>
      <c r="B103" s="57" t="s">
        <v>1307</v>
      </c>
      <c r="C103" s="57" t="s">
        <v>1308</v>
      </c>
      <c r="D103" s="57" t="s">
        <v>1172</v>
      </c>
      <c r="E103" s="57">
        <v>3</v>
      </c>
      <c r="F103" s="57" t="s">
        <v>1188</v>
      </c>
      <c r="G103" s="57" t="s">
        <v>1309</v>
      </c>
      <c r="H103" s="57" t="s">
        <v>1310</v>
      </c>
      <c r="I103" s="57" t="s">
        <v>1311</v>
      </c>
      <c r="J103" s="57" t="s">
        <v>1312</v>
      </c>
      <c r="K103" s="57" t="s">
        <v>1313</v>
      </c>
    </row>
    <row r="104" spans="1:11" ht="28.8" x14ac:dyDescent="0.3">
      <c r="A104" s="57" t="s">
        <v>1326</v>
      </c>
      <c r="B104" s="57" t="s">
        <v>1307</v>
      </c>
      <c r="C104" s="57" t="s">
        <v>1308</v>
      </c>
      <c r="D104" s="57" t="s">
        <v>1172</v>
      </c>
      <c r="E104" s="57">
        <v>3</v>
      </c>
      <c r="F104" s="57" t="s">
        <v>1188</v>
      </c>
      <c r="G104" s="57" t="s">
        <v>1309</v>
      </c>
      <c r="H104" s="57" t="s">
        <v>1310</v>
      </c>
      <c r="I104" s="57" t="s">
        <v>1311</v>
      </c>
      <c r="J104" s="57" t="s">
        <v>1312</v>
      </c>
      <c r="K104" s="57" t="s">
        <v>1313</v>
      </c>
    </row>
    <row r="105" spans="1:11" ht="28.8" x14ac:dyDescent="0.3">
      <c r="A105" s="57" t="s">
        <v>1327</v>
      </c>
      <c r="B105" s="57" t="s">
        <v>1307</v>
      </c>
      <c r="C105" s="57" t="s">
        <v>1308</v>
      </c>
      <c r="D105" s="57" t="s">
        <v>1172</v>
      </c>
      <c r="E105" s="57">
        <v>3</v>
      </c>
      <c r="F105" s="57" t="s">
        <v>1188</v>
      </c>
      <c r="G105" s="57" t="s">
        <v>1309</v>
      </c>
      <c r="H105" s="57" t="s">
        <v>1310</v>
      </c>
      <c r="I105" s="57" t="s">
        <v>1311</v>
      </c>
      <c r="J105" s="57" t="s">
        <v>1312</v>
      </c>
      <c r="K105" s="57" t="s">
        <v>1313</v>
      </c>
    </row>
    <row r="106" spans="1:11" ht="28.8" x14ac:dyDescent="0.3">
      <c r="A106" s="57" t="s">
        <v>808</v>
      </c>
      <c r="B106" s="57" t="s">
        <v>1307</v>
      </c>
      <c r="C106" s="57" t="s">
        <v>1308</v>
      </c>
      <c r="D106" s="57" t="s">
        <v>1172</v>
      </c>
      <c r="E106" s="57">
        <v>3</v>
      </c>
      <c r="F106" s="57" t="s">
        <v>1188</v>
      </c>
      <c r="G106" s="57" t="s">
        <v>1309</v>
      </c>
      <c r="H106" s="57" t="s">
        <v>1310</v>
      </c>
      <c r="I106" s="57" t="s">
        <v>1311</v>
      </c>
      <c r="J106" s="57" t="s">
        <v>1312</v>
      </c>
      <c r="K106" s="57" t="s">
        <v>1313</v>
      </c>
    </row>
    <row r="107" spans="1:11" ht="28.8" x14ac:dyDescent="0.3">
      <c r="A107" s="57" t="s">
        <v>1328</v>
      </c>
      <c r="B107" s="57" t="s">
        <v>1307</v>
      </c>
      <c r="C107" s="57" t="s">
        <v>1308</v>
      </c>
      <c r="D107" s="57" t="s">
        <v>1172</v>
      </c>
      <c r="E107" s="57">
        <v>3</v>
      </c>
      <c r="F107" s="57" t="s">
        <v>1173</v>
      </c>
      <c r="G107" s="57" t="s">
        <v>1309</v>
      </c>
      <c r="H107" s="57" t="s">
        <v>1310</v>
      </c>
      <c r="I107" s="57" t="s">
        <v>1311</v>
      </c>
      <c r="J107" s="57" t="s">
        <v>1312</v>
      </c>
      <c r="K107" s="57" t="s">
        <v>1313</v>
      </c>
    </row>
    <row r="108" spans="1:11" ht="28.8" x14ac:dyDescent="0.3">
      <c r="A108" s="57" t="s">
        <v>1329</v>
      </c>
      <c r="B108" s="57" t="s">
        <v>1307</v>
      </c>
      <c r="C108" s="57" t="s">
        <v>1308</v>
      </c>
      <c r="D108" s="57" t="s">
        <v>1172</v>
      </c>
      <c r="E108" s="57">
        <v>3</v>
      </c>
      <c r="F108" s="57" t="s">
        <v>1188</v>
      </c>
      <c r="G108" s="57" t="s">
        <v>1309</v>
      </c>
      <c r="H108" s="57" t="s">
        <v>1310</v>
      </c>
      <c r="I108" s="57" t="s">
        <v>1311</v>
      </c>
      <c r="J108" s="57" t="s">
        <v>1312</v>
      </c>
      <c r="K108" s="57" t="s">
        <v>1313</v>
      </c>
    </row>
    <row r="109" spans="1:11" ht="28.8" x14ac:dyDescent="0.3">
      <c r="A109" s="57" t="s">
        <v>682</v>
      </c>
      <c r="B109" s="57" t="s">
        <v>1330</v>
      </c>
      <c r="C109" s="57" t="s">
        <v>1331</v>
      </c>
      <c r="D109" s="57" t="s">
        <v>913</v>
      </c>
      <c r="E109" s="57">
        <v>3</v>
      </c>
      <c r="F109" s="57" t="s">
        <v>1173</v>
      </c>
      <c r="G109" s="57" t="s">
        <v>1332</v>
      </c>
      <c r="H109" s="57" t="s">
        <v>1277</v>
      </c>
      <c r="I109" s="57" t="s">
        <v>1333</v>
      </c>
      <c r="J109" s="57" t="s">
        <v>1334</v>
      </c>
      <c r="K109" s="57" t="s">
        <v>1335</v>
      </c>
    </row>
    <row r="110" spans="1:11" ht="28.8" x14ac:dyDescent="0.3">
      <c r="A110" s="57" t="s">
        <v>1336</v>
      </c>
      <c r="B110" s="57" t="s">
        <v>1330</v>
      </c>
      <c r="C110" s="57" t="s">
        <v>1331</v>
      </c>
      <c r="D110" s="57" t="s">
        <v>913</v>
      </c>
      <c r="E110" s="57">
        <v>3</v>
      </c>
      <c r="F110" s="57" t="s">
        <v>1173</v>
      </c>
      <c r="G110" s="57" t="s">
        <v>1332</v>
      </c>
      <c r="H110" s="57" t="s">
        <v>1277</v>
      </c>
      <c r="I110" s="57" t="s">
        <v>1333</v>
      </c>
      <c r="J110" s="57" t="s">
        <v>1334</v>
      </c>
      <c r="K110" s="57" t="s">
        <v>1335</v>
      </c>
    </row>
    <row r="111" spans="1:11" ht="28.8" x14ac:dyDescent="0.3">
      <c r="A111" s="57" t="s">
        <v>678</v>
      </c>
      <c r="B111" s="57" t="s">
        <v>1330</v>
      </c>
      <c r="C111" s="57" t="s">
        <v>1331</v>
      </c>
      <c r="D111" s="57" t="s">
        <v>913</v>
      </c>
      <c r="E111" s="57">
        <v>3</v>
      </c>
      <c r="F111" s="57" t="s">
        <v>1173</v>
      </c>
      <c r="G111" s="57" t="s">
        <v>1332</v>
      </c>
      <c r="H111" s="57" t="s">
        <v>1277</v>
      </c>
      <c r="I111" s="57" t="s">
        <v>1333</v>
      </c>
      <c r="J111" s="57" t="s">
        <v>1334</v>
      </c>
      <c r="K111" s="57" t="s">
        <v>1335</v>
      </c>
    </row>
    <row r="112" spans="1:11" ht="28.8" x14ac:dyDescent="0.3">
      <c r="A112" s="57" t="s">
        <v>1337</v>
      </c>
      <c r="B112" s="57" t="s">
        <v>1330</v>
      </c>
      <c r="C112" s="57" t="s">
        <v>1331</v>
      </c>
      <c r="D112" s="57" t="s">
        <v>913</v>
      </c>
      <c r="E112" s="57">
        <v>3</v>
      </c>
      <c r="F112" s="57" t="s">
        <v>1173</v>
      </c>
      <c r="G112" s="57" t="s">
        <v>1332</v>
      </c>
      <c r="H112" s="57" t="s">
        <v>1277</v>
      </c>
      <c r="I112" s="57" t="s">
        <v>1333</v>
      </c>
      <c r="J112" s="57" t="s">
        <v>1334</v>
      </c>
      <c r="K112" s="57" t="s">
        <v>1335</v>
      </c>
    </row>
    <row r="113" spans="1:11" ht="28.8" x14ac:dyDescent="0.3">
      <c r="A113" s="57" t="s">
        <v>650</v>
      </c>
      <c r="B113" s="57" t="s">
        <v>1330</v>
      </c>
      <c r="C113" s="57" t="s">
        <v>1331</v>
      </c>
      <c r="D113" s="57" t="s">
        <v>913</v>
      </c>
      <c r="E113" s="57">
        <v>3</v>
      </c>
      <c r="F113" s="57" t="s">
        <v>1173</v>
      </c>
      <c r="G113" s="57" t="s">
        <v>1332</v>
      </c>
      <c r="H113" s="57" t="s">
        <v>1277</v>
      </c>
      <c r="I113" s="57" t="s">
        <v>1333</v>
      </c>
      <c r="J113" s="57" t="s">
        <v>1334</v>
      </c>
      <c r="K113" s="57" t="s">
        <v>1335</v>
      </c>
    </row>
    <row r="114" spans="1:11" ht="28.8" x14ac:dyDescent="0.3">
      <c r="A114" s="57" t="s">
        <v>1136</v>
      </c>
      <c r="B114" s="57" t="s">
        <v>1330</v>
      </c>
      <c r="C114" s="57" t="s">
        <v>1331</v>
      </c>
      <c r="D114" s="57" t="s">
        <v>913</v>
      </c>
      <c r="E114" s="57">
        <v>3</v>
      </c>
      <c r="F114" s="57" t="s">
        <v>1173</v>
      </c>
      <c r="G114" s="57" t="s">
        <v>1332</v>
      </c>
      <c r="H114" s="57" t="s">
        <v>1277</v>
      </c>
      <c r="I114" s="57" t="s">
        <v>1333</v>
      </c>
      <c r="J114" s="57" t="s">
        <v>1334</v>
      </c>
      <c r="K114" s="57" t="s">
        <v>1335</v>
      </c>
    </row>
    <row r="115" spans="1:11" ht="28.8" x14ac:dyDescent="0.3">
      <c r="A115" s="57" t="s">
        <v>1338</v>
      </c>
      <c r="B115" s="57" t="s">
        <v>1330</v>
      </c>
      <c r="C115" s="57" t="s">
        <v>1331</v>
      </c>
      <c r="D115" s="57" t="s">
        <v>913</v>
      </c>
      <c r="E115" s="57">
        <v>3</v>
      </c>
      <c r="F115" s="57" t="s">
        <v>1173</v>
      </c>
      <c r="G115" s="57" t="s">
        <v>1332</v>
      </c>
      <c r="H115" s="57" t="s">
        <v>1277</v>
      </c>
      <c r="I115" s="57" t="s">
        <v>1333</v>
      </c>
      <c r="J115" s="57" t="s">
        <v>1334</v>
      </c>
      <c r="K115" s="57" t="s">
        <v>1335</v>
      </c>
    </row>
    <row r="116" spans="1:11" ht="28.8" x14ac:dyDescent="0.3">
      <c r="A116" s="57" t="s">
        <v>1339</v>
      </c>
      <c r="B116" s="57" t="s">
        <v>1330</v>
      </c>
      <c r="C116" s="57" t="s">
        <v>1331</v>
      </c>
      <c r="D116" s="57" t="s">
        <v>913</v>
      </c>
      <c r="E116" s="57">
        <v>3</v>
      </c>
      <c r="F116" s="57" t="s">
        <v>1173</v>
      </c>
      <c r="G116" s="57" t="s">
        <v>1332</v>
      </c>
      <c r="H116" s="57" t="s">
        <v>1277</v>
      </c>
      <c r="I116" s="57" t="s">
        <v>1333</v>
      </c>
      <c r="J116" s="57" t="s">
        <v>1334</v>
      </c>
      <c r="K116" s="57" t="s">
        <v>1335</v>
      </c>
    </row>
    <row r="117" spans="1:11" ht="28.8" x14ac:dyDescent="0.3">
      <c r="A117" s="57" t="s">
        <v>1340</v>
      </c>
      <c r="B117" s="57" t="s">
        <v>1330</v>
      </c>
      <c r="C117" s="57" t="s">
        <v>1331</v>
      </c>
      <c r="D117" s="57" t="s">
        <v>913</v>
      </c>
      <c r="E117" s="57">
        <v>3</v>
      </c>
      <c r="F117" s="57" t="s">
        <v>1173</v>
      </c>
      <c r="G117" s="57" t="s">
        <v>1332</v>
      </c>
      <c r="H117" s="57" t="s">
        <v>1277</v>
      </c>
      <c r="I117" s="57" t="s">
        <v>1333</v>
      </c>
      <c r="J117" s="57" t="s">
        <v>1334</v>
      </c>
      <c r="K117" s="57" t="s">
        <v>1335</v>
      </c>
    </row>
    <row r="118" spans="1:11" ht="28.8" x14ac:dyDescent="0.3">
      <c r="A118" s="57" t="s">
        <v>1341</v>
      </c>
      <c r="B118" s="57" t="s">
        <v>1330</v>
      </c>
      <c r="C118" s="57" t="s">
        <v>1331</v>
      </c>
      <c r="D118" s="57" t="s">
        <v>913</v>
      </c>
      <c r="E118" s="57">
        <v>3</v>
      </c>
      <c r="F118" s="57" t="s">
        <v>1173</v>
      </c>
      <c r="G118" s="57" t="s">
        <v>1332</v>
      </c>
      <c r="H118" s="57" t="s">
        <v>1277</v>
      </c>
      <c r="I118" s="57" t="s">
        <v>1333</v>
      </c>
      <c r="J118" s="57" t="s">
        <v>1334</v>
      </c>
      <c r="K118" s="57" t="s">
        <v>1335</v>
      </c>
    </row>
    <row r="119" spans="1:11" ht="28.8" x14ac:dyDescent="0.3">
      <c r="A119" s="57" t="s">
        <v>1342</v>
      </c>
      <c r="B119" s="57" t="s">
        <v>1330</v>
      </c>
      <c r="C119" s="57" t="s">
        <v>1331</v>
      </c>
      <c r="D119" s="57" t="s">
        <v>913</v>
      </c>
      <c r="E119" s="57">
        <v>3</v>
      </c>
      <c r="F119" s="57" t="s">
        <v>1173</v>
      </c>
      <c r="G119" s="57" t="s">
        <v>1332</v>
      </c>
      <c r="H119" s="57" t="s">
        <v>1277</v>
      </c>
      <c r="I119" s="57" t="s">
        <v>1333</v>
      </c>
      <c r="J119" s="57" t="s">
        <v>1334</v>
      </c>
      <c r="K119" s="57" t="s">
        <v>1335</v>
      </c>
    </row>
    <row r="120" spans="1:11" ht="28.8" x14ac:dyDescent="0.3">
      <c r="A120" s="57" t="s">
        <v>1343</v>
      </c>
      <c r="B120" s="57" t="s">
        <v>1330</v>
      </c>
      <c r="C120" s="57" t="s">
        <v>1331</v>
      </c>
      <c r="D120" s="57" t="s">
        <v>913</v>
      </c>
      <c r="E120" s="57">
        <v>3</v>
      </c>
      <c r="F120" s="57" t="s">
        <v>1173</v>
      </c>
      <c r="G120" s="57" t="s">
        <v>1332</v>
      </c>
      <c r="H120" s="57" t="s">
        <v>1277</v>
      </c>
      <c r="I120" s="57" t="s">
        <v>1333</v>
      </c>
      <c r="J120" s="57" t="s">
        <v>1334</v>
      </c>
      <c r="K120" s="57" t="s">
        <v>1335</v>
      </c>
    </row>
    <row r="121" spans="1:11" ht="28.8" x14ac:dyDescent="0.3">
      <c r="A121" s="57" t="s">
        <v>1344</v>
      </c>
      <c r="B121" s="57" t="s">
        <v>1330</v>
      </c>
      <c r="C121" s="57" t="s">
        <v>1331</v>
      </c>
      <c r="D121" s="57" t="s">
        <v>913</v>
      </c>
      <c r="E121" s="57">
        <v>3</v>
      </c>
      <c r="F121" s="57" t="s">
        <v>1173</v>
      </c>
      <c r="G121" s="57" t="s">
        <v>1332</v>
      </c>
      <c r="H121" s="57" t="s">
        <v>1277</v>
      </c>
      <c r="I121" s="57" t="s">
        <v>1333</v>
      </c>
      <c r="J121" s="57" t="s">
        <v>1334</v>
      </c>
      <c r="K121" s="57" t="s">
        <v>1335</v>
      </c>
    </row>
    <row r="122" spans="1:11" ht="28.8" x14ac:dyDescent="0.3">
      <c r="A122" s="57" t="s">
        <v>1345</v>
      </c>
      <c r="B122" s="57" t="s">
        <v>1330</v>
      </c>
      <c r="C122" s="57" t="s">
        <v>1331</v>
      </c>
      <c r="D122" s="57" t="s">
        <v>913</v>
      </c>
      <c r="E122" s="57">
        <v>3</v>
      </c>
      <c r="F122" s="57" t="s">
        <v>1173</v>
      </c>
      <c r="G122" s="57" t="s">
        <v>1332</v>
      </c>
      <c r="H122" s="57" t="s">
        <v>1277</v>
      </c>
      <c r="I122" s="57" t="s">
        <v>1333</v>
      </c>
      <c r="J122" s="57" t="s">
        <v>1334</v>
      </c>
      <c r="K122" s="57" t="s">
        <v>1335</v>
      </c>
    </row>
    <row r="123" spans="1:11" ht="28.8" x14ac:dyDescent="0.3">
      <c r="A123" s="57" t="s">
        <v>1346</v>
      </c>
      <c r="B123" s="57" t="s">
        <v>1330</v>
      </c>
      <c r="C123" s="57" t="s">
        <v>1331</v>
      </c>
      <c r="D123" s="57" t="s">
        <v>913</v>
      </c>
      <c r="E123" s="57">
        <v>3</v>
      </c>
      <c r="F123" s="57" t="s">
        <v>1173</v>
      </c>
      <c r="G123" s="57" t="s">
        <v>1332</v>
      </c>
      <c r="H123" s="57" t="s">
        <v>1277</v>
      </c>
      <c r="I123" s="57" t="s">
        <v>1333</v>
      </c>
      <c r="J123" s="57" t="s">
        <v>1334</v>
      </c>
      <c r="K123" s="57" t="s">
        <v>1335</v>
      </c>
    </row>
    <row r="124" spans="1:11" ht="28.8" x14ac:dyDescent="0.3">
      <c r="A124" s="57" t="s">
        <v>1347</v>
      </c>
      <c r="B124" s="57" t="s">
        <v>1330</v>
      </c>
      <c r="C124" s="57" t="s">
        <v>1331</v>
      </c>
      <c r="D124" s="57" t="s">
        <v>913</v>
      </c>
      <c r="E124" s="57">
        <v>3</v>
      </c>
      <c r="F124" s="57" t="s">
        <v>1173</v>
      </c>
      <c r="G124" s="57" t="s">
        <v>1332</v>
      </c>
      <c r="H124" s="57" t="s">
        <v>1277</v>
      </c>
      <c r="I124" s="57" t="s">
        <v>1333</v>
      </c>
      <c r="J124" s="57" t="s">
        <v>1334</v>
      </c>
      <c r="K124" s="57" t="s">
        <v>1335</v>
      </c>
    </row>
    <row r="125" spans="1:11" ht="28.8" x14ac:dyDescent="0.3">
      <c r="A125" s="57" t="s">
        <v>660</v>
      </c>
      <c r="B125" s="57" t="s">
        <v>1330</v>
      </c>
      <c r="C125" s="57" t="s">
        <v>1331</v>
      </c>
      <c r="D125" s="57" t="s">
        <v>913</v>
      </c>
      <c r="E125" s="57">
        <v>3</v>
      </c>
      <c r="F125" s="57" t="s">
        <v>1173</v>
      </c>
      <c r="G125" s="57" t="s">
        <v>1332</v>
      </c>
      <c r="H125" s="57" t="s">
        <v>1277</v>
      </c>
      <c r="I125" s="57" t="s">
        <v>1333</v>
      </c>
      <c r="J125" s="57" t="s">
        <v>1334</v>
      </c>
      <c r="K125" s="57" t="s">
        <v>1335</v>
      </c>
    </row>
    <row r="126" spans="1:11" ht="28.8" x14ac:dyDescent="0.3">
      <c r="A126" s="57" t="s">
        <v>1348</v>
      </c>
      <c r="B126" s="57" t="s">
        <v>1330</v>
      </c>
      <c r="C126" s="57" t="s">
        <v>1331</v>
      </c>
      <c r="D126" s="57" t="s">
        <v>913</v>
      </c>
      <c r="E126" s="57">
        <v>3</v>
      </c>
      <c r="F126" s="57" t="s">
        <v>1173</v>
      </c>
      <c r="G126" s="57" t="s">
        <v>1332</v>
      </c>
      <c r="H126" s="57" t="s">
        <v>1277</v>
      </c>
      <c r="I126" s="57" t="s">
        <v>1333</v>
      </c>
      <c r="J126" s="57" t="s">
        <v>1334</v>
      </c>
      <c r="K126" s="57" t="s">
        <v>1335</v>
      </c>
    </row>
    <row r="127" spans="1:11" ht="28.8" x14ac:dyDescent="0.3">
      <c r="A127" s="57" t="s">
        <v>1349</v>
      </c>
      <c r="B127" s="57" t="s">
        <v>1330</v>
      </c>
      <c r="C127" s="57" t="s">
        <v>1331</v>
      </c>
      <c r="D127" s="57" t="s">
        <v>913</v>
      </c>
      <c r="E127" s="57">
        <v>3</v>
      </c>
      <c r="F127" s="57" t="s">
        <v>1173</v>
      </c>
      <c r="G127" s="57" t="s">
        <v>1332</v>
      </c>
      <c r="H127" s="57" t="s">
        <v>1277</v>
      </c>
      <c r="I127" s="57" t="s">
        <v>1333</v>
      </c>
      <c r="J127" s="57" t="s">
        <v>1334</v>
      </c>
      <c r="K127" s="57" t="s">
        <v>1335</v>
      </c>
    </row>
    <row r="128" spans="1:11" ht="28.8" x14ac:dyDescent="0.3">
      <c r="A128" s="57" t="s">
        <v>1350</v>
      </c>
      <c r="B128" s="57" t="s">
        <v>1330</v>
      </c>
      <c r="C128" s="57" t="s">
        <v>1331</v>
      </c>
      <c r="D128" s="57" t="s">
        <v>913</v>
      </c>
      <c r="E128" s="57">
        <v>3</v>
      </c>
      <c r="F128" s="57" t="s">
        <v>1173</v>
      </c>
      <c r="G128" s="57" t="s">
        <v>1332</v>
      </c>
      <c r="H128" s="57" t="s">
        <v>1277</v>
      </c>
      <c r="I128" s="57" t="s">
        <v>1333</v>
      </c>
      <c r="J128" s="57" t="s">
        <v>1334</v>
      </c>
      <c r="K128" s="57" t="s">
        <v>1335</v>
      </c>
    </row>
    <row r="129" spans="1:11" ht="28.8" x14ac:dyDescent="0.3">
      <c r="A129" s="57" t="s">
        <v>1351</v>
      </c>
      <c r="B129" s="57" t="s">
        <v>1330</v>
      </c>
      <c r="C129" s="57" t="s">
        <v>1352</v>
      </c>
      <c r="D129" s="57" t="s">
        <v>922</v>
      </c>
      <c r="E129" s="57">
        <v>5</v>
      </c>
      <c r="F129" s="57" t="s">
        <v>1213</v>
      </c>
      <c r="G129" s="57" t="s">
        <v>1353</v>
      </c>
      <c r="H129" s="57" t="s">
        <v>1354</v>
      </c>
      <c r="I129" s="57" t="s">
        <v>1355</v>
      </c>
      <c r="J129" s="57" t="s">
        <v>1334</v>
      </c>
      <c r="K129" s="57" t="s">
        <v>1356</v>
      </c>
    </row>
    <row r="130" spans="1:11" ht="28.8" x14ac:dyDescent="0.3">
      <c r="A130" s="57" t="s">
        <v>1357</v>
      </c>
      <c r="B130" s="57" t="s">
        <v>1330</v>
      </c>
      <c r="C130" s="57" t="s">
        <v>1352</v>
      </c>
      <c r="D130" s="57" t="s">
        <v>922</v>
      </c>
      <c r="E130" s="57">
        <v>5</v>
      </c>
      <c r="F130" s="57" t="s">
        <v>1213</v>
      </c>
      <c r="G130" s="57" t="s">
        <v>1353</v>
      </c>
      <c r="H130" s="57" t="s">
        <v>1354</v>
      </c>
      <c r="I130" s="57" t="s">
        <v>1355</v>
      </c>
      <c r="J130" s="57" t="s">
        <v>1334</v>
      </c>
      <c r="K130" s="57" t="s">
        <v>1356</v>
      </c>
    </row>
    <row r="131" spans="1:11" ht="28.8" x14ac:dyDescent="0.3">
      <c r="A131" s="57" t="s">
        <v>1358</v>
      </c>
      <c r="B131" s="57" t="s">
        <v>1330</v>
      </c>
      <c r="C131" s="57" t="s">
        <v>1352</v>
      </c>
      <c r="D131" s="57" t="s">
        <v>922</v>
      </c>
      <c r="E131" s="57">
        <v>5</v>
      </c>
      <c r="F131" s="57" t="s">
        <v>1213</v>
      </c>
      <c r="G131" s="57" t="s">
        <v>1353</v>
      </c>
      <c r="H131" s="57" t="s">
        <v>1354</v>
      </c>
      <c r="I131" s="57" t="s">
        <v>1355</v>
      </c>
      <c r="J131" s="57" t="s">
        <v>1334</v>
      </c>
      <c r="K131" s="57" t="s">
        <v>1356</v>
      </c>
    </row>
    <row r="132" spans="1:11" ht="28.8" x14ac:dyDescent="0.3">
      <c r="A132" s="57" t="s">
        <v>1359</v>
      </c>
      <c r="B132" s="57" t="s">
        <v>1330</v>
      </c>
      <c r="C132" s="57" t="s">
        <v>1352</v>
      </c>
      <c r="D132" s="57" t="s">
        <v>922</v>
      </c>
      <c r="E132" s="57">
        <v>5</v>
      </c>
      <c r="F132" s="57" t="s">
        <v>1213</v>
      </c>
      <c r="G132" s="57" t="s">
        <v>1353</v>
      </c>
      <c r="H132" s="57" t="s">
        <v>1354</v>
      </c>
      <c r="I132" s="57" t="s">
        <v>1355</v>
      </c>
      <c r="J132" s="57" t="s">
        <v>1334</v>
      </c>
      <c r="K132" s="57" t="s">
        <v>1356</v>
      </c>
    </row>
    <row r="133" spans="1:11" ht="28.8" x14ac:dyDescent="0.3">
      <c r="A133" s="57" t="s">
        <v>1360</v>
      </c>
      <c r="B133" s="57" t="s">
        <v>1330</v>
      </c>
      <c r="C133" s="57" t="s">
        <v>1352</v>
      </c>
      <c r="D133" s="57" t="s">
        <v>922</v>
      </c>
      <c r="E133" s="57">
        <v>5</v>
      </c>
      <c r="F133" s="57" t="s">
        <v>1213</v>
      </c>
      <c r="G133" s="57" t="s">
        <v>1353</v>
      </c>
      <c r="H133" s="57" t="s">
        <v>1354</v>
      </c>
      <c r="I133" s="57" t="s">
        <v>1355</v>
      </c>
      <c r="J133" s="57" t="s">
        <v>1334</v>
      </c>
      <c r="K133" s="57" t="s">
        <v>1356</v>
      </c>
    </row>
    <row r="134" spans="1:11" ht="28.8" x14ac:dyDescent="0.3">
      <c r="A134" s="57" t="s">
        <v>1361</v>
      </c>
      <c r="B134" s="57" t="s">
        <v>1330</v>
      </c>
      <c r="C134" s="57" t="s">
        <v>1352</v>
      </c>
      <c r="D134" s="57" t="s">
        <v>922</v>
      </c>
      <c r="E134" s="57">
        <v>5</v>
      </c>
      <c r="F134" s="57" t="s">
        <v>1213</v>
      </c>
      <c r="G134" s="57" t="s">
        <v>1353</v>
      </c>
      <c r="H134" s="57" t="s">
        <v>1354</v>
      </c>
      <c r="I134" s="57" t="s">
        <v>1355</v>
      </c>
      <c r="J134" s="57" t="s">
        <v>1334</v>
      </c>
      <c r="K134" s="57" t="s">
        <v>1356</v>
      </c>
    </row>
    <row r="135" spans="1:11" ht="28.8" x14ac:dyDescent="0.3">
      <c r="A135" s="57" t="s">
        <v>1362</v>
      </c>
      <c r="B135" s="57" t="s">
        <v>1330</v>
      </c>
      <c r="C135" s="57" t="s">
        <v>1363</v>
      </c>
      <c r="D135" s="57" t="s">
        <v>913</v>
      </c>
      <c r="E135" s="57">
        <v>4</v>
      </c>
      <c r="F135" s="57" t="s">
        <v>1173</v>
      </c>
      <c r="G135" s="57" t="s">
        <v>1364</v>
      </c>
      <c r="H135" s="57" t="s">
        <v>1277</v>
      </c>
      <c r="I135" s="57" t="s">
        <v>1365</v>
      </c>
      <c r="J135" s="57" t="s">
        <v>1334</v>
      </c>
      <c r="K135" s="57" t="s">
        <v>1366</v>
      </c>
    </row>
    <row r="136" spans="1:11" ht="28.8" x14ac:dyDescent="0.3">
      <c r="A136" s="57" t="s">
        <v>1367</v>
      </c>
      <c r="B136" s="57" t="s">
        <v>1330</v>
      </c>
      <c r="C136" s="57" t="s">
        <v>1363</v>
      </c>
      <c r="D136" s="57" t="s">
        <v>913</v>
      </c>
      <c r="E136" s="57">
        <v>4</v>
      </c>
      <c r="F136" s="57" t="s">
        <v>1173</v>
      </c>
      <c r="G136" s="57" t="s">
        <v>1364</v>
      </c>
      <c r="H136" s="57" t="s">
        <v>1277</v>
      </c>
      <c r="I136" s="57" t="s">
        <v>1365</v>
      </c>
      <c r="J136" s="57" t="s">
        <v>1334</v>
      </c>
      <c r="K136" s="57" t="s">
        <v>1366</v>
      </c>
    </row>
    <row r="137" spans="1:11" ht="28.8" x14ac:dyDescent="0.3">
      <c r="A137" s="57" t="s">
        <v>1368</v>
      </c>
      <c r="B137" s="57" t="s">
        <v>1330</v>
      </c>
      <c r="C137" s="57" t="s">
        <v>1363</v>
      </c>
      <c r="D137" s="57" t="s">
        <v>913</v>
      </c>
      <c r="E137" s="57">
        <v>4</v>
      </c>
      <c r="F137" s="57" t="s">
        <v>1173</v>
      </c>
      <c r="G137" s="57" t="s">
        <v>1364</v>
      </c>
      <c r="H137" s="57" t="s">
        <v>1277</v>
      </c>
      <c r="I137" s="57" t="s">
        <v>1365</v>
      </c>
      <c r="J137" s="57" t="s">
        <v>1334</v>
      </c>
      <c r="K137" s="57" t="s">
        <v>1366</v>
      </c>
    </row>
    <row r="138" spans="1:11" ht="28.8" x14ac:dyDescent="0.3">
      <c r="A138" s="57" t="s">
        <v>1369</v>
      </c>
      <c r="B138" s="57" t="s">
        <v>1330</v>
      </c>
      <c r="C138" s="57" t="s">
        <v>1363</v>
      </c>
      <c r="D138" s="57" t="s">
        <v>913</v>
      </c>
      <c r="E138" s="57">
        <v>4</v>
      </c>
      <c r="F138" s="57" t="s">
        <v>1173</v>
      </c>
      <c r="G138" s="57" t="s">
        <v>1364</v>
      </c>
      <c r="H138" s="57" t="s">
        <v>1277</v>
      </c>
      <c r="I138" s="57" t="s">
        <v>1365</v>
      </c>
      <c r="J138" s="57" t="s">
        <v>1334</v>
      </c>
      <c r="K138" s="57" t="s">
        <v>1366</v>
      </c>
    </row>
    <row r="139" spans="1:11" x14ac:dyDescent="0.3">
      <c r="A139" s="57" t="s">
        <v>1370</v>
      </c>
      <c r="B139" s="57" t="s">
        <v>1330</v>
      </c>
      <c r="C139" s="57" t="s">
        <v>1363</v>
      </c>
      <c r="D139" s="57" t="s">
        <v>913</v>
      </c>
      <c r="E139" s="57">
        <v>4</v>
      </c>
      <c r="F139" s="57" t="s">
        <v>1173</v>
      </c>
      <c r="G139" s="57" t="s">
        <v>1364</v>
      </c>
      <c r="H139" s="57" t="s">
        <v>1277</v>
      </c>
      <c r="I139" s="57" t="s">
        <v>1365</v>
      </c>
      <c r="J139" s="57" t="s">
        <v>1334</v>
      </c>
      <c r="K139" s="57" t="s">
        <v>1366</v>
      </c>
    </row>
    <row r="140" spans="1:11" ht="28.8" x14ac:dyDescent="0.3">
      <c r="A140" s="57" t="s">
        <v>798</v>
      </c>
      <c r="B140" s="57" t="s">
        <v>1371</v>
      </c>
      <c r="C140" s="57" t="s">
        <v>1372</v>
      </c>
      <c r="D140" s="57" t="s">
        <v>1172</v>
      </c>
      <c r="E140" s="57">
        <v>4</v>
      </c>
      <c r="F140" s="57" t="s">
        <v>33</v>
      </c>
      <c r="G140" s="57" t="s">
        <v>1373</v>
      </c>
      <c r="H140" s="57" t="s">
        <v>1374</v>
      </c>
      <c r="I140" s="57" t="s">
        <v>1375</v>
      </c>
      <c r="J140" s="57" t="s">
        <v>1376</v>
      </c>
      <c r="K140" s="57" t="s">
        <v>1377</v>
      </c>
    </row>
    <row r="141" spans="1:11" ht="28.8" x14ac:dyDescent="0.3">
      <c r="A141" s="57" t="s">
        <v>1378</v>
      </c>
      <c r="B141" s="57" t="s">
        <v>1371</v>
      </c>
      <c r="C141" s="57" t="s">
        <v>1372</v>
      </c>
      <c r="D141" s="57" t="s">
        <v>1172</v>
      </c>
      <c r="E141" s="57">
        <v>4</v>
      </c>
      <c r="F141" s="57" t="s">
        <v>33</v>
      </c>
      <c r="G141" s="57" t="s">
        <v>1373</v>
      </c>
      <c r="H141" s="57" t="s">
        <v>1374</v>
      </c>
      <c r="I141" s="57" t="s">
        <v>1375</v>
      </c>
      <c r="J141" s="57" t="s">
        <v>1376</v>
      </c>
      <c r="K141" s="57" t="s">
        <v>1377</v>
      </c>
    </row>
    <row r="142" spans="1:11" ht="28.8" x14ac:dyDescent="0.3">
      <c r="A142" s="57" t="s">
        <v>1379</v>
      </c>
      <c r="B142" s="57" t="s">
        <v>1371</v>
      </c>
      <c r="C142" s="57" t="s">
        <v>1372</v>
      </c>
      <c r="D142" s="57" t="s">
        <v>1172</v>
      </c>
      <c r="E142" s="57">
        <v>4</v>
      </c>
      <c r="F142" s="57" t="s">
        <v>33</v>
      </c>
      <c r="G142" s="57" t="s">
        <v>1373</v>
      </c>
      <c r="H142" s="57" t="s">
        <v>1374</v>
      </c>
      <c r="I142" s="57" t="s">
        <v>1375</v>
      </c>
      <c r="J142" s="57" t="s">
        <v>1376</v>
      </c>
      <c r="K142" s="57" t="s">
        <v>1377</v>
      </c>
    </row>
    <row r="143" spans="1:11" ht="28.8" x14ac:dyDescent="0.3">
      <c r="A143" s="57" t="s">
        <v>1380</v>
      </c>
      <c r="B143" s="57" t="s">
        <v>1371</v>
      </c>
      <c r="C143" s="57" t="s">
        <v>1372</v>
      </c>
      <c r="D143" s="57" t="s">
        <v>1172</v>
      </c>
      <c r="E143" s="57">
        <v>4</v>
      </c>
      <c r="F143" s="57" t="s">
        <v>33</v>
      </c>
      <c r="G143" s="57" t="s">
        <v>1373</v>
      </c>
      <c r="H143" s="57" t="s">
        <v>1374</v>
      </c>
      <c r="I143" s="57" t="s">
        <v>1375</v>
      </c>
      <c r="J143" s="57" t="s">
        <v>1376</v>
      </c>
      <c r="K143" s="57" t="s">
        <v>1377</v>
      </c>
    </row>
    <row r="144" spans="1:11" ht="28.8" x14ac:dyDescent="0.3">
      <c r="A144" s="57" t="s">
        <v>1381</v>
      </c>
      <c r="B144" s="57" t="s">
        <v>1371</v>
      </c>
      <c r="C144" s="57" t="s">
        <v>1382</v>
      </c>
      <c r="D144" s="57" t="s">
        <v>1172</v>
      </c>
      <c r="E144" s="57">
        <v>4</v>
      </c>
      <c r="F144" s="57" t="s">
        <v>33</v>
      </c>
      <c r="G144" s="57" t="s">
        <v>1383</v>
      </c>
      <c r="H144" s="57" t="s">
        <v>1384</v>
      </c>
      <c r="I144" s="57" t="s">
        <v>1385</v>
      </c>
      <c r="J144" s="57" t="s">
        <v>1376</v>
      </c>
      <c r="K144" s="57" t="s">
        <v>1386</v>
      </c>
    </row>
    <row r="145" spans="1:11" ht="28.8" x14ac:dyDescent="0.3">
      <c r="A145" s="57" t="s">
        <v>1387</v>
      </c>
      <c r="B145" s="57" t="s">
        <v>1371</v>
      </c>
      <c r="C145" s="57" t="s">
        <v>1382</v>
      </c>
      <c r="D145" s="57" t="s">
        <v>1172</v>
      </c>
      <c r="E145" s="57">
        <v>4</v>
      </c>
      <c r="F145" s="57" t="s">
        <v>33</v>
      </c>
      <c r="G145" s="57" t="s">
        <v>1383</v>
      </c>
      <c r="H145" s="57" t="s">
        <v>1384</v>
      </c>
      <c r="I145" s="57" t="s">
        <v>1385</v>
      </c>
      <c r="J145" s="57" t="s">
        <v>1376</v>
      </c>
      <c r="K145" s="57" t="s">
        <v>1386</v>
      </c>
    </row>
    <row r="146" spans="1:11" ht="28.8" x14ac:dyDescent="0.3">
      <c r="A146" s="57" t="s">
        <v>1388</v>
      </c>
      <c r="B146" s="57" t="s">
        <v>1371</v>
      </c>
      <c r="C146" s="57" t="s">
        <v>1382</v>
      </c>
      <c r="D146" s="57" t="s">
        <v>1172</v>
      </c>
      <c r="E146" s="57">
        <v>4</v>
      </c>
      <c r="F146" s="57" t="s">
        <v>33</v>
      </c>
      <c r="G146" s="57" t="s">
        <v>1383</v>
      </c>
      <c r="H146" s="57" t="s">
        <v>1384</v>
      </c>
      <c r="I146" s="57" t="s">
        <v>1385</v>
      </c>
      <c r="J146" s="57" t="s">
        <v>1376</v>
      </c>
      <c r="K146" s="57" t="s">
        <v>1386</v>
      </c>
    </row>
    <row r="147" spans="1:11" ht="28.8" x14ac:dyDescent="0.3">
      <c r="A147" s="57" t="s">
        <v>1389</v>
      </c>
      <c r="B147" s="57" t="s">
        <v>1371</v>
      </c>
      <c r="C147" s="57" t="s">
        <v>1382</v>
      </c>
      <c r="D147" s="57" t="s">
        <v>1172</v>
      </c>
      <c r="E147" s="57">
        <v>4</v>
      </c>
      <c r="F147" s="57" t="s">
        <v>33</v>
      </c>
      <c r="G147" s="57" t="s">
        <v>1383</v>
      </c>
      <c r="H147" s="57" t="s">
        <v>1384</v>
      </c>
      <c r="I147" s="57" t="s">
        <v>1385</v>
      </c>
      <c r="J147" s="57" t="s">
        <v>1376</v>
      </c>
      <c r="K147" s="57" t="s">
        <v>1386</v>
      </c>
    </row>
    <row r="148" spans="1:11" ht="28.8" x14ac:dyDescent="0.3">
      <c r="A148" s="57" t="s">
        <v>1390</v>
      </c>
      <c r="B148" s="57" t="s">
        <v>1371</v>
      </c>
      <c r="C148" s="57" t="s">
        <v>1382</v>
      </c>
      <c r="D148" s="57" t="s">
        <v>1172</v>
      </c>
      <c r="E148" s="57">
        <v>4</v>
      </c>
      <c r="F148" s="57" t="s">
        <v>33</v>
      </c>
      <c r="G148" s="57" t="s">
        <v>1383</v>
      </c>
      <c r="H148" s="57" t="s">
        <v>1384</v>
      </c>
      <c r="I148" s="57" t="s">
        <v>1385</v>
      </c>
      <c r="J148" s="57" t="s">
        <v>1376</v>
      </c>
      <c r="K148" s="57" t="s">
        <v>1386</v>
      </c>
    </row>
    <row r="149" spans="1:11" ht="28.8" x14ac:dyDescent="0.3">
      <c r="A149" s="57" t="s">
        <v>1391</v>
      </c>
      <c r="B149" s="57" t="s">
        <v>1371</v>
      </c>
      <c r="C149" s="57" t="s">
        <v>1382</v>
      </c>
      <c r="D149" s="57" t="s">
        <v>1172</v>
      </c>
      <c r="E149" s="57">
        <v>4</v>
      </c>
      <c r="F149" s="57" t="s">
        <v>33</v>
      </c>
      <c r="G149" s="57" t="s">
        <v>1383</v>
      </c>
      <c r="H149" s="57" t="s">
        <v>1384</v>
      </c>
      <c r="I149" s="57" t="s">
        <v>1385</v>
      </c>
      <c r="J149" s="57" t="s">
        <v>1376</v>
      </c>
      <c r="K149" s="57" t="s">
        <v>1386</v>
      </c>
    </row>
    <row r="150" spans="1:11" ht="28.8" x14ac:dyDescent="0.3">
      <c r="A150" s="57" t="s">
        <v>1194</v>
      </c>
      <c r="B150" s="57" t="s">
        <v>1371</v>
      </c>
      <c r="C150" s="57" t="s">
        <v>1392</v>
      </c>
      <c r="D150" s="57" t="s">
        <v>913</v>
      </c>
      <c r="E150" s="57">
        <v>3</v>
      </c>
      <c r="F150" s="57" t="s">
        <v>1173</v>
      </c>
      <c r="G150" s="57" t="s">
        <v>1393</v>
      </c>
      <c r="H150" s="57" t="s">
        <v>1277</v>
      </c>
      <c r="I150" s="57" t="s">
        <v>1394</v>
      </c>
      <c r="J150" s="57" t="s">
        <v>1376</v>
      </c>
      <c r="K150" s="57" t="s">
        <v>1395</v>
      </c>
    </row>
    <row r="151" spans="1:11" ht="28.8" x14ac:dyDescent="0.3">
      <c r="A151" s="57" t="s">
        <v>1396</v>
      </c>
      <c r="B151" s="57" t="s">
        <v>1371</v>
      </c>
      <c r="C151" s="57" t="s">
        <v>1392</v>
      </c>
      <c r="D151" s="57" t="s">
        <v>913</v>
      </c>
      <c r="E151" s="57">
        <v>3</v>
      </c>
      <c r="F151" s="57" t="s">
        <v>1173</v>
      </c>
      <c r="G151" s="57" t="s">
        <v>1393</v>
      </c>
      <c r="H151" s="57" t="s">
        <v>1277</v>
      </c>
      <c r="I151" s="57" t="s">
        <v>1394</v>
      </c>
      <c r="J151" s="57" t="s">
        <v>1376</v>
      </c>
      <c r="K151" s="57" t="s">
        <v>1395</v>
      </c>
    </row>
    <row r="152" spans="1:11" ht="28.8" x14ac:dyDescent="0.3">
      <c r="A152" s="57" t="s">
        <v>1281</v>
      </c>
      <c r="B152" s="57" t="s">
        <v>1371</v>
      </c>
      <c r="C152" s="57" t="s">
        <v>1392</v>
      </c>
      <c r="D152" s="57" t="s">
        <v>913</v>
      </c>
      <c r="E152" s="57">
        <v>3</v>
      </c>
      <c r="F152" s="57" t="s">
        <v>1173</v>
      </c>
      <c r="G152" s="57" t="s">
        <v>1393</v>
      </c>
      <c r="H152" s="57" t="s">
        <v>1277</v>
      </c>
      <c r="I152" s="57" t="s">
        <v>1394</v>
      </c>
      <c r="J152" s="57" t="s">
        <v>1376</v>
      </c>
      <c r="K152" s="57" t="s">
        <v>1395</v>
      </c>
    </row>
    <row r="153" spans="1:11" ht="28.8" x14ac:dyDescent="0.3">
      <c r="A153" s="57" t="s">
        <v>1397</v>
      </c>
      <c r="B153" s="57" t="s">
        <v>1371</v>
      </c>
      <c r="C153" s="57" t="s">
        <v>1392</v>
      </c>
      <c r="D153" s="57" t="s">
        <v>913</v>
      </c>
      <c r="E153" s="57">
        <v>3</v>
      </c>
      <c r="F153" s="57" t="s">
        <v>1173</v>
      </c>
      <c r="G153" s="57" t="s">
        <v>1393</v>
      </c>
      <c r="H153" s="57" t="s">
        <v>1277</v>
      </c>
      <c r="I153" s="57" t="s">
        <v>1394</v>
      </c>
      <c r="J153" s="57" t="s">
        <v>1376</v>
      </c>
      <c r="K153" s="57" t="s">
        <v>1395</v>
      </c>
    </row>
    <row r="154" spans="1:11" ht="28.8" x14ac:dyDescent="0.3">
      <c r="A154" s="57" t="s">
        <v>1398</v>
      </c>
      <c r="B154" s="57" t="s">
        <v>1371</v>
      </c>
      <c r="C154" s="57" t="s">
        <v>1392</v>
      </c>
      <c r="D154" s="57" t="s">
        <v>913</v>
      </c>
      <c r="E154" s="57">
        <v>3</v>
      </c>
      <c r="F154" s="57" t="s">
        <v>1173</v>
      </c>
      <c r="G154" s="57" t="s">
        <v>1393</v>
      </c>
      <c r="H154" s="57" t="s">
        <v>1277</v>
      </c>
      <c r="I154" s="57" t="s">
        <v>1394</v>
      </c>
      <c r="J154" s="57" t="s">
        <v>1376</v>
      </c>
      <c r="K154" s="57" t="s">
        <v>1395</v>
      </c>
    </row>
    <row r="155" spans="1:11" ht="28.8" x14ac:dyDescent="0.3">
      <c r="A155" s="57" t="s">
        <v>1198</v>
      </c>
      <c r="B155" s="57" t="s">
        <v>1371</v>
      </c>
      <c r="C155" s="57" t="s">
        <v>1399</v>
      </c>
      <c r="D155" s="57" t="s">
        <v>1172</v>
      </c>
      <c r="E155" s="57">
        <v>2</v>
      </c>
      <c r="F155" s="57" t="s">
        <v>1188</v>
      </c>
      <c r="G155" s="57" t="s">
        <v>1400</v>
      </c>
      <c r="H155" s="57" t="s">
        <v>1401</v>
      </c>
      <c r="I155" s="57" t="s">
        <v>1402</v>
      </c>
      <c r="J155" s="57" t="s">
        <v>1376</v>
      </c>
      <c r="K155" s="57" t="s">
        <v>1403</v>
      </c>
    </row>
    <row r="156" spans="1:11" ht="28.8" x14ac:dyDescent="0.3">
      <c r="A156" s="57" t="s">
        <v>1404</v>
      </c>
      <c r="B156" s="57" t="s">
        <v>1371</v>
      </c>
      <c r="C156" s="57" t="s">
        <v>1399</v>
      </c>
      <c r="D156" s="57" t="s">
        <v>1172</v>
      </c>
      <c r="E156" s="57">
        <v>2</v>
      </c>
      <c r="F156" s="57" t="s">
        <v>1188</v>
      </c>
      <c r="G156" s="57" t="s">
        <v>1400</v>
      </c>
      <c r="H156" s="57" t="s">
        <v>1401</v>
      </c>
      <c r="I156" s="57" t="s">
        <v>1402</v>
      </c>
      <c r="J156" s="57" t="s">
        <v>1376</v>
      </c>
      <c r="K156" s="57" t="s">
        <v>1403</v>
      </c>
    </row>
    <row r="157" spans="1:11" ht="28.8" x14ac:dyDescent="0.3">
      <c r="A157" s="57" t="s">
        <v>1405</v>
      </c>
      <c r="B157" s="57" t="s">
        <v>1371</v>
      </c>
      <c r="C157" s="57" t="s">
        <v>1399</v>
      </c>
      <c r="D157" s="57" t="s">
        <v>1172</v>
      </c>
      <c r="E157" s="57">
        <v>2</v>
      </c>
      <c r="F157" s="57" t="s">
        <v>1188</v>
      </c>
      <c r="G157" s="57" t="s">
        <v>1400</v>
      </c>
      <c r="H157" s="57" t="s">
        <v>1401</v>
      </c>
      <c r="I157" s="57" t="s">
        <v>1402</v>
      </c>
      <c r="J157" s="57" t="s">
        <v>1376</v>
      </c>
      <c r="K157" s="57" t="s">
        <v>1403</v>
      </c>
    </row>
    <row r="158" spans="1:11" ht="28.8" x14ac:dyDescent="0.3">
      <c r="A158" s="57" t="s">
        <v>1406</v>
      </c>
      <c r="B158" s="57" t="s">
        <v>1371</v>
      </c>
      <c r="C158" s="57" t="s">
        <v>1399</v>
      </c>
      <c r="D158" s="57" t="s">
        <v>1172</v>
      </c>
      <c r="E158" s="57">
        <v>2</v>
      </c>
      <c r="F158" s="57" t="s">
        <v>1188</v>
      </c>
      <c r="G158" s="57" t="s">
        <v>1400</v>
      </c>
      <c r="H158" s="57" t="s">
        <v>1401</v>
      </c>
      <c r="I158" s="57" t="s">
        <v>1402</v>
      </c>
      <c r="J158" s="57" t="s">
        <v>1376</v>
      </c>
      <c r="K158" s="57" t="s">
        <v>1403</v>
      </c>
    </row>
    <row r="159" spans="1:11" ht="28.8" x14ac:dyDescent="0.3">
      <c r="A159" s="57" t="s">
        <v>1407</v>
      </c>
      <c r="B159" s="57" t="s">
        <v>1371</v>
      </c>
      <c r="C159" s="57" t="s">
        <v>1399</v>
      </c>
      <c r="D159" s="57" t="s">
        <v>1172</v>
      </c>
      <c r="E159" s="57">
        <v>2</v>
      </c>
      <c r="F159" s="57" t="s">
        <v>1188</v>
      </c>
      <c r="G159" s="57" t="s">
        <v>1400</v>
      </c>
      <c r="H159" s="57" t="s">
        <v>1401</v>
      </c>
      <c r="I159" s="57" t="s">
        <v>1402</v>
      </c>
      <c r="J159" s="57" t="s">
        <v>1376</v>
      </c>
      <c r="K159" s="57" t="s">
        <v>1403</v>
      </c>
    </row>
    <row r="160" spans="1:11" ht="28.8" x14ac:dyDescent="0.3">
      <c r="A160" s="57" t="s">
        <v>1408</v>
      </c>
      <c r="B160" s="57" t="s">
        <v>1371</v>
      </c>
      <c r="C160" s="57" t="s">
        <v>1249</v>
      </c>
      <c r="D160" s="57" t="s">
        <v>1172</v>
      </c>
      <c r="E160" s="57">
        <v>1</v>
      </c>
      <c r="F160" s="57" t="s">
        <v>1173</v>
      </c>
      <c r="G160" s="57" t="s">
        <v>1409</v>
      </c>
      <c r="H160" s="57" t="s">
        <v>1410</v>
      </c>
      <c r="I160" s="57" t="s">
        <v>1411</v>
      </c>
      <c r="J160" s="57" t="s">
        <v>1376</v>
      </c>
      <c r="K160" s="57" t="s">
        <v>1412</v>
      </c>
    </row>
    <row r="161" spans="1:11" ht="28.8" x14ac:dyDescent="0.3">
      <c r="A161" s="57" t="s">
        <v>1413</v>
      </c>
      <c r="B161" s="57" t="s">
        <v>1371</v>
      </c>
      <c r="C161" s="57" t="s">
        <v>1249</v>
      </c>
      <c r="D161" s="57" t="s">
        <v>1172</v>
      </c>
      <c r="E161" s="57">
        <v>1</v>
      </c>
      <c r="F161" s="57" t="s">
        <v>1173</v>
      </c>
      <c r="G161" s="57" t="s">
        <v>1409</v>
      </c>
      <c r="H161" s="57" t="s">
        <v>1410</v>
      </c>
      <c r="I161" s="57" t="s">
        <v>1411</v>
      </c>
      <c r="J161" s="57" t="s">
        <v>1376</v>
      </c>
      <c r="K161" s="57" t="s">
        <v>1412</v>
      </c>
    </row>
    <row r="162" spans="1:11" ht="28.8" x14ac:dyDescent="0.3">
      <c r="A162" s="57" t="s">
        <v>1414</v>
      </c>
      <c r="B162" s="57" t="s">
        <v>1371</v>
      </c>
      <c r="C162" s="57" t="s">
        <v>1249</v>
      </c>
      <c r="D162" s="57" t="s">
        <v>1172</v>
      </c>
      <c r="E162" s="57">
        <v>1</v>
      </c>
      <c r="F162" s="57" t="s">
        <v>1173</v>
      </c>
      <c r="G162" s="57" t="s">
        <v>1409</v>
      </c>
      <c r="H162" s="57" t="s">
        <v>1410</v>
      </c>
      <c r="I162" s="57" t="s">
        <v>1411</v>
      </c>
      <c r="J162" s="57" t="s">
        <v>1376</v>
      </c>
      <c r="K162" s="57" t="s">
        <v>1412</v>
      </c>
    </row>
    <row r="163" spans="1:11" ht="28.8" x14ac:dyDescent="0.3">
      <c r="A163" s="57" t="s">
        <v>1415</v>
      </c>
      <c r="B163" s="57" t="s">
        <v>1371</v>
      </c>
      <c r="C163" s="57" t="s">
        <v>1249</v>
      </c>
      <c r="D163" s="57" t="s">
        <v>1172</v>
      </c>
      <c r="E163" s="57">
        <v>1</v>
      </c>
      <c r="F163" s="57" t="s">
        <v>1173</v>
      </c>
      <c r="G163" s="57" t="s">
        <v>1409</v>
      </c>
      <c r="H163" s="57" t="s">
        <v>1410</v>
      </c>
      <c r="I163" s="57" t="s">
        <v>1411</v>
      </c>
      <c r="J163" s="57" t="s">
        <v>1376</v>
      </c>
      <c r="K163" s="57" t="s">
        <v>1412</v>
      </c>
    </row>
    <row r="164" spans="1:11" ht="28.8" x14ac:dyDescent="0.3">
      <c r="A164" s="57" t="s">
        <v>1261</v>
      </c>
      <c r="B164" s="57" t="s">
        <v>1371</v>
      </c>
      <c r="C164" s="57" t="s">
        <v>1249</v>
      </c>
      <c r="D164" s="57" t="s">
        <v>1172</v>
      </c>
      <c r="E164" s="57">
        <v>1</v>
      </c>
      <c r="F164" s="57" t="s">
        <v>1173</v>
      </c>
      <c r="G164" s="57" t="s">
        <v>1409</v>
      </c>
      <c r="H164" s="57" t="s">
        <v>1410</v>
      </c>
      <c r="I164" s="57" t="s">
        <v>1411</v>
      </c>
      <c r="J164" s="57" t="s">
        <v>1376</v>
      </c>
      <c r="K164" s="57" t="s">
        <v>1412</v>
      </c>
    </row>
    <row r="165" spans="1:11" ht="28.8" x14ac:dyDescent="0.3">
      <c r="A165" s="57" t="s">
        <v>828</v>
      </c>
      <c r="B165" s="57" t="s">
        <v>1371</v>
      </c>
      <c r="C165" s="57" t="s">
        <v>1416</v>
      </c>
      <c r="D165" s="57" t="s">
        <v>1172</v>
      </c>
      <c r="E165" s="57">
        <v>3</v>
      </c>
      <c r="F165" s="57" t="s">
        <v>1188</v>
      </c>
      <c r="G165" s="57" t="s">
        <v>1417</v>
      </c>
      <c r="H165" s="57" t="s">
        <v>1418</v>
      </c>
      <c r="I165" s="57" t="s">
        <v>1419</v>
      </c>
      <c r="J165" s="57" t="s">
        <v>1376</v>
      </c>
      <c r="K165" s="57" t="s">
        <v>1420</v>
      </c>
    </row>
    <row r="166" spans="1:11" ht="28.8" x14ac:dyDescent="0.3">
      <c r="A166" s="57" t="s">
        <v>800</v>
      </c>
      <c r="B166" s="57" t="s">
        <v>1371</v>
      </c>
      <c r="C166" s="57" t="s">
        <v>1416</v>
      </c>
      <c r="D166" s="57" t="s">
        <v>1172</v>
      </c>
      <c r="E166" s="57">
        <v>3</v>
      </c>
      <c r="F166" s="57" t="s">
        <v>1188</v>
      </c>
      <c r="G166" s="57" t="s">
        <v>1417</v>
      </c>
      <c r="H166" s="57" t="s">
        <v>1418</v>
      </c>
      <c r="I166" s="57" t="s">
        <v>1419</v>
      </c>
      <c r="J166" s="57" t="s">
        <v>1376</v>
      </c>
      <c r="K166" s="57" t="s">
        <v>1420</v>
      </c>
    </row>
    <row r="167" spans="1:11" ht="28.8" x14ac:dyDescent="0.3">
      <c r="A167" s="57" t="s">
        <v>1421</v>
      </c>
      <c r="B167" s="57" t="s">
        <v>1371</v>
      </c>
      <c r="C167" s="57" t="s">
        <v>1416</v>
      </c>
      <c r="D167" s="57" t="s">
        <v>1172</v>
      </c>
      <c r="E167" s="57">
        <v>3</v>
      </c>
      <c r="F167" s="57" t="s">
        <v>1188</v>
      </c>
      <c r="G167" s="57" t="s">
        <v>1417</v>
      </c>
      <c r="H167" s="57" t="s">
        <v>1418</v>
      </c>
      <c r="I167" s="57" t="s">
        <v>1419</v>
      </c>
      <c r="J167" s="57" t="s">
        <v>1376</v>
      </c>
      <c r="K167" s="57" t="s">
        <v>1420</v>
      </c>
    </row>
    <row r="168" spans="1:11" ht="28.8" x14ac:dyDescent="0.3">
      <c r="A168" s="57" t="s">
        <v>1422</v>
      </c>
      <c r="B168" s="57" t="s">
        <v>1371</v>
      </c>
      <c r="C168" s="57" t="s">
        <v>1416</v>
      </c>
      <c r="D168" s="57" t="s">
        <v>1172</v>
      </c>
      <c r="E168" s="57">
        <v>3</v>
      </c>
      <c r="F168" s="57" t="s">
        <v>1188</v>
      </c>
      <c r="G168" s="57" t="s">
        <v>1417</v>
      </c>
      <c r="H168" s="57" t="s">
        <v>1418</v>
      </c>
      <c r="I168" s="57" t="s">
        <v>1419</v>
      </c>
      <c r="J168" s="57" t="s">
        <v>1376</v>
      </c>
      <c r="K168" s="57" t="s">
        <v>1420</v>
      </c>
    </row>
    <row r="169" spans="1:11" ht="28.8" x14ac:dyDescent="0.3">
      <c r="A169" s="57" t="s">
        <v>1423</v>
      </c>
      <c r="B169" s="57" t="s">
        <v>1371</v>
      </c>
      <c r="C169" s="57" t="s">
        <v>1416</v>
      </c>
      <c r="D169" s="57" t="s">
        <v>1172</v>
      </c>
      <c r="E169" s="57">
        <v>3</v>
      </c>
      <c r="F169" s="57" t="s">
        <v>1188</v>
      </c>
      <c r="G169" s="57" t="s">
        <v>1417</v>
      </c>
      <c r="H169" s="57" t="s">
        <v>1418</v>
      </c>
      <c r="I169" s="57" t="s">
        <v>1419</v>
      </c>
      <c r="J169" s="57" t="s">
        <v>1376</v>
      </c>
      <c r="K169" s="57" t="s">
        <v>1420</v>
      </c>
    </row>
    <row r="170" spans="1:11" ht="28.8" x14ac:dyDescent="0.3">
      <c r="A170" s="57" t="s">
        <v>1424</v>
      </c>
      <c r="B170" s="57" t="s">
        <v>1371</v>
      </c>
      <c r="C170" s="57" t="s">
        <v>1425</v>
      </c>
      <c r="D170" s="57" t="s">
        <v>1172</v>
      </c>
      <c r="E170" s="57">
        <v>5</v>
      </c>
      <c r="F170" s="57" t="s">
        <v>33</v>
      </c>
      <c r="G170" s="57" t="s">
        <v>1426</v>
      </c>
      <c r="H170" s="57" t="s">
        <v>1427</v>
      </c>
      <c r="I170" s="57" t="s">
        <v>1428</v>
      </c>
      <c r="J170" s="57" t="s">
        <v>1376</v>
      </c>
      <c r="K170" s="57" t="s">
        <v>1429</v>
      </c>
    </row>
    <row r="171" spans="1:11" ht="28.8" x14ac:dyDescent="0.3">
      <c r="A171" s="57" t="s">
        <v>1207</v>
      </c>
      <c r="B171" s="57" t="s">
        <v>1371</v>
      </c>
      <c r="C171" s="57" t="s">
        <v>1425</v>
      </c>
      <c r="D171" s="57" t="s">
        <v>1172</v>
      </c>
      <c r="E171" s="57">
        <v>5</v>
      </c>
      <c r="F171" s="57" t="s">
        <v>33</v>
      </c>
      <c r="G171" s="57" t="s">
        <v>1426</v>
      </c>
      <c r="H171" s="57" t="s">
        <v>1427</v>
      </c>
      <c r="I171" s="57" t="s">
        <v>1428</v>
      </c>
      <c r="J171" s="57" t="s">
        <v>1376</v>
      </c>
      <c r="K171" s="57" t="s">
        <v>1429</v>
      </c>
    </row>
    <row r="172" spans="1:11" ht="28.8" x14ac:dyDescent="0.3">
      <c r="A172" s="57" t="s">
        <v>1208</v>
      </c>
      <c r="B172" s="57" t="s">
        <v>1371</v>
      </c>
      <c r="C172" s="57" t="s">
        <v>1425</v>
      </c>
      <c r="D172" s="57" t="s">
        <v>1172</v>
      </c>
      <c r="E172" s="57">
        <v>5</v>
      </c>
      <c r="F172" s="57" t="s">
        <v>33</v>
      </c>
      <c r="G172" s="57" t="s">
        <v>1426</v>
      </c>
      <c r="H172" s="57" t="s">
        <v>1427</v>
      </c>
      <c r="I172" s="57" t="s">
        <v>1428</v>
      </c>
      <c r="J172" s="57" t="s">
        <v>1376</v>
      </c>
      <c r="K172" s="57" t="s">
        <v>1429</v>
      </c>
    </row>
    <row r="173" spans="1:11" ht="28.8" x14ac:dyDescent="0.3">
      <c r="A173" s="57" t="s">
        <v>1430</v>
      </c>
      <c r="B173" s="57" t="s">
        <v>1371</v>
      </c>
      <c r="C173" s="57" t="s">
        <v>1425</v>
      </c>
      <c r="D173" s="57" t="s">
        <v>1172</v>
      </c>
      <c r="E173" s="57">
        <v>5</v>
      </c>
      <c r="F173" s="57" t="s">
        <v>33</v>
      </c>
      <c r="G173" s="57" t="s">
        <v>1426</v>
      </c>
      <c r="H173" s="57" t="s">
        <v>1427</v>
      </c>
      <c r="I173" s="57" t="s">
        <v>1428</v>
      </c>
      <c r="J173" s="57" t="s">
        <v>1376</v>
      </c>
      <c r="K173" s="57" t="s">
        <v>1429</v>
      </c>
    </row>
    <row r="174" spans="1:11" ht="28.8" x14ac:dyDescent="0.3">
      <c r="A174" s="57" t="s">
        <v>1431</v>
      </c>
      <c r="B174" s="57" t="s">
        <v>1371</v>
      </c>
      <c r="C174" s="57" t="s">
        <v>1425</v>
      </c>
      <c r="D174" s="57" t="s">
        <v>1172</v>
      </c>
      <c r="E174" s="57">
        <v>5</v>
      </c>
      <c r="F174" s="57" t="s">
        <v>33</v>
      </c>
      <c r="G174" s="57" t="s">
        <v>1426</v>
      </c>
      <c r="H174" s="57" t="s">
        <v>1427</v>
      </c>
      <c r="I174" s="57" t="s">
        <v>1428</v>
      </c>
      <c r="J174" s="57" t="s">
        <v>1376</v>
      </c>
      <c r="K174" s="57" t="s">
        <v>1429</v>
      </c>
    </row>
    <row r="175" spans="1:11" ht="28.8" x14ac:dyDescent="0.3">
      <c r="A175" s="57" t="s">
        <v>816</v>
      </c>
      <c r="B175" s="57" t="s">
        <v>1432</v>
      </c>
      <c r="C175" s="57" t="s">
        <v>1433</v>
      </c>
      <c r="D175" s="57" t="s">
        <v>913</v>
      </c>
      <c r="E175" s="57">
        <v>4</v>
      </c>
      <c r="F175" s="57" t="s">
        <v>1173</v>
      </c>
      <c r="G175" s="57" t="s">
        <v>1434</v>
      </c>
      <c r="H175" s="57" t="s">
        <v>1277</v>
      </c>
      <c r="I175" s="57" t="s">
        <v>1435</v>
      </c>
      <c r="J175" s="57" t="s">
        <v>1436</v>
      </c>
      <c r="K175" s="57" t="s">
        <v>1437</v>
      </c>
    </row>
    <row r="176" spans="1:11" ht="28.8" x14ac:dyDescent="0.3">
      <c r="A176" s="57" t="s">
        <v>1438</v>
      </c>
      <c r="B176" s="57" t="s">
        <v>1432</v>
      </c>
      <c r="C176" s="57" t="s">
        <v>1433</v>
      </c>
      <c r="D176" s="57" t="s">
        <v>913</v>
      </c>
      <c r="E176" s="57">
        <v>4</v>
      </c>
      <c r="F176" s="57" t="s">
        <v>1173</v>
      </c>
      <c r="G176" s="57" t="s">
        <v>1434</v>
      </c>
      <c r="H176" s="57" t="s">
        <v>1277</v>
      </c>
      <c r="I176" s="57" t="s">
        <v>1435</v>
      </c>
      <c r="J176" s="57" t="s">
        <v>1436</v>
      </c>
      <c r="K176" s="57" t="s">
        <v>1437</v>
      </c>
    </row>
    <row r="177" spans="1:11" ht="28.8" x14ac:dyDescent="0.3">
      <c r="A177" s="57" t="s">
        <v>1439</v>
      </c>
      <c r="B177" s="57" t="s">
        <v>1432</v>
      </c>
      <c r="C177" s="57" t="s">
        <v>1433</v>
      </c>
      <c r="D177" s="57" t="s">
        <v>913</v>
      </c>
      <c r="E177" s="57">
        <v>4</v>
      </c>
      <c r="F177" s="57" t="s">
        <v>1173</v>
      </c>
      <c r="G177" s="57" t="s">
        <v>1434</v>
      </c>
      <c r="H177" s="57" t="s">
        <v>1277</v>
      </c>
      <c r="I177" s="57" t="s">
        <v>1435</v>
      </c>
      <c r="J177" s="57" t="s">
        <v>1436</v>
      </c>
      <c r="K177" s="57" t="s">
        <v>1437</v>
      </c>
    </row>
    <row r="178" spans="1:11" ht="28.8" x14ac:dyDescent="0.3">
      <c r="A178" s="57" t="s">
        <v>1440</v>
      </c>
      <c r="B178" s="57" t="s">
        <v>1432</v>
      </c>
      <c r="C178" s="57" t="s">
        <v>1433</v>
      </c>
      <c r="D178" s="57" t="s">
        <v>913</v>
      </c>
      <c r="E178" s="57">
        <v>4</v>
      </c>
      <c r="F178" s="57" t="s">
        <v>1173</v>
      </c>
      <c r="G178" s="57" t="s">
        <v>1434</v>
      </c>
      <c r="H178" s="57" t="s">
        <v>1277</v>
      </c>
      <c r="I178" s="57" t="s">
        <v>1435</v>
      </c>
      <c r="J178" s="57" t="s">
        <v>1436</v>
      </c>
      <c r="K178" s="57" t="s">
        <v>1437</v>
      </c>
    </row>
    <row r="179" spans="1:11" ht="28.8" x14ac:dyDescent="0.3">
      <c r="A179" s="57" t="s">
        <v>1441</v>
      </c>
      <c r="B179" s="57" t="s">
        <v>1432</v>
      </c>
      <c r="C179" s="57" t="s">
        <v>1433</v>
      </c>
      <c r="D179" s="57" t="s">
        <v>913</v>
      </c>
      <c r="E179" s="57">
        <v>4</v>
      </c>
      <c r="F179" s="57" t="s">
        <v>1173</v>
      </c>
      <c r="G179" s="57" t="s">
        <v>1434</v>
      </c>
      <c r="H179" s="57" t="s">
        <v>1277</v>
      </c>
      <c r="I179" s="57" t="s">
        <v>1435</v>
      </c>
      <c r="J179" s="57" t="s">
        <v>1436</v>
      </c>
      <c r="K179" s="57" t="s">
        <v>1437</v>
      </c>
    </row>
    <row r="180" spans="1:11" ht="28.8" x14ac:dyDescent="0.3">
      <c r="A180" s="57" t="s">
        <v>1442</v>
      </c>
      <c r="B180" s="57" t="s">
        <v>1432</v>
      </c>
      <c r="C180" s="57" t="s">
        <v>1433</v>
      </c>
      <c r="D180" s="57" t="s">
        <v>913</v>
      </c>
      <c r="E180" s="57">
        <v>4</v>
      </c>
      <c r="F180" s="57" t="s">
        <v>1173</v>
      </c>
      <c r="G180" s="57" t="s">
        <v>1434</v>
      </c>
      <c r="H180" s="57" t="s">
        <v>1277</v>
      </c>
      <c r="I180" s="57" t="s">
        <v>1435</v>
      </c>
      <c r="J180" s="57" t="s">
        <v>1436</v>
      </c>
      <c r="K180" s="57" t="s">
        <v>1437</v>
      </c>
    </row>
    <row r="181" spans="1:11" ht="28.8" x14ac:dyDescent="0.3">
      <c r="A181" s="57" t="s">
        <v>1443</v>
      </c>
      <c r="B181" s="57" t="s">
        <v>1432</v>
      </c>
      <c r="C181" s="57" t="s">
        <v>1433</v>
      </c>
      <c r="D181" s="57" t="s">
        <v>913</v>
      </c>
      <c r="E181" s="57">
        <v>4</v>
      </c>
      <c r="F181" s="57" t="s">
        <v>1173</v>
      </c>
      <c r="G181" s="57" t="s">
        <v>1434</v>
      </c>
      <c r="H181" s="57" t="s">
        <v>1277</v>
      </c>
      <c r="I181" s="57" t="s">
        <v>1435</v>
      </c>
      <c r="J181" s="57" t="s">
        <v>1436</v>
      </c>
      <c r="K181" s="57" t="s">
        <v>1437</v>
      </c>
    </row>
    <row r="182" spans="1:11" ht="28.8" x14ac:dyDescent="0.3">
      <c r="A182" s="57" t="s">
        <v>1444</v>
      </c>
      <c r="B182" s="57" t="s">
        <v>1432</v>
      </c>
      <c r="C182" s="57" t="s">
        <v>1433</v>
      </c>
      <c r="D182" s="57" t="s">
        <v>913</v>
      </c>
      <c r="E182" s="57">
        <v>4</v>
      </c>
      <c r="F182" s="57" t="s">
        <v>1173</v>
      </c>
      <c r="G182" s="57" t="s">
        <v>1434</v>
      </c>
      <c r="H182" s="57" t="s">
        <v>1277</v>
      </c>
      <c r="I182" s="57" t="s">
        <v>1435</v>
      </c>
      <c r="J182" s="57" t="s">
        <v>1436</v>
      </c>
      <c r="K182" s="57" t="s">
        <v>1437</v>
      </c>
    </row>
    <row r="183" spans="1:11" ht="28.8" x14ac:dyDescent="0.3">
      <c r="A183" s="57" t="s">
        <v>1445</v>
      </c>
      <c r="B183" s="57" t="s">
        <v>1432</v>
      </c>
      <c r="C183" s="57" t="s">
        <v>1433</v>
      </c>
      <c r="D183" s="57" t="s">
        <v>913</v>
      </c>
      <c r="E183" s="57">
        <v>4</v>
      </c>
      <c r="F183" s="57" t="s">
        <v>1173</v>
      </c>
      <c r="G183" s="57" t="s">
        <v>1434</v>
      </c>
      <c r="H183" s="57" t="s">
        <v>1277</v>
      </c>
      <c r="I183" s="57" t="s">
        <v>1435</v>
      </c>
      <c r="J183" s="57" t="s">
        <v>1436</v>
      </c>
      <c r="K183" s="57" t="s">
        <v>1437</v>
      </c>
    </row>
    <row r="184" spans="1:11" ht="28.8" x14ac:dyDescent="0.3">
      <c r="A184" s="57" t="s">
        <v>1446</v>
      </c>
      <c r="B184" s="57" t="s">
        <v>1432</v>
      </c>
      <c r="C184" s="57" t="s">
        <v>1433</v>
      </c>
      <c r="D184" s="57" t="s">
        <v>913</v>
      </c>
      <c r="E184" s="57">
        <v>4</v>
      </c>
      <c r="F184" s="57" t="s">
        <v>1173</v>
      </c>
      <c r="G184" s="57" t="s">
        <v>1434</v>
      </c>
      <c r="H184" s="57" t="s">
        <v>1277</v>
      </c>
      <c r="I184" s="57" t="s">
        <v>1435</v>
      </c>
      <c r="J184" s="57" t="s">
        <v>1436</v>
      </c>
      <c r="K184" s="57" t="s">
        <v>1437</v>
      </c>
    </row>
    <row r="185" spans="1:11" ht="28.8" x14ac:dyDescent="0.3">
      <c r="A185" s="57" t="s">
        <v>1447</v>
      </c>
      <c r="B185" s="57" t="s">
        <v>1432</v>
      </c>
      <c r="C185" s="57" t="s">
        <v>1433</v>
      </c>
      <c r="D185" s="57" t="s">
        <v>913</v>
      </c>
      <c r="E185" s="57">
        <v>4</v>
      </c>
      <c r="F185" s="57" t="s">
        <v>1173</v>
      </c>
      <c r="G185" s="57" t="s">
        <v>1434</v>
      </c>
      <c r="H185" s="57" t="s">
        <v>1277</v>
      </c>
      <c r="I185" s="57" t="s">
        <v>1435</v>
      </c>
      <c r="J185" s="57" t="s">
        <v>1436</v>
      </c>
      <c r="K185" s="57" t="s">
        <v>1437</v>
      </c>
    </row>
    <row r="186" spans="1:11" ht="28.8" x14ac:dyDescent="0.3">
      <c r="A186" s="57" t="s">
        <v>1448</v>
      </c>
      <c r="B186" s="57" t="s">
        <v>1432</v>
      </c>
      <c r="C186" s="57" t="s">
        <v>1433</v>
      </c>
      <c r="D186" s="57" t="s">
        <v>913</v>
      </c>
      <c r="E186" s="57">
        <v>4</v>
      </c>
      <c r="F186" s="57" t="s">
        <v>1173</v>
      </c>
      <c r="G186" s="57" t="s">
        <v>1434</v>
      </c>
      <c r="H186" s="57" t="s">
        <v>1277</v>
      </c>
      <c r="I186" s="57" t="s">
        <v>1435</v>
      </c>
      <c r="J186" s="57" t="s">
        <v>1436</v>
      </c>
      <c r="K186" s="57" t="s">
        <v>1437</v>
      </c>
    </row>
    <row r="187" spans="1:11" ht="28.8" x14ac:dyDescent="0.3">
      <c r="A187" s="57" t="s">
        <v>1449</v>
      </c>
      <c r="B187" s="57" t="s">
        <v>1432</v>
      </c>
      <c r="C187" s="57" t="s">
        <v>1433</v>
      </c>
      <c r="D187" s="57" t="s">
        <v>913</v>
      </c>
      <c r="E187" s="57">
        <v>4</v>
      </c>
      <c r="F187" s="57" t="s">
        <v>1173</v>
      </c>
      <c r="G187" s="57" t="s">
        <v>1434</v>
      </c>
      <c r="H187" s="57" t="s">
        <v>1277</v>
      </c>
      <c r="I187" s="57" t="s">
        <v>1435</v>
      </c>
      <c r="J187" s="57" t="s">
        <v>1436</v>
      </c>
      <c r="K187" s="57" t="s">
        <v>1437</v>
      </c>
    </row>
    <row r="188" spans="1:11" ht="28.8" x14ac:dyDescent="0.3">
      <c r="A188" s="57" t="s">
        <v>1450</v>
      </c>
      <c r="B188" s="57" t="s">
        <v>1432</v>
      </c>
      <c r="C188" s="57" t="s">
        <v>1433</v>
      </c>
      <c r="D188" s="57" t="s">
        <v>913</v>
      </c>
      <c r="E188" s="57">
        <v>4</v>
      </c>
      <c r="F188" s="57" t="s">
        <v>1173</v>
      </c>
      <c r="G188" s="57" t="s">
        <v>1434</v>
      </c>
      <c r="H188" s="57" t="s">
        <v>1277</v>
      </c>
      <c r="I188" s="57" t="s">
        <v>1435</v>
      </c>
      <c r="J188" s="57" t="s">
        <v>1436</v>
      </c>
      <c r="K188" s="57" t="s">
        <v>1437</v>
      </c>
    </row>
    <row r="189" spans="1:11" ht="28.8" x14ac:dyDescent="0.3">
      <c r="A189" s="57" t="s">
        <v>1451</v>
      </c>
      <c r="B189" s="57" t="s">
        <v>1432</v>
      </c>
      <c r="C189" s="57" t="s">
        <v>1433</v>
      </c>
      <c r="D189" s="57" t="s">
        <v>913</v>
      </c>
      <c r="E189" s="57">
        <v>4</v>
      </c>
      <c r="F189" s="57" t="s">
        <v>1173</v>
      </c>
      <c r="G189" s="57" t="s">
        <v>1434</v>
      </c>
      <c r="H189" s="57" t="s">
        <v>1277</v>
      </c>
      <c r="I189" s="57" t="s">
        <v>1435</v>
      </c>
      <c r="J189" s="57" t="s">
        <v>1436</v>
      </c>
      <c r="K189" s="57" t="s">
        <v>1437</v>
      </c>
    </row>
    <row r="190" spans="1:11" ht="28.8" x14ac:dyDescent="0.3">
      <c r="A190" s="57" t="s">
        <v>1452</v>
      </c>
      <c r="B190" s="57" t="s">
        <v>1432</v>
      </c>
      <c r="C190" s="57" t="s">
        <v>1433</v>
      </c>
      <c r="D190" s="57" t="s">
        <v>913</v>
      </c>
      <c r="E190" s="57">
        <v>4</v>
      </c>
      <c r="F190" s="57" t="s">
        <v>1173</v>
      </c>
      <c r="G190" s="57" t="s">
        <v>1434</v>
      </c>
      <c r="H190" s="57" t="s">
        <v>1277</v>
      </c>
      <c r="I190" s="57" t="s">
        <v>1435</v>
      </c>
      <c r="J190" s="57" t="s">
        <v>1436</v>
      </c>
      <c r="K190" s="57" t="s">
        <v>1437</v>
      </c>
    </row>
    <row r="191" spans="1:11" ht="28.8" x14ac:dyDescent="0.3">
      <c r="A191" s="57" t="s">
        <v>1453</v>
      </c>
      <c r="B191" s="57" t="s">
        <v>1432</v>
      </c>
      <c r="C191" s="57" t="s">
        <v>1433</v>
      </c>
      <c r="D191" s="57" t="s">
        <v>913</v>
      </c>
      <c r="E191" s="57">
        <v>4</v>
      </c>
      <c r="F191" s="57" t="s">
        <v>1173</v>
      </c>
      <c r="G191" s="57" t="s">
        <v>1434</v>
      </c>
      <c r="H191" s="57" t="s">
        <v>1277</v>
      </c>
      <c r="I191" s="57" t="s">
        <v>1435</v>
      </c>
      <c r="J191" s="57" t="s">
        <v>1436</v>
      </c>
      <c r="K191" s="57" t="s">
        <v>1437</v>
      </c>
    </row>
    <row r="192" spans="1:11" ht="28.8" x14ac:dyDescent="0.3">
      <c r="A192" s="57" t="s">
        <v>1454</v>
      </c>
      <c r="B192" s="57" t="s">
        <v>1432</v>
      </c>
      <c r="C192" s="57" t="s">
        <v>1433</v>
      </c>
      <c r="D192" s="57" t="s">
        <v>913</v>
      </c>
      <c r="E192" s="57">
        <v>4</v>
      </c>
      <c r="F192" s="57" t="s">
        <v>1173</v>
      </c>
      <c r="G192" s="57" t="s">
        <v>1434</v>
      </c>
      <c r="H192" s="57" t="s">
        <v>1277</v>
      </c>
      <c r="I192" s="57" t="s">
        <v>1435</v>
      </c>
      <c r="J192" s="57" t="s">
        <v>1436</v>
      </c>
      <c r="K192" s="57" t="s">
        <v>1437</v>
      </c>
    </row>
    <row r="193" spans="1:11" ht="28.8" x14ac:dyDescent="0.3">
      <c r="A193" s="57" t="s">
        <v>1455</v>
      </c>
      <c r="B193" s="57" t="s">
        <v>1432</v>
      </c>
      <c r="C193" s="57" t="s">
        <v>1433</v>
      </c>
      <c r="D193" s="57" t="s">
        <v>913</v>
      </c>
      <c r="E193" s="57">
        <v>4</v>
      </c>
      <c r="F193" s="57" t="s">
        <v>1173</v>
      </c>
      <c r="G193" s="57" t="s">
        <v>1434</v>
      </c>
      <c r="H193" s="57" t="s">
        <v>1277</v>
      </c>
      <c r="I193" s="57" t="s">
        <v>1435</v>
      </c>
      <c r="J193" s="57" t="s">
        <v>1436</v>
      </c>
      <c r="K193" s="57" t="s">
        <v>1437</v>
      </c>
    </row>
    <row r="194" spans="1:11" ht="28.8" x14ac:dyDescent="0.3">
      <c r="A194" s="57" t="s">
        <v>1456</v>
      </c>
      <c r="B194" s="57" t="s">
        <v>1432</v>
      </c>
      <c r="C194" s="57" t="s">
        <v>1433</v>
      </c>
      <c r="D194" s="57" t="s">
        <v>913</v>
      </c>
      <c r="E194" s="57">
        <v>4</v>
      </c>
      <c r="F194" s="57" t="s">
        <v>1173</v>
      </c>
      <c r="G194" s="57" t="s">
        <v>1434</v>
      </c>
      <c r="H194" s="57" t="s">
        <v>1277</v>
      </c>
      <c r="I194" s="57" t="s">
        <v>1435</v>
      </c>
      <c r="J194" s="57" t="s">
        <v>1436</v>
      </c>
      <c r="K194" s="57" t="s">
        <v>1437</v>
      </c>
    </row>
    <row r="195" spans="1:11" ht="28.8" x14ac:dyDescent="0.3">
      <c r="A195" s="57" t="s">
        <v>1457</v>
      </c>
      <c r="B195" s="57" t="s">
        <v>1458</v>
      </c>
      <c r="C195" s="57" t="s">
        <v>1459</v>
      </c>
      <c r="D195" s="57" t="s">
        <v>913</v>
      </c>
      <c r="E195" s="57">
        <v>3</v>
      </c>
      <c r="F195" s="57" t="s">
        <v>1173</v>
      </c>
      <c r="G195" s="57" t="s">
        <v>1460</v>
      </c>
      <c r="H195" s="57" t="s">
        <v>1277</v>
      </c>
      <c r="I195" s="57" t="s">
        <v>1461</v>
      </c>
      <c r="J195" s="57" t="s">
        <v>1462</v>
      </c>
      <c r="K195" s="57" t="s">
        <v>1463</v>
      </c>
    </row>
    <row r="196" spans="1:11" ht="28.8" x14ac:dyDescent="0.3">
      <c r="A196" s="57" t="s">
        <v>1249</v>
      </c>
      <c r="B196" s="57" t="s">
        <v>1458</v>
      </c>
      <c r="C196" s="57" t="s">
        <v>1459</v>
      </c>
      <c r="D196" s="57" t="s">
        <v>913</v>
      </c>
      <c r="E196" s="57">
        <v>3</v>
      </c>
      <c r="F196" s="57" t="s">
        <v>1173</v>
      </c>
      <c r="G196" s="57" t="s">
        <v>1460</v>
      </c>
      <c r="H196" s="57" t="s">
        <v>1277</v>
      </c>
      <c r="I196" s="57" t="s">
        <v>1461</v>
      </c>
      <c r="J196" s="57" t="s">
        <v>1462</v>
      </c>
      <c r="K196" s="57" t="s">
        <v>1463</v>
      </c>
    </row>
    <row r="197" spans="1:11" ht="28.8" x14ac:dyDescent="0.3">
      <c r="A197" s="57" t="s">
        <v>1464</v>
      </c>
      <c r="B197" s="57" t="s">
        <v>1458</v>
      </c>
      <c r="C197" s="57" t="s">
        <v>1459</v>
      </c>
      <c r="D197" s="57" t="s">
        <v>913</v>
      </c>
      <c r="E197" s="57">
        <v>3</v>
      </c>
      <c r="F197" s="57" t="s">
        <v>1173</v>
      </c>
      <c r="G197" s="57" t="s">
        <v>1460</v>
      </c>
      <c r="H197" s="57" t="s">
        <v>1277</v>
      </c>
      <c r="I197" s="57" t="s">
        <v>1461</v>
      </c>
      <c r="J197" s="57" t="s">
        <v>1462</v>
      </c>
      <c r="K197" s="57" t="s">
        <v>1463</v>
      </c>
    </row>
    <row r="198" spans="1:11" ht="28.8" x14ac:dyDescent="0.3">
      <c r="A198" s="57" t="s">
        <v>1465</v>
      </c>
      <c r="B198" s="57" t="s">
        <v>1458</v>
      </c>
      <c r="C198" s="57" t="s">
        <v>1459</v>
      </c>
      <c r="D198" s="57" t="s">
        <v>913</v>
      </c>
      <c r="E198" s="57">
        <v>3</v>
      </c>
      <c r="F198" s="57" t="s">
        <v>1173</v>
      </c>
      <c r="G198" s="57" t="s">
        <v>1460</v>
      </c>
      <c r="H198" s="57" t="s">
        <v>1277</v>
      </c>
      <c r="I198" s="57" t="s">
        <v>1461</v>
      </c>
      <c r="J198" s="57" t="s">
        <v>1462</v>
      </c>
      <c r="K198" s="57" t="s">
        <v>1463</v>
      </c>
    </row>
    <row r="199" spans="1:11" ht="28.8" x14ac:dyDescent="0.3">
      <c r="A199" s="57" t="s">
        <v>1466</v>
      </c>
      <c r="B199" s="57" t="s">
        <v>1458</v>
      </c>
      <c r="C199" s="57" t="s">
        <v>1459</v>
      </c>
      <c r="D199" s="57" t="s">
        <v>913</v>
      </c>
      <c r="E199" s="57">
        <v>3</v>
      </c>
      <c r="F199" s="57" t="s">
        <v>1173</v>
      </c>
      <c r="G199" s="57" t="s">
        <v>1460</v>
      </c>
      <c r="H199" s="57" t="s">
        <v>1277</v>
      </c>
      <c r="I199" s="57" t="s">
        <v>1461</v>
      </c>
      <c r="J199" s="57" t="s">
        <v>1462</v>
      </c>
      <c r="K199" s="57" t="s">
        <v>1463</v>
      </c>
    </row>
    <row r="200" spans="1:11" ht="28.8" x14ac:dyDescent="0.3">
      <c r="A200" s="57" t="s">
        <v>1467</v>
      </c>
      <c r="B200" s="57" t="s">
        <v>1458</v>
      </c>
      <c r="C200" s="57" t="s">
        <v>1459</v>
      </c>
      <c r="D200" s="57" t="s">
        <v>913</v>
      </c>
      <c r="E200" s="57">
        <v>3</v>
      </c>
      <c r="F200" s="57" t="s">
        <v>1173</v>
      </c>
      <c r="G200" s="57" t="s">
        <v>1460</v>
      </c>
      <c r="H200" s="57" t="s">
        <v>1277</v>
      </c>
      <c r="I200" s="57" t="s">
        <v>1461</v>
      </c>
      <c r="J200" s="57" t="s">
        <v>1462</v>
      </c>
      <c r="K200" s="57" t="s">
        <v>1463</v>
      </c>
    </row>
    <row r="201" spans="1:11" ht="28.8" x14ac:dyDescent="0.3">
      <c r="A201" s="57" t="s">
        <v>1468</v>
      </c>
      <c r="B201" s="57" t="s">
        <v>1458</v>
      </c>
      <c r="C201" s="57" t="s">
        <v>1459</v>
      </c>
      <c r="D201" s="57" t="s">
        <v>913</v>
      </c>
      <c r="E201" s="57">
        <v>3</v>
      </c>
      <c r="F201" s="57" t="s">
        <v>1173</v>
      </c>
      <c r="G201" s="57" t="s">
        <v>1460</v>
      </c>
      <c r="H201" s="57" t="s">
        <v>1277</v>
      </c>
      <c r="I201" s="57" t="s">
        <v>1461</v>
      </c>
      <c r="J201" s="57" t="s">
        <v>1462</v>
      </c>
      <c r="K201" s="57" t="s">
        <v>1463</v>
      </c>
    </row>
    <row r="202" spans="1:11" ht="28.8" x14ac:dyDescent="0.3">
      <c r="A202" s="57" t="s">
        <v>1469</v>
      </c>
      <c r="B202" s="57" t="s">
        <v>1458</v>
      </c>
      <c r="C202" s="57" t="s">
        <v>1459</v>
      </c>
      <c r="D202" s="57" t="s">
        <v>913</v>
      </c>
      <c r="E202" s="57">
        <v>3</v>
      </c>
      <c r="F202" s="57" t="s">
        <v>1173</v>
      </c>
      <c r="G202" s="57" t="s">
        <v>1460</v>
      </c>
      <c r="H202" s="57" t="s">
        <v>1277</v>
      </c>
      <c r="I202" s="57" t="s">
        <v>1461</v>
      </c>
      <c r="J202" s="57" t="s">
        <v>1462</v>
      </c>
      <c r="K202" s="57" t="s">
        <v>1463</v>
      </c>
    </row>
    <row r="203" spans="1:11" ht="28.8" x14ac:dyDescent="0.3">
      <c r="A203" s="57" t="s">
        <v>1470</v>
      </c>
      <c r="B203" s="57" t="s">
        <v>1458</v>
      </c>
      <c r="C203" s="57" t="s">
        <v>1459</v>
      </c>
      <c r="D203" s="57" t="s">
        <v>913</v>
      </c>
      <c r="E203" s="57">
        <v>3</v>
      </c>
      <c r="F203" s="57" t="s">
        <v>1173</v>
      </c>
      <c r="G203" s="57" t="s">
        <v>1460</v>
      </c>
      <c r="H203" s="57" t="s">
        <v>1277</v>
      </c>
      <c r="I203" s="57" t="s">
        <v>1461</v>
      </c>
      <c r="J203" s="57" t="s">
        <v>1462</v>
      </c>
      <c r="K203" s="57" t="s">
        <v>1463</v>
      </c>
    </row>
    <row r="204" spans="1:11" ht="28.8" x14ac:dyDescent="0.3">
      <c r="A204" s="57" t="s">
        <v>1471</v>
      </c>
      <c r="B204" s="57" t="s">
        <v>1458</v>
      </c>
      <c r="C204" s="57" t="s">
        <v>1459</v>
      </c>
      <c r="D204" s="57" t="s">
        <v>913</v>
      </c>
      <c r="E204" s="57">
        <v>3</v>
      </c>
      <c r="F204" s="57" t="s">
        <v>1173</v>
      </c>
      <c r="G204" s="57" t="s">
        <v>1460</v>
      </c>
      <c r="H204" s="57" t="s">
        <v>1277</v>
      </c>
      <c r="I204" s="57" t="s">
        <v>1461</v>
      </c>
      <c r="J204" s="57" t="s">
        <v>1462</v>
      </c>
      <c r="K204" s="57" t="s">
        <v>1463</v>
      </c>
    </row>
    <row r="205" spans="1:11" ht="28.8" x14ac:dyDescent="0.3">
      <c r="A205" s="57" t="s">
        <v>1472</v>
      </c>
      <c r="B205" s="57" t="s">
        <v>1458</v>
      </c>
      <c r="C205" s="57" t="s">
        <v>1459</v>
      </c>
      <c r="D205" s="57" t="s">
        <v>913</v>
      </c>
      <c r="E205" s="57">
        <v>3</v>
      </c>
      <c r="F205" s="57" t="s">
        <v>1173</v>
      </c>
      <c r="G205" s="57" t="s">
        <v>1460</v>
      </c>
      <c r="H205" s="57" t="s">
        <v>1277</v>
      </c>
      <c r="I205" s="57" t="s">
        <v>1461</v>
      </c>
      <c r="J205" s="57" t="s">
        <v>1462</v>
      </c>
      <c r="K205" s="57" t="s">
        <v>1463</v>
      </c>
    </row>
    <row r="206" spans="1:11" ht="28.8" x14ac:dyDescent="0.3">
      <c r="A206" s="57" t="s">
        <v>1473</v>
      </c>
      <c r="B206" s="57" t="s">
        <v>1458</v>
      </c>
      <c r="C206" s="57" t="s">
        <v>1459</v>
      </c>
      <c r="D206" s="57" t="s">
        <v>913</v>
      </c>
      <c r="E206" s="57">
        <v>3</v>
      </c>
      <c r="F206" s="57" t="s">
        <v>1173</v>
      </c>
      <c r="G206" s="57" t="s">
        <v>1460</v>
      </c>
      <c r="H206" s="57" t="s">
        <v>1277</v>
      </c>
      <c r="I206" s="57" t="s">
        <v>1461</v>
      </c>
      <c r="J206" s="57" t="s">
        <v>1462</v>
      </c>
      <c r="K206" s="57" t="s">
        <v>1463</v>
      </c>
    </row>
    <row r="207" spans="1:11" ht="28.8" x14ac:dyDescent="0.3">
      <c r="A207" s="57" t="s">
        <v>1474</v>
      </c>
      <c r="B207" s="57" t="s">
        <v>1458</v>
      </c>
      <c r="C207" s="57" t="s">
        <v>1459</v>
      </c>
      <c r="D207" s="57" t="s">
        <v>913</v>
      </c>
      <c r="E207" s="57">
        <v>3</v>
      </c>
      <c r="F207" s="57" t="s">
        <v>1173</v>
      </c>
      <c r="G207" s="57" t="s">
        <v>1460</v>
      </c>
      <c r="H207" s="57" t="s">
        <v>1277</v>
      </c>
      <c r="I207" s="57" t="s">
        <v>1461</v>
      </c>
      <c r="J207" s="57" t="s">
        <v>1462</v>
      </c>
      <c r="K207" s="57" t="s">
        <v>1463</v>
      </c>
    </row>
    <row r="208" spans="1:11" ht="28.8" x14ac:dyDescent="0.3">
      <c r="A208" s="57" t="s">
        <v>1475</v>
      </c>
      <c r="B208" s="57" t="s">
        <v>1458</v>
      </c>
      <c r="C208" s="57" t="s">
        <v>1459</v>
      </c>
      <c r="D208" s="57" t="s">
        <v>913</v>
      </c>
      <c r="E208" s="57">
        <v>3</v>
      </c>
      <c r="F208" s="57" t="s">
        <v>1173</v>
      </c>
      <c r="G208" s="57" t="s">
        <v>1460</v>
      </c>
      <c r="H208" s="57" t="s">
        <v>1277</v>
      </c>
      <c r="I208" s="57" t="s">
        <v>1461</v>
      </c>
      <c r="J208" s="57" t="s">
        <v>1462</v>
      </c>
      <c r="K208" s="57" t="s">
        <v>1463</v>
      </c>
    </row>
    <row r="209" spans="1:11" ht="28.8" x14ac:dyDescent="0.3">
      <c r="A209" s="57" t="s">
        <v>1476</v>
      </c>
      <c r="B209" s="57" t="s">
        <v>1458</v>
      </c>
      <c r="C209" s="57" t="s">
        <v>1459</v>
      </c>
      <c r="D209" s="57" t="s">
        <v>913</v>
      </c>
      <c r="E209" s="57">
        <v>3</v>
      </c>
      <c r="F209" s="57" t="s">
        <v>1173</v>
      </c>
      <c r="G209" s="57" t="s">
        <v>1460</v>
      </c>
      <c r="H209" s="57" t="s">
        <v>1277</v>
      </c>
      <c r="I209" s="57" t="s">
        <v>1461</v>
      </c>
      <c r="J209" s="57" t="s">
        <v>1462</v>
      </c>
      <c r="K209" s="57" t="s">
        <v>1463</v>
      </c>
    </row>
    <row r="210" spans="1:11" ht="28.8" x14ac:dyDescent="0.3">
      <c r="A210" s="57" t="s">
        <v>1477</v>
      </c>
      <c r="B210" s="57" t="s">
        <v>1458</v>
      </c>
      <c r="C210" s="57" t="s">
        <v>1459</v>
      </c>
      <c r="D210" s="57" t="s">
        <v>913</v>
      </c>
      <c r="E210" s="57">
        <v>3</v>
      </c>
      <c r="F210" s="57" t="s">
        <v>1173</v>
      </c>
      <c r="G210" s="57" t="s">
        <v>1460</v>
      </c>
      <c r="H210" s="57" t="s">
        <v>1277</v>
      </c>
      <c r="I210" s="57" t="s">
        <v>1461</v>
      </c>
      <c r="J210" s="57" t="s">
        <v>1462</v>
      </c>
      <c r="K210" s="57" t="s">
        <v>1463</v>
      </c>
    </row>
    <row r="211" spans="1:11" ht="28.8" x14ac:dyDescent="0.3">
      <c r="A211" s="57" t="s">
        <v>1478</v>
      </c>
      <c r="B211" s="57" t="s">
        <v>1458</v>
      </c>
      <c r="C211" s="57" t="s">
        <v>1459</v>
      </c>
      <c r="D211" s="57" t="s">
        <v>913</v>
      </c>
      <c r="E211" s="57">
        <v>3</v>
      </c>
      <c r="F211" s="57" t="s">
        <v>1173</v>
      </c>
      <c r="G211" s="57" t="s">
        <v>1460</v>
      </c>
      <c r="H211" s="57" t="s">
        <v>1277</v>
      </c>
      <c r="I211" s="57" t="s">
        <v>1461</v>
      </c>
      <c r="J211" s="57" t="s">
        <v>1462</v>
      </c>
      <c r="K211" s="57" t="s">
        <v>1463</v>
      </c>
    </row>
    <row r="212" spans="1:11" ht="28.8" x14ac:dyDescent="0.3">
      <c r="A212" s="57" t="s">
        <v>1479</v>
      </c>
      <c r="B212" s="57" t="s">
        <v>1458</v>
      </c>
      <c r="C212" s="57" t="s">
        <v>1459</v>
      </c>
      <c r="D212" s="57" t="s">
        <v>913</v>
      </c>
      <c r="E212" s="57">
        <v>3</v>
      </c>
      <c r="F212" s="57" t="s">
        <v>1173</v>
      </c>
      <c r="G212" s="57" t="s">
        <v>1460</v>
      </c>
      <c r="H212" s="57" t="s">
        <v>1277</v>
      </c>
      <c r="I212" s="57" t="s">
        <v>1461</v>
      </c>
      <c r="J212" s="57" t="s">
        <v>1462</v>
      </c>
      <c r="K212" s="57" t="s">
        <v>1463</v>
      </c>
    </row>
    <row r="213" spans="1:11" ht="28.8" x14ac:dyDescent="0.3">
      <c r="A213" s="57" t="s">
        <v>1480</v>
      </c>
      <c r="B213" s="57" t="s">
        <v>1481</v>
      </c>
      <c r="C213" s="57" t="s">
        <v>1482</v>
      </c>
      <c r="D213" s="57" t="s">
        <v>1172</v>
      </c>
      <c r="E213" s="57">
        <v>3</v>
      </c>
      <c r="F213" s="57" t="s">
        <v>1188</v>
      </c>
      <c r="G213" s="57" t="s">
        <v>1483</v>
      </c>
      <c r="H213" s="57" t="s">
        <v>1484</v>
      </c>
      <c r="I213" s="57" t="s">
        <v>1485</v>
      </c>
      <c r="J213" s="57" t="s">
        <v>1486</v>
      </c>
      <c r="K213" s="57" t="s">
        <v>1487</v>
      </c>
    </row>
    <row r="214" spans="1:11" ht="28.8" x14ac:dyDescent="0.3">
      <c r="A214" s="57" t="s">
        <v>1488</v>
      </c>
      <c r="B214" s="57" t="s">
        <v>1481</v>
      </c>
      <c r="C214" s="57" t="s">
        <v>1482</v>
      </c>
      <c r="D214" s="57" t="s">
        <v>1172</v>
      </c>
      <c r="E214" s="57">
        <v>3</v>
      </c>
      <c r="F214" s="57" t="s">
        <v>1188</v>
      </c>
      <c r="G214" s="57" t="s">
        <v>1483</v>
      </c>
      <c r="H214" s="57" t="s">
        <v>1484</v>
      </c>
      <c r="I214" s="57" t="s">
        <v>1485</v>
      </c>
      <c r="J214" s="57" t="s">
        <v>1486</v>
      </c>
      <c r="K214" s="57" t="s">
        <v>1487</v>
      </c>
    </row>
    <row r="215" spans="1:11" ht="28.8" x14ac:dyDescent="0.3">
      <c r="A215" s="57" t="s">
        <v>1489</v>
      </c>
      <c r="B215" s="57" t="s">
        <v>1481</v>
      </c>
      <c r="C215" s="57" t="s">
        <v>1482</v>
      </c>
      <c r="D215" s="57" t="s">
        <v>1172</v>
      </c>
      <c r="E215" s="57">
        <v>3</v>
      </c>
      <c r="F215" s="57" t="s">
        <v>1188</v>
      </c>
      <c r="G215" s="57" t="s">
        <v>1483</v>
      </c>
      <c r="H215" s="57" t="s">
        <v>1484</v>
      </c>
      <c r="I215" s="57" t="s">
        <v>1485</v>
      </c>
      <c r="J215" s="57" t="s">
        <v>1486</v>
      </c>
      <c r="K215" s="57" t="s">
        <v>1487</v>
      </c>
    </row>
    <row r="216" spans="1:11" ht="28.8" x14ac:dyDescent="0.3">
      <c r="A216" s="57" t="s">
        <v>1490</v>
      </c>
      <c r="B216" s="57" t="s">
        <v>1481</v>
      </c>
      <c r="C216" s="57" t="s">
        <v>1482</v>
      </c>
      <c r="D216" s="57" t="s">
        <v>1172</v>
      </c>
      <c r="E216" s="57">
        <v>3</v>
      </c>
      <c r="F216" s="57" t="s">
        <v>1188</v>
      </c>
      <c r="G216" s="57" t="s">
        <v>1483</v>
      </c>
      <c r="H216" s="57" t="s">
        <v>1484</v>
      </c>
      <c r="I216" s="57" t="s">
        <v>1485</v>
      </c>
      <c r="J216" s="57" t="s">
        <v>1486</v>
      </c>
      <c r="K216" s="57" t="s">
        <v>1487</v>
      </c>
    </row>
    <row r="217" spans="1:11" ht="28.8" x14ac:dyDescent="0.3">
      <c r="A217" s="57" t="s">
        <v>1491</v>
      </c>
      <c r="B217" s="57" t="s">
        <v>1481</v>
      </c>
      <c r="C217" s="57" t="s">
        <v>1482</v>
      </c>
      <c r="D217" s="57" t="s">
        <v>1172</v>
      </c>
      <c r="E217" s="57">
        <v>3</v>
      </c>
      <c r="F217" s="57" t="s">
        <v>1188</v>
      </c>
      <c r="G217" s="57" t="s">
        <v>1483</v>
      </c>
      <c r="H217" s="57" t="s">
        <v>1484</v>
      </c>
      <c r="I217" s="57" t="s">
        <v>1485</v>
      </c>
      <c r="J217" s="57" t="s">
        <v>1486</v>
      </c>
      <c r="K217" s="57" t="s">
        <v>1487</v>
      </c>
    </row>
    <row r="218" spans="1:11" ht="28.8" x14ac:dyDescent="0.3">
      <c r="A218" s="57" t="s">
        <v>1492</v>
      </c>
      <c r="B218" s="57" t="s">
        <v>1481</v>
      </c>
      <c r="C218" s="57" t="s">
        <v>1482</v>
      </c>
      <c r="D218" s="57" t="s">
        <v>1172</v>
      </c>
      <c r="E218" s="57">
        <v>3</v>
      </c>
      <c r="F218" s="57" t="s">
        <v>1188</v>
      </c>
      <c r="G218" s="57" t="s">
        <v>1483</v>
      </c>
      <c r="H218" s="57" t="s">
        <v>1484</v>
      </c>
      <c r="I218" s="57" t="s">
        <v>1485</v>
      </c>
      <c r="J218" s="57" t="s">
        <v>1486</v>
      </c>
      <c r="K218" s="57" t="s">
        <v>1487</v>
      </c>
    </row>
    <row r="219" spans="1:11" ht="28.8" x14ac:dyDescent="0.3">
      <c r="A219" s="57" t="s">
        <v>1493</v>
      </c>
      <c r="B219" s="57" t="s">
        <v>1481</v>
      </c>
      <c r="C219" s="57" t="s">
        <v>1482</v>
      </c>
      <c r="D219" s="57" t="s">
        <v>1172</v>
      </c>
      <c r="E219" s="57">
        <v>3</v>
      </c>
      <c r="F219" s="57" t="s">
        <v>1188</v>
      </c>
      <c r="G219" s="57" t="s">
        <v>1483</v>
      </c>
      <c r="H219" s="57" t="s">
        <v>1484</v>
      </c>
      <c r="I219" s="57" t="s">
        <v>1485</v>
      </c>
      <c r="J219" s="57" t="s">
        <v>1486</v>
      </c>
      <c r="K219" s="57" t="s">
        <v>1487</v>
      </c>
    </row>
    <row r="220" spans="1:11" ht="28.8" x14ac:dyDescent="0.3">
      <c r="A220" s="57" t="s">
        <v>1494</v>
      </c>
      <c r="B220" s="57" t="s">
        <v>1481</v>
      </c>
      <c r="C220" s="57" t="s">
        <v>1482</v>
      </c>
      <c r="D220" s="57" t="s">
        <v>1172</v>
      </c>
      <c r="E220" s="57">
        <v>3</v>
      </c>
      <c r="F220" s="57" t="s">
        <v>1188</v>
      </c>
      <c r="G220" s="57" t="s">
        <v>1483</v>
      </c>
      <c r="H220" s="57" t="s">
        <v>1484</v>
      </c>
      <c r="I220" s="57" t="s">
        <v>1485</v>
      </c>
      <c r="J220" s="57" t="s">
        <v>1486</v>
      </c>
      <c r="K220" s="57" t="s">
        <v>1487</v>
      </c>
    </row>
    <row r="221" spans="1:11" ht="28.8" x14ac:dyDescent="0.3">
      <c r="A221" s="57" t="s">
        <v>1495</v>
      </c>
      <c r="B221" s="57" t="s">
        <v>1481</v>
      </c>
      <c r="C221" s="57" t="s">
        <v>1482</v>
      </c>
      <c r="D221" s="57" t="s">
        <v>1172</v>
      </c>
      <c r="E221" s="57">
        <v>3</v>
      </c>
      <c r="F221" s="57" t="s">
        <v>1188</v>
      </c>
      <c r="G221" s="57" t="s">
        <v>1483</v>
      </c>
      <c r="H221" s="57" t="s">
        <v>1484</v>
      </c>
      <c r="I221" s="57" t="s">
        <v>1485</v>
      </c>
      <c r="J221" s="57" t="s">
        <v>1486</v>
      </c>
      <c r="K221" s="57" t="s">
        <v>1487</v>
      </c>
    </row>
    <row r="222" spans="1:11" ht="28.8" x14ac:dyDescent="0.3">
      <c r="A222" s="57" t="s">
        <v>1496</v>
      </c>
      <c r="B222" s="57" t="s">
        <v>1481</v>
      </c>
      <c r="C222" s="57" t="s">
        <v>1482</v>
      </c>
      <c r="D222" s="57" t="s">
        <v>1172</v>
      </c>
      <c r="E222" s="57">
        <v>3</v>
      </c>
      <c r="F222" s="57" t="s">
        <v>1188</v>
      </c>
      <c r="G222" s="57" t="s">
        <v>1483</v>
      </c>
      <c r="H222" s="57" t="s">
        <v>1484</v>
      </c>
      <c r="I222" s="57" t="s">
        <v>1485</v>
      </c>
      <c r="J222" s="57" t="s">
        <v>1486</v>
      </c>
      <c r="K222" s="57" t="s">
        <v>1487</v>
      </c>
    </row>
    <row r="223" spans="1:11" ht="28.8" x14ac:dyDescent="0.3">
      <c r="A223" s="57" t="s">
        <v>1497</v>
      </c>
      <c r="B223" s="57" t="s">
        <v>1481</v>
      </c>
      <c r="C223" s="57" t="s">
        <v>1482</v>
      </c>
      <c r="D223" s="57" t="s">
        <v>1172</v>
      </c>
      <c r="E223" s="57">
        <v>3</v>
      </c>
      <c r="F223" s="57" t="s">
        <v>1188</v>
      </c>
      <c r="G223" s="57" t="s">
        <v>1483</v>
      </c>
      <c r="H223" s="57" t="s">
        <v>1484</v>
      </c>
      <c r="I223" s="57" t="s">
        <v>1485</v>
      </c>
      <c r="J223" s="57" t="s">
        <v>1486</v>
      </c>
      <c r="K223" s="57" t="s">
        <v>1487</v>
      </c>
    </row>
    <row r="224" spans="1:11" ht="28.8" x14ac:dyDescent="0.3">
      <c r="A224" s="57" t="s">
        <v>1498</v>
      </c>
      <c r="B224" s="57" t="s">
        <v>1481</v>
      </c>
      <c r="C224" s="57" t="s">
        <v>1482</v>
      </c>
      <c r="D224" s="57" t="s">
        <v>1172</v>
      </c>
      <c r="E224" s="57">
        <v>3</v>
      </c>
      <c r="F224" s="57" t="s">
        <v>1188</v>
      </c>
      <c r="G224" s="57" t="s">
        <v>1483</v>
      </c>
      <c r="H224" s="57" t="s">
        <v>1484</v>
      </c>
      <c r="I224" s="57" t="s">
        <v>1485</v>
      </c>
      <c r="J224" s="57" t="s">
        <v>1486</v>
      </c>
      <c r="K224" s="57" t="s">
        <v>1487</v>
      </c>
    </row>
    <row r="225" spans="1:11" ht="28.8" x14ac:dyDescent="0.3">
      <c r="A225" s="57" t="s">
        <v>1499</v>
      </c>
      <c r="B225" s="57" t="s">
        <v>1481</v>
      </c>
      <c r="C225" s="57" t="s">
        <v>1482</v>
      </c>
      <c r="D225" s="57" t="s">
        <v>1172</v>
      </c>
      <c r="E225" s="57">
        <v>3</v>
      </c>
      <c r="F225" s="57" t="s">
        <v>1188</v>
      </c>
      <c r="G225" s="57" t="s">
        <v>1483</v>
      </c>
      <c r="H225" s="57" t="s">
        <v>1484</v>
      </c>
      <c r="I225" s="57" t="s">
        <v>1485</v>
      </c>
      <c r="J225" s="57" t="s">
        <v>1486</v>
      </c>
      <c r="K225" s="57" t="s">
        <v>1487</v>
      </c>
    </row>
    <row r="226" spans="1:11" ht="28.8" x14ac:dyDescent="0.3">
      <c r="A226" s="57" t="s">
        <v>1500</v>
      </c>
      <c r="B226" s="57" t="s">
        <v>1481</v>
      </c>
      <c r="C226" s="57" t="s">
        <v>1482</v>
      </c>
      <c r="D226" s="57" t="s">
        <v>1172</v>
      </c>
      <c r="E226" s="57">
        <v>3</v>
      </c>
      <c r="F226" s="57" t="s">
        <v>1188</v>
      </c>
      <c r="G226" s="57" t="s">
        <v>1483</v>
      </c>
      <c r="H226" s="57" t="s">
        <v>1484</v>
      </c>
      <c r="I226" s="57" t="s">
        <v>1485</v>
      </c>
      <c r="J226" s="57" t="s">
        <v>1486</v>
      </c>
      <c r="K226" s="57" t="s">
        <v>1487</v>
      </c>
    </row>
    <row r="227" spans="1:11" ht="28.8" x14ac:dyDescent="0.3">
      <c r="A227" s="57" t="s">
        <v>1501</v>
      </c>
      <c r="B227" s="57" t="s">
        <v>1481</v>
      </c>
      <c r="C227" s="57" t="s">
        <v>1502</v>
      </c>
      <c r="D227" s="57" t="s">
        <v>922</v>
      </c>
      <c r="E227" s="57">
        <v>5</v>
      </c>
      <c r="F227" s="57" t="s">
        <v>1213</v>
      </c>
      <c r="G227" s="57" t="s">
        <v>1503</v>
      </c>
      <c r="H227" s="57" t="s">
        <v>1504</v>
      </c>
      <c r="I227" s="57" t="s">
        <v>1505</v>
      </c>
      <c r="J227" s="57" t="s">
        <v>1486</v>
      </c>
      <c r="K227" s="57" t="s">
        <v>1506</v>
      </c>
    </row>
    <row r="228" spans="1:11" ht="28.8" x14ac:dyDescent="0.3">
      <c r="A228" s="57" t="s">
        <v>1507</v>
      </c>
      <c r="B228" s="57" t="s">
        <v>1481</v>
      </c>
      <c r="C228" s="57" t="s">
        <v>1502</v>
      </c>
      <c r="D228" s="57" t="s">
        <v>922</v>
      </c>
      <c r="E228" s="57">
        <v>5</v>
      </c>
      <c r="F228" s="57" t="s">
        <v>1213</v>
      </c>
      <c r="G228" s="57" t="s">
        <v>1503</v>
      </c>
      <c r="H228" s="57" t="s">
        <v>1504</v>
      </c>
      <c r="I228" s="57" t="s">
        <v>1505</v>
      </c>
      <c r="J228" s="57" t="s">
        <v>1486</v>
      </c>
      <c r="K228" s="57" t="s">
        <v>1506</v>
      </c>
    </row>
    <row r="229" spans="1:11" ht="28.8" x14ac:dyDescent="0.3">
      <c r="A229" s="57" t="s">
        <v>1508</v>
      </c>
      <c r="B229" s="57" t="s">
        <v>1481</v>
      </c>
      <c r="C229" s="57" t="s">
        <v>1502</v>
      </c>
      <c r="D229" s="57" t="s">
        <v>922</v>
      </c>
      <c r="E229" s="57">
        <v>5</v>
      </c>
      <c r="F229" s="57" t="s">
        <v>1213</v>
      </c>
      <c r="G229" s="57" t="s">
        <v>1503</v>
      </c>
      <c r="H229" s="57" t="s">
        <v>1504</v>
      </c>
      <c r="I229" s="57" t="s">
        <v>1505</v>
      </c>
      <c r="J229" s="57" t="s">
        <v>1486</v>
      </c>
      <c r="K229" s="57" t="s">
        <v>1506</v>
      </c>
    </row>
    <row r="230" spans="1:11" ht="28.8" x14ac:dyDescent="0.3">
      <c r="A230" s="57" t="s">
        <v>1509</v>
      </c>
      <c r="B230" s="57" t="s">
        <v>1510</v>
      </c>
      <c r="C230" s="57" t="s">
        <v>1511</v>
      </c>
      <c r="D230" s="57" t="s">
        <v>922</v>
      </c>
      <c r="E230" s="57">
        <v>4</v>
      </c>
      <c r="F230" s="57" t="s">
        <v>33</v>
      </c>
      <c r="G230" s="57" t="s">
        <v>1512</v>
      </c>
      <c r="H230" s="57" t="s">
        <v>1513</v>
      </c>
      <c r="I230" s="57" t="s">
        <v>1514</v>
      </c>
      <c r="J230" s="57" t="s">
        <v>1515</v>
      </c>
      <c r="K230" s="57" t="s">
        <v>1516</v>
      </c>
    </row>
    <row r="231" spans="1:11" ht="28.8" x14ac:dyDescent="0.3">
      <c r="A231" s="57" t="s">
        <v>850</v>
      </c>
      <c r="B231" s="57" t="s">
        <v>1510</v>
      </c>
      <c r="C231" s="57" t="s">
        <v>1511</v>
      </c>
      <c r="D231" s="57" t="s">
        <v>922</v>
      </c>
      <c r="E231" s="57">
        <v>4</v>
      </c>
      <c r="F231" s="57" t="s">
        <v>33</v>
      </c>
      <c r="G231" s="57" t="s">
        <v>1512</v>
      </c>
      <c r="H231" s="57" t="s">
        <v>1513</v>
      </c>
      <c r="I231" s="57" t="s">
        <v>1514</v>
      </c>
      <c r="J231" s="57" t="s">
        <v>1515</v>
      </c>
      <c r="K231" s="57" t="s">
        <v>1516</v>
      </c>
    </row>
    <row r="232" spans="1:11" ht="28.8" x14ac:dyDescent="0.3">
      <c r="A232" s="57" t="s">
        <v>1517</v>
      </c>
      <c r="B232" s="57" t="s">
        <v>1510</v>
      </c>
      <c r="C232" s="57" t="s">
        <v>1511</v>
      </c>
      <c r="D232" s="57" t="s">
        <v>922</v>
      </c>
      <c r="E232" s="57">
        <v>4</v>
      </c>
      <c r="F232" s="57" t="s">
        <v>33</v>
      </c>
      <c r="G232" s="57" t="s">
        <v>1512</v>
      </c>
      <c r="H232" s="57" t="s">
        <v>1513</v>
      </c>
      <c r="I232" s="57" t="s">
        <v>1514</v>
      </c>
      <c r="J232" s="57" t="s">
        <v>1515</v>
      </c>
      <c r="K232" s="57" t="s">
        <v>1516</v>
      </c>
    </row>
    <row r="233" spans="1:11" ht="28.8" x14ac:dyDescent="0.3">
      <c r="A233" s="57" t="s">
        <v>794</v>
      </c>
      <c r="B233" s="57" t="s">
        <v>1510</v>
      </c>
      <c r="C233" s="57" t="s">
        <v>1511</v>
      </c>
      <c r="D233" s="57" t="s">
        <v>922</v>
      </c>
      <c r="E233" s="57">
        <v>4</v>
      </c>
      <c r="F233" s="57" t="s">
        <v>33</v>
      </c>
      <c r="G233" s="57" t="s">
        <v>1512</v>
      </c>
      <c r="H233" s="57" t="s">
        <v>1513</v>
      </c>
      <c r="I233" s="57" t="s">
        <v>1514</v>
      </c>
      <c r="J233" s="57" t="s">
        <v>1515</v>
      </c>
      <c r="K233" s="57" t="s">
        <v>1516</v>
      </c>
    </row>
    <row r="234" spans="1:11" ht="28.8" x14ac:dyDescent="0.3">
      <c r="A234" s="57" t="s">
        <v>1518</v>
      </c>
      <c r="B234" s="57" t="s">
        <v>1510</v>
      </c>
      <c r="C234" s="57" t="s">
        <v>1511</v>
      </c>
      <c r="D234" s="57" t="s">
        <v>922</v>
      </c>
      <c r="E234" s="57">
        <v>4</v>
      </c>
      <c r="F234" s="57" t="s">
        <v>33</v>
      </c>
      <c r="G234" s="57" t="s">
        <v>1512</v>
      </c>
      <c r="H234" s="57" t="s">
        <v>1513</v>
      </c>
      <c r="I234" s="57" t="s">
        <v>1514</v>
      </c>
      <c r="J234" s="57" t="s">
        <v>1515</v>
      </c>
      <c r="K234" s="57" t="s">
        <v>1516</v>
      </c>
    </row>
    <row r="235" spans="1:11" ht="28.8" x14ac:dyDescent="0.3">
      <c r="A235" s="57" t="s">
        <v>1519</v>
      </c>
      <c r="B235" s="57" t="s">
        <v>1510</v>
      </c>
      <c r="C235" s="57" t="s">
        <v>1511</v>
      </c>
      <c r="D235" s="57" t="s">
        <v>922</v>
      </c>
      <c r="E235" s="57">
        <v>4</v>
      </c>
      <c r="F235" s="57" t="s">
        <v>33</v>
      </c>
      <c r="G235" s="57" t="s">
        <v>1512</v>
      </c>
      <c r="H235" s="57" t="s">
        <v>1513</v>
      </c>
      <c r="I235" s="57" t="s">
        <v>1514</v>
      </c>
      <c r="J235" s="57" t="s">
        <v>1515</v>
      </c>
      <c r="K235" s="57" t="s">
        <v>1516</v>
      </c>
    </row>
    <row r="236" spans="1:11" ht="28.8" x14ac:dyDescent="0.3">
      <c r="A236" s="57" t="s">
        <v>1520</v>
      </c>
      <c r="B236" s="57" t="s">
        <v>1510</v>
      </c>
      <c r="C236" s="57" t="s">
        <v>1511</v>
      </c>
      <c r="D236" s="57" t="s">
        <v>922</v>
      </c>
      <c r="E236" s="57">
        <v>4</v>
      </c>
      <c r="F236" s="57" t="s">
        <v>33</v>
      </c>
      <c r="G236" s="57" t="s">
        <v>1512</v>
      </c>
      <c r="H236" s="57" t="s">
        <v>1513</v>
      </c>
      <c r="I236" s="57" t="s">
        <v>1514</v>
      </c>
      <c r="J236" s="57" t="s">
        <v>1515</v>
      </c>
      <c r="K236" s="57" t="s">
        <v>1516</v>
      </c>
    </row>
    <row r="237" spans="1:11" ht="28.8" x14ac:dyDescent="0.3">
      <c r="A237" s="57" t="s">
        <v>1521</v>
      </c>
      <c r="B237" s="57" t="s">
        <v>1510</v>
      </c>
      <c r="C237" s="57" t="s">
        <v>1511</v>
      </c>
      <c r="D237" s="57" t="s">
        <v>922</v>
      </c>
      <c r="E237" s="57">
        <v>4</v>
      </c>
      <c r="F237" s="57" t="s">
        <v>33</v>
      </c>
      <c r="G237" s="57" t="s">
        <v>1512</v>
      </c>
      <c r="H237" s="57" t="s">
        <v>1513</v>
      </c>
      <c r="I237" s="57" t="s">
        <v>1514</v>
      </c>
      <c r="J237" s="57" t="s">
        <v>1515</v>
      </c>
      <c r="K237" s="57" t="s">
        <v>1516</v>
      </c>
    </row>
    <row r="238" spans="1:11" ht="28.8" x14ac:dyDescent="0.3">
      <c r="A238" s="57" t="s">
        <v>1522</v>
      </c>
      <c r="B238" s="57" t="s">
        <v>1510</v>
      </c>
      <c r="C238" s="57" t="s">
        <v>1511</v>
      </c>
      <c r="D238" s="57" t="s">
        <v>922</v>
      </c>
      <c r="E238" s="57">
        <v>4</v>
      </c>
      <c r="F238" s="57" t="s">
        <v>33</v>
      </c>
      <c r="G238" s="57" t="s">
        <v>1512</v>
      </c>
      <c r="H238" s="57" t="s">
        <v>1513</v>
      </c>
      <c r="I238" s="57" t="s">
        <v>1514</v>
      </c>
      <c r="J238" s="57" t="s">
        <v>1515</v>
      </c>
      <c r="K238" s="57" t="s">
        <v>1516</v>
      </c>
    </row>
    <row r="239" spans="1:11" ht="28.8" x14ac:dyDescent="0.3">
      <c r="A239" s="57" t="s">
        <v>1523</v>
      </c>
      <c r="B239" s="57" t="s">
        <v>1510</v>
      </c>
      <c r="C239" s="57" t="s">
        <v>1511</v>
      </c>
      <c r="D239" s="57" t="s">
        <v>922</v>
      </c>
      <c r="E239" s="57">
        <v>4</v>
      </c>
      <c r="F239" s="57" t="s">
        <v>33</v>
      </c>
      <c r="G239" s="57" t="s">
        <v>1512</v>
      </c>
      <c r="H239" s="57" t="s">
        <v>1513</v>
      </c>
      <c r="I239" s="57" t="s">
        <v>1514</v>
      </c>
      <c r="J239" s="57" t="s">
        <v>1515</v>
      </c>
      <c r="K239" s="57" t="s">
        <v>1516</v>
      </c>
    </row>
    <row r="240" spans="1:11" ht="28.8" x14ac:dyDescent="0.3">
      <c r="A240" s="57" t="s">
        <v>1524</v>
      </c>
      <c r="B240" s="57" t="s">
        <v>1510</v>
      </c>
      <c r="C240" s="57" t="s">
        <v>1511</v>
      </c>
      <c r="D240" s="57" t="s">
        <v>922</v>
      </c>
      <c r="E240" s="57">
        <v>4</v>
      </c>
      <c r="F240" s="57" t="s">
        <v>33</v>
      </c>
      <c r="G240" s="57" t="s">
        <v>1512</v>
      </c>
      <c r="H240" s="57" t="s">
        <v>1513</v>
      </c>
      <c r="I240" s="57" t="s">
        <v>1514</v>
      </c>
      <c r="J240" s="57" t="s">
        <v>1515</v>
      </c>
      <c r="K240" s="57" t="s">
        <v>1516</v>
      </c>
    </row>
    <row r="241" spans="1:11" ht="28.8" x14ac:dyDescent="0.3">
      <c r="A241" s="57" t="s">
        <v>1525</v>
      </c>
      <c r="B241" s="57" t="s">
        <v>1510</v>
      </c>
      <c r="C241" s="57" t="s">
        <v>1511</v>
      </c>
      <c r="D241" s="57" t="s">
        <v>922</v>
      </c>
      <c r="E241" s="57">
        <v>4</v>
      </c>
      <c r="F241" s="57" t="s">
        <v>33</v>
      </c>
      <c r="G241" s="57" t="s">
        <v>1512</v>
      </c>
      <c r="H241" s="57" t="s">
        <v>1513</v>
      </c>
      <c r="I241" s="57" t="s">
        <v>1514</v>
      </c>
      <c r="J241" s="57" t="s">
        <v>1515</v>
      </c>
      <c r="K241" s="57" t="s">
        <v>1516</v>
      </c>
    </row>
    <row r="242" spans="1:11" ht="28.8" x14ac:dyDescent="0.3">
      <c r="A242" s="57" t="s">
        <v>1526</v>
      </c>
      <c r="B242" s="57" t="s">
        <v>1510</v>
      </c>
      <c r="C242" s="57" t="s">
        <v>1511</v>
      </c>
      <c r="D242" s="57" t="s">
        <v>922</v>
      </c>
      <c r="E242" s="57">
        <v>4</v>
      </c>
      <c r="F242" s="57" t="s">
        <v>33</v>
      </c>
      <c r="G242" s="57" t="s">
        <v>1512</v>
      </c>
      <c r="H242" s="57" t="s">
        <v>1513</v>
      </c>
      <c r="I242" s="57" t="s">
        <v>1514</v>
      </c>
      <c r="J242" s="57" t="s">
        <v>1515</v>
      </c>
      <c r="K242" s="57" t="s">
        <v>1516</v>
      </c>
    </row>
    <row r="243" spans="1:11" ht="28.8" x14ac:dyDescent="0.3">
      <c r="A243" s="57" t="s">
        <v>813</v>
      </c>
      <c r="B243" s="57" t="s">
        <v>1527</v>
      </c>
      <c r="C243" s="57" t="s">
        <v>1528</v>
      </c>
      <c r="D243" s="57" t="s">
        <v>913</v>
      </c>
      <c r="E243" s="57">
        <v>4</v>
      </c>
      <c r="F243" s="57" t="s">
        <v>1173</v>
      </c>
      <c r="G243" s="57" t="s">
        <v>1529</v>
      </c>
      <c r="H243" s="57" t="s">
        <v>1277</v>
      </c>
      <c r="I243" s="57" t="s">
        <v>1530</v>
      </c>
      <c r="J243" s="57" t="s">
        <v>1531</v>
      </c>
      <c r="K243" s="57" t="s">
        <v>1532</v>
      </c>
    </row>
    <row r="244" spans="1:11" ht="28.8" x14ac:dyDescent="0.3">
      <c r="A244" s="57" t="s">
        <v>809</v>
      </c>
      <c r="B244" s="57" t="s">
        <v>1527</v>
      </c>
      <c r="C244" s="57" t="s">
        <v>1528</v>
      </c>
      <c r="D244" s="57" t="s">
        <v>913</v>
      </c>
      <c r="E244" s="57">
        <v>4</v>
      </c>
      <c r="F244" s="57" t="s">
        <v>1173</v>
      </c>
      <c r="G244" s="57" t="s">
        <v>1529</v>
      </c>
      <c r="H244" s="57" t="s">
        <v>1277</v>
      </c>
      <c r="I244" s="57" t="s">
        <v>1530</v>
      </c>
      <c r="J244" s="57" t="s">
        <v>1531</v>
      </c>
      <c r="K244" s="57" t="s">
        <v>1532</v>
      </c>
    </row>
    <row r="245" spans="1:11" ht="28.8" x14ac:dyDescent="0.3">
      <c r="A245" s="57" t="s">
        <v>1533</v>
      </c>
      <c r="B245" s="57" t="s">
        <v>1527</v>
      </c>
      <c r="C245" s="57" t="s">
        <v>1528</v>
      </c>
      <c r="D245" s="57" t="s">
        <v>913</v>
      </c>
      <c r="E245" s="57">
        <v>4</v>
      </c>
      <c r="F245" s="57" t="s">
        <v>1173</v>
      </c>
      <c r="G245" s="57" t="s">
        <v>1529</v>
      </c>
      <c r="H245" s="57" t="s">
        <v>1277</v>
      </c>
      <c r="I245" s="57" t="s">
        <v>1530</v>
      </c>
      <c r="J245" s="57" t="s">
        <v>1531</v>
      </c>
      <c r="K245" s="57" t="s">
        <v>1532</v>
      </c>
    </row>
    <row r="246" spans="1:11" ht="28.8" x14ac:dyDescent="0.3">
      <c r="A246" s="57" t="s">
        <v>1534</v>
      </c>
      <c r="B246" s="57" t="s">
        <v>1527</v>
      </c>
      <c r="C246" s="57" t="s">
        <v>1528</v>
      </c>
      <c r="D246" s="57" t="s">
        <v>913</v>
      </c>
      <c r="E246" s="57">
        <v>4</v>
      </c>
      <c r="F246" s="57" t="s">
        <v>1173</v>
      </c>
      <c r="G246" s="57" t="s">
        <v>1529</v>
      </c>
      <c r="H246" s="57" t="s">
        <v>1277</v>
      </c>
      <c r="I246" s="57" t="s">
        <v>1530</v>
      </c>
      <c r="J246" s="57" t="s">
        <v>1531</v>
      </c>
      <c r="K246" s="57" t="s">
        <v>1532</v>
      </c>
    </row>
    <row r="247" spans="1:11" ht="28.8" x14ac:dyDescent="0.3">
      <c r="A247" s="57" t="s">
        <v>1535</v>
      </c>
      <c r="B247" s="57" t="s">
        <v>1527</v>
      </c>
      <c r="C247" s="57" t="s">
        <v>1528</v>
      </c>
      <c r="D247" s="57" t="s">
        <v>913</v>
      </c>
      <c r="E247" s="57">
        <v>4</v>
      </c>
      <c r="F247" s="57" t="s">
        <v>1173</v>
      </c>
      <c r="G247" s="57" t="s">
        <v>1529</v>
      </c>
      <c r="H247" s="57" t="s">
        <v>1277</v>
      </c>
      <c r="I247" s="57" t="s">
        <v>1530</v>
      </c>
      <c r="J247" s="57" t="s">
        <v>1531</v>
      </c>
      <c r="K247" s="57" t="s">
        <v>1532</v>
      </c>
    </row>
    <row r="248" spans="1:11" ht="28.8" x14ac:dyDescent="0.3">
      <c r="A248" s="57" t="s">
        <v>1536</v>
      </c>
      <c r="B248" s="57" t="s">
        <v>1527</v>
      </c>
      <c r="C248" s="57" t="s">
        <v>1528</v>
      </c>
      <c r="D248" s="57" t="s">
        <v>913</v>
      </c>
      <c r="E248" s="57">
        <v>4</v>
      </c>
      <c r="F248" s="57" t="s">
        <v>1173</v>
      </c>
      <c r="G248" s="57" t="s">
        <v>1529</v>
      </c>
      <c r="H248" s="57" t="s">
        <v>1277</v>
      </c>
      <c r="I248" s="57" t="s">
        <v>1530</v>
      </c>
      <c r="J248" s="57" t="s">
        <v>1531</v>
      </c>
      <c r="K248" s="57" t="s">
        <v>1532</v>
      </c>
    </row>
    <row r="249" spans="1:11" ht="28.8" x14ac:dyDescent="0.3">
      <c r="A249" s="57" t="s">
        <v>1537</v>
      </c>
      <c r="B249" s="57" t="s">
        <v>1527</v>
      </c>
      <c r="C249" s="57" t="s">
        <v>1528</v>
      </c>
      <c r="D249" s="57" t="s">
        <v>913</v>
      </c>
      <c r="E249" s="57">
        <v>4</v>
      </c>
      <c r="F249" s="57" t="s">
        <v>1173</v>
      </c>
      <c r="G249" s="57" t="s">
        <v>1529</v>
      </c>
      <c r="H249" s="57" t="s">
        <v>1277</v>
      </c>
      <c r="I249" s="57" t="s">
        <v>1530</v>
      </c>
      <c r="J249" s="57" t="s">
        <v>1531</v>
      </c>
      <c r="K249" s="57" t="s">
        <v>1532</v>
      </c>
    </row>
    <row r="250" spans="1:11" ht="28.8" x14ac:dyDescent="0.3">
      <c r="A250" s="57" t="s">
        <v>749</v>
      </c>
      <c r="B250" s="57" t="s">
        <v>1527</v>
      </c>
      <c r="C250" s="57" t="s">
        <v>1528</v>
      </c>
      <c r="D250" s="57" t="s">
        <v>913</v>
      </c>
      <c r="E250" s="57">
        <v>4</v>
      </c>
      <c r="F250" s="57" t="s">
        <v>1173</v>
      </c>
      <c r="G250" s="57" t="s">
        <v>1529</v>
      </c>
      <c r="H250" s="57" t="s">
        <v>1277</v>
      </c>
      <c r="I250" s="57" t="s">
        <v>1530</v>
      </c>
      <c r="J250" s="57" t="s">
        <v>1531</v>
      </c>
      <c r="K250" s="57" t="s">
        <v>1532</v>
      </c>
    </row>
    <row r="251" spans="1:11" ht="28.8" x14ac:dyDescent="0.3">
      <c r="A251" s="57" t="s">
        <v>1538</v>
      </c>
      <c r="B251" s="57" t="s">
        <v>1527</v>
      </c>
      <c r="C251" s="57" t="s">
        <v>1528</v>
      </c>
      <c r="D251" s="57" t="s">
        <v>913</v>
      </c>
      <c r="E251" s="57">
        <v>4</v>
      </c>
      <c r="F251" s="57" t="s">
        <v>1173</v>
      </c>
      <c r="G251" s="57" t="s">
        <v>1529</v>
      </c>
      <c r="H251" s="57" t="s">
        <v>1277</v>
      </c>
      <c r="I251" s="57" t="s">
        <v>1530</v>
      </c>
      <c r="J251" s="57" t="s">
        <v>1531</v>
      </c>
      <c r="K251" s="57" t="s">
        <v>1532</v>
      </c>
    </row>
    <row r="252" spans="1:11" ht="28.8" x14ac:dyDescent="0.3">
      <c r="A252" s="57" t="s">
        <v>1539</v>
      </c>
      <c r="B252" s="57" t="s">
        <v>1527</v>
      </c>
      <c r="C252" s="57" t="s">
        <v>1528</v>
      </c>
      <c r="D252" s="57" t="s">
        <v>913</v>
      </c>
      <c r="E252" s="57">
        <v>4</v>
      </c>
      <c r="F252" s="57" t="s">
        <v>1173</v>
      </c>
      <c r="G252" s="57" t="s">
        <v>1529</v>
      </c>
      <c r="H252" s="57" t="s">
        <v>1277</v>
      </c>
      <c r="I252" s="57" t="s">
        <v>1530</v>
      </c>
      <c r="J252" s="57" t="s">
        <v>1531</v>
      </c>
      <c r="K252" s="57" t="s">
        <v>1532</v>
      </c>
    </row>
    <row r="253" spans="1:11" ht="28.8" x14ac:dyDescent="0.3">
      <c r="A253" s="57" t="s">
        <v>1452</v>
      </c>
      <c r="B253" s="57" t="s">
        <v>1527</v>
      </c>
      <c r="C253" s="57" t="s">
        <v>1528</v>
      </c>
      <c r="D253" s="57" t="s">
        <v>913</v>
      </c>
      <c r="E253" s="57">
        <v>4</v>
      </c>
      <c r="F253" s="57" t="s">
        <v>1173</v>
      </c>
      <c r="G253" s="57" t="s">
        <v>1529</v>
      </c>
      <c r="H253" s="57" t="s">
        <v>1277</v>
      </c>
      <c r="I253" s="57" t="s">
        <v>1530</v>
      </c>
      <c r="J253" s="57" t="s">
        <v>1531</v>
      </c>
      <c r="K253" s="57" t="s">
        <v>1532</v>
      </c>
    </row>
    <row r="254" spans="1:11" ht="28.8" x14ac:dyDescent="0.3">
      <c r="A254" s="57" t="s">
        <v>1540</v>
      </c>
      <c r="B254" s="57" t="s">
        <v>1527</v>
      </c>
      <c r="C254" s="57" t="s">
        <v>1528</v>
      </c>
      <c r="D254" s="57" t="s">
        <v>913</v>
      </c>
      <c r="E254" s="57">
        <v>4</v>
      </c>
      <c r="F254" s="57" t="s">
        <v>1173</v>
      </c>
      <c r="G254" s="57" t="s">
        <v>1529</v>
      </c>
      <c r="H254" s="57" t="s">
        <v>1277</v>
      </c>
      <c r="I254" s="57" t="s">
        <v>1530</v>
      </c>
      <c r="J254" s="57" t="s">
        <v>1531</v>
      </c>
      <c r="K254" s="57" t="s">
        <v>1532</v>
      </c>
    </row>
    <row r="255" spans="1:11" ht="28.8" x14ac:dyDescent="0.3">
      <c r="A255" s="57" t="s">
        <v>1541</v>
      </c>
      <c r="B255" s="57" t="s">
        <v>1527</v>
      </c>
      <c r="C255" s="57" t="s">
        <v>1528</v>
      </c>
      <c r="D255" s="57" t="s">
        <v>913</v>
      </c>
      <c r="E255" s="57">
        <v>4</v>
      </c>
      <c r="F255" s="57" t="s">
        <v>1173</v>
      </c>
      <c r="G255" s="57" t="s">
        <v>1529</v>
      </c>
      <c r="H255" s="57" t="s">
        <v>1277</v>
      </c>
      <c r="I255" s="57" t="s">
        <v>1530</v>
      </c>
      <c r="J255" s="57" t="s">
        <v>1531</v>
      </c>
      <c r="K255" s="57" t="s">
        <v>1532</v>
      </c>
    </row>
    <row r="256" spans="1:11" ht="28.8" x14ac:dyDescent="0.3">
      <c r="A256" s="57" t="s">
        <v>1447</v>
      </c>
      <c r="B256" s="57" t="s">
        <v>1527</v>
      </c>
      <c r="C256" s="57" t="s">
        <v>1528</v>
      </c>
      <c r="D256" s="57" t="s">
        <v>913</v>
      </c>
      <c r="E256" s="57">
        <v>4</v>
      </c>
      <c r="F256" s="57" t="s">
        <v>1173</v>
      </c>
      <c r="G256" s="57" t="s">
        <v>1529</v>
      </c>
      <c r="H256" s="57" t="s">
        <v>1277</v>
      </c>
      <c r="I256" s="57" t="s">
        <v>1530</v>
      </c>
      <c r="J256" s="57" t="s">
        <v>1531</v>
      </c>
      <c r="K256" s="57" t="s">
        <v>1532</v>
      </c>
    </row>
    <row r="257" spans="1:11" ht="28.8" x14ac:dyDescent="0.3">
      <c r="A257" s="57" t="s">
        <v>1453</v>
      </c>
      <c r="B257" s="57" t="s">
        <v>1527</v>
      </c>
      <c r="C257" s="57" t="s">
        <v>1528</v>
      </c>
      <c r="D257" s="57" t="s">
        <v>913</v>
      </c>
      <c r="E257" s="57">
        <v>4</v>
      </c>
      <c r="F257" s="57" t="s">
        <v>1173</v>
      </c>
      <c r="G257" s="57" t="s">
        <v>1529</v>
      </c>
      <c r="H257" s="57" t="s">
        <v>1277</v>
      </c>
      <c r="I257" s="57" t="s">
        <v>1530</v>
      </c>
      <c r="J257" s="57" t="s">
        <v>1531</v>
      </c>
      <c r="K257" s="57" t="s">
        <v>1532</v>
      </c>
    </row>
    <row r="258" spans="1:11" ht="28.8" x14ac:dyDescent="0.3">
      <c r="A258" s="57" t="s">
        <v>1542</v>
      </c>
      <c r="B258" s="57" t="s">
        <v>1527</v>
      </c>
      <c r="C258" s="57" t="s">
        <v>1528</v>
      </c>
      <c r="D258" s="57" t="s">
        <v>913</v>
      </c>
      <c r="E258" s="57">
        <v>4</v>
      </c>
      <c r="F258" s="57" t="s">
        <v>1173</v>
      </c>
      <c r="G258" s="57" t="s">
        <v>1529</v>
      </c>
      <c r="H258" s="57" t="s">
        <v>1277</v>
      </c>
      <c r="I258" s="57" t="s">
        <v>1530</v>
      </c>
      <c r="J258" s="57" t="s">
        <v>1531</v>
      </c>
      <c r="K258" s="57" t="s">
        <v>1532</v>
      </c>
    </row>
    <row r="259" spans="1:11" ht="28.8" x14ac:dyDescent="0.3">
      <c r="A259" s="57" t="s">
        <v>1543</v>
      </c>
      <c r="B259" s="57" t="s">
        <v>1527</v>
      </c>
      <c r="C259" s="57" t="s">
        <v>1528</v>
      </c>
      <c r="D259" s="57" t="s">
        <v>913</v>
      </c>
      <c r="E259" s="57">
        <v>4</v>
      </c>
      <c r="F259" s="57" t="s">
        <v>1173</v>
      </c>
      <c r="G259" s="57" t="s">
        <v>1529</v>
      </c>
      <c r="H259" s="57" t="s">
        <v>1277</v>
      </c>
      <c r="I259" s="57" t="s">
        <v>1530</v>
      </c>
      <c r="J259" s="57" t="s">
        <v>1531</v>
      </c>
      <c r="K259" s="57" t="s">
        <v>1532</v>
      </c>
    </row>
    <row r="260" spans="1:11" ht="28.8" x14ac:dyDescent="0.3">
      <c r="A260" s="57" t="s">
        <v>1544</v>
      </c>
      <c r="B260" s="57" t="s">
        <v>1527</v>
      </c>
      <c r="C260" s="57" t="s">
        <v>1528</v>
      </c>
      <c r="D260" s="57" t="s">
        <v>913</v>
      </c>
      <c r="E260" s="57">
        <v>4</v>
      </c>
      <c r="F260" s="57" t="s">
        <v>1173</v>
      </c>
      <c r="G260" s="57" t="s">
        <v>1529</v>
      </c>
      <c r="H260" s="57" t="s">
        <v>1277</v>
      </c>
      <c r="I260" s="57" t="s">
        <v>1530</v>
      </c>
      <c r="J260" s="57" t="s">
        <v>1531</v>
      </c>
      <c r="K260" s="57" t="s">
        <v>1532</v>
      </c>
    </row>
    <row r="261" spans="1:11" ht="28.8" x14ac:dyDescent="0.3">
      <c r="A261" s="57" t="s">
        <v>1545</v>
      </c>
      <c r="B261" s="57" t="s">
        <v>1527</v>
      </c>
      <c r="C261" s="57" t="s">
        <v>1528</v>
      </c>
      <c r="D261" s="57" t="s">
        <v>913</v>
      </c>
      <c r="E261" s="57">
        <v>4</v>
      </c>
      <c r="F261" s="57" t="s">
        <v>1173</v>
      </c>
      <c r="G261" s="57" t="s">
        <v>1529</v>
      </c>
      <c r="H261" s="57" t="s">
        <v>1277</v>
      </c>
      <c r="I261" s="57" t="s">
        <v>1530</v>
      </c>
      <c r="J261" s="57" t="s">
        <v>1531</v>
      </c>
      <c r="K261" s="57" t="s">
        <v>1532</v>
      </c>
    </row>
    <row r="262" spans="1:11" ht="28.8" x14ac:dyDescent="0.3">
      <c r="A262" s="57" t="s">
        <v>1546</v>
      </c>
      <c r="B262" s="57" t="s">
        <v>1527</v>
      </c>
      <c r="C262" s="57" t="s">
        <v>1528</v>
      </c>
      <c r="D262" s="57" t="s">
        <v>913</v>
      </c>
      <c r="E262" s="57">
        <v>4</v>
      </c>
      <c r="F262" s="57" t="s">
        <v>1173</v>
      </c>
      <c r="G262" s="57" t="s">
        <v>1529</v>
      </c>
      <c r="H262" s="57" t="s">
        <v>1277</v>
      </c>
      <c r="I262" s="57" t="s">
        <v>1530</v>
      </c>
      <c r="J262" s="57" t="s">
        <v>1531</v>
      </c>
      <c r="K262" s="57" t="s">
        <v>1532</v>
      </c>
    </row>
    <row r="263" spans="1:11" ht="28.8" x14ac:dyDescent="0.3">
      <c r="A263" s="57" t="s">
        <v>1547</v>
      </c>
      <c r="B263" s="57" t="s">
        <v>1527</v>
      </c>
      <c r="C263" s="57" t="s">
        <v>1528</v>
      </c>
      <c r="D263" s="57" t="s">
        <v>913</v>
      </c>
      <c r="E263" s="57">
        <v>4</v>
      </c>
      <c r="F263" s="57" t="s">
        <v>1173</v>
      </c>
      <c r="G263" s="57" t="s">
        <v>1529</v>
      </c>
      <c r="H263" s="57" t="s">
        <v>1277</v>
      </c>
      <c r="I263" s="57" t="s">
        <v>1530</v>
      </c>
      <c r="J263" s="57" t="s">
        <v>1531</v>
      </c>
      <c r="K263" s="57" t="s">
        <v>1532</v>
      </c>
    </row>
    <row r="264" spans="1:11" ht="28.8" x14ac:dyDescent="0.3">
      <c r="A264" s="57" t="s">
        <v>1548</v>
      </c>
      <c r="B264" s="57" t="s">
        <v>1527</v>
      </c>
      <c r="C264" s="57" t="s">
        <v>1528</v>
      </c>
      <c r="D264" s="57" t="s">
        <v>913</v>
      </c>
      <c r="E264" s="57">
        <v>4</v>
      </c>
      <c r="F264" s="57" t="s">
        <v>1173</v>
      </c>
      <c r="G264" s="57" t="s">
        <v>1529</v>
      </c>
      <c r="H264" s="57" t="s">
        <v>1277</v>
      </c>
      <c r="I264" s="57" t="s">
        <v>1530</v>
      </c>
      <c r="J264" s="57" t="s">
        <v>1531</v>
      </c>
      <c r="K264" s="57" t="s">
        <v>1532</v>
      </c>
    </row>
    <row r="265" spans="1:11" ht="28.8" x14ac:dyDescent="0.3">
      <c r="A265" s="57" t="s">
        <v>1549</v>
      </c>
      <c r="B265" s="57" t="s">
        <v>1527</v>
      </c>
      <c r="C265" s="57" t="s">
        <v>1528</v>
      </c>
      <c r="D265" s="57" t="s">
        <v>913</v>
      </c>
      <c r="E265" s="57">
        <v>4</v>
      </c>
      <c r="F265" s="57" t="s">
        <v>1173</v>
      </c>
      <c r="G265" s="57" t="s">
        <v>1529</v>
      </c>
      <c r="H265" s="57" t="s">
        <v>1277</v>
      </c>
      <c r="I265" s="57" t="s">
        <v>1530</v>
      </c>
      <c r="J265" s="57" t="s">
        <v>1531</v>
      </c>
      <c r="K265" s="57" t="s">
        <v>1532</v>
      </c>
    </row>
    <row r="266" spans="1:11" ht="28.8" x14ac:dyDescent="0.3">
      <c r="A266" s="57" t="s">
        <v>1550</v>
      </c>
      <c r="B266" s="57" t="s">
        <v>1527</v>
      </c>
      <c r="C266" s="57" t="s">
        <v>1528</v>
      </c>
      <c r="D266" s="57" t="s">
        <v>913</v>
      </c>
      <c r="E266" s="57">
        <v>4</v>
      </c>
      <c r="F266" s="57" t="s">
        <v>1173</v>
      </c>
      <c r="G266" s="57" t="s">
        <v>1529</v>
      </c>
      <c r="H266" s="57" t="s">
        <v>1277</v>
      </c>
      <c r="I266" s="57" t="s">
        <v>1530</v>
      </c>
      <c r="J266" s="57" t="s">
        <v>1531</v>
      </c>
      <c r="K266" s="57" t="s">
        <v>1532</v>
      </c>
    </row>
    <row r="267" spans="1:11" ht="28.8" x14ac:dyDescent="0.3">
      <c r="A267" s="57" t="s">
        <v>1551</v>
      </c>
      <c r="B267" s="57" t="s">
        <v>1527</v>
      </c>
      <c r="C267" s="57" t="s">
        <v>1528</v>
      </c>
      <c r="D267" s="57" t="s">
        <v>913</v>
      </c>
      <c r="E267" s="57">
        <v>4</v>
      </c>
      <c r="F267" s="57" t="s">
        <v>1173</v>
      </c>
      <c r="G267" s="57" t="s">
        <v>1529</v>
      </c>
      <c r="H267" s="57" t="s">
        <v>1277</v>
      </c>
      <c r="I267" s="57" t="s">
        <v>1530</v>
      </c>
      <c r="J267" s="57" t="s">
        <v>1531</v>
      </c>
      <c r="K267" s="57" t="s">
        <v>1532</v>
      </c>
    </row>
    <row r="268" spans="1:11" ht="28.8" x14ac:dyDescent="0.3">
      <c r="A268" s="57" t="s">
        <v>1552</v>
      </c>
      <c r="B268" s="57" t="s">
        <v>1527</v>
      </c>
      <c r="C268" s="57" t="s">
        <v>1528</v>
      </c>
      <c r="D268" s="57" t="s">
        <v>913</v>
      </c>
      <c r="E268" s="57">
        <v>4</v>
      </c>
      <c r="F268" s="57" t="s">
        <v>1173</v>
      </c>
      <c r="G268" s="57" t="s">
        <v>1529</v>
      </c>
      <c r="H268" s="57" t="s">
        <v>1277</v>
      </c>
      <c r="I268" s="57" t="s">
        <v>1530</v>
      </c>
      <c r="J268" s="57" t="s">
        <v>1531</v>
      </c>
      <c r="K268" s="57" t="s">
        <v>1532</v>
      </c>
    </row>
    <row r="269" spans="1:11" ht="28.8" x14ac:dyDescent="0.3">
      <c r="A269" s="57" t="s">
        <v>1553</v>
      </c>
      <c r="B269" s="57" t="s">
        <v>1527</v>
      </c>
      <c r="C269" s="57" t="s">
        <v>1528</v>
      </c>
      <c r="D269" s="57" t="s">
        <v>913</v>
      </c>
      <c r="E269" s="57">
        <v>4</v>
      </c>
      <c r="F269" s="57" t="s">
        <v>1173</v>
      </c>
      <c r="G269" s="57" t="s">
        <v>1529</v>
      </c>
      <c r="H269" s="57" t="s">
        <v>1277</v>
      </c>
      <c r="I269" s="57" t="s">
        <v>1530</v>
      </c>
      <c r="J269" s="57" t="s">
        <v>1531</v>
      </c>
      <c r="K269" s="57" t="s">
        <v>1532</v>
      </c>
    </row>
    <row r="270" spans="1:11" ht="28.8" x14ac:dyDescent="0.3">
      <c r="A270" s="57" t="s">
        <v>1554</v>
      </c>
      <c r="B270" s="57" t="s">
        <v>1555</v>
      </c>
      <c r="C270" s="57" t="s">
        <v>337</v>
      </c>
      <c r="D270" s="57" t="s">
        <v>913</v>
      </c>
      <c r="E270" s="57">
        <v>3</v>
      </c>
      <c r="F270" s="57" t="s">
        <v>1173</v>
      </c>
      <c r="G270" s="57" t="s">
        <v>1556</v>
      </c>
      <c r="H270" s="57" t="s">
        <v>1277</v>
      </c>
      <c r="I270" s="57" t="s">
        <v>1557</v>
      </c>
      <c r="J270" s="57" t="s">
        <v>1558</v>
      </c>
      <c r="K270" s="57" t="s">
        <v>1559</v>
      </c>
    </row>
    <row r="271" spans="1:11" ht="28.8" x14ac:dyDescent="0.3">
      <c r="A271" s="57" t="s">
        <v>1560</v>
      </c>
      <c r="B271" s="57" t="s">
        <v>1555</v>
      </c>
      <c r="C271" s="57" t="s">
        <v>337</v>
      </c>
      <c r="D271" s="57" t="s">
        <v>913</v>
      </c>
      <c r="E271" s="57">
        <v>3</v>
      </c>
      <c r="F271" s="57" t="s">
        <v>1173</v>
      </c>
      <c r="G271" s="57" t="s">
        <v>1556</v>
      </c>
      <c r="H271" s="57" t="s">
        <v>1277</v>
      </c>
      <c r="I271" s="57" t="s">
        <v>1557</v>
      </c>
      <c r="J271" s="57" t="s">
        <v>1558</v>
      </c>
      <c r="K271" s="57" t="s">
        <v>1559</v>
      </c>
    </row>
    <row r="272" spans="1:11" ht="28.8" x14ac:dyDescent="0.3">
      <c r="A272" s="57" t="s">
        <v>1561</v>
      </c>
      <c r="B272" s="57" t="s">
        <v>1555</v>
      </c>
      <c r="C272" s="57" t="s">
        <v>337</v>
      </c>
      <c r="D272" s="57" t="s">
        <v>913</v>
      </c>
      <c r="E272" s="57">
        <v>3</v>
      </c>
      <c r="F272" s="57" t="s">
        <v>1173</v>
      </c>
      <c r="G272" s="57" t="s">
        <v>1556</v>
      </c>
      <c r="H272" s="57" t="s">
        <v>1277</v>
      </c>
      <c r="I272" s="57" t="s">
        <v>1557</v>
      </c>
      <c r="J272" s="57" t="s">
        <v>1558</v>
      </c>
      <c r="K272" s="57" t="s">
        <v>1559</v>
      </c>
    </row>
    <row r="273" spans="1:11" ht="28.8" x14ac:dyDescent="0.3">
      <c r="A273" s="57" t="s">
        <v>1562</v>
      </c>
      <c r="B273" s="57" t="s">
        <v>1555</v>
      </c>
      <c r="C273" s="57" t="s">
        <v>337</v>
      </c>
      <c r="D273" s="57" t="s">
        <v>913</v>
      </c>
      <c r="E273" s="57">
        <v>3</v>
      </c>
      <c r="F273" s="57" t="s">
        <v>1173</v>
      </c>
      <c r="G273" s="57" t="s">
        <v>1556</v>
      </c>
      <c r="H273" s="57" t="s">
        <v>1277</v>
      </c>
      <c r="I273" s="57" t="s">
        <v>1557</v>
      </c>
      <c r="J273" s="57" t="s">
        <v>1558</v>
      </c>
      <c r="K273" s="57" t="s">
        <v>1559</v>
      </c>
    </row>
    <row r="274" spans="1:11" ht="28.8" x14ac:dyDescent="0.3">
      <c r="A274" s="57" t="s">
        <v>1563</v>
      </c>
      <c r="B274" s="57" t="s">
        <v>1555</v>
      </c>
      <c r="C274" s="57" t="s">
        <v>337</v>
      </c>
      <c r="D274" s="57" t="s">
        <v>913</v>
      </c>
      <c r="E274" s="57">
        <v>3</v>
      </c>
      <c r="F274" s="57" t="s">
        <v>1173</v>
      </c>
      <c r="G274" s="57" t="s">
        <v>1556</v>
      </c>
      <c r="H274" s="57" t="s">
        <v>1277</v>
      </c>
      <c r="I274" s="57" t="s">
        <v>1557</v>
      </c>
      <c r="J274" s="57" t="s">
        <v>1558</v>
      </c>
      <c r="K274" s="57" t="s">
        <v>1559</v>
      </c>
    </row>
    <row r="275" spans="1:11" ht="28.8" x14ac:dyDescent="0.3">
      <c r="A275" s="57" t="s">
        <v>1564</v>
      </c>
      <c r="B275" s="57" t="s">
        <v>1555</v>
      </c>
      <c r="C275" s="57" t="s">
        <v>337</v>
      </c>
      <c r="D275" s="57" t="s">
        <v>913</v>
      </c>
      <c r="E275" s="57">
        <v>3</v>
      </c>
      <c r="F275" s="57" t="s">
        <v>1173</v>
      </c>
      <c r="G275" s="57" t="s">
        <v>1556</v>
      </c>
      <c r="H275" s="57" t="s">
        <v>1277</v>
      </c>
      <c r="I275" s="57" t="s">
        <v>1557</v>
      </c>
      <c r="J275" s="57" t="s">
        <v>1558</v>
      </c>
      <c r="K275" s="57" t="s">
        <v>1559</v>
      </c>
    </row>
    <row r="276" spans="1:11" ht="28.8" x14ac:dyDescent="0.3">
      <c r="A276" s="57" t="s">
        <v>1565</v>
      </c>
      <c r="B276" s="57" t="s">
        <v>1555</v>
      </c>
      <c r="C276" s="57" t="s">
        <v>337</v>
      </c>
      <c r="D276" s="57" t="s">
        <v>913</v>
      </c>
      <c r="E276" s="57">
        <v>3</v>
      </c>
      <c r="F276" s="57" t="s">
        <v>1173</v>
      </c>
      <c r="G276" s="57" t="s">
        <v>1556</v>
      </c>
      <c r="H276" s="57" t="s">
        <v>1277</v>
      </c>
      <c r="I276" s="57" t="s">
        <v>1557</v>
      </c>
      <c r="J276" s="57" t="s">
        <v>1558</v>
      </c>
      <c r="K276" s="57" t="s">
        <v>1559</v>
      </c>
    </row>
    <row r="277" spans="1:11" ht="28.8" x14ac:dyDescent="0.3">
      <c r="A277" s="57" t="s">
        <v>1566</v>
      </c>
      <c r="B277" s="57" t="s">
        <v>1555</v>
      </c>
      <c r="C277" s="57" t="s">
        <v>337</v>
      </c>
      <c r="D277" s="57" t="s">
        <v>913</v>
      </c>
      <c r="E277" s="57">
        <v>3</v>
      </c>
      <c r="F277" s="57" t="s">
        <v>1173</v>
      </c>
      <c r="G277" s="57" t="s">
        <v>1556</v>
      </c>
      <c r="H277" s="57" t="s">
        <v>1277</v>
      </c>
      <c r="I277" s="57" t="s">
        <v>1557</v>
      </c>
      <c r="J277" s="57" t="s">
        <v>1558</v>
      </c>
      <c r="K277" s="57" t="s">
        <v>1559</v>
      </c>
    </row>
    <row r="278" spans="1:11" ht="28.8" x14ac:dyDescent="0.3">
      <c r="A278" s="57" t="s">
        <v>360</v>
      </c>
      <c r="B278" s="57" t="s">
        <v>1555</v>
      </c>
      <c r="C278" s="57" t="s">
        <v>341</v>
      </c>
      <c r="D278" s="57" t="s">
        <v>913</v>
      </c>
      <c r="E278" s="57">
        <v>3</v>
      </c>
      <c r="F278" s="57" t="s">
        <v>1173</v>
      </c>
      <c r="G278" s="57" t="s">
        <v>1556</v>
      </c>
      <c r="H278" s="57" t="s">
        <v>1277</v>
      </c>
      <c r="I278" s="57" t="s">
        <v>1557</v>
      </c>
      <c r="J278" s="57" t="s">
        <v>1558</v>
      </c>
      <c r="K278" s="57" t="s">
        <v>1559</v>
      </c>
    </row>
    <row r="279" spans="1:11" ht="28.8" x14ac:dyDescent="0.3">
      <c r="A279" s="57" t="s">
        <v>696</v>
      </c>
      <c r="B279" s="57" t="s">
        <v>1555</v>
      </c>
      <c r="C279" s="57" t="s">
        <v>341</v>
      </c>
      <c r="D279" s="57" t="s">
        <v>913</v>
      </c>
      <c r="E279" s="57">
        <v>3</v>
      </c>
      <c r="F279" s="57" t="s">
        <v>1173</v>
      </c>
      <c r="G279" s="57" t="s">
        <v>1556</v>
      </c>
      <c r="H279" s="57" t="s">
        <v>1277</v>
      </c>
      <c r="I279" s="57" t="s">
        <v>1557</v>
      </c>
      <c r="J279" s="57" t="s">
        <v>1558</v>
      </c>
      <c r="K279" s="57" t="s">
        <v>1559</v>
      </c>
    </row>
    <row r="280" spans="1:11" ht="28.8" x14ac:dyDescent="0.3">
      <c r="A280" s="57" t="s">
        <v>1567</v>
      </c>
      <c r="B280" s="57" t="s">
        <v>1555</v>
      </c>
      <c r="C280" s="57" t="s">
        <v>341</v>
      </c>
      <c r="D280" s="57" t="s">
        <v>913</v>
      </c>
      <c r="E280" s="57">
        <v>3</v>
      </c>
      <c r="F280" s="57" t="s">
        <v>1173</v>
      </c>
      <c r="G280" s="57" t="s">
        <v>1556</v>
      </c>
      <c r="H280" s="57" t="s">
        <v>1277</v>
      </c>
      <c r="I280" s="57" t="s">
        <v>1557</v>
      </c>
      <c r="J280" s="57" t="s">
        <v>1558</v>
      </c>
      <c r="K280" s="57" t="s">
        <v>1559</v>
      </c>
    </row>
    <row r="281" spans="1:11" ht="28.8" x14ac:dyDescent="0.3">
      <c r="A281" s="57" t="s">
        <v>1031</v>
      </c>
      <c r="B281" s="57" t="s">
        <v>1555</v>
      </c>
      <c r="C281" s="57" t="s">
        <v>341</v>
      </c>
      <c r="D281" s="57" t="s">
        <v>913</v>
      </c>
      <c r="E281" s="57">
        <v>3</v>
      </c>
      <c r="F281" s="57" t="s">
        <v>1173</v>
      </c>
      <c r="G281" s="57" t="s">
        <v>1556</v>
      </c>
      <c r="H281" s="57" t="s">
        <v>1277</v>
      </c>
      <c r="I281" s="57" t="s">
        <v>1557</v>
      </c>
      <c r="J281" s="57" t="s">
        <v>1558</v>
      </c>
      <c r="K281" s="57" t="s">
        <v>1559</v>
      </c>
    </row>
    <row r="282" spans="1:11" ht="28.8" x14ac:dyDescent="0.3">
      <c r="A282" s="57" t="s">
        <v>1568</v>
      </c>
      <c r="B282" s="57" t="s">
        <v>1555</v>
      </c>
      <c r="C282" s="57" t="s">
        <v>341</v>
      </c>
      <c r="D282" s="57" t="s">
        <v>913</v>
      </c>
      <c r="E282" s="57">
        <v>3</v>
      </c>
      <c r="F282" s="57" t="s">
        <v>1173</v>
      </c>
      <c r="G282" s="57" t="s">
        <v>1556</v>
      </c>
      <c r="H282" s="57" t="s">
        <v>1277</v>
      </c>
      <c r="I282" s="57" t="s">
        <v>1557</v>
      </c>
      <c r="J282" s="57" t="s">
        <v>1558</v>
      </c>
      <c r="K282" s="57" t="s">
        <v>1559</v>
      </c>
    </row>
    <row r="283" spans="1:11" ht="28.8" x14ac:dyDescent="0.3">
      <c r="A283" s="57" t="s">
        <v>1569</v>
      </c>
      <c r="B283" s="57" t="s">
        <v>1555</v>
      </c>
      <c r="C283" s="57" t="s">
        <v>341</v>
      </c>
      <c r="D283" s="57" t="s">
        <v>913</v>
      </c>
      <c r="E283" s="57">
        <v>3</v>
      </c>
      <c r="F283" s="57" t="s">
        <v>1173</v>
      </c>
      <c r="G283" s="57" t="s">
        <v>1556</v>
      </c>
      <c r="H283" s="57" t="s">
        <v>1277</v>
      </c>
      <c r="I283" s="57" t="s">
        <v>1557</v>
      </c>
      <c r="J283" s="57" t="s">
        <v>1558</v>
      </c>
      <c r="K283" s="57" t="s">
        <v>1559</v>
      </c>
    </row>
    <row r="284" spans="1:11" ht="28.8" x14ac:dyDescent="0.3">
      <c r="A284" s="57" t="s">
        <v>1570</v>
      </c>
      <c r="B284" s="57" t="s">
        <v>1555</v>
      </c>
      <c r="C284" s="57" t="s">
        <v>341</v>
      </c>
      <c r="D284" s="57" t="s">
        <v>913</v>
      </c>
      <c r="E284" s="57">
        <v>3</v>
      </c>
      <c r="F284" s="57" t="s">
        <v>1173</v>
      </c>
      <c r="G284" s="57" t="s">
        <v>1556</v>
      </c>
      <c r="H284" s="57" t="s">
        <v>1277</v>
      </c>
      <c r="I284" s="57" t="s">
        <v>1557</v>
      </c>
      <c r="J284" s="57" t="s">
        <v>1558</v>
      </c>
      <c r="K284" s="57" t="s">
        <v>1559</v>
      </c>
    </row>
    <row r="285" spans="1:11" ht="28.8" x14ac:dyDescent="0.3">
      <c r="A285" s="57" t="s">
        <v>1571</v>
      </c>
      <c r="B285" s="57" t="s">
        <v>1555</v>
      </c>
      <c r="C285" s="57" t="s">
        <v>343</v>
      </c>
      <c r="D285" s="57" t="s">
        <v>913</v>
      </c>
      <c r="E285" s="57">
        <v>3</v>
      </c>
      <c r="F285" s="57" t="s">
        <v>1173</v>
      </c>
      <c r="G285" s="57" t="s">
        <v>1556</v>
      </c>
      <c r="H285" s="57" t="s">
        <v>1277</v>
      </c>
      <c r="I285" s="57" t="s">
        <v>1557</v>
      </c>
      <c r="J285" s="57" t="s">
        <v>1558</v>
      </c>
      <c r="K285" s="57" t="s">
        <v>1559</v>
      </c>
    </row>
    <row r="286" spans="1:11" ht="28.8" x14ac:dyDescent="0.3">
      <c r="A286" s="57" t="s">
        <v>702</v>
      </c>
      <c r="B286" s="57" t="s">
        <v>1555</v>
      </c>
      <c r="C286" s="57" t="s">
        <v>343</v>
      </c>
      <c r="D286" s="57" t="s">
        <v>913</v>
      </c>
      <c r="E286" s="57">
        <v>3</v>
      </c>
      <c r="F286" s="57" t="s">
        <v>1173</v>
      </c>
      <c r="G286" s="57" t="s">
        <v>1556</v>
      </c>
      <c r="H286" s="57" t="s">
        <v>1277</v>
      </c>
      <c r="I286" s="57" t="s">
        <v>1557</v>
      </c>
      <c r="J286" s="57" t="s">
        <v>1558</v>
      </c>
      <c r="K286" s="57" t="s">
        <v>1559</v>
      </c>
    </row>
    <row r="287" spans="1:11" ht="28.8" x14ac:dyDescent="0.3">
      <c r="A287" s="57" t="s">
        <v>1572</v>
      </c>
      <c r="B287" s="57" t="s">
        <v>1555</v>
      </c>
      <c r="C287" s="57" t="s">
        <v>343</v>
      </c>
      <c r="D287" s="57" t="s">
        <v>913</v>
      </c>
      <c r="E287" s="57">
        <v>3</v>
      </c>
      <c r="F287" s="57" t="s">
        <v>1173</v>
      </c>
      <c r="G287" s="57" t="s">
        <v>1556</v>
      </c>
      <c r="H287" s="57" t="s">
        <v>1277</v>
      </c>
      <c r="I287" s="57" t="s">
        <v>1557</v>
      </c>
      <c r="J287" s="57" t="s">
        <v>1558</v>
      </c>
      <c r="K287" s="57" t="s">
        <v>1559</v>
      </c>
    </row>
    <row r="288" spans="1:11" ht="28.8" x14ac:dyDescent="0.3">
      <c r="A288" s="57" t="s">
        <v>1573</v>
      </c>
      <c r="B288" s="57" t="s">
        <v>1555</v>
      </c>
      <c r="C288" s="57" t="s">
        <v>343</v>
      </c>
      <c r="D288" s="57" t="s">
        <v>913</v>
      </c>
      <c r="E288" s="57">
        <v>3</v>
      </c>
      <c r="F288" s="57" t="s">
        <v>1173</v>
      </c>
      <c r="G288" s="57" t="s">
        <v>1556</v>
      </c>
      <c r="H288" s="57" t="s">
        <v>1277</v>
      </c>
      <c r="I288" s="57" t="s">
        <v>1557</v>
      </c>
      <c r="J288" s="57" t="s">
        <v>1558</v>
      </c>
      <c r="K288" s="57" t="s">
        <v>1559</v>
      </c>
    </row>
    <row r="289" spans="1:11" ht="28.8" x14ac:dyDescent="0.3">
      <c r="A289" s="57" t="s">
        <v>1574</v>
      </c>
      <c r="B289" s="57" t="s">
        <v>1555</v>
      </c>
      <c r="C289" s="57" t="s">
        <v>343</v>
      </c>
      <c r="D289" s="57" t="s">
        <v>913</v>
      </c>
      <c r="E289" s="57">
        <v>3</v>
      </c>
      <c r="F289" s="57" t="s">
        <v>1173</v>
      </c>
      <c r="G289" s="57" t="s">
        <v>1556</v>
      </c>
      <c r="H289" s="57" t="s">
        <v>1277</v>
      </c>
      <c r="I289" s="57" t="s">
        <v>1557</v>
      </c>
      <c r="J289" s="57" t="s">
        <v>1558</v>
      </c>
      <c r="K289" s="57" t="s">
        <v>1559</v>
      </c>
    </row>
    <row r="290" spans="1:11" ht="28.8" x14ac:dyDescent="0.3">
      <c r="A290" s="57" t="s">
        <v>1575</v>
      </c>
      <c r="B290" s="57" t="s">
        <v>1555</v>
      </c>
      <c r="C290" s="57" t="s">
        <v>343</v>
      </c>
      <c r="D290" s="57" t="s">
        <v>913</v>
      </c>
      <c r="E290" s="57">
        <v>3</v>
      </c>
      <c r="F290" s="57" t="s">
        <v>1173</v>
      </c>
      <c r="G290" s="57" t="s">
        <v>1556</v>
      </c>
      <c r="H290" s="57" t="s">
        <v>1277</v>
      </c>
      <c r="I290" s="57" t="s">
        <v>1557</v>
      </c>
      <c r="J290" s="57" t="s">
        <v>1558</v>
      </c>
      <c r="K290" s="57" t="s">
        <v>1559</v>
      </c>
    </row>
    <row r="291" spans="1:11" ht="28.8" x14ac:dyDescent="0.3">
      <c r="A291" s="57" t="s">
        <v>1576</v>
      </c>
      <c r="B291" s="57" t="s">
        <v>1555</v>
      </c>
      <c r="C291" s="57" t="s">
        <v>343</v>
      </c>
      <c r="D291" s="57" t="s">
        <v>913</v>
      </c>
      <c r="E291" s="57">
        <v>3</v>
      </c>
      <c r="F291" s="57" t="s">
        <v>1173</v>
      </c>
      <c r="G291" s="57" t="s">
        <v>1556</v>
      </c>
      <c r="H291" s="57" t="s">
        <v>1277</v>
      </c>
      <c r="I291" s="57" t="s">
        <v>1557</v>
      </c>
      <c r="J291" s="57" t="s">
        <v>1558</v>
      </c>
      <c r="K291" s="57" t="s">
        <v>1559</v>
      </c>
    </row>
    <row r="292" spans="1:11" ht="28.8" x14ac:dyDescent="0.3">
      <c r="A292" s="57" t="s">
        <v>708</v>
      </c>
      <c r="B292" s="57" t="s">
        <v>1555</v>
      </c>
      <c r="C292" s="57" t="s">
        <v>345</v>
      </c>
      <c r="D292" s="57" t="s">
        <v>913</v>
      </c>
      <c r="E292" s="57">
        <v>3</v>
      </c>
      <c r="F292" s="57" t="s">
        <v>1173</v>
      </c>
      <c r="G292" s="57" t="s">
        <v>1556</v>
      </c>
      <c r="H292" s="57" t="s">
        <v>1277</v>
      </c>
      <c r="I292" s="57" t="s">
        <v>1557</v>
      </c>
      <c r="J292" s="57" t="s">
        <v>1558</v>
      </c>
      <c r="K292" s="57" t="s">
        <v>1559</v>
      </c>
    </row>
    <row r="293" spans="1:11" ht="28.8" x14ac:dyDescent="0.3">
      <c r="A293" s="57" t="s">
        <v>1577</v>
      </c>
      <c r="B293" s="57" t="s">
        <v>1555</v>
      </c>
      <c r="C293" s="57" t="s">
        <v>345</v>
      </c>
      <c r="D293" s="57" t="s">
        <v>913</v>
      </c>
      <c r="E293" s="57">
        <v>3</v>
      </c>
      <c r="F293" s="57" t="s">
        <v>1173</v>
      </c>
      <c r="G293" s="57" t="s">
        <v>1556</v>
      </c>
      <c r="H293" s="57" t="s">
        <v>1277</v>
      </c>
      <c r="I293" s="57" t="s">
        <v>1557</v>
      </c>
      <c r="J293" s="57" t="s">
        <v>1558</v>
      </c>
      <c r="K293" s="57" t="s">
        <v>1559</v>
      </c>
    </row>
    <row r="294" spans="1:11" ht="28.8" x14ac:dyDescent="0.3">
      <c r="A294" s="57" t="s">
        <v>1578</v>
      </c>
      <c r="B294" s="57" t="s">
        <v>1555</v>
      </c>
      <c r="C294" s="57" t="s">
        <v>345</v>
      </c>
      <c r="D294" s="57" t="s">
        <v>913</v>
      </c>
      <c r="E294" s="57">
        <v>3</v>
      </c>
      <c r="F294" s="57" t="s">
        <v>1173</v>
      </c>
      <c r="G294" s="57" t="s">
        <v>1556</v>
      </c>
      <c r="H294" s="57" t="s">
        <v>1277</v>
      </c>
      <c r="I294" s="57" t="s">
        <v>1557</v>
      </c>
      <c r="J294" s="57" t="s">
        <v>1558</v>
      </c>
      <c r="K294" s="57" t="s">
        <v>1559</v>
      </c>
    </row>
    <row r="295" spans="1:11" ht="28.8" x14ac:dyDescent="0.3">
      <c r="A295" s="57" t="s">
        <v>1579</v>
      </c>
      <c r="B295" s="57" t="s">
        <v>1555</v>
      </c>
      <c r="C295" s="57" t="s">
        <v>345</v>
      </c>
      <c r="D295" s="57" t="s">
        <v>913</v>
      </c>
      <c r="E295" s="57">
        <v>3</v>
      </c>
      <c r="F295" s="57" t="s">
        <v>1173</v>
      </c>
      <c r="G295" s="57" t="s">
        <v>1556</v>
      </c>
      <c r="H295" s="57" t="s">
        <v>1277</v>
      </c>
      <c r="I295" s="57" t="s">
        <v>1557</v>
      </c>
      <c r="J295" s="57" t="s">
        <v>1558</v>
      </c>
      <c r="K295" s="57" t="s">
        <v>1559</v>
      </c>
    </row>
    <row r="296" spans="1:11" ht="28.8" x14ac:dyDescent="0.3">
      <c r="A296" s="57" t="s">
        <v>1580</v>
      </c>
      <c r="B296" s="57" t="s">
        <v>1555</v>
      </c>
      <c r="C296" s="57" t="s">
        <v>345</v>
      </c>
      <c r="D296" s="57" t="s">
        <v>913</v>
      </c>
      <c r="E296" s="57">
        <v>3</v>
      </c>
      <c r="F296" s="57" t="s">
        <v>1173</v>
      </c>
      <c r="G296" s="57" t="s">
        <v>1556</v>
      </c>
      <c r="H296" s="57" t="s">
        <v>1277</v>
      </c>
      <c r="I296" s="57" t="s">
        <v>1557</v>
      </c>
      <c r="J296" s="57" t="s">
        <v>1558</v>
      </c>
      <c r="K296" s="57" t="s">
        <v>1559</v>
      </c>
    </row>
    <row r="297" spans="1:11" ht="28.8" x14ac:dyDescent="0.3">
      <c r="A297" s="57" t="s">
        <v>1581</v>
      </c>
      <c r="B297" s="57" t="s">
        <v>1555</v>
      </c>
      <c r="C297" s="57" t="s">
        <v>345</v>
      </c>
      <c r="D297" s="57" t="s">
        <v>913</v>
      </c>
      <c r="E297" s="57">
        <v>3</v>
      </c>
      <c r="F297" s="57" t="s">
        <v>1173</v>
      </c>
      <c r="G297" s="57" t="s">
        <v>1556</v>
      </c>
      <c r="H297" s="57" t="s">
        <v>1277</v>
      </c>
      <c r="I297" s="57" t="s">
        <v>1557</v>
      </c>
      <c r="J297" s="57" t="s">
        <v>1558</v>
      </c>
      <c r="K297" s="57" t="s">
        <v>1559</v>
      </c>
    </row>
    <row r="298" spans="1:11" ht="28.8" x14ac:dyDescent="0.3">
      <c r="A298" s="57" t="s">
        <v>353</v>
      </c>
      <c r="B298" s="57" t="s">
        <v>1555</v>
      </c>
      <c r="C298" s="57" t="s">
        <v>347</v>
      </c>
      <c r="D298" s="57" t="s">
        <v>913</v>
      </c>
      <c r="E298" s="57">
        <v>3</v>
      </c>
      <c r="F298" s="57" t="s">
        <v>1173</v>
      </c>
      <c r="G298" s="57" t="s">
        <v>1556</v>
      </c>
      <c r="H298" s="57" t="s">
        <v>1277</v>
      </c>
      <c r="I298" s="57" t="s">
        <v>1557</v>
      </c>
      <c r="J298" s="57" t="s">
        <v>1558</v>
      </c>
      <c r="K298" s="57" t="s">
        <v>1559</v>
      </c>
    </row>
    <row r="299" spans="1:11" ht="28.8" x14ac:dyDescent="0.3">
      <c r="A299" s="57" t="s">
        <v>1582</v>
      </c>
      <c r="B299" s="57" t="s">
        <v>1555</v>
      </c>
      <c r="C299" s="57" t="s">
        <v>347</v>
      </c>
      <c r="D299" s="57" t="s">
        <v>913</v>
      </c>
      <c r="E299" s="57">
        <v>3</v>
      </c>
      <c r="F299" s="57" t="s">
        <v>1173</v>
      </c>
      <c r="G299" s="57" t="s">
        <v>1556</v>
      </c>
      <c r="H299" s="57" t="s">
        <v>1277</v>
      </c>
      <c r="I299" s="57" t="s">
        <v>1557</v>
      </c>
      <c r="J299" s="57" t="s">
        <v>1558</v>
      </c>
      <c r="K299" s="57" t="s">
        <v>1559</v>
      </c>
    </row>
    <row r="300" spans="1:11" ht="28.8" x14ac:dyDescent="0.3">
      <c r="A300" s="57" t="s">
        <v>1583</v>
      </c>
      <c r="B300" s="57" t="s">
        <v>1555</v>
      </c>
      <c r="C300" s="57" t="s">
        <v>347</v>
      </c>
      <c r="D300" s="57" t="s">
        <v>913</v>
      </c>
      <c r="E300" s="57">
        <v>3</v>
      </c>
      <c r="F300" s="57" t="s">
        <v>1173</v>
      </c>
      <c r="G300" s="57" t="s">
        <v>1556</v>
      </c>
      <c r="H300" s="57" t="s">
        <v>1277</v>
      </c>
      <c r="I300" s="57" t="s">
        <v>1557</v>
      </c>
      <c r="J300" s="57" t="s">
        <v>1558</v>
      </c>
      <c r="K300" s="57" t="s">
        <v>1559</v>
      </c>
    </row>
    <row r="301" spans="1:11" ht="28.8" x14ac:dyDescent="0.3">
      <c r="A301" s="57" t="s">
        <v>1584</v>
      </c>
      <c r="B301" s="57" t="s">
        <v>1555</v>
      </c>
      <c r="C301" s="57" t="s">
        <v>347</v>
      </c>
      <c r="D301" s="57" t="s">
        <v>913</v>
      </c>
      <c r="E301" s="57">
        <v>3</v>
      </c>
      <c r="F301" s="57" t="s">
        <v>1173</v>
      </c>
      <c r="G301" s="57" t="s">
        <v>1556</v>
      </c>
      <c r="H301" s="57" t="s">
        <v>1277</v>
      </c>
      <c r="I301" s="57" t="s">
        <v>1557</v>
      </c>
      <c r="J301" s="57" t="s">
        <v>1558</v>
      </c>
      <c r="K301" s="57" t="s">
        <v>1559</v>
      </c>
    </row>
    <row r="302" spans="1:11" ht="28.8" x14ac:dyDescent="0.3">
      <c r="A302" s="57" t="s">
        <v>1585</v>
      </c>
      <c r="B302" s="57" t="s">
        <v>1555</v>
      </c>
      <c r="C302" s="57" t="s">
        <v>347</v>
      </c>
      <c r="D302" s="57" t="s">
        <v>913</v>
      </c>
      <c r="E302" s="57">
        <v>3</v>
      </c>
      <c r="F302" s="57" t="s">
        <v>1173</v>
      </c>
      <c r="G302" s="57" t="s">
        <v>1556</v>
      </c>
      <c r="H302" s="57" t="s">
        <v>1277</v>
      </c>
      <c r="I302" s="57" t="s">
        <v>1557</v>
      </c>
      <c r="J302" s="57" t="s">
        <v>1558</v>
      </c>
      <c r="K302" s="57" t="s">
        <v>1559</v>
      </c>
    </row>
    <row r="303" spans="1:11" ht="28.8" x14ac:dyDescent="0.3">
      <c r="A303" s="57" t="s">
        <v>1586</v>
      </c>
      <c r="B303" s="57" t="s">
        <v>1555</v>
      </c>
      <c r="C303" s="57" t="s">
        <v>347</v>
      </c>
      <c r="D303" s="57" t="s">
        <v>913</v>
      </c>
      <c r="E303" s="57">
        <v>3</v>
      </c>
      <c r="F303" s="57" t="s">
        <v>1173</v>
      </c>
      <c r="G303" s="57" t="s">
        <v>1556</v>
      </c>
      <c r="H303" s="57" t="s">
        <v>1277</v>
      </c>
      <c r="I303" s="57" t="s">
        <v>1557</v>
      </c>
      <c r="J303" s="57" t="s">
        <v>1558</v>
      </c>
      <c r="K303" s="57" t="s">
        <v>1559</v>
      </c>
    </row>
    <row r="304" spans="1:11" ht="28.8" x14ac:dyDescent="0.3">
      <c r="A304" s="57" t="s">
        <v>716</v>
      </c>
      <c r="B304" s="57" t="s">
        <v>1555</v>
      </c>
      <c r="C304" s="57" t="s">
        <v>349</v>
      </c>
      <c r="D304" s="57" t="s">
        <v>913</v>
      </c>
      <c r="E304" s="57">
        <v>3</v>
      </c>
      <c r="F304" s="57" t="s">
        <v>1173</v>
      </c>
      <c r="G304" s="57" t="s">
        <v>1556</v>
      </c>
      <c r="H304" s="57" t="s">
        <v>1277</v>
      </c>
      <c r="I304" s="57" t="s">
        <v>1557</v>
      </c>
      <c r="J304" s="57" t="s">
        <v>1558</v>
      </c>
      <c r="K304" s="57" t="s">
        <v>1559</v>
      </c>
    </row>
    <row r="305" spans="1:11" ht="28.8" x14ac:dyDescent="0.3">
      <c r="A305" s="57" t="s">
        <v>1587</v>
      </c>
      <c r="B305" s="57" t="s">
        <v>1555</v>
      </c>
      <c r="C305" s="57" t="s">
        <v>349</v>
      </c>
      <c r="D305" s="57" t="s">
        <v>913</v>
      </c>
      <c r="E305" s="57">
        <v>3</v>
      </c>
      <c r="F305" s="57" t="s">
        <v>1173</v>
      </c>
      <c r="G305" s="57" t="s">
        <v>1556</v>
      </c>
      <c r="H305" s="57" t="s">
        <v>1277</v>
      </c>
      <c r="I305" s="57" t="s">
        <v>1557</v>
      </c>
      <c r="J305" s="57" t="s">
        <v>1558</v>
      </c>
      <c r="K305" s="57" t="s">
        <v>1559</v>
      </c>
    </row>
    <row r="306" spans="1:11" ht="28.8" x14ac:dyDescent="0.3">
      <c r="A306" s="57" t="s">
        <v>1588</v>
      </c>
      <c r="B306" s="57" t="s">
        <v>1555</v>
      </c>
      <c r="C306" s="57" t="s">
        <v>349</v>
      </c>
      <c r="D306" s="57" t="s">
        <v>913</v>
      </c>
      <c r="E306" s="57">
        <v>3</v>
      </c>
      <c r="F306" s="57" t="s">
        <v>1173</v>
      </c>
      <c r="G306" s="57" t="s">
        <v>1556</v>
      </c>
      <c r="H306" s="57" t="s">
        <v>1277</v>
      </c>
      <c r="I306" s="57" t="s">
        <v>1557</v>
      </c>
      <c r="J306" s="57" t="s">
        <v>1558</v>
      </c>
      <c r="K306" s="57" t="s">
        <v>1559</v>
      </c>
    </row>
    <row r="307" spans="1:11" ht="28.8" x14ac:dyDescent="0.3">
      <c r="A307" s="57" t="s">
        <v>1589</v>
      </c>
      <c r="B307" s="57" t="s">
        <v>1555</v>
      </c>
      <c r="C307" s="57" t="s">
        <v>349</v>
      </c>
      <c r="D307" s="57" t="s">
        <v>913</v>
      </c>
      <c r="E307" s="57">
        <v>3</v>
      </c>
      <c r="F307" s="57" t="s">
        <v>1173</v>
      </c>
      <c r="G307" s="57" t="s">
        <v>1556</v>
      </c>
      <c r="H307" s="57" t="s">
        <v>1277</v>
      </c>
      <c r="I307" s="57" t="s">
        <v>1557</v>
      </c>
      <c r="J307" s="57" t="s">
        <v>1558</v>
      </c>
      <c r="K307" s="57" t="s">
        <v>1559</v>
      </c>
    </row>
    <row r="308" spans="1:11" ht="28.8" x14ac:dyDescent="0.3">
      <c r="A308" s="57" t="s">
        <v>1590</v>
      </c>
      <c r="B308" s="57" t="s">
        <v>1555</v>
      </c>
      <c r="C308" s="57" t="s">
        <v>349</v>
      </c>
      <c r="D308" s="57" t="s">
        <v>913</v>
      </c>
      <c r="E308" s="57">
        <v>3</v>
      </c>
      <c r="F308" s="57" t="s">
        <v>1173</v>
      </c>
      <c r="G308" s="57" t="s">
        <v>1556</v>
      </c>
      <c r="H308" s="57" t="s">
        <v>1277</v>
      </c>
      <c r="I308" s="57" t="s">
        <v>1557</v>
      </c>
      <c r="J308" s="57" t="s">
        <v>1558</v>
      </c>
      <c r="K308" s="57" t="s">
        <v>1559</v>
      </c>
    </row>
    <row r="309" spans="1:11" ht="28.8" x14ac:dyDescent="0.3">
      <c r="A309" s="57" t="s">
        <v>1591</v>
      </c>
      <c r="B309" s="57" t="s">
        <v>1555</v>
      </c>
      <c r="C309" s="57" t="s">
        <v>349</v>
      </c>
      <c r="D309" s="57" t="s">
        <v>913</v>
      </c>
      <c r="E309" s="57">
        <v>3</v>
      </c>
      <c r="F309" s="57" t="s">
        <v>1173</v>
      </c>
      <c r="G309" s="57" t="s">
        <v>1556</v>
      </c>
      <c r="H309" s="57" t="s">
        <v>1277</v>
      </c>
      <c r="I309" s="57" t="s">
        <v>1557</v>
      </c>
      <c r="J309" s="57" t="s">
        <v>1558</v>
      </c>
      <c r="K309" s="57" t="s">
        <v>1559</v>
      </c>
    </row>
    <row r="310" spans="1:11" ht="28.8" x14ac:dyDescent="0.3">
      <c r="A310" s="57" t="s">
        <v>1592</v>
      </c>
      <c r="B310" s="57" t="s">
        <v>1555</v>
      </c>
      <c r="C310" s="57" t="s">
        <v>351</v>
      </c>
      <c r="D310" s="57" t="s">
        <v>913</v>
      </c>
      <c r="E310" s="57">
        <v>3</v>
      </c>
      <c r="F310" s="57" t="s">
        <v>1173</v>
      </c>
      <c r="G310" s="57" t="s">
        <v>1556</v>
      </c>
      <c r="H310" s="57" t="s">
        <v>1277</v>
      </c>
      <c r="I310" s="57" t="s">
        <v>1557</v>
      </c>
      <c r="J310" s="57" t="s">
        <v>1558</v>
      </c>
      <c r="K310" s="57" t="s">
        <v>1559</v>
      </c>
    </row>
    <row r="311" spans="1:11" ht="28.8" x14ac:dyDescent="0.3">
      <c r="A311" s="57" t="s">
        <v>627</v>
      </c>
      <c r="B311" s="57" t="s">
        <v>1555</v>
      </c>
      <c r="C311" s="57" t="s">
        <v>351</v>
      </c>
      <c r="D311" s="57" t="s">
        <v>913</v>
      </c>
      <c r="E311" s="57">
        <v>3</v>
      </c>
      <c r="F311" s="57" t="s">
        <v>1173</v>
      </c>
      <c r="G311" s="57" t="s">
        <v>1556</v>
      </c>
      <c r="H311" s="57" t="s">
        <v>1277</v>
      </c>
      <c r="I311" s="57" t="s">
        <v>1557</v>
      </c>
      <c r="J311" s="57" t="s">
        <v>1558</v>
      </c>
      <c r="K311" s="57" t="s">
        <v>1559</v>
      </c>
    </row>
    <row r="312" spans="1:11" ht="28.8" x14ac:dyDescent="0.3">
      <c r="A312" s="57" t="s">
        <v>1579</v>
      </c>
      <c r="B312" s="57" t="s">
        <v>1555</v>
      </c>
      <c r="C312" s="57" t="s">
        <v>351</v>
      </c>
      <c r="D312" s="57" t="s">
        <v>913</v>
      </c>
      <c r="E312" s="57">
        <v>3</v>
      </c>
      <c r="F312" s="57" t="s">
        <v>1173</v>
      </c>
      <c r="G312" s="57" t="s">
        <v>1556</v>
      </c>
      <c r="H312" s="57" t="s">
        <v>1277</v>
      </c>
      <c r="I312" s="57" t="s">
        <v>1557</v>
      </c>
      <c r="J312" s="57" t="s">
        <v>1558</v>
      </c>
      <c r="K312" s="57" t="s">
        <v>1559</v>
      </c>
    </row>
    <row r="313" spans="1:11" ht="28.8" x14ac:dyDescent="0.3">
      <c r="A313" s="57" t="s">
        <v>1593</v>
      </c>
      <c r="B313" s="57" t="s">
        <v>1555</v>
      </c>
      <c r="C313" s="57" t="s">
        <v>351</v>
      </c>
      <c r="D313" s="57" t="s">
        <v>913</v>
      </c>
      <c r="E313" s="57">
        <v>3</v>
      </c>
      <c r="F313" s="57" t="s">
        <v>1173</v>
      </c>
      <c r="G313" s="57" t="s">
        <v>1556</v>
      </c>
      <c r="H313" s="57" t="s">
        <v>1277</v>
      </c>
      <c r="I313" s="57" t="s">
        <v>1557</v>
      </c>
      <c r="J313" s="57" t="s">
        <v>1558</v>
      </c>
      <c r="K313" s="57" t="s">
        <v>1559</v>
      </c>
    </row>
    <row r="314" spans="1:11" ht="28.8" x14ac:dyDescent="0.3">
      <c r="A314" s="57" t="s">
        <v>1594</v>
      </c>
      <c r="B314" s="57" t="s">
        <v>1555</v>
      </c>
      <c r="C314" s="57" t="s">
        <v>351</v>
      </c>
      <c r="D314" s="57" t="s">
        <v>913</v>
      </c>
      <c r="E314" s="57">
        <v>3</v>
      </c>
      <c r="F314" s="57" t="s">
        <v>1173</v>
      </c>
      <c r="G314" s="57" t="s">
        <v>1556</v>
      </c>
      <c r="H314" s="57" t="s">
        <v>1277</v>
      </c>
      <c r="I314" s="57" t="s">
        <v>1557</v>
      </c>
      <c r="J314" s="57" t="s">
        <v>1558</v>
      </c>
      <c r="K314" s="57" t="s">
        <v>1559</v>
      </c>
    </row>
    <row r="315" spans="1:11" ht="28.8" x14ac:dyDescent="0.3">
      <c r="A315" s="57" t="s">
        <v>1595</v>
      </c>
      <c r="B315" s="57" t="s">
        <v>1555</v>
      </c>
      <c r="C315" s="57" t="s">
        <v>351</v>
      </c>
      <c r="D315" s="57" t="s">
        <v>913</v>
      </c>
      <c r="E315" s="57">
        <v>3</v>
      </c>
      <c r="F315" s="57" t="s">
        <v>1173</v>
      </c>
      <c r="G315" s="57" t="s">
        <v>1556</v>
      </c>
      <c r="H315" s="57" t="s">
        <v>1277</v>
      </c>
      <c r="I315" s="57" t="s">
        <v>1557</v>
      </c>
      <c r="J315" s="57" t="s">
        <v>1558</v>
      </c>
      <c r="K315" s="57" t="s">
        <v>1559</v>
      </c>
    </row>
    <row r="316" spans="1:11" ht="28.8" x14ac:dyDescent="0.3">
      <c r="A316" s="57" t="s">
        <v>1596</v>
      </c>
      <c r="B316" s="57" t="s">
        <v>1555</v>
      </c>
      <c r="C316" s="57" t="s">
        <v>353</v>
      </c>
      <c r="D316" s="57" t="s">
        <v>913</v>
      </c>
      <c r="E316" s="57">
        <v>3</v>
      </c>
      <c r="F316" s="57" t="s">
        <v>1173</v>
      </c>
      <c r="G316" s="57" t="s">
        <v>1556</v>
      </c>
      <c r="H316" s="57" t="s">
        <v>1277</v>
      </c>
      <c r="I316" s="57" t="s">
        <v>1557</v>
      </c>
      <c r="J316" s="57" t="s">
        <v>1558</v>
      </c>
      <c r="K316" s="57" t="s">
        <v>1559</v>
      </c>
    </row>
    <row r="317" spans="1:11" ht="28.8" x14ac:dyDescent="0.3">
      <c r="A317" s="57" t="s">
        <v>1597</v>
      </c>
      <c r="B317" s="57" t="s">
        <v>1555</v>
      </c>
      <c r="C317" s="57" t="s">
        <v>353</v>
      </c>
      <c r="D317" s="57" t="s">
        <v>913</v>
      </c>
      <c r="E317" s="57">
        <v>3</v>
      </c>
      <c r="F317" s="57" t="s">
        <v>1173</v>
      </c>
      <c r="G317" s="57" t="s">
        <v>1556</v>
      </c>
      <c r="H317" s="57" t="s">
        <v>1277</v>
      </c>
      <c r="I317" s="57" t="s">
        <v>1557</v>
      </c>
      <c r="J317" s="57" t="s">
        <v>1558</v>
      </c>
      <c r="K317" s="57" t="s">
        <v>1559</v>
      </c>
    </row>
    <row r="318" spans="1:11" ht="28.8" x14ac:dyDescent="0.3">
      <c r="A318" s="57" t="s">
        <v>812</v>
      </c>
      <c r="B318" s="57" t="s">
        <v>1555</v>
      </c>
      <c r="C318" s="57" t="s">
        <v>353</v>
      </c>
      <c r="D318" s="57" t="s">
        <v>913</v>
      </c>
      <c r="E318" s="57">
        <v>3</v>
      </c>
      <c r="F318" s="57" t="s">
        <v>1173</v>
      </c>
      <c r="G318" s="57" t="s">
        <v>1556</v>
      </c>
      <c r="H318" s="57" t="s">
        <v>1277</v>
      </c>
      <c r="I318" s="57" t="s">
        <v>1557</v>
      </c>
      <c r="J318" s="57" t="s">
        <v>1558</v>
      </c>
      <c r="K318" s="57" t="s">
        <v>1559</v>
      </c>
    </row>
    <row r="319" spans="1:11" ht="28.8" x14ac:dyDescent="0.3">
      <c r="A319" s="57" t="s">
        <v>1598</v>
      </c>
      <c r="B319" s="57" t="s">
        <v>1555</v>
      </c>
      <c r="C319" s="57" t="s">
        <v>353</v>
      </c>
      <c r="D319" s="57" t="s">
        <v>913</v>
      </c>
      <c r="E319" s="57">
        <v>3</v>
      </c>
      <c r="F319" s="57" t="s">
        <v>1173</v>
      </c>
      <c r="G319" s="57" t="s">
        <v>1556</v>
      </c>
      <c r="H319" s="57" t="s">
        <v>1277</v>
      </c>
      <c r="I319" s="57" t="s">
        <v>1557</v>
      </c>
      <c r="J319" s="57" t="s">
        <v>1558</v>
      </c>
      <c r="K319" s="57" t="s">
        <v>1559</v>
      </c>
    </row>
    <row r="320" spans="1:11" ht="28.8" x14ac:dyDescent="0.3">
      <c r="A320" s="57" t="s">
        <v>1599</v>
      </c>
      <c r="B320" s="57" t="s">
        <v>1555</v>
      </c>
      <c r="C320" s="57" t="s">
        <v>353</v>
      </c>
      <c r="D320" s="57" t="s">
        <v>913</v>
      </c>
      <c r="E320" s="57">
        <v>3</v>
      </c>
      <c r="F320" s="57" t="s">
        <v>1173</v>
      </c>
      <c r="G320" s="57" t="s">
        <v>1556</v>
      </c>
      <c r="H320" s="57" t="s">
        <v>1277</v>
      </c>
      <c r="I320" s="57" t="s">
        <v>1557</v>
      </c>
      <c r="J320" s="57" t="s">
        <v>1558</v>
      </c>
      <c r="K320" s="57" t="s">
        <v>1559</v>
      </c>
    </row>
    <row r="321" spans="1:11" ht="28.8" x14ac:dyDescent="0.3">
      <c r="A321" s="57" t="s">
        <v>1600</v>
      </c>
      <c r="B321" s="57" t="s">
        <v>1555</v>
      </c>
      <c r="C321" s="57" t="s">
        <v>353</v>
      </c>
      <c r="D321" s="57" t="s">
        <v>913</v>
      </c>
      <c r="E321" s="57">
        <v>3</v>
      </c>
      <c r="F321" s="57" t="s">
        <v>1173</v>
      </c>
      <c r="G321" s="57" t="s">
        <v>1556</v>
      </c>
      <c r="H321" s="57" t="s">
        <v>1277</v>
      </c>
      <c r="I321" s="57" t="s">
        <v>1557</v>
      </c>
      <c r="J321" s="57" t="s">
        <v>1558</v>
      </c>
      <c r="K321" s="57" t="s">
        <v>1559</v>
      </c>
    </row>
    <row r="322" spans="1:11" ht="28.8" x14ac:dyDescent="0.3">
      <c r="A322" s="57" t="s">
        <v>1577</v>
      </c>
      <c r="B322" s="57" t="s">
        <v>1555</v>
      </c>
      <c r="C322" s="57" t="s">
        <v>726</v>
      </c>
      <c r="D322" s="57" t="s">
        <v>913</v>
      </c>
      <c r="E322" s="57">
        <v>3</v>
      </c>
      <c r="F322" s="57" t="s">
        <v>1173</v>
      </c>
      <c r="G322" s="57" t="s">
        <v>1556</v>
      </c>
      <c r="H322" s="57" t="s">
        <v>1277</v>
      </c>
      <c r="I322" s="57" t="s">
        <v>1557</v>
      </c>
      <c r="J322" s="57" t="s">
        <v>1558</v>
      </c>
      <c r="K322" s="57" t="s">
        <v>1559</v>
      </c>
    </row>
    <row r="323" spans="1:11" ht="28.8" x14ac:dyDescent="0.3">
      <c r="A323" s="57" t="s">
        <v>727</v>
      </c>
      <c r="B323" s="57" t="s">
        <v>1555</v>
      </c>
      <c r="C323" s="57" t="s">
        <v>726</v>
      </c>
      <c r="D323" s="57" t="s">
        <v>913</v>
      </c>
      <c r="E323" s="57">
        <v>3</v>
      </c>
      <c r="F323" s="57" t="s">
        <v>1173</v>
      </c>
      <c r="G323" s="57" t="s">
        <v>1556</v>
      </c>
      <c r="H323" s="57" t="s">
        <v>1277</v>
      </c>
      <c r="I323" s="57" t="s">
        <v>1557</v>
      </c>
      <c r="J323" s="57" t="s">
        <v>1558</v>
      </c>
      <c r="K323" s="57" t="s">
        <v>1559</v>
      </c>
    </row>
    <row r="324" spans="1:11" ht="28.8" x14ac:dyDescent="0.3">
      <c r="A324" s="57" t="s">
        <v>1591</v>
      </c>
      <c r="B324" s="57" t="s">
        <v>1555</v>
      </c>
      <c r="C324" s="57" t="s">
        <v>726</v>
      </c>
      <c r="D324" s="57" t="s">
        <v>913</v>
      </c>
      <c r="E324" s="57">
        <v>3</v>
      </c>
      <c r="F324" s="57" t="s">
        <v>1173</v>
      </c>
      <c r="G324" s="57" t="s">
        <v>1556</v>
      </c>
      <c r="H324" s="57" t="s">
        <v>1277</v>
      </c>
      <c r="I324" s="57" t="s">
        <v>1557</v>
      </c>
      <c r="J324" s="57" t="s">
        <v>1558</v>
      </c>
      <c r="K324" s="57" t="s">
        <v>1559</v>
      </c>
    </row>
    <row r="325" spans="1:11" ht="28.8" x14ac:dyDescent="0.3">
      <c r="A325" s="57" t="s">
        <v>1601</v>
      </c>
      <c r="B325" s="57" t="s">
        <v>1555</v>
      </c>
      <c r="C325" s="57" t="s">
        <v>726</v>
      </c>
      <c r="D325" s="57" t="s">
        <v>913</v>
      </c>
      <c r="E325" s="57">
        <v>3</v>
      </c>
      <c r="F325" s="57" t="s">
        <v>1173</v>
      </c>
      <c r="G325" s="57" t="s">
        <v>1556</v>
      </c>
      <c r="H325" s="57" t="s">
        <v>1277</v>
      </c>
      <c r="I325" s="57" t="s">
        <v>1557</v>
      </c>
      <c r="J325" s="57" t="s">
        <v>1558</v>
      </c>
      <c r="K325" s="57" t="s">
        <v>1559</v>
      </c>
    </row>
    <row r="326" spans="1:11" ht="28.8" x14ac:dyDescent="0.3">
      <c r="A326" s="57" t="s">
        <v>1602</v>
      </c>
      <c r="B326" s="57" t="s">
        <v>1555</v>
      </c>
      <c r="C326" s="57" t="s">
        <v>726</v>
      </c>
      <c r="D326" s="57" t="s">
        <v>913</v>
      </c>
      <c r="E326" s="57">
        <v>3</v>
      </c>
      <c r="F326" s="57" t="s">
        <v>1173</v>
      </c>
      <c r="G326" s="57" t="s">
        <v>1556</v>
      </c>
      <c r="H326" s="57" t="s">
        <v>1277</v>
      </c>
      <c r="I326" s="57" t="s">
        <v>1557</v>
      </c>
      <c r="J326" s="57" t="s">
        <v>1558</v>
      </c>
      <c r="K326" s="57" t="s">
        <v>1559</v>
      </c>
    </row>
    <row r="327" spans="1:11" ht="28.8" x14ac:dyDescent="0.3">
      <c r="A327" s="57" t="s">
        <v>1603</v>
      </c>
      <c r="B327" s="57" t="s">
        <v>1555</v>
      </c>
      <c r="C327" s="57" t="s">
        <v>726</v>
      </c>
      <c r="D327" s="57" t="s">
        <v>913</v>
      </c>
      <c r="E327" s="57">
        <v>3</v>
      </c>
      <c r="F327" s="57" t="s">
        <v>1173</v>
      </c>
      <c r="G327" s="57" t="s">
        <v>1556</v>
      </c>
      <c r="H327" s="57" t="s">
        <v>1277</v>
      </c>
      <c r="I327" s="57" t="s">
        <v>1557</v>
      </c>
      <c r="J327" s="57" t="s">
        <v>1558</v>
      </c>
      <c r="K327" s="57" t="s">
        <v>1559</v>
      </c>
    </row>
    <row r="328" spans="1:11" ht="28.8" x14ac:dyDescent="0.3">
      <c r="A328" s="57" t="s">
        <v>1604</v>
      </c>
      <c r="B328" s="57" t="s">
        <v>1605</v>
      </c>
      <c r="C328" s="57" t="s">
        <v>1606</v>
      </c>
      <c r="D328" s="57" t="s">
        <v>922</v>
      </c>
      <c r="E328" s="57">
        <v>4</v>
      </c>
      <c r="F328" s="57" t="s">
        <v>1188</v>
      </c>
      <c r="G328" s="57" t="s">
        <v>1607</v>
      </c>
      <c r="H328" s="57" t="s">
        <v>1277</v>
      </c>
      <c r="I328" s="57" t="s">
        <v>1608</v>
      </c>
      <c r="J328" s="57" t="s">
        <v>1609</v>
      </c>
      <c r="K328" s="57" t="s">
        <v>1610</v>
      </c>
    </row>
    <row r="329" spans="1:11" ht="28.8" x14ac:dyDescent="0.3">
      <c r="A329" s="57" t="s">
        <v>1611</v>
      </c>
      <c r="B329" s="57" t="s">
        <v>1605</v>
      </c>
      <c r="C329" s="57" t="s">
        <v>1606</v>
      </c>
      <c r="D329" s="57" t="s">
        <v>922</v>
      </c>
      <c r="E329" s="57">
        <v>4</v>
      </c>
      <c r="F329" s="57" t="s">
        <v>1188</v>
      </c>
      <c r="G329" s="57" t="s">
        <v>1607</v>
      </c>
      <c r="H329" s="57" t="s">
        <v>1277</v>
      </c>
      <c r="I329" s="57" t="s">
        <v>1608</v>
      </c>
      <c r="J329" s="57" t="s">
        <v>1609</v>
      </c>
      <c r="K329" s="57" t="s">
        <v>1610</v>
      </c>
    </row>
    <row r="330" spans="1:11" ht="28.8" x14ac:dyDescent="0.3">
      <c r="A330" s="57" t="s">
        <v>877</v>
      </c>
      <c r="B330" s="57" t="s">
        <v>1605</v>
      </c>
      <c r="C330" s="57" t="s">
        <v>1606</v>
      </c>
      <c r="D330" s="57" t="s">
        <v>922</v>
      </c>
      <c r="E330" s="57">
        <v>4</v>
      </c>
      <c r="F330" s="57" t="s">
        <v>1188</v>
      </c>
      <c r="G330" s="57" t="s">
        <v>1607</v>
      </c>
      <c r="H330" s="57" t="s">
        <v>1277</v>
      </c>
      <c r="I330" s="57" t="s">
        <v>1608</v>
      </c>
      <c r="J330" s="57" t="s">
        <v>1609</v>
      </c>
      <c r="K330" s="57" t="s">
        <v>1610</v>
      </c>
    </row>
    <row r="331" spans="1:11" ht="28.8" x14ac:dyDescent="0.3">
      <c r="A331" s="57" t="s">
        <v>882</v>
      </c>
      <c r="B331" s="57" t="s">
        <v>1605</v>
      </c>
      <c r="C331" s="57" t="s">
        <v>1606</v>
      </c>
      <c r="D331" s="57" t="s">
        <v>922</v>
      </c>
      <c r="E331" s="57">
        <v>4</v>
      </c>
      <c r="F331" s="57" t="s">
        <v>1188</v>
      </c>
      <c r="G331" s="57" t="s">
        <v>1607</v>
      </c>
      <c r="H331" s="57" t="s">
        <v>1277</v>
      </c>
      <c r="I331" s="57" t="s">
        <v>1608</v>
      </c>
      <c r="J331" s="57" t="s">
        <v>1609</v>
      </c>
      <c r="K331" s="57" t="s">
        <v>1610</v>
      </c>
    </row>
    <row r="332" spans="1:11" ht="28.8" x14ac:dyDescent="0.3">
      <c r="A332" s="57" t="s">
        <v>885</v>
      </c>
      <c r="B332" s="57" t="s">
        <v>1605</v>
      </c>
      <c r="C332" s="57" t="s">
        <v>1606</v>
      </c>
      <c r="D332" s="57" t="s">
        <v>922</v>
      </c>
      <c r="E332" s="57">
        <v>4</v>
      </c>
      <c r="F332" s="57" t="s">
        <v>1188</v>
      </c>
      <c r="G332" s="57" t="s">
        <v>1607</v>
      </c>
      <c r="H332" s="57" t="s">
        <v>1277</v>
      </c>
      <c r="I332" s="57" t="s">
        <v>1608</v>
      </c>
      <c r="J332" s="57" t="s">
        <v>1609</v>
      </c>
      <c r="K332" s="57" t="s">
        <v>1610</v>
      </c>
    </row>
    <row r="333" spans="1:11" ht="28.8" x14ac:dyDescent="0.3">
      <c r="A333" s="57" t="s">
        <v>1612</v>
      </c>
      <c r="B333" s="57" t="s">
        <v>1605</v>
      </c>
      <c r="C333" s="57" t="s">
        <v>1606</v>
      </c>
      <c r="D333" s="57" t="s">
        <v>922</v>
      </c>
      <c r="E333" s="57">
        <v>4</v>
      </c>
      <c r="F333" s="57" t="s">
        <v>1188</v>
      </c>
      <c r="G333" s="57" t="s">
        <v>1607</v>
      </c>
      <c r="H333" s="57" t="s">
        <v>1277</v>
      </c>
      <c r="I333" s="57" t="s">
        <v>1608</v>
      </c>
      <c r="J333" s="57" t="s">
        <v>1609</v>
      </c>
      <c r="K333" s="57" t="s">
        <v>1610</v>
      </c>
    </row>
    <row r="334" spans="1:11" ht="28.8" x14ac:dyDescent="0.3">
      <c r="A334" s="57" t="s">
        <v>1613</v>
      </c>
      <c r="B334" s="57" t="s">
        <v>1605</v>
      </c>
      <c r="C334" s="57" t="s">
        <v>1606</v>
      </c>
      <c r="D334" s="57" t="s">
        <v>922</v>
      </c>
      <c r="E334" s="57">
        <v>4</v>
      </c>
      <c r="F334" s="57" t="s">
        <v>1188</v>
      </c>
      <c r="G334" s="57" t="s">
        <v>1607</v>
      </c>
      <c r="H334" s="57" t="s">
        <v>1277</v>
      </c>
      <c r="I334" s="57" t="s">
        <v>1608</v>
      </c>
      <c r="J334" s="57" t="s">
        <v>1609</v>
      </c>
      <c r="K334" s="57" t="s">
        <v>1610</v>
      </c>
    </row>
    <row r="335" spans="1:11" ht="28.8" x14ac:dyDescent="0.3">
      <c r="A335" s="57" t="s">
        <v>1078</v>
      </c>
      <c r="B335" s="57" t="s">
        <v>1605</v>
      </c>
      <c r="C335" s="57" t="s">
        <v>1606</v>
      </c>
      <c r="D335" s="57" t="s">
        <v>922</v>
      </c>
      <c r="E335" s="57">
        <v>4</v>
      </c>
      <c r="F335" s="57" t="s">
        <v>1188</v>
      </c>
      <c r="G335" s="57" t="s">
        <v>1607</v>
      </c>
      <c r="H335" s="57" t="s">
        <v>1277</v>
      </c>
      <c r="I335" s="57" t="s">
        <v>1608</v>
      </c>
      <c r="J335" s="57" t="s">
        <v>1609</v>
      </c>
      <c r="K335" s="57" t="s">
        <v>1610</v>
      </c>
    </row>
    <row r="336" spans="1:11" ht="28.8" x14ac:dyDescent="0.3">
      <c r="A336" s="57" t="s">
        <v>1614</v>
      </c>
      <c r="B336" s="57" t="s">
        <v>1605</v>
      </c>
      <c r="C336" s="57" t="s">
        <v>1606</v>
      </c>
      <c r="D336" s="57" t="s">
        <v>922</v>
      </c>
      <c r="E336" s="57">
        <v>4</v>
      </c>
      <c r="F336" s="57" t="s">
        <v>1188</v>
      </c>
      <c r="G336" s="57" t="s">
        <v>1607</v>
      </c>
      <c r="H336" s="57" t="s">
        <v>1277</v>
      </c>
      <c r="I336" s="57" t="s">
        <v>1608</v>
      </c>
      <c r="J336" s="57" t="s">
        <v>1609</v>
      </c>
      <c r="K336" s="57" t="s">
        <v>1610</v>
      </c>
    </row>
    <row r="337" spans="1:11" ht="28.8" x14ac:dyDescent="0.3">
      <c r="A337" s="57" t="s">
        <v>1615</v>
      </c>
      <c r="B337" s="57" t="s">
        <v>1605</v>
      </c>
      <c r="C337" s="57" t="s">
        <v>1606</v>
      </c>
      <c r="D337" s="57" t="s">
        <v>922</v>
      </c>
      <c r="E337" s="57">
        <v>4</v>
      </c>
      <c r="F337" s="57" t="s">
        <v>1188</v>
      </c>
      <c r="G337" s="57" t="s">
        <v>1607</v>
      </c>
      <c r="H337" s="57" t="s">
        <v>1277</v>
      </c>
      <c r="I337" s="57" t="s">
        <v>1608</v>
      </c>
      <c r="J337" s="57" t="s">
        <v>1609</v>
      </c>
      <c r="K337" s="57" t="s">
        <v>1610</v>
      </c>
    </row>
    <row r="338" spans="1:11" ht="28.8" x14ac:dyDescent="0.3">
      <c r="A338" s="57" t="s">
        <v>1616</v>
      </c>
      <c r="B338" s="57" t="s">
        <v>1605</v>
      </c>
      <c r="C338" s="57" t="s">
        <v>1606</v>
      </c>
      <c r="D338" s="57" t="s">
        <v>922</v>
      </c>
      <c r="E338" s="57">
        <v>4</v>
      </c>
      <c r="F338" s="57" t="s">
        <v>1188</v>
      </c>
      <c r="G338" s="57" t="s">
        <v>1607</v>
      </c>
      <c r="H338" s="57" t="s">
        <v>1277</v>
      </c>
      <c r="I338" s="57" t="s">
        <v>1608</v>
      </c>
      <c r="J338" s="57" t="s">
        <v>1609</v>
      </c>
      <c r="K338" s="57" t="s">
        <v>1610</v>
      </c>
    </row>
    <row r="339" spans="1:11" ht="28.8" x14ac:dyDescent="0.3">
      <c r="A339" s="57" t="s">
        <v>1617</v>
      </c>
      <c r="B339" s="57" t="s">
        <v>1605</v>
      </c>
      <c r="C339" s="57" t="s">
        <v>1606</v>
      </c>
      <c r="D339" s="57" t="s">
        <v>922</v>
      </c>
      <c r="E339" s="57">
        <v>4</v>
      </c>
      <c r="F339" s="57" t="s">
        <v>1188</v>
      </c>
      <c r="G339" s="57" t="s">
        <v>1607</v>
      </c>
      <c r="H339" s="57" t="s">
        <v>1277</v>
      </c>
      <c r="I339" s="57" t="s">
        <v>1608</v>
      </c>
      <c r="J339" s="57" t="s">
        <v>1609</v>
      </c>
      <c r="K339" s="57" t="s">
        <v>1610</v>
      </c>
    </row>
    <row r="340" spans="1:11" ht="28.8" x14ac:dyDescent="0.3">
      <c r="A340" s="57" t="s">
        <v>1618</v>
      </c>
      <c r="B340" s="57" t="s">
        <v>1605</v>
      </c>
      <c r="C340" s="57" t="s">
        <v>1606</v>
      </c>
      <c r="D340" s="57" t="s">
        <v>922</v>
      </c>
      <c r="E340" s="57">
        <v>4</v>
      </c>
      <c r="F340" s="57" t="s">
        <v>1188</v>
      </c>
      <c r="G340" s="57" t="s">
        <v>1607</v>
      </c>
      <c r="H340" s="57" t="s">
        <v>1277</v>
      </c>
      <c r="I340" s="57" t="s">
        <v>1608</v>
      </c>
      <c r="J340" s="57" t="s">
        <v>1609</v>
      </c>
      <c r="K340" s="57" t="s">
        <v>1610</v>
      </c>
    </row>
    <row r="341" spans="1:11" ht="28.8" x14ac:dyDescent="0.3">
      <c r="A341" s="57" t="s">
        <v>1619</v>
      </c>
      <c r="B341" s="57" t="s">
        <v>1605</v>
      </c>
      <c r="C341" s="57" t="s">
        <v>1606</v>
      </c>
      <c r="D341" s="57" t="s">
        <v>922</v>
      </c>
      <c r="E341" s="57">
        <v>4</v>
      </c>
      <c r="F341" s="57" t="s">
        <v>1188</v>
      </c>
      <c r="G341" s="57" t="s">
        <v>1607</v>
      </c>
      <c r="H341" s="57" t="s">
        <v>1277</v>
      </c>
      <c r="I341" s="57" t="s">
        <v>1608</v>
      </c>
      <c r="J341" s="57" t="s">
        <v>1609</v>
      </c>
      <c r="K341" s="57" t="s">
        <v>1610</v>
      </c>
    </row>
    <row r="342" spans="1:11" ht="28.8" x14ac:dyDescent="0.3">
      <c r="A342" s="57" t="s">
        <v>876</v>
      </c>
      <c r="B342" s="57" t="s">
        <v>1605</v>
      </c>
      <c r="C342" s="57" t="s">
        <v>1606</v>
      </c>
      <c r="D342" s="57" t="s">
        <v>922</v>
      </c>
      <c r="E342" s="57">
        <v>4</v>
      </c>
      <c r="F342" s="57" t="s">
        <v>1188</v>
      </c>
      <c r="G342" s="57" t="s">
        <v>1607</v>
      </c>
      <c r="H342" s="57" t="s">
        <v>1277</v>
      </c>
      <c r="I342" s="57" t="s">
        <v>1608</v>
      </c>
      <c r="J342" s="57" t="s">
        <v>1609</v>
      </c>
      <c r="K342" s="57" t="s">
        <v>1610</v>
      </c>
    </row>
    <row r="343" spans="1:11" ht="28.8" x14ac:dyDescent="0.3">
      <c r="A343" s="57" t="s">
        <v>1620</v>
      </c>
      <c r="B343" s="57" t="s">
        <v>1605</v>
      </c>
      <c r="C343" s="57" t="s">
        <v>1606</v>
      </c>
      <c r="D343" s="57" t="s">
        <v>922</v>
      </c>
      <c r="E343" s="57">
        <v>4</v>
      </c>
      <c r="F343" s="57" t="s">
        <v>1188</v>
      </c>
      <c r="G343" s="57" t="s">
        <v>1607</v>
      </c>
      <c r="H343" s="57" t="s">
        <v>1277</v>
      </c>
      <c r="I343" s="57" t="s">
        <v>1608</v>
      </c>
      <c r="J343" s="57" t="s">
        <v>1609</v>
      </c>
      <c r="K343" s="57" t="s">
        <v>1610</v>
      </c>
    </row>
    <row r="344" spans="1:11" ht="28.8" x14ac:dyDescent="0.3">
      <c r="A344" s="57" t="s">
        <v>1621</v>
      </c>
      <c r="B344" s="57" t="s">
        <v>1605</v>
      </c>
      <c r="C344" s="57" t="s">
        <v>1606</v>
      </c>
      <c r="D344" s="57" t="s">
        <v>922</v>
      </c>
      <c r="E344" s="57">
        <v>4</v>
      </c>
      <c r="F344" s="57" t="s">
        <v>1188</v>
      </c>
      <c r="G344" s="57" t="s">
        <v>1607</v>
      </c>
      <c r="H344" s="57" t="s">
        <v>1277</v>
      </c>
      <c r="I344" s="57" t="s">
        <v>1608</v>
      </c>
      <c r="J344" s="57" t="s">
        <v>1609</v>
      </c>
      <c r="K344" s="57" t="s">
        <v>1610</v>
      </c>
    </row>
    <row r="345" spans="1:11" ht="28.8" x14ac:dyDescent="0.3">
      <c r="A345" s="57" t="s">
        <v>1622</v>
      </c>
      <c r="B345" s="57" t="s">
        <v>1605</v>
      </c>
      <c r="C345" s="57" t="s">
        <v>1606</v>
      </c>
      <c r="D345" s="57" t="s">
        <v>922</v>
      </c>
      <c r="E345" s="57">
        <v>4</v>
      </c>
      <c r="F345" s="57" t="s">
        <v>1188</v>
      </c>
      <c r="G345" s="57" t="s">
        <v>1607</v>
      </c>
      <c r="H345" s="57" t="s">
        <v>1277</v>
      </c>
      <c r="I345" s="57" t="s">
        <v>1608</v>
      </c>
      <c r="J345" s="57" t="s">
        <v>1609</v>
      </c>
      <c r="K345" s="57" t="s">
        <v>1610</v>
      </c>
    </row>
    <row r="346" spans="1:11" ht="28.8" x14ac:dyDescent="0.3">
      <c r="A346" s="57" t="s">
        <v>1623</v>
      </c>
      <c r="B346" s="57" t="s">
        <v>1605</v>
      </c>
      <c r="C346" s="57" t="s">
        <v>1606</v>
      </c>
      <c r="D346" s="57" t="s">
        <v>922</v>
      </c>
      <c r="E346" s="57">
        <v>4</v>
      </c>
      <c r="F346" s="57" t="s">
        <v>1188</v>
      </c>
      <c r="G346" s="57" t="s">
        <v>1607</v>
      </c>
      <c r="H346" s="57" t="s">
        <v>1277</v>
      </c>
      <c r="I346" s="57" t="s">
        <v>1608</v>
      </c>
      <c r="J346" s="57" t="s">
        <v>1609</v>
      </c>
      <c r="K346" s="57" t="s">
        <v>1610</v>
      </c>
    </row>
    <row r="347" spans="1:11" ht="28.8" x14ac:dyDescent="0.3">
      <c r="A347" s="57" t="s">
        <v>1624</v>
      </c>
      <c r="B347" s="57" t="s">
        <v>1605</v>
      </c>
      <c r="C347" s="57" t="s">
        <v>1606</v>
      </c>
      <c r="D347" s="57" t="s">
        <v>922</v>
      </c>
      <c r="E347" s="57">
        <v>4</v>
      </c>
      <c r="F347" s="57" t="s">
        <v>1188</v>
      </c>
      <c r="G347" s="57" t="s">
        <v>1607</v>
      </c>
      <c r="H347" s="57" t="s">
        <v>1277</v>
      </c>
      <c r="I347" s="57" t="s">
        <v>1608</v>
      </c>
      <c r="J347" s="57" t="s">
        <v>1609</v>
      </c>
      <c r="K347" s="57" t="s">
        <v>1610</v>
      </c>
    </row>
    <row r="348" spans="1:11" ht="28.8" x14ac:dyDescent="0.3">
      <c r="A348" s="57" t="s">
        <v>1625</v>
      </c>
      <c r="B348" s="57" t="s">
        <v>1605</v>
      </c>
      <c r="C348" s="57" t="s">
        <v>1606</v>
      </c>
      <c r="D348" s="57" t="s">
        <v>922</v>
      </c>
      <c r="E348" s="57">
        <v>4</v>
      </c>
      <c r="F348" s="57" t="s">
        <v>1188</v>
      </c>
      <c r="G348" s="57" t="s">
        <v>1607</v>
      </c>
      <c r="H348" s="57" t="s">
        <v>1277</v>
      </c>
      <c r="I348" s="57" t="s">
        <v>1608</v>
      </c>
      <c r="J348" s="57" t="s">
        <v>1609</v>
      </c>
      <c r="K348" s="57" t="s">
        <v>1610</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7"/>
  <sheetViews>
    <sheetView workbookViewId="0"/>
  </sheetViews>
  <sheetFormatPr defaultRowHeight="14.4" x14ac:dyDescent="0.3"/>
  <cols>
    <col min="1" max="1" width="24" customWidth="1"/>
    <col min="2" max="4" width="45" customWidth="1"/>
  </cols>
  <sheetData>
    <row r="1" spans="1:4" x14ac:dyDescent="0.3">
      <c r="A1" s="107" t="s">
        <v>1626</v>
      </c>
      <c r="B1" s="107" t="s">
        <v>1627</v>
      </c>
      <c r="C1" s="107" t="s">
        <v>1628</v>
      </c>
      <c r="D1" s="107" t="s">
        <v>1629</v>
      </c>
    </row>
    <row r="2" spans="1:4" ht="57.6" x14ac:dyDescent="0.3">
      <c r="A2" s="57" t="s">
        <v>1630</v>
      </c>
      <c r="B2" s="57" t="s">
        <v>1631</v>
      </c>
      <c r="C2" s="57" t="s">
        <v>1632</v>
      </c>
      <c r="D2" s="57" t="s">
        <v>1633</v>
      </c>
    </row>
    <row r="3" spans="1:4" ht="28.8" x14ac:dyDescent="0.3">
      <c r="A3" s="57" t="s">
        <v>1170</v>
      </c>
      <c r="B3" s="57" t="s">
        <v>1634</v>
      </c>
      <c r="C3" s="57" t="s">
        <v>1635</v>
      </c>
      <c r="D3" s="57" t="s">
        <v>1636</v>
      </c>
    </row>
    <row r="4" spans="1:4" ht="28.8" x14ac:dyDescent="0.3">
      <c r="A4" s="57" t="s">
        <v>1228</v>
      </c>
      <c r="B4" s="57" t="s">
        <v>1637</v>
      </c>
      <c r="C4" s="57" t="s">
        <v>1638</v>
      </c>
      <c r="D4" s="57" t="s">
        <v>1639</v>
      </c>
    </row>
    <row r="5" spans="1:4" ht="28.8" x14ac:dyDescent="0.3">
      <c r="A5" s="57" t="s">
        <v>1371</v>
      </c>
      <c r="B5" s="57" t="s">
        <v>1640</v>
      </c>
      <c r="C5" s="57" t="s">
        <v>1641</v>
      </c>
      <c r="D5" s="57" t="s">
        <v>1642</v>
      </c>
    </row>
    <row r="6" spans="1:4" ht="28.8" x14ac:dyDescent="0.3">
      <c r="A6" s="57" t="s">
        <v>1330</v>
      </c>
      <c r="B6" s="57" t="s">
        <v>1643</v>
      </c>
      <c r="C6" s="57" t="s">
        <v>1644</v>
      </c>
      <c r="D6" s="57" t="s">
        <v>1645</v>
      </c>
    </row>
    <row r="7" spans="1:4" ht="28.8" x14ac:dyDescent="0.3">
      <c r="A7" s="57" t="s">
        <v>1646</v>
      </c>
      <c r="B7" s="57" t="s">
        <v>1647</v>
      </c>
      <c r="C7" s="57" t="s">
        <v>1648</v>
      </c>
      <c r="D7" s="57" t="s">
        <v>1649</v>
      </c>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24"/>
  <sheetViews>
    <sheetView topLeftCell="A19" workbookViewId="0"/>
  </sheetViews>
  <sheetFormatPr defaultRowHeight="14.4" x14ac:dyDescent="0.3"/>
  <cols>
    <col min="1" max="3" width="28" customWidth="1"/>
  </cols>
  <sheetData>
    <row r="1" spans="1:3" x14ac:dyDescent="0.3">
      <c r="A1" s="108" t="s">
        <v>1650</v>
      </c>
      <c r="B1" s="108" t="s">
        <v>1651</v>
      </c>
      <c r="C1" s="108" t="s">
        <v>1629</v>
      </c>
    </row>
    <row r="2" spans="1:3" x14ac:dyDescent="0.3">
      <c r="A2" t="s">
        <v>1652</v>
      </c>
      <c r="B2">
        <v>347</v>
      </c>
      <c r="C2" t="s">
        <v>1653</v>
      </c>
    </row>
    <row r="4" spans="1:3" x14ac:dyDescent="0.3">
      <c r="A4" s="109" t="s">
        <v>1654</v>
      </c>
      <c r="B4" s="109" t="s">
        <v>1655</v>
      </c>
      <c r="C4" s="109" t="s">
        <v>1629</v>
      </c>
    </row>
    <row r="5" spans="1:3" x14ac:dyDescent="0.3">
      <c r="A5" t="s">
        <v>1605</v>
      </c>
      <c r="B5">
        <v>21</v>
      </c>
    </row>
    <row r="6" spans="1:3" x14ac:dyDescent="0.3">
      <c r="A6" t="s">
        <v>1170</v>
      </c>
      <c r="B6">
        <v>36</v>
      </c>
    </row>
    <row r="7" spans="1:3" x14ac:dyDescent="0.3">
      <c r="A7" t="s">
        <v>1295</v>
      </c>
      <c r="B7">
        <v>7</v>
      </c>
    </row>
    <row r="8" spans="1:3" x14ac:dyDescent="0.3">
      <c r="A8" t="s">
        <v>1458</v>
      </c>
      <c r="B8">
        <v>18</v>
      </c>
    </row>
    <row r="9" spans="1:3" x14ac:dyDescent="0.3">
      <c r="A9" t="s">
        <v>1307</v>
      </c>
      <c r="B9">
        <v>18</v>
      </c>
    </row>
    <row r="10" spans="1:3" x14ac:dyDescent="0.3">
      <c r="A10" t="s">
        <v>1432</v>
      </c>
      <c r="B10">
        <v>20</v>
      </c>
    </row>
    <row r="11" spans="1:3" x14ac:dyDescent="0.3">
      <c r="A11" t="s">
        <v>1330</v>
      </c>
      <c r="B11">
        <v>31</v>
      </c>
    </row>
    <row r="12" spans="1:3" x14ac:dyDescent="0.3">
      <c r="A12" t="s">
        <v>1555</v>
      </c>
      <c r="B12">
        <v>58</v>
      </c>
    </row>
    <row r="13" spans="1:3" x14ac:dyDescent="0.3">
      <c r="A13" t="s">
        <v>1527</v>
      </c>
      <c r="B13">
        <v>27</v>
      </c>
    </row>
    <row r="14" spans="1:3" x14ac:dyDescent="0.3">
      <c r="A14" t="s">
        <v>1274</v>
      </c>
      <c r="B14">
        <v>16</v>
      </c>
    </row>
    <row r="15" spans="1:3" x14ac:dyDescent="0.3">
      <c r="A15" t="s">
        <v>1228</v>
      </c>
      <c r="B15">
        <v>30</v>
      </c>
    </row>
    <row r="16" spans="1:3" x14ac:dyDescent="0.3">
      <c r="A16" t="s">
        <v>1371</v>
      </c>
      <c r="B16">
        <v>35</v>
      </c>
    </row>
    <row r="17" spans="1:3" x14ac:dyDescent="0.3">
      <c r="A17" t="s">
        <v>1510</v>
      </c>
      <c r="B17">
        <v>13</v>
      </c>
    </row>
    <row r="18" spans="1:3" x14ac:dyDescent="0.3">
      <c r="A18" t="s">
        <v>1481</v>
      </c>
      <c r="B18">
        <v>17</v>
      </c>
    </row>
    <row r="20" spans="1:3" x14ac:dyDescent="0.3">
      <c r="A20" s="110" t="s">
        <v>1656</v>
      </c>
      <c r="B20" s="110" t="s">
        <v>1655</v>
      </c>
      <c r="C20" s="110" t="s">
        <v>1629</v>
      </c>
    </row>
    <row r="21" spans="1:3" x14ac:dyDescent="0.3">
      <c r="A21" t="s">
        <v>1213</v>
      </c>
      <c r="B21">
        <v>26</v>
      </c>
    </row>
    <row r="22" spans="1:3" x14ac:dyDescent="0.3">
      <c r="A22" t="s">
        <v>33</v>
      </c>
      <c r="B22">
        <v>50</v>
      </c>
    </row>
    <row r="23" spans="1:3" x14ac:dyDescent="0.3">
      <c r="A23" t="s">
        <v>1173</v>
      </c>
      <c r="B23">
        <v>195</v>
      </c>
    </row>
    <row r="24" spans="1:3" x14ac:dyDescent="0.3">
      <c r="A24" t="s">
        <v>1188</v>
      </c>
      <c r="B24">
        <v>76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MASTER_TERM_REGISTRY</vt:lpstr>
      <vt:lpstr>AAVE-Ebonics</vt:lpstr>
      <vt:lpstr>MASTER_README</vt:lpstr>
      <vt:lpstr>TEXT_GRADER</vt:lpstr>
      <vt:lpstr>SUPRA_INFRAQUE</vt:lpstr>
      <vt:lpstr>FRUIT_RETRIEVAL_LEXICON_V2</vt:lpstr>
      <vt:lpstr>SI_OBJECT_TYPES</vt:lpstr>
      <vt:lpstr>SI_CLASS_AXES</vt:lpstr>
      <vt:lpstr>SI_RELATIONS</vt:lpstr>
      <vt:lpstr>SI_SCHEMA_TABLES</vt:lpstr>
      <vt:lpstr>SI_VALIDATION</vt:lpstr>
      <vt:lpstr>BFP_DG_GRAMMAR</vt:lpstr>
      <vt:lpstr>BFP_DG_PRIMITIVES</vt:lpstr>
      <vt:lpstr>NAMING_TAXONOMY</vt:lpstr>
      <vt:lpstr>SUBJECTIVE_INDEX</vt:lpstr>
      <vt:lpstr>Fruit Semantic Architecture</vt:lpstr>
      <vt:lpstr>README</vt:lpstr>
      <vt:lpstr>WISDOM_TERMS</vt:lpstr>
      <vt:lpstr>KNOWLEDGE_TERMS</vt:lpstr>
      <vt:lpstr>COHERENCE_TERMS</vt:lpstr>
      <vt:lpstr>FRUITS</vt:lpstr>
      <vt:lpstr>ME_VARS</vt:lpstr>
      <vt:lpstr>CLAIM_TERMS</vt:lpstr>
      <vt:lpstr>EVIDENCE_TERMS</vt:lpstr>
      <vt:lpstr>FALSIFY_TERMS</vt:lpstr>
      <vt:lpstr>DEPENDENCY_TERMS</vt:lpstr>
      <vt:lpstr>HEDGE_TERMS</vt:lpstr>
      <vt:lpstr>ABSOLUTE_TERMS</vt:lpstr>
      <vt:lpstr>BRIDGE_TERMS</vt:lpstr>
      <vt:lpstr>NEGATION_TERMS</vt:lpstr>
      <vt:lpstr>FRUITS_LEX</vt:lpstr>
      <vt:lpstr>ANTI_FRUITS</vt:lpstr>
      <vt:lpstr>CHAR_ATTR_PATTERNS</vt:lpstr>
      <vt:lpstr>FRUIT_BLEND</vt:lpstr>
      <vt:lpstr>ANTI_FRUIT_MAP</vt:lpstr>
      <vt:lpstr>LAW_KEYWORDS</vt:lpstr>
      <vt:lpstr>DOC_TYPE_PATTERNS</vt:lpstr>
      <vt:lpstr>SEMANTIC_BUCKETS</vt:lpstr>
      <vt:lpstr>LEXICON_ADDITIONS_README</vt:lpstr>
      <vt:lpstr>SEMANTIC_BUCKETS_SUMMARY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Lowe</dc:creator>
  <cp:lastModifiedBy>David Lowe</cp:lastModifiedBy>
  <dcterms:created xsi:type="dcterms:W3CDTF">2026-06-02T07:21:29Z</dcterms:created>
  <dcterms:modified xsi:type="dcterms:W3CDTF">2026-10-11T16:04:39Z</dcterms:modified>
</cp:coreProperties>
</file>