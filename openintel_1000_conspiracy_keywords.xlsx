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owes\Desktop\"/>
    </mc:Choice>
  </mc:AlternateContent>
  <xr:revisionPtr revIDLastSave="0" documentId="8_{D883F792-8364-4FEB-8F6E-8388DF33D0F9}" xr6:coauthVersionLast="47" xr6:coauthVersionMax="47" xr10:uidLastSave="{00000000-0000-0000-0000-000000000000}"/>
  <bookViews>
    <workbookView xWindow="4248" yWindow="5748" windowWidth="36876" windowHeight="18156" activeTab="2" xr2:uid="{00000000-000D-0000-FFFF-FFFF00000000}"/>
  </bookViews>
  <sheets>
    <sheet name="RESEARCH_INTAKE" sheetId="9" r:id="rId1"/>
    <sheet name="DROPDOWNS" sheetId="10" r:id="rId2"/>
    <sheet name="CP_Titles_(1)" sheetId="8" r:id="rId3"/>
    <sheet name="case_links_master" sheetId="7" r:id="rId4"/>
    <sheet name="Master Keywords" sheetId="1" r:id="rId5"/>
    <sheet name="Category Summary" sheetId="2" r:id="rId6"/>
    <sheet name="ZimmWriter Titles" sheetId="3" r:id="rId7"/>
    <sheet name="Case Template" sheetId="4" r:id="rId8"/>
    <sheet name="DB Schema v2.0" sheetId="6" r:id="rId9"/>
    <sheet name="CASE — MKUltra (OI-CT-0001)" sheetId="5" r:id="rId10"/>
    <sheet name="Field Interview Protocol" sheetId="11" r:id="rId11"/>
  </sheets>
  <definedNames>
    <definedName name="_xlnm.Print_Area" localSheetId="9">'CASE — MKUltra (OI-CT-0001)'!$A$1:$I$332</definedName>
    <definedName name="_xlnm.Print_Area" localSheetId="7">'Case Template'!$A$1:$I$332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6" i="9" l="1"/>
  <c r="B225" i="9"/>
  <c r="B224" i="9"/>
  <c r="B221" i="9"/>
  <c r="D316" i="5" l="1"/>
  <c r="B316" i="5"/>
  <c r="D314" i="5"/>
  <c r="B314" i="5"/>
  <c r="D313" i="5"/>
  <c r="B313" i="5"/>
  <c r="D312" i="5"/>
  <c r="B312" i="5"/>
  <c r="D311" i="5"/>
  <c r="B311" i="5"/>
  <c r="B245" i="5"/>
  <c r="D244" i="5"/>
  <c r="B244" i="5"/>
  <c r="D316" i="4"/>
  <c r="B316" i="4"/>
  <c r="D314" i="4"/>
  <c r="B314" i="4"/>
  <c r="D313" i="4"/>
  <c r="B313" i="4"/>
  <c r="D312" i="4"/>
  <c r="B312" i="4"/>
  <c r="D311" i="4"/>
  <c r="B311" i="4"/>
  <c r="B245" i="4"/>
  <c r="B244" i="4"/>
  <c r="D244" i="4" s="1"/>
  <c r="B280" i="5"/>
  <c r="B279" i="5"/>
  <c r="B278" i="5"/>
  <c r="B272" i="5"/>
  <c r="B273" i="5" s="1"/>
  <c r="B274" i="5" s="1"/>
  <c r="B231" i="5"/>
  <c r="B232" i="5" s="1"/>
  <c r="E228" i="5"/>
  <c r="B228" i="5"/>
  <c r="B227" i="5"/>
  <c r="D227" i="5" s="1"/>
  <c r="B280" i="4"/>
  <c r="B279" i="4"/>
  <c r="B278" i="4"/>
  <c r="B272" i="4"/>
  <c r="B273" i="4" s="1"/>
  <c r="B274" i="4" s="1"/>
  <c r="B231" i="4"/>
  <c r="B234" i="4" s="1"/>
  <c r="E228" i="4"/>
  <c r="B228" i="4"/>
  <c r="B227" i="4"/>
  <c r="D227" i="4" s="1"/>
  <c r="I172" i="7"/>
  <c r="C330" i="5"/>
  <c r="B328" i="5"/>
  <c r="D328" i="5" s="1"/>
  <c r="B327" i="5"/>
  <c r="D327" i="5" s="1"/>
  <c r="B326" i="5"/>
  <c r="D326" i="5" s="1"/>
  <c r="B325" i="5"/>
  <c r="D325" i="5" s="1"/>
  <c r="B324" i="5"/>
  <c r="D324" i="5" s="1"/>
  <c r="B323" i="5"/>
  <c r="D323" i="5" s="1"/>
  <c r="B322" i="5"/>
  <c r="D322" i="5" s="1"/>
  <c r="B321" i="5"/>
  <c r="D321" i="5" s="1"/>
  <c r="B320" i="5"/>
  <c r="B305" i="5"/>
  <c r="B291" i="5"/>
  <c r="D291" i="5" s="1"/>
  <c r="F291" i="5" s="1"/>
  <c r="B290" i="5"/>
  <c r="D290" i="5" s="1"/>
  <c r="F290" i="5" s="1"/>
  <c r="B289" i="5"/>
  <c r="D289" i="5" s="1"/>
  <c r="F289" i="5" s="1"/>
  <c r="B288" i="5"/>
  <c r="D288" i="5" s="1"/>
  <c r="F288" i="5" s="1"/>
  <c r="B287" i="5"/>
  <c r="D287" i="5" s="1"/>
  <c r="F287" i="5" s="1"/>
  <c r="B286" i="5"/>
  <c r="D286" i="5" s="1"/>
  <c r="F286" i="5" s="1"/>
  <c r="B285" i="5"/>
  <c r="D285" i="5" s="1"/>
  <c r="F285" i="5" s="1"/>
  <c r="F187" i="5"/>
  <c r="F179" i="5"/>
  <c r="F174" i="5"/>
  <c r="F167" i="5"/>
  <c r="F162" i="5"/>
  <c r="F155" i="5"/>
  <c r="F145" i="5"/>
  <c r="F137" i="5"/>
  <c r="F126" i="5"/>
  <c r="F119" i="5"/>
  <c r="F112" i="5"/>
  <c r="F105" i="5"/>
  <c r="F98" i="5"/>
  <c r="F91" i="5"/>
  <c r="B305" i="4"/>
  <c r="B286" i="4"/>
  <c r="F187" i="4"/>
  <c r="F179" i="4"/>
  <c r="F174" i="4"/>
  <c r="F167" i="4"/>
  <c r="F162" i="4"/>
  <c r="F155" i="4"/>
  <c r="F145" i="4"/>
  <c r="F137" i="4"/>
  <c r="F126" i="4"/>
  <c r="F119" i="4"/>
  <c r="F112" i="4"/>
  <c r="F105" i="4"/>
  <c r="F98" i="4"/>
  <c r="F91" i="4"/>
  <c r="C330" i="4"/>
  <c r="B328" i="4"/>
  <c r="D328" i="4" s="1"/>
  <c r="B327" i="4"/>
  <c r="D327" i="4" s="1"/>
  <c r="B326" i="4"/>
  <c r="D326" i="4" s="1"/>
  <c r="B325" i="4"/>
  <c r="D325" i="4" s="1"/>
  <c r="B324" i="4"/>
  <c r="D324" i="4" s="1"/>
  <c r="B323" i="4"/>
  <c r="D323" i="4" s="1"/>
  <c r="B322" i="4"/>
  <c r="D322" i="4" s="1"/>
  <c r="B321" i="4"/>
  <c r="D321" i="4" s="1"/>
  <c r="B320" i="4"/>
  <c r="B291" i="4"/>
  <c r="D291" i="4" s="1"/>
  <c r="F291" i="4" s="1"/>
  <c r="B290" i="4"/>
  <c r="D290" i="4" s="1"/>
  <c r="F290" i="4" s="1"/>
  <c r="B289" i="4"/>
  <c r="D289" i="4" s="1"/>
  <c r="F289" i="4" s="1"/>
  <c r="B288" i="4"/>
  <c r="D288" i="4" s="1"/>
  <c r="F288" i="4" s="1"/>
  <c r="B287" i="4"/>
  <c r="D287" i="4" s="1"/>
  <c r="F287" i="4" s="1"/>
  <c r="B285" i="4"/>
  <c r="D285" i="4" s="1"/>
  <c r="F285" i="4" s="1"/>
  <c r="B276" i="5" l="1"/>
  <c r="B275" i="5"/>
  <c r="B234" i="5"/>
  <c r="B233" i="5"/>
  <c r="B276" i="4"/>
  <c r="B275" i="4"/>
  <c r="B232" i="4"/>
  <c r="B233" i="4"/>
  <c r="B330" i="5"/>
  <c r="D330" i="5" s="1"/>
  <c r="B293" i="5"/>
  <c r="B295" i="5" s="1"/>
  <c r="D320" i="5"/>
  <c r="D286" i="4"/>
  <c r="F286" i="4" s="1"/>
  <c r="B293" i="4" s="1"/>
  <c r="B295" i="4" s="1"/>
  <c r="B330" i="4"/>
  <c r="D330" i="4" s="1"/>
  <c r="D320" i="4"/>
  <c r="A308" i="5" l="1"/>
  <c r="A308" i="4"/>
</calcChain>
</file>

<file path=xl/sharedStrings.xml><?xml version="1.0" encoding="utf-8"?>
<sst xmlns="http://schemas.openxmlformats.org/spreadsheetml/2006/main" count="37640" uniqueCount="12170">
  <si>
    <t>OPENINTEL — TOP 1000 CONSPIRACY THEORY KEYWORDS</t>
  </si>
  <si>
    <t>Ranked by estimated monthly search volume | For ZimmWriter Bulk Writer / Topical Authority | April 2026</t>
  </si>
  <si>
    <t>NOTE: Search volumes are estimates based on aggregated SEO tool data (Ahrefs, Semrush, Google Trends patterns). Use as directional guidance, not exact counts.</t>
  </si>
  <si>
    <t>#</t>
  </si>
  <si>
    <t>Primary Keyword</t>
  </si>
  <si>
    <t>Category</t>
  </si>
  <si>
    <t>Est. Monthly Volume</t>
  </si>
  <si>
    <t>Competition</t>
  </si>
  <si>
    <t>Evidence Tier</t>
  </si>
  <si>
    <t>Long-Tail Variation 1</t>
  </si>
  <si>
    <t>Long-Tail Variation 2</t>
  </si>
  <si>
    <t>Long-Tail Variation 3</t>
  </si>
  <si>
    <t>Blog Title (ZimmWriter)</t>
  </si>
  <si>
    <t>Outline Focus</t>
  </si>
  <si>
    <t>illuminati</t>
  </si>
  <si>
    <t>SECRET_SOC</t>
  </si>
  <si>
    <t>550K</t>
  </si>
  <si>
    <t>High</t>
  </si>
  <si>
    <t>T3-T5</t>
  </si>
  <si>
    <t>is the illuminati real</t>
  </si>
  <si>
    <t>illuminati members list</t>
  </si>
  <si>
    <t>illuminati symbols explained</t>
  </si>
  <si>
    <t>The Illuminati: What the Evidence Actually Shows</t>
  </si>
  <si>
    <t>Historical Bavarian Illuminati vs modern conspiracy claims, evidence tiers for each</t>
  </si>
  <si>
    <t>conspiracy theories</t>
  </si>
  <si>
    <t>GENERAL</t>
  </si>
  <si>
    <t>450K</t>
  </si>
  <si>
    <t>Mixed</t>
  </si>
  <si>
    <t>conspiracy theories that turned out to be true</t>
  </si>
  <si>
    <t>best conspiracy theories</t>
  </si>
  <si>
    <t>new conspiracy theories 2026</t>
  </si>
  <si>
    <t>Conspiracy Theories That Turned Out to Be True: A Verified List</t>
  </si>
  <si>
    <t>Only include confirmed conspiracies with T1-T2 evidence</t>
  </si>
  <si>
    <t>flat earth</t>
  </si>
  <si>
    <t>SCIENCE</t>
  </si>
  <si>
    <t>400K</t>
  </si>
  <si>
    <t>Medium</t>
  </si>
  <si>
    <t>T5</t>
  </si>
  <si>
    <t>flat earth evidence</t>
  </si>
  <si>
    <t>flat earth debunked</t>
  </si>
  <si>
    <t>flat earth society</t>
  </si>
  <si>
    <t>Flat Earth Theory: What Would Have to Be True for This to Work</t>
  </si>
  <si>
    <t>Steel-man the theory then show what physics would need to be wrong</t>
  </si>
  <si>
    <t>area 51</t>
  </si>
  <si>
    <t>UFO</t>
  </si>
  <si>
    <t>350K</t>
  </si>
  <si>
    <t>T2-T3</t>
  </si>
  <si>
    <t>what is in area 51</t>
  </si>
  <si>
    <t>area 51 secrets revealed</t>
  </si>
  <si>
    <t>area 51 aliens evidence</t>
  </si>
  <si>
    <t>Area 51: What We Know, What We Suspect, What Remains Classified</t>
  </si>
  <si>
    <t>Separate confirmed (U-2, SR-71 testing) from speculative (alien tech)</t>
  </si>
  <si>
    <t>new world order</t>
  </si>
  <si>
    <t>300K</t>
  </si>
  <si>
    <t>T3-T4</t>
  </si>
  <si>
    <t>new world order plan</t>
  </si>
  <si>
    <t>new world order evidence</t>
  </si>
  <si>
    <t>who controls the new world order</t>
  </si>
  <si>
    <t>The New World Order: Tracing the Claim Through Primary Sources</t>
  </si>
  <si>
    <t>Bush Sr speech, UN documents, WEF statements — what was actually said vs interpreted</t>
  </si>
  <si>
    <t>MKUltra</t>
  </si>
  <si>
    <t>GOV</t>
  </si>
  <si>
    <t>250K</t>
  </si>
  <si>
    <t>T1</t>
  </si>
  <si>
    <t>MKUltra experiments</t>
  </si>
  <si>
    <t>MKUltra victims</t>
  </si>
  <si>
    <t>MKUltra declassified documents</t>
  </si>
  <si>
    <t>MKUltra: The Confirmed CIA Mind Control Program — Full Evidence Brief</t>
  </si>
  <si>
    <t>Church Committee records, FOIA documents, court cases — all T1 verified</t>
  </si>
  <si>
    <t>chemtrails</t>
  </si>
  <si>
    <t>ENVIRONMENT</t>
  </si>
  <si>
    <t>200K</t>
  </si>
  <si>
    <t>T4-T5</t>
  </si>
  <si>
    <t>chemtrails vs contrails</t>
  </si>
  <si>
    <t>chemtrails evidence</t>
  </si>
  <si>
    <t>what are chemtrails spraying</t>
  </si>
  <si>
    <t>Chemtrails: Contrail Science vs Conspiracy Claims — Evidence Assessment</t>
  </si>
  <si>
    <t>Atmospheric science of contrails, cloud seeding programs (confirmed), vs spraying claims</t>
  </si>
  <si>
    <t>Bigfoot</t>
  </si>
  <si>
    <t>Bigfoot sightings 2026</t>
  </si>
  <si>
    <t>Bigfoot evidence</t>
  </si>
  <si>
    <t>is Bigfoot real</t>
  </si>
  <si>
    <t>Bigfoot: 60 Years of Evidence Rated and Ranked</t>
  </si>
  <si>
    <t>Patterson film analysis, DNA samples, footprint casts — rate each T1-T5</t>
  </si>
  <si>
    <t>reptilians</t>
  </si>
  <si>
    <t>180K</t>
  </si>
  <si>
    <t>Low</t>
  </si>
  <si>
    <t>reptilian shapeshifters</t>
  </si>
  <si>
    <t>reptilian conspiracy evidence</t>
  </si>
  <si>
    <t>david icke reptilians</t>
  </si>
  <si>
    <t>The Reptilian Theory: Origin, Evidence, and Honest Assessment</t>
  </si>
  <si>
    <t>David Icke origin, ancient mythology parallels, what evidence exists vs speculation</t>
  </si>
  <si>
    <t>freemasons</t>
  </si>
  <si>
    <t>freemason secrets</t>
  </si>
  <si>
    <t>famous freemasons</t>
  </si>
  <si>
    <t>freemason conspiracy</t>
  </si>
  <si>
    <t>Freemasonry: What's Confirmed, What's Claimed, What's Fantasy</t>
  </si>
  <si>
    <t>Documented history, membership records, confirmed influence vs NWO claims</t>
  </si>
  <si>
    <t>moon landing conspiracy</t>
  </si>
  <si>
    <t>170K</t>
  </si>
  <si>
    <t>was the moon landing fake</t>
  </si>
  <si>
    <t>moon landing conspiracy evidence</t>
  </si>
  <si>
    <t>moon landing hoax debunked</t>
  </si>
  <si>
    <t>The Moon Landing: Every Hoax Claim Tested Against Physical Evidence</t>
  </si>
  <si>
    <t>Take each claim (shadows, flag, Van Allen) and rate evidence for and against</t>
  </si>
  <si>
    <t>deep state</t>
  </si>
  <si>
    <t>POLITICAL</t>
  </si>
  <si>
    <t>160K</t>
  </si>
  <si>
    <t>T3</t>
  </si>
  <si>
    <t>deep state evidence</t>
  </si>
  <si>
    <t>who is the deep state</t>
  </si>
  <si>
    <t>deep state explained</t>
  </si>
  <si>
    <t>The Deep State: Bureaucratic Reality vs Conspiracy Theory</t>
  </si>
  <si>
    <t>Confirmed: career officials influence policy. Unconfirmed: coordinated shadow government</t>
  </si>
  <si>
    <t>9/11 conspiracy</t>
  </si>
  <si>
    <t>FALSE_FLAG</t>
  </si>
  <si>
    <t>150K</t>
  </si>
  <si>
    <t>T2-T4</t>
  </si>
  <si>
    <t>9/11 inside job evidence</t>
  </si>
  <si>
    <t>9/11 truth movement</t>
  </si>
  <si>
    <t>building 7 collapse</t>
  </si>
  <si>
    <t>September 11: The Official Record vs Every Alternative Theory — Rated</t>
  </si>
  <si>
    <t>NIST reports, witness testimony, physics analysis — rate each claim independently</t>
  </si>
  <si>
    <t>Rothschild family</t>
  </si>
  <si>
    <t>FINANCE</t>
  </si>
  <si>
    <t>140K</t>
  </si>
  <si>
    <t>Rothschild wealth</t>
  </si>
  <si>
    <t>Rothschild conspiracy</t>
  </si>
  <si>
    <t>Rothschild family net worth</t>
  </si>
  <si>
    <t>The Rothschild Family: Documented History vs Conspiracy Narrative</t>
  </si>
  <si>
    <t>Verified banking history, actual current holdings vs world-control claims</t>
  </si>
  <si>
    <t>Bilderberg Group</t>
  </si>
  <si>
    <t>120K</t>
  </si>
  <si>
    <t>Bilderberg Group members</t>
  </si>
  <si>
    <t>Bilderberg meeting 2026</t>
  </si>
  <si>
    <t>what happens at Bilderberg</t>
  </si>
  <si>
    <t>The Bilderberg Group: Confirmed Attendees, Documented Agendas, and What We Don't Know</t>
  </si>
  <si>
    <t>Attendee lists are public. Agendas are not. Rate what's known vs speculated</t>
  </si>
  <si>
    <t>JFK assassination conspiracy</t>
  </si>
  <si>
    <t>who really killed JFK</t>
  </si>
  <si>
    <t>JFK assassination theories</t>
  </si>
  <si>
    <t>JFK files declassified</t>
  </si>
  <si>
    <t>The JFK Assassination: Every Theory Rated Against the Declassified Record</t>
  </si>
  <si>
    <t>Warren Commission, HSCA, 2017-2023 declassifications — what changed</t>
  </si>
  <si>
    <t>HAARP</t>
  </si>
  <si>
    <t>110K</t>
  </si>
  <si>
    <t>HAARP weather control</t>
  </si>
  <si>
    <t>what does HAARP do</t>
  </si>
  <si>
    <t>HAARP conspiracy evidence</t>
  </si>
  <si>
    <t>HAARP: What the Facility Actually Does vs What It's Accused Of</t>
  </si>
  <si>
    <t>Ionospheric research (confirmed) vs weather warfare claims — evidence for each</t>
  </si>
  <si>
    <t>antichrist</t>
  </si>
  <si>
    <t>PROPHECY</t>
  </si>
  <si>
    <t>who is the antichrist</t>
  </si>
  <si>
    <t>antichrist signs 2026</t>
  </si>
  <si>
    <t>antichrist prophecy</t>
  </si>
  <si>
    <t>The Antichrist: Every Biblical Reference, Every Historical Candidate, Every Modern Claim</t>
  </si>
  <si>
    <t>Compile all scripture references, list every person historically accused, rate each</t>
  </si>
  <si>
    <t>end times</t>
  </si>
  <si>
    <t>100K</t>
  </si>
  <si>
    <t>end times signs 2026</t>
  </si>
  <si>
    <t>are we in the end times</t>
  </si>
  <si>
    <t>end times prophecy fulfilled</t>
  </si>
  <si>
    <t>End Times Checklist: Every Biblical Prophecy Marker Rated for Current Fulfillment</t>
  </si>
  <si>
    <t>Go through Matthew 24, Daniel, Revelation markers — which are fulfilled T1-T2 vs pending</t>
  </si>
  <si>
    <t>Epstein conspiracy</t>
  </si>
  <si>
    <t>T1-T3</t>
  </si>
  <si>
    <t>Epstein client list</t>
  </si>
  <si>
    <t>Epstein island visitors</t>
  </si>
  <si>
    <t>who killed Jeffrey Epstein</t>
  </si>
  <si>
    <t>The Epstein Case: What's Proven, What's Sealed, What's Speculation</t>
  </si>
  <si>
    <t>Court documents (T1), flight logs (T1), client list claims (T3-T4)</t>
  </si>
  <si>
    <t>fluoride conspiracy</t>
  </si>
  <si>
    <t>HEALTH</t>
  </si>
  <si>
    <t>90K</t>
  </si>
  <si>
    <t>is fluoride bad for you</t>
  </si>
  <si>
    <t>fluoride in water conspiracy</t>
  </si>
  <si>
    <t>fluoride brain damage studies</t>
  </si>
  <si>
    <t>Fluoride: The Science, The Studies, and The Conspiracy Claims — All Rated</t>
  </si>
  <si>
    <t>NTP report, Harvard meta-analysis, EPA standards — rate each independently</t>
  </si>
  <si>
    <t>COINTELPRO</t>
  </si>
  <si>
    <t>85K</t>
  </si>
  <si>
    <t>COINTELPRO documents</t>
  </si>
  <si>
    <t>COINTELPRO targets</t>
  </si>
  <si>
    <t>FBI COINTELPRO program</t>
  </si>
  <si>
    <t>COINTELPRO: The FBI Program That Was Real — Full Declassified Evidence</t>
  </si>
  <si>
    <t>Senate findings, Church Committee, declassified memos — all T1</t>
  </si>
  <si>
    <t>vaccine conspiracy</t>
  </si>
  <si>
    <t>are vaccines safe conspiracy</t>
  </si>
  <si>
    <t>vaccine ingredients conspiracy</t>
  </si>
  <si>
    <t>vaccine side effects cover up</t>
  </si>
  <si>
    <t>Vaccine Safety: What the Studies Show, What the Claims Are, Where They Diverge</t>
  </si>
  <si>
    <t>VAERS data, clinical trials, manufacturer disclosures — rate each claim</t>
  </si>
  <si>
    <t>Skull and Bones</t>
  </si>
  <si>
    <t>80K</t>
  </si>
  <si>
    <t>Skull and Bones members</t>
  </si>
  <si>
    <t>Yale Skull and Bones</t>
  </si>
  <si>
    <t>Skull and Bones presidents</t>
  </si>
  <si>
    <t>Skull and Bones: The Yale Society With Three Presidents — What's Documented</t>
  </si>
  <si>
    <t>Confirmed members (Bush, Kerry), rituals (some documented), influence claims</t>
  </si>
  <si>
    <t>Bohemian Grove</t>
  </si>
  <si>
    <t>T2</t>
  </si>
  <si>
    <t>Bohemian Grove rituals</t>
  </si>
  <si>
    <t>Bohemian Grove members</t>
  </si>
  <si>
    <t>Bohemian Grove owl</t>
  </si>
  <si>
    <t>Bohemian Grove: Inside the Retreat Where World Leaders Gather</t>
  </si>
  <si>
    <t>Alex Jones infiltration footage (T1), member lists, Cremation of Care ritual</t>
  </si>
  <si>
    <t>FEMA camps</t>
  </si>
  <si>
    <t>75K</t>
  </si>
  <si>
    <t>FEMA camps locations</t>
  </si>
  <si>
    <t>are FEMA camps real</t>
  </si>
  <si>
    <t>FEMA concentration camps</t>
  </si>
  <si>
    <t>FEMA Camps: What FEMA Facilities Actually Exist and What They're For</t>
  </si>
  <si>
    <t>Actual FEMA facilities (T1) vs concentration camp claims (T4-T5)</t>
  </si>
  <si>
    <t>Operation Paperclip</t>
  </si>
  <si>
    <t>Operation Paperclip scientists</t>
  </si>
  <si>
    <t>Operation Paperclip NASA</t>
  </si>
  <si>
    <t>Nazi scientists in America</t>
  </si>
  <si>
    <t>Operation Paperclip: How 1,600 Nazi Scientists Came to America — The Full Record</t>
  </si>
  <si>
    <t>Declassified program, named scientists, NASA connections — all T1</t>
  </si>
  <si>
    <t>Pizzagate</t>
  </si>
  <si>
    <t>70K</t>
  </si>
  <si>
    <t>Pizzagate evidence</t>
  </si>
  <si>
    <t>Pizzagate explained</t>
  </si>
  <si>
    <t>is Pizzagate real</t>
  </si>
  <si>
    <t>Pizzagate: The Claim, The Evidence, The Shooting — A Complete Timeline</t>
  </si>
  <si>
    <t>Original emails, interpretations, Comet Ping Pong shooting, Welch trial — rate each</t>
  </si>
  <si>
    <t>QAnon</t>
  </si>
  <si>
    <t>QAnon predictions</t>
  </si>
  <si>
    <t>QAnon explained</t>
  </si>
  <si>
    <t>QAnon 2026</t>
  </si>
  <si>
    <t>QAnon: Tracking Every Major Prediction Against What Actually Happened</t>
  </si>
  <si>
    <t>List predictions, check fulfillment, calculate accuracy rate</t>
  </si>
  <si>
    <t>Georgia Guidestones</t>
  </si>
  <si>
    <t>65K</t>
  </si>
  <si>
    <t>Georgia Guidestones destroyed</t>
  </si>
  <si>
    <t>Georgia Guidestones meaning</t>
  </si>
  <si>
    <t>who built Georgia Guidestones</t>
  </si>
  <si>
    <t>The Georgia Guidestones: What We Know About Who Built Them and Why</t>
  </si>
  <si>
    <t>Construction records, RC Christian identity research, 2022 destruction</t>
  </si>
  <si>
    <t>Federal Reserve conspiracy</t>
  </si>
  <si>
    <t>who owns the Federal Reserve</t>
  </si>
  <si>
    <t>Federal Reserve is private</t>
  </si>
  <si>
    <t>end the Fed</t>
  </si>
  <si>
    <t>The Federal Reserve: Its Actual Structure, Ownership, and the Conspiracy Claims</t>
  </si>
  <si>
    <t>Legal structure (T1), ownership questions, Jekyll Island meeting (T1)</t>
  </si>
  <si>
    <t>Operation Northwoods</t>
  </si>
  <si>
    <t>60K</t>
  </si>
  <si>
    <t>Operation Northwoods document</t>
  </si>
  <si>
    <t>Operation Northwoods false flag</t>
  </si>
  <si>
    <t>JFK rejected Operation Northwoods</t>
  </si>
  <si>
    <t>Operation Northwoods: The False Flag Plan the Joint Chiefs Actually Proposed</t>
  </si>
  <si>
    <t>Declassified document exists — full T1. JFK rejected it.</t>
  </si>
  <si>
    <t>Gulf of Tonkin</t>
  </si>
  <si>
    <t>Gulf of Tonkin incident truth</t>
  </si>
  <si>
    <t>Gulf of Tonkin false flag</t>
  </si>
  <si>
    <t>did Gulf of Tonkin happen</t>
  </si>
  <si>
    <t>The Gulf of Tonkin Incident: The Lie That Started the Vietnam War</t>
  </si>
  <si>
    <t>NSA declassified 2005 — confirmed second attack never happened. T1.</t>
  </si>
  <si>
    <t>Philadelphia Experiment</t>
  </si>
  <si>
    <t>55K</t>
  </si>
  <si>
    <t>Philadelphia Experiment true story</t>
  </si>
  <si>
    <t>USS Eldridge teleportation</t>
  </si>
  <si>
    <t>Philadelphia Experiment evidence</t>
  </si>
  <si>
    <t>The Philadelphia Experiment: The Navy's Official Denial vs the Persistent Legend</t>
  </si>
  <si>
    <t>Navy records, Carlos Allende letters, ship logs — rate each</t>
  </si>
  <si>
    <t>Mandela Effect</t>
  </si>
  <si>
    <t>Mandela Effect examples</t>
  </si>
  <si>
    <t>Mandela Effect explained</t>
  </si>
  <si>
    <t>Mandela Effect 2026</t>
  </si>
  <si>
    <t>The Mandela Effect: Mass Misremembering or Something Stranger? — Evidence Review</t>
  </si>
  <si>
    <t>Psychology of false memory (T1) vs multiverse theory (T5)</t>
  </si>
  <si>
    <t>Project Blue Beam</t>
  </si>
  <si>
    <t>Project Blue Beam NASA</t>
  </si>
  <si>
    <t>holographic fake alien invasion</t>
  </si>
  <si>
    <t>Project Blue Beam evidence</t>
  </si>
  <si>
    <t>Project Blue Beam: The Theory, The Single Source, and What Would Need to Be True</t>
  </si>
  <si>
    <t>Serge Monast origin, no corroborating sources — honest T5 assessment</t>
  </si>
  <si>
    <t>CIA drug trafficking</t>
  </si>
  <si>
    <t>50K</t>
  </si>
  <si>
    <t>T1-T2</t>
  </si>
  <si>
    <t>CIA cocaine trafficking</t>
  </si>
  <si>
    <t>Gary Webb CIA drugs</t>
  </si>
  <si>
    <t>Iran Contra drugs</t>
  </si>
  <si>
    <t>CIA Drug Trafficking: What the Investigations Actually Found</t>
  </si>
  <si>
    <t>Kerry Committee (T1), Gary Webb reporting, Iran-Contra evidence, Freeway Ricky Ross</t>
  </si>
  <si>
    <t>Sandy Hook conspiracy</t>
  </si>
  <si>
    <t>Sandy Hook hoax claims</t>
  </si>
  <si>
    <t>Alex Jones Sandy Hook</t>
  </si>
  <si>
    <t>Sandy Hook evidence</t>
  </si>
  <si>
    <t>Sandy Hook: The Shooting, The Conspiracy Claims, The Defamation Trials</t>
  </si>
  <si>
    <t>Verified event (T1), hoax claims (T5), $1.5B judgment against Jones (T1)</t>
  </si>
  <si>
    <t>Agenda 21</t>
  </si>
  <si>
    <t>Agenda 21 explained</t>
  </si>
  <si>
    <t>UN Agenda 21 conspiracy</t>
  </si>
  <si>
    <t>Agenda 2030 conspiracy</t>
  </si>
  <si>
    <t>Agenda 21 and Agenda 2030: What the Documents Actually Say vs the Claims</t>
  </si>
  <si>
    <t>Read the actual UN documents and compare to conspiracy interpretations</t>
  </si>
  <si>
    <t>mark of the beast</t>
  </si>
  <si>
    <t>mark of the beast 2026</t>
  </si>
  <si>
    <t>is the vaccine mark of the beast</t>
  </si>
  <si>
    <t>mark of the beast technology</t>
  </si>
  <si>
    <t>The Mark of the Beast: Every Technology That's Been Called the Mark — A Timeline</t>
  </si>
  <si>
    <t>Barcodes, SSN, credit cards, microchips, vaccines — historical pattern of claims</t>
  </si>
  <si>
    <t>rapture</t>
  </si>
  <si>
    <t>45K</t>
  </si>
  <si>
    <t>when is the rapture</t>
  </si>
  <si>
    <t>rapture 2026</t>
  </si>
  <si>
    <t>signs of the rapture</t>
  </si>
  <si>
    <t>The Rapture: Biblical Basis, Theological Debate, and Failed Predictions</t>
  </si>
  <si>
    <t>Every major rapture prediction with date and outcome</t>
  </si>
  <si>
    <t>Trilateral Commission</t>
  </si>
  <si>
    <t>Trilateral Commission members</t>
  </si>
  <si>
    <t>Trilateral Commission conspiracy</t>
  </si>
  <si>
    <t>what is the Trilateral Commission</t>
  </si>
  <si>
    <t>The Trilateral Commission: Members, Meetings, and the Conspiracy Claims</t>
  </si>
  <si>
    <t>Founded by Brzezinski and Rockefeller (T1), membership lists available</t>
  </si>
  <si>
    <t>weather modification</t>
  </si>
  <si>
    <t>cloud seeding conspiracy</t>
  </si>
  <si>
    <t>weather control technology</t>
  </si>
  <si>
    <t>government weather manipulation</t>
  </si>
  <si>
    <t>Weather Modification: What Programs Actually Exist and What They Can Do</t>
  </si>
  <si>
    <t>Cloud seeding programs (T1, dozens of countries), vs weather warfare claims</t>
  </si>
  <si>
    <t>Building 7</t>
  </si>
  <si>
    <t>40K</t>
  </si>
  <si>
    <t>WTC 7 collapse explained</t>
  </si>
  <si>
    <t>Building 7 controlled demolition</t>
  </si>
  <si>
    <t>Building 7 free fall</t>
  </si>
  <si>
    <t>World Trade Center Building 7: NIST Report vs Controlled Demolition Claims</t>
  </si>
  <si>
    <t>NIST thermal expansion theory, AE911Truth counter-analysis, UAF study</t>
  </si>
  <si>
    <t>5G conspiracy</t>
  </si>
  <si>
    <t>5G health effects</t>
  </si>
  <si>
    <t>5G radiation danger</t>
  </si>
  <si>
    <t>5G COVID conspiracy</t>
  </si>
  <si>
    <t>5G Health Concerns: What the Studies Show vs What's Claimed</t>
  </si>
  <si>
    <t>RF radiation research, WHO guidelines, COVID-link claims (T5)</t>
  </si>
  <si>
    <t>Baba Vanga predictions</t>
  </si>
  <si>
    <t>T4</t>
  </si>
  <si>
    <t>Baba Vanga 2026 predictions</t>
  </si>
  <si>
    <t>Baba Vanga prophecies</t>
  </si>
  <si>
    <t>did Baba Vanga predict</t>
  </si>
  <si>
    <t>Baba Vanga: Testing Every Published Prediction Against What Happened</t>
  </si>
  <si>
    <t>Source verification problem — most predictions have no primary source</t>
  </si>
  <si>
    <t>Nostradamus predictions</t>
  </si>
  <si>
    <t>Nostradamus 2026</t>
  </si>
  <si>
    <t>Nostradamus prophecies</t>
  </si>
  <si>
    <t>Nostradamus quatrains explained</t>
  </si>
  <si>
    <t>Nostradamus: The Quatrains, The Interpretations, The Accuracy Rate</t>
  </si>
  <si>
    <t>Original French text vs post-hoc interpretations — rate methodology</t>
  </si>
  <si>
    <t>Denver Airport conspiracy</t>
  </si>
  <si>
    <t>35K</t>
  </si>
  <si>
    <t>Denver Airport tunnels</t>
  </si>
  <si>
    <t>Denver Airport murals</t>
  </si>
  <si>
    <t>Denver Airport horse</t>
  </si>
  <si>
    <t>Denver International Airport: The Murals, The Tunnels, The Horse — What's Real</t>
  </si>
  <si>
    <t>Construction records, artist statements, underground areas — rate each claim</t>
  </si>
  <si>
    <t>CIA heart attack gun</t>
  </si>
  <si>
    <t>CIA poison dart gun</t>
  </si>
  <si>
    <t>Church Committee weapons</t>
  </si>
  <si>
    <t>CIA assassination tools</t>
  </si>
  <si>
    <t>The CIA Heart Attack Gun: The Congressional Testimony That Confirmed It</t>
  </si>
  <si>
    <t>Church Committee 1975, William Colby testimony — T1 confirmed</t>
  </si>
  <si>
    <t>Great Reset</t>
  </si>
  <si>
    <t>Great Reset WEF</t>
  </si>
  <si>
    <t>Klaus Schwab Great Reset</t>
  </si>
  <si>
    <t>Great Reset conspiracy</t>
  </si>
  <si>
    <t>The Great Reset: What Klaus Schwab Actually Wrote vs What's Attributed to Him</t>
  </si>
  <si>
    <t>Read the actual book and WEF statements, compare to conspiracy versions</t>
  </si>
  <si>
    <t>Operation Mockingbird</t>
  </si>
  <si>
    <t>30K</t>
  </si>
  <si>
    <t>CIA media control</t>
  </si>
  <si>
    <t>Operation Mockingbird evidence</t>
  </si>
  <si>
    <t>CIA journalists</t>
  </si>
  <si>
    <t>Operation Mockingbird: The CIA's Media Infiltration Program — What's Documented</t>
  </si>
  <si>
    <t>Church Committee findings, Carl Bernstein reporting, confirmed journalists</t>
  </si>
  <si>
    <t>Majestic 12</t>
  </si>
  <si>
    <t>MJ-12 documents</t>
  </si>
  <si>
    <t>Majestic 12 real or fake</t>
  </si>
  <si>
    <t>MJ-12 members</t>
  </si>
  <si>
    <t>Majestic 12: The Documents, The Controversy, The Verdict on Authenticity</t>
  </si>
  <si>
    <t>Document analysis, Stanton Friedman research, skeptic response</t>
  </si>
  <si>
    <t>secret space program</t>
  </si>
  <si>
    <t>secret space program evidence</t>
  </si>
  <si>
    <t>TR-3B aircraft</t>
  </si>
  <si>
    <t>black budget spacecraft</t>
  </si>
  <si>
    <t>The Secret Space Program: Black Budget Aircraft vs Extraterrestrial Claims</t>
  </si>
  <si>
    <t>Confirmed black projects (B-2, F-117) vs speculative programs</t>
  </si>
  <si>
    <t>Waco siege</t>
  </si>
  <si>
    <t>Waco siege truth</t>
  </si>
  <si>
    <t>what happened at Waco</t>
  </si>
  <si>
    <t>David Koresh Waco</t>
  </si>
  <si>
    <t>Waco: The Siege, The Fire, The Cover-Up Claims — Complete Evidence Review</t>
  </si>
  <si>
    <t>ATF records, FBI HRT actions, infrared footage controversy, Danforth report</t>
  </si>
  <si>
    <t>Council on Foreign Relations</t>
  </si>
  <si>
    <t>28K</t>
  </si>
  <si>
    <t>CFR members</t>
  </si>
  <si>
    <t>CFR conspiracy</t>
  </si>
  <si>
    <t>Council on Foreign Relations influence</t>
  </si>
  <si>
    <t>The Council on Foreign Relations: Documented Influence on US Foreign Policy</t>
  </si>
  <si>
    <t>Founded 1921, membership list public, policy papers accessible — rate influence claims</t>
  </si>
  <si>
    <t>predictive programming</t>
  </si>
  <si>
    <t>MEDIA</t>
  </si>
  <si>
    <t>predictive programming examples</t>
  </si>
  <si>
    <t>predictive programming in movies</t>
  </si>
  <si>
    <t>Simpsons predictions</t>
  </si>
  <si>
    <t>Predictive Programming: Pattern Recognition vs Confirmation Bias — An Honest Look</t>
  </si>
  <si>
    <t>Statistical analysis of "predictions" — how many misses vs hits</t>
  </si>
  <si>
    <t>martial law</t>
  </si>
  <si>
    <t>martial law signs</t>
  </si>
  <si>
    <t>martial law USA</t>
  </si>
  <si>
    <t>when will martial law happen</t>
  </si>
  <si>
    <t>Martial Law in America: Historical Precedents, Current Legal Framework, and the Claims</t>
  </si>
  <si>
    <t>Lincoln, FDR Japanese internment (T1), modern authority under which statutes</t>
  </si>
  <si>
    <t>blood sacrifice</t>
  </si>
  <si>
    <t>RELIGION</t>
  </si>
  <si>
    <t>25K</t>
  </si>
  <si>
    <t>elite blood sacrifice</t>
  </si>
  <si>
    <t>Hollywood blood sacrifice</t>
  </si>
  <si>
    <t>illuminati blood sacrifice</t>
  </si>
  <si>
    <t>Blood Sacrifice Claims: Ancient Practice vs Modern Conspiracy — Evidence Assessment</t>
  </si>
  <si>
    <t>Historical human sacrifice (T1-T2), modern elite claims (T4-T5)</t>
  </si>
  <si>
    <t>adrenochrome</t>
  </si>
  <si>
    <t>adrenochrome harvesting</t>
  </si>
  <si>
    <t>what is adrenochrome</t>
  </si>
  <si>
    <t>adrenochrome conspiracy explained</t>
  </si>
  <si>
    <t>Adrenochrome: The Real Chemical, The Fear and Loathing Reference, and the QAnon Claim</t>
  </si>
  <si>
    <t>Actual biochemistry (T1), Thompson fiction, QAnon elaboration (T5)</t>
  </si>
  <si>
    <t>third temple</t>
  </si>
  <si>
    <t>third temple Jerusalem 2026</t>
  </si>
  <si>
    <t>third temple prophecy</t>
  </si>
  <si>
    <t>rebuilding the temple</t>
  </si>
  <si>
    <t>The Third Temple: Current Construction Efforts, Political Reality, and Prophecy</t>
  </si>
  <si>
    <t>Temple Institute preparations (T1), political obstacles, prophecy interpretation</t>
  </si>
  <si>
    <t>Operation Gladio</t>
  </si>
  <si>
    <t>22K</t>
  </si>
  <si>
    <t>NATO stay behind armies</t>
  </si>
  <si>
    <t>Gladio false flag</t>
  </si>
  <si>
    <t>Operation Gladio evidence</t>
  </si>
  <si>
    <t>Operation Gladio: NATO's Secret Armies — The Parliamentary Investigation</t>
  </si>
  <si>
    <t>Italian/European parliamentary investigations confirmed. T1.</t>
  </si>
  <si>
    <t>Ruby Ridge</t>
  </si>
  <si>
    <t>Ruby Ridge incident</t>
  </si>
  <si>
    <t>Ruby Ridge siege</t>
  </si>
  <si>
    <t>Ruby Ridge truth</t>
  </si>
  <si>
    <t>Ruby Ridge: The Federal Siege, the Senate Investigation, and What Changed</t>
  </si>
  <si>
    <t>Senate hearings, DOJ settlement, rule changes — T1 documented</t>
  </si>
  <si>
    <t>Bohemian Club</t>
  </si>
  <si>
    <t>Bohemian Club members 2026</t>
  </si>
  <si>
    <t>Bohemian Club history</t>
  </si>
  <si>
    <t>Bohemian Club owl worship</t>
  </si>
  <si>
    <t>The Bohemian Club: 150 Years of Elite Gathering — Member Lists and Rituals</t>
  </si>
  <si>
    <t>Founded 1872, membership documented, Cremation of Care filmed</t>
  </si>
  <si>
    <t>UFO disclosure</t>
  </si>
  <si>
    <t>UFO disclosure 2026</t>
  </si>
  <si>
    <t>government UFO disclosure</t>
  </si>
  <si>
    <t>UAP hearings</t>
  </si>
  <si>
    <t>UFO Disclosure: From Ridicule to Congressional Hearings — The Evidence Shift</t>
  </si>
  <si>
    <t>2017 NYT article, Grusch testimony, AARO reports, Schumer amendment</t>
  </si>
  <si>
    <t>Montauk Project</t>
  </si>
  <si>
    <t>20K</t>
  </si>
  <si>
    <t>Montauk Project experiments</t>
  </si>
  <si>
    <t>Montauk time travel</t>
  </si>
  <si>
    <t>Camp Hero Montauk</t>
  </si>
  <si>
    <t>The Montauk Project: The Claims, The Single Source, and What Camp Hero Actually Was</t>
  </si>
  <si>
    <t>Preston Nichols books, radar station history (T1), no corroborating evidence</t>
  </si>
  <si>
    <t>false flag operations</t>
  </si>
  <si>
    <t>T1-T5</t>
  </si>
  <si>
    <t>false flag attacks history</t>
  </si>
  <si>
    <t>proven false flags</t>
  </si>
  <si>
    <t>what is a false flag</t>
  </si>
  <si>
    <t>False Flag Operations: Every Confirmed Case in History — A Verified List</t>
  </si>
  <si>
    <t>Only include confirmed: Gleiwitz, Northwoods proposal, Gulf of Tonkin, Lavon Affair</t>
  </si>
  <si>
    <t>dead internet theory</t>
  </si>
  <si>
    <t>TECH</t>
  </si>
  <si>
    <t>is the internet mostly bots</t>
  </si>
  <si>
    <t>dead internet theory evidence</t>
  </si>
  <si>
    <t>AI generated content percentage</t>
  </si>
  <si>
    <t>Dead Internet Theory: Bot Traffic Data, AI Content Growth, and What's Real</t>
  </si>
  <si>
    <t>Imperva 49.6% bot traffic (T1), AI content growth data, theory extrapolation</t>
  </si>
  <si>
    <t>Project Monarch</t>
  </si>
  <si>
    <t>MK</t>
  </si>
  <si>
    <t>Monarch mind control</t>
  </si>
  <si>
    <t>Monarch butterfly programming</t>
  </si>
  <si>
    <t>MK Ultra Monarch</t>
  </si>
  <si>
    <t>Project Monarch: Why No Government Document Has Ever Confirmed This Program</t>
  </si>
  <si>
    <t>Distinguish from MKUltra (T1). Monarch has zero primary source documentation.</t>
  </si>
  <si>
    <t>targeted individuals</t>
  </si>
  <si>
    <t>gang stalking evidence</t>
  </si>
  <si>
    <t>electronic harassment</t>
  </si>
  <si>
    <t>targeted individual symptoms</t>
  </si>
  <si>
    <t>Targeted Individuals: COINTELPRO History, Modern Claims, and Medical Perspectives</t>
  </si>
  <si>
    <t>COINTELPRO targeting was real (T1). Modern electronic harassment claims need assessment.</t>
  </si>
  <si>
    <t>world government</t>
  </si>
  <si>
    <t>one world government plan</t>
  </si>
  <si>
    <t>global government conspiracy</t>
  </si>
  <si>
    <t>UN world government</t>
  </si>
  <si>
    <t>World Government: What International Organizations Actually Have Power to Do</t>
  </si>
  <si>
    <t>UN Charter limits (T1), WEF influence, WHO pandemic authority — rate each</t>
  </si>
  <si>
    <t>Iran Contra</t>
  </si>
  <si>
    <t>18K</t>
  </si>
  <si>
    <t>Iran Contra scandal</t>
  </si>
  <si>
    <t>Oliver North Iran Contra</t>
  </si>
  <si>
    <t>Iran-Contra: Arms, Drugs, and the Constitutional Crisis — Complete Record</t>
  </si>
  <si>
    <t>Congressional investigation, Tower Commission, Walsh report — all T1</t>
  </si>
  <si>
    <t>CIA black sites</t>
  </si>
  <si>
    <t>CIA torture program</t>
  </si>
  <si>
    <t>CIA secret prisons</t>
  </si>
  <si>
    <t>enhanced interrogation</t>
  </si>
  <si>
    <t>CIA Black Sites: The Senate Report, The Locations, The Legal Aftermath</t>
  </si>
  <si>
    <t>Senate Intelligence Committee report 2014 — T1 confirmed</t>
  </si>
  <si>
    <t>mass surveillance</t>
  </si>
  <si>
    <t>NSA surveillance program</t>
  </si>
  <si>
    <t>Snowden revelations</t>
  </si>
  <si>
    <t>PRISM surveillance</t>
  </si>
  <si>
    <t>Mass Surveillance: Everything Snowden Revealed — Verified and Documented</t>
  </si>
  <si>
    <t>Snowden documents published by Guardian/WaPo — T1 confirmed</t>
  </si>
  <si>
    <t>blood moon prophecy</t>
  </si>
  <si>
    <t>blood moon 2026 prophecy</t>
  </si>
  <si>
    <t>blood moon biblical meaning</t>
  </si>
  <si>
    <t>four blood moons prophecy</t>
  </si>
  <si>
    <t>Blood Moon Prophecy: The Tetrad Theory, John Hagee's Claims, and What Happened</t>
  </si>
  <si>
    <t>Track every blood moon prediction and its outcome</t>
  </si>
  <si>
    <t>ancient aliens</t>
  </si>
  <si>
    <t>ancient aliens evidence</t>
  </si>
  <si>
    <t>Anunnaki ancient aliens</t>
  </si>
  <si>
    <t>ancient alien structures</t>
  </si>
  <si>
    <t>Ancient Aliens: The Archaeological Evidence Rated Honestly</t>
  </si>
  <si>
    <t>Puma Punku, Nazca Lines, Pyramids — conventional archaeology vs alien theory for each</t>
  </si>
  <si>
    <t>geoengineering</t>
  </si>
  <si>
    <t>15K</t>
  </si>
  <si>
    <t>solar radiation management</t>
  </si>
  <si>
    <t>stratospheric aerosol injection</t>
  </si>
  <si>
    <t>geoengineering programs</t>
  </si>
  <si>
    <t>Geoengineering: Active Programs, Proposed Programs, and Conspiracy Claims</t>
  </si>
  <si>
    <t>Cloud seeding (T1 confirmed), SAI proposals (T2 documented), chemtrail link (T4)</t>
  </si>
  <si>
    <t>crisis actors</t>
  </si>
  <si>
    <t>crisis actors evidence</t>
  </si>
  <si>
    <t>are crisis actors real</t>
  </si>
  <si>
    <t>crisis actor conspiracy</t>
  </si>
  <si>
    <t>Crisis Actors: The Claim, The Evidence Standard Required, and What's Been Proven</t>
  </si>
  <si>
    <t>Zero confirmed cases. Active in multiple defamation suits. T5.</t>
  </si>
  <si>
    <t>Rothschild banking</t>
  </si>
  <si>
    <t>Rothschild central banks</t>
  </si>
  <si>
    <t>Rothschild control every central bank</t>
  </si>
  <si>
    <t>Rothschild banking dynasty</t>
  </si>
  <si>
    <t>Rothschild Banking: The Actual History of the Dynasty vs the "Every Central Bank" Claim</t>
  </si>
  <si>
    <t>Historical banking influence (T1-T2) vs modern control claims (T3-T4)</t>
  </si>
  <si>
    <t>Protocols of Zion</t>
  </si>
  <si>
    <t>T1 (as forgery)</t>
  </si>
  <si>
    <t>Protocols of the Elders of Zion</t>
  </si>
  <si>
    <t>Protocols of Zion debunked</t>
  </si>
  <si>
    <t>Protocols of Zion history</t>
  </si>
  <si>
    <t>The Protocols of the Elders of Zion: The Proven Forgery That Won't Die</t>
  </si>
  <si>
    <t>Proven plagiarism from 1864 French satire — T1 confirmed forgery</t>
  </si>
  <si>
    <t>Nikola Tesla conspiracy</t>
  </si>
  <si>
    <t>Tesla free energy suppressed</t>
  </si>
  <si>
    <t>FBI seized Tesla documents</t>
  </si>
  <si>
    <t>Tesla death ray</t>
  </si>
  <si>
    <t>Nikola Tesla: The FBI Files, The Seized Documents, and the Free Energy Claims</t>
  </si>
  <si>
    <t>FBI file exists (T1), Trump uncle connection, free energy claims (T4)</t>
  </si>
  <si>
    <t>Dulce Base</t>
  </si>
  <si>
    <t>12K</t>
  </si>
  <si>
    <t>Dulce Base New Mexico</t>
  </si>
  <si>
    <t>underground alien base</t>
  </si>
  <si>
    <t>Dulce Base evidence</t>
  </si>
  <si>
    <t>Dulce Base: The Alien Underground Base Claim — What Evidence Exists</t>
  </si>
  <si>
    <t>Phil Schneider claims, no physical evidence — T5</t>
  </si>
  <si>
    <t>Vatican secrets</t>
  </si>
  <si>
    <t>Vatican archives secrets</t>
  </si>
  <si>
    <t>Vatican hidden knowledge</t>
  </si>
  <si>
    <t>Vatican conspiracy</t>
  </si>
  <si>
    <t>The Vatican Archives: What's Actually In There and What Access Exists</t>
  </si>
  <si>
    <t>Archives partially opened (T1), restricted sections, Galileo files</t>
  </si>
  <si>
    <t>Agenda 2030</t>
  </si>
  <si>
    <t>Agenda 2030 goals</t>
  </si>
  <si>
    <t>Agenda 2030 conspiracy explained</t>
  </si>
  <si>
    <t>UN Agenda 2030 property</t>
  </si>
  <si>
    <t>Agenda 2030: Reading the Actual UN Document vs the Conspiracy Interpretation</t>
  </si>
  <si>
    <t>Full text available — compare what it says to what's claimed</t>
  </si>
  <si>
    <t>missing 411</t>
  </si>
  <si>
    <t>missing 411 cases</t>
  </si>
  <si>
    <t>David Paulides missing 411</t>
  </si>
  <si>
    <t>national park disappearances</t>
  </si>
  <si>
    <t>Missing 411: The Cases, The Patterns, and the Statistical Question</t>
  </si>
  <si>
    <t>Paulides cases, SAR criticism, base rate comparison</t>
  </si>
  <si>
    <t>executive orders conspiracy</t>
  </si>
  <si>
    <t>executive orders martial law</t>
  </si>
  <si>
    <t>FEMA executive orders</t>
  </si>
  <si>
    <t>presidential emergency powers</t>
  </si>
  <si>
    <t>Executive Orders and Emergency Powers: What the President Can Actually Do</t>
  </si>
  <si>
    <t>National Emergencies Act (T1), COG programs, actual EO text vs claims</t>
  </si>
  <si>
    <t>Roswell incident</t>
  </si>
  <si>
    <t>10K</t>
  </si>
  <si>
    <t>Roswell crash 1947</t>
  </si>
  <si>
    <t>Roswell alien bodies</t>
  </si>
  <si>
    <t>Roswell cover up</t>
  </si>
  <si>
    <t>Roswell 1947: The Weather Balloon, Project Mogul, and the Alien Claims</t>
  </si>
  <si>
    <t>Air Force reports (T1), witness testimony evolution over decades</t>
  </si>
  <si>
    <t>USS Liberty</t>
  </si>
  <si>
    <t>USS Liberty attack</t>
  </si>
  <si>
    <t>Israel attacked USS Liberty</t>
  </si>
  <si>
    <t>USS Liberty cover up</t>
  </si>
  <si>
    <t>The USS Liberty Incident: The Attack, The Investigation, The Survivors' Claims</t>
  </si>
  <si>
    <t>Attack confirmed (T1), Israeli apology (T1), survivor testimony vs official findings</t>
  </si>
  <si>
    <t>October Surprise 1980</t>
  </si>
  <si>
    <t>Reagan Iran hostages deal</t>
  </si>
  <si>
    <t>October Surprise conspiracy</t>
  </si>
  <si>
    <t>1980 hostage crisis conspiracy</t>
  </si>
  <si>
    <t>The 1980 October Surprise: The Allegation, The Investigations, The New Evidence</t>
  </si>
  <si>
    <t>Congressional investigation inconclusive, 2023 NYT Ben Barnes admission</t>
  </si>
  <si>
    <t>Phoenix Lights</t>
  </si>
  <si>
    <t>Phoenix Lights 1997</t>
  </si>
  <si>
    <t>Phoenix Lights explained</t>
  </si>
  <si>
    <t>Phoenix Lights UFO</t>
  </si>
  <si>
    <t>The Phoenix Lights 1997: Mass Sighting, Military Flares, and What Remains Unexplained</t>
  </si>
  <si>
    <t>Thousands of witnesses (T1), Air Force flare explanation, governor admission</t>
  </si>
  <si>
    <t>Club of Rome</t>
  </si>
  <si>
    <t>Club of Rome members</t>
  </si>
  <si>
    <t>Limits to Growth conspiracy</t>
  </si>
  <si>
    <t>Club of Rome depopulation</t>
  </si>
  <si>
    <t>The Club of Rome: What They Published, Who They Are, and the Depopulation Claims</t>
  </si>
  <si>
    <t>Limits to Growth report (T1), membership, actual recommendations vs conspiracy version</t>
  </si>
  <si>
    <t>Tuskegee experiment</t>
  </si>
  <si>
    <t>8K</t>
  </si>
  <si>
    <t>Tuskegee syphilis study</t>
  </si>
  <si>
    <t>Tuskegee experiment timeline</t>
  </si>
  <si>
    <t>government medical experiments</t>
  </si>
  <si>
    <t>The Tuskegee Syphilis Study: 40 Years of Government Medical Abuse — Full Record</t>
  </si>
  <si>
    <t>Confirmed, documented, presidential apology 1997 — T1</t>
  </si>
  <si>
    <t>Project ARTICHOKE</t>
  </si>
  <si>
    <t>CIA interrogation program</t>
  </si>
  <si>
    <t>Project ARTICHOKE documents</t>
  </si>
  <si>
    <t>CIA mind control programs</t>
  </si>
  <si>
    <t>Project ARTICHOKE: The CIA Interrogation Program That Preceded MKUltra</t>
  </si>
  <si>
    <t>Declassified documents confirm. Predecessor to MKUltra — T1</t>
  </si>
  <si>
    <t>Lavon Affair</t>
  </si>
  <si>
    <t>Israel false flag Egypt</t>
  </si>
  <si>
    <t>Lavon Affair 1954</t>
  </si>
  <si>
    <t>Israeli agents Egypt bombing</t>
  </si>
  <si>
    <t>The Lavon Affair: The Confirmed Israeli False Flag Operation in Egypt</t>
  </si>
  <si>
    <t>Israeli government acknowledged 2005, awarded agents — T1 confirmed</t>
  </si>
  <si>
    <t>fractional reserve banking</t>
  </si>
  <si>
    <t>how money is created</t>
  </si>
  <si>
    <t>banks create money from nothing</t>
  </si>
  <si>
    <t>fractional reserve conspiracy</t>
  </si>
  <si>
    <t>Fractional Reserve Banking: How Money Creation Actually Works — No Conspiracy Required</t>
  </si>
  <si>
    <t>Monetary mechanics (T1), the real debate is policy not conspiracy</t>
  </si>
  <si>
    <t>Rendlesham Forest</t>
  </si>
  <si>
    <t>Rendlesham Forest incident</t>
  </si>
  <si>
    <t>British Roswell</t>
  </si>
  <si>
    <t>Rendlesham Forest UFO</t>
  </si>
  <si>
    <t>The Rendlesham Forest Incident: Military Witnesses, Official Investigation, Unexplained</t>
  </si>
  <si>
    <t>Halt memo (T1), military testimony, lighthouse theory, binary code claims</t>
  </si>
  <si>
    <t>seven seals revelation</t>
  </si>
  <si>
    <t>seven seals opened 2026</t>
  </si>
  <si>
    <t>book of revelation seals</t>
  </si>
  <si>
    <t>seven seals prophecy timeline</t>
  </si>
  <si>
    <t>The Seven Seals of Revelation: Every Interpretation and What Events They've Been Mapped To</t>
  </si>
  <si>
    <t>Historical-critical, futurist, preterist, idealist — map all interpretations</t>
  </si>
  <si>
    <t>four horsemen</t>
  </si>
  <si>
    <t>four horsemen of the apocalypse 2026</t>
  </si>
  <si>
    <t>four horsemen Bible meaning</t>
  </si>
  <si>
    <t>four horsemen prophecy</t>
  </si>
  <si>
    <t>The Four Horsemen: Biblical Text, Historical Interpretations, and Modern Applications</t>
  </si>
  <si>
    <t>Revelation 6 text, every major war/plague/famine claim linked to horsemen</t>
  </si>
  <si>
    <t>black budget</t>
  </si>
  <si>
    <t>7K</t>
  </si>
  <si>
    <t>Pentagon black budget</t>
  </si>
  <si>
    <t>classified military spending</t>
  </si>
  <si>
    <t>SAP programs</t>
  </si>
  <si>
    <t>The Black Budget: $23 Billion in Confirmed Classified Military Spending</t>
  </si>
  <si>
    <t>Snowden document confirmed size (T1), program names mostly classified</t>
  </si>
  <si>
    <t>Satanic panic</t>
  </si>
  <si>
    <t>Satanic ritual abuse</t>
  </si>
  <si>
    <t>1980s Satanic panic</t>
  </si>
  <si>
    <t>McMartin preschool trial</t>
  </si>
  <si>
    <t>The Satanic Panic: How a Moral Panic Destroyed Lives — The Full Investigation</t>
  </si>
  <si>
    <t>FBI Lanning report found no evidence (T1), wrongful convictions documented</t>
  </si>
  <si>
    <t>Bilderberg 2026</t>
  </si>
  <si>
    <t>Bilderberg meeting 2026 location</t>
  </si>
  <si>
    <t>Bilderberg 2026 attendees</t>
  </si>
  <si>
    <t>Bilderberg agenda 2026</t>
  </si>
  <si>
    <t>Bilderberg 2026: Confirmed Attendees, Location, and What We Know About the Agenda</t>
  </si>
  <si>
    <t>Annual meeting, some transparency, Chatham House rules</t>
  </si>
  <si>
    <t>DARPA conspiracy</t>
  </si>
  <si>
    <t>6K</t>
  </si>
  <si>
    <t>DARPA secret projects</t>
  </si>
  <si>
    <t>DARPA mind reading</t>
  </si>
  <si>
    <t>DARPA surveillance</t>
  </si>
  <si>
    <t>DARPA: The Pentagon's Innovation Arm — Confirmed Projects and Speculated Ones</t>
  </si>
  <si>
    <t>Internet, GPS confirmed (T1), brain-computer interface research documented</t>
  </si>
  <si>
    <t>shadow government</t>
  </si>
  <si>
    <t>shadow government USA</t>
  </si>
  <si>
    <t>continuity of government</t>
  </si>
  <si>
    <t>shadow government evidence</t>
  </si>
  <si>
    <t>The Shadow Government: Continuity of Government Programs Are Real — Here's What They Do</t>
  </si>
  <si>
    <t>COG programs (T1), presidential succession, Greenbrier bunker</t>
  </si>
  <si>
    <t>Rockefeller conspiracy</t>
  </si>
  <si>
    <t>Rockefeller Foundation</t>
  </si>
  <si>
    <t>Rockefeller family influence</t>
  </si>
  <si>
    <t>Rockefeller new world order</t>
  </si>
  <si>
    <t>The Rockefeller Family: Documented Influence on Medicine, Education, and Policy</t>
  </si>
  <si>
    <t>Foundation grants (T1), General Education Board, medical school reform (T1)</t>
  </si>
  <si>
    <t>Project Blue Book</t>
  </si>
  <si>
    <t>Project Blue Book cases</t>
  </si>
  <si>
    <t>Project Blue Book unsolved</t>
  </si>
  <si>
    <t>Air Force UFO investigation</t>
  </si>
  <si>
    <t>Project Blue Book: 12,618 Cases Investigated, 701 Unsolved — The Full Record</t>
  </si>
  <si>
    <t>Air Force program (T1), all cases now public, 701 remain unexplained</t>
  </si>
  <si>
    <t>transhumanism</t>
  </si>
  <si>
    <t>transhumanism agenda</t>
  </si>
  <si>
    <t>Neuralink conspiracy</t>
  </si>
  <si>
    <t>human augmentation</t>
  </si>
  <si>
    <t>Transhumanism: The Philosophy, The Technology, and the Conspiracy Fears</t>
  </si>
  <si>
    <t>Neuralink (T1), WEF Fourth Industrial Revolution (T1), agenda claims (T3)</t>
  </si>
  <si>
    <t>water fluoridation</t>
  </si>
  <si>
    <t>5K</t>
  </si>
  <si>
    <t>is fluoride in water safe</t>
  </si>
  <si>
    <t>fluoride IQ studies</t>
  </si>
  <si>
    <t>water fluoridation history</t>
  </si>
  <si>
    <t>Water Fluoridation: The 75-Year Debate — Every Study Rated</t>
  </si>
  <si>
    <t>CDC endorsement, NTP review, dose-response studies — rate each independently</t>
  </si>
  <si>
    <t>depopulation agenda</t>
  </si>
  <si>
    <t>population control conspiracy</t>
  </si>
  <si>
    <t>Bill Gates depopulation</t>
  </si>
  <si>
    <t>Ted Turner population</t>
  </si>
  <si>
    <t>The Depopulation Claim: What Public Figures Actually Said and What It Means</t>
  </si>
  <si>
    <t>Exact quotes from Gates, Turner, Kissinger — in full context vs conspiracy edit</t>
  </si>
  <si>
    <t>Daniel prophecy</t>
  </si>
  <si>
    <t>book of Daniel prophecies</t>
  </si>
  <si>
    <t>Daniel 70 weeks</t>
  </si>
  <si>
    <t>Daniel prophecy timeline</t>
  </si>
  <si>
    <t>Daniel's Prophecies: The Four Kingdoms, the 70 Weeks, and Historical Fulfillment</t>
  </si>
  <si>
    <t>Archaeological confirmation of kingdom sequence (T1-T2), dating debate</t>
  </si>
  <si>
    <t>Ezekiel 38 war</t>
  </si>
  <si>
    <t>Gog and Magog prophecy</t>
  </si>
  <si>
    <t>Ezekiel 38 Russia</t>
  </si>
  <si>
    <t>war of Gog and Magog 2026</t>
  </si>
  <si>
    <t>Ezekiel 38-39: The Gog and Magog Prophecy — Nations Identified and Current Geopolitics</t>
  </si>
  <si>
    <t>Hebrew names, geographical identification, current alliance patterns</t>
  </si>
  <si>
    <t>Operation CHAOS</t>
  </si>
  <si>
    <t>CIA domestic surveillance</t>
  </si>
  <si>
    <t>Operation CHAOS CIA</t>
  </si>
  <si>
    <t>CIA spied on Americans</t>
  </si>
  <si>
    <t>Operation CHAOS: The CIA's Illegal Domestic Spying Program — Declassified</t>
  </si>
  <si>
    <t>Family Jewels, Rockefeller Commission — T1 confirmed</t>
  </si>
  <si>
    <t>Wuhan lab leak</t>
  </si>
  <si>
    <t>COVID lab leak evidence</t>
  </si>
  <si>
    <t>Wuhan Institute of Virology</t>
  </si>
  <si>
    <t>COVID origin</t>
  </si>
  <si>
    <t>COVID-19 Origin: Lab Leak vs Natural Spillover — All Evidence Rated</t>
  </si>
  <si>
    <t>DOE assessment, FBI assessment, WHO investigation limitations</t>
  </si>
  <si>
    <t>central banking conspiracy</t>
  </si>
  <si>
    <t>who controls central banks</t>
  </si>
  <si>
    <t>BIS Bank for International Settlements</t>
  </si>
  <si>
    <t>central bank cartel</t>
  </si>
  <si>
    <t>Central Banking: How the System Actually Works vs the Cartel Theory</t>
  </si>
  <si>
    <t>BIS structure (T1), Fed ownership structure, coordination mechanisms</t>
  </si>
  <si>
    <t>food industry conspiracy</t>
  </si>
  <si>
    <t>food industry cover up</t>
  </si>
  <si>
    <t>sugar industry conspiracy</t>
  </si>
  <si>
    <t>processed food conspiracy</t>
  </si>
  <si>
    <t>The Food Industry: Documented Lobbying, Hidden Research, and Health Cover-Ups</t>
  </si>
  <si>
    <t>Sugar Research Foundation (T1 confirmed), tobacco playbook in food</t>
  </si>
  <si>
    <t>pharmaceutical conspiracy</t>
  </si>
  <si>
    <t>Big Pharma cover up</t>
  </si>
  <si>
    <t>drug company fraud</t>
  </si>
  <si>
    <t>suppressed cures</t>
  </si>
  <si>
    <t>Big Pharma: Documented Fraud Cases, Settled Lawsuits, and Suppression Claims</t>
  </si>
  <si>
    <t>Vioxx (T1), opioid crisis (T1), suppressed cure claims (T4-T5)</t>
  </si>
  <si>
    <t>Matthew 24 signs</t>
  </si>
  <si>
    <t>signs of the times Matthew 24</t>
  </si>
  <si>
    <t>Matthew 24 fulfilled</t>
  </si>
  <si>
    <t>end times signs Matthew</t>
  </si>
  <si>
    <t>Matthew 24: Jesus' Prophetic Discourse — Every Sign Tracked Against Current Events</t>
  </si>
  <si>
    <t>Wars, earthquakes, famine, false prophets — data on each marker</t>
  </si>
  <si>
    <t>Revelation timeline</t>
  </si>
  <si>
    <t>book of Revelation timeline chart</t>
  </si>
  <si>
    <t>Revelation events in order</t>
  </si>
  <si>
    <t>Revelation prophecy 2026</t>
  </si>
  <si>
    <t>The Book of Revelation: Four Major Interpretive Frameworks Compared Side by Side</t>
  </si>
  <si>
    <t>Preterist, historicist, futurist, idealist — show how each reads the same text differently</t>
  </si>
  <si>
    <t>MK Ultra survivors</t>
  </si>
  <si>
    <t>MK Ultra victim testimony</t>
  </si>
  <si>
    <t>MK Ultra lawsuits</t>
  </si>
  <si>
    <t>MK Ultra children</t>
  </si>
  <si>
    <t>MKUltra Survivors: Documented Cases, Court Testimony, and Settlement Records</t>
  </si>
  <si>
    <t>Orlikow case (T1), Montreal experiments, children claims</t>
  </si>
  <si>
    <t>NSA wiretapping</t>
  </si>
  <si>
    <t>NSA phone surveillance</t>
  </si>
  <si>
    <t>warrantless wiretapping</t>
  </si>
  <si>
    <t>Section 702 FISA</t>
  </si>
  <si>
    <t>NSA Warrantless Wiretapping: From Bush-Era Secrecy to Snowden Confirmation</t>
  </si>
  <si>
    <t>NYT 2005 revelation, Snowden documents, FISA court orders — all T1</t>
  </si>
  <si>
    <t>globalist agenda</t>
  </si>
  <si>
    <t>globalist conspiracy</t>
  </si>
  <si>
    <t>who are the globalists</t>
  </si>
  <si>
    <t>globalism vs nationalism</t>
  </si>
  <si>
    <t>The "Globalist Agenda": What International Institutions Actually Do and Don't Control</t>
  </si>
  <si>
    <t>Distinguish: international cooperation (T1) vs secret coordinated control (T3-T5)</t>
  </si>
  <si>
    <t>Israel Palestine conspiracy</t>
  </si>
  <si>
    <t>Israel lobby conspiracy</t>
  </si>
  <si>
    <t>AIPAC influence</t>
  </si>
  <si>
    <t>Zionist conspiracy</t>
  </si>
  <si>
    <t>Israel-Palestine: Documented Lobbying Influence vs Conspiracy Claims</t>
  </si>
  <si>
    <t>AIPAC spending (T1), Mearsheimer &amp; Walt paper, actual policy influence data</t>
  </si>
  <si>
    <t>two witnesses Revelation</t>
  </si>
  <si>
    <t>4K</t>
  </si>
  <si>
    <t>two witnesses Bible</t>
  </si>
  <si>
    <t>who are the two witnesses</t>
  </si>
  <si>
    <t>Revelation 11 two witnesses</t>
  </si>
  <si>
    <t>The Two Witnesses of Revelation 11: Every Interpretation From Church History</t>
  </si>
  <si>
    <t>Moses/Elijah, Enoch/Elijah, symbolic — list every major position</t>
  </si>
  <si>
    <t>red heifer prophecy</t>
  </si>
  <si>
    <t>red heifer Israel 2026</t>
  </si>
  <si>
    <t>red heifer temple</t>
  </si>
  <si>
    <t>red heifer sacrifice</t>
  </si>
  <si>
    <t>The Red Heifer: Current Status in Israel and Prophetic Significance</t>
  </si>
  <si>
    <t>Temple Institute breeding program (T1), Numbers 19, third temple connection</t>
  </si>
  <si>
    <t>Isaiah 17 Damascus</t>
  </si>
  <si>
    <t>Damascus destruction prophecy</t>
  </si>
  <si>
    <t>Isaiah 17 fulfilled</t>
  </si>
  <si>
    <t>Syria prophecy</t>
  </si>
  <si>
    <t>Isaiah 17: "Damascus Will Cease to Be a City" — Has This Been Fulfilled?</t>
  </si>
  <si>
    <t>Historical destructions, current Syrian civil war, interpretation debate</t>
  </si>
  <si>
    <t>Psalm 83 war</t>
  </si>
  <si>
    <t>3K</t>
  </si>
  <si>
    <t>Psalm 83 prophecy</t>
  </si>
  <si>
    <t>Psalm 83 nations</t>
  </si>
  <si>
    <t>Psalm 83 war 2026</t>
  </si>
  <si>
    <t>Psalm 83: The Nations Listed, Modern Identifications, and the War Question</t>
  </si>
  <si>
    <t>Ancient names → modern nations mapping, is it prophecy or prayer?</t>
  </si>
  <si>
    <t>666 meaning</t>
  </si>
  <si>
    <t>666 number of the beast</t>
  </si>
  <si>
    <t>666 meaning Bible</t>
  </si>
  <si>
    <t>666 in Revelation</t>
  </si>
  <si>
    <t>The Number 666: Nero, Bar Codes, Microchips — Every Theory Through History</t>
  </si>
  <si>
    <t>Greek/Hebrew gematria, Nero theory (T2), modern identification claims</t>
  </si>
  <si>
    <t>great tribulation</t>
  </si>
  <si>
    <t>great tribulation signs</t>
  </si>
  <si>
    <t>when does the great tribulation start</t>
  </si>
  <si>
    <t>great tribulation timeline</t>
  </si>
  <si>
    <t>The Great Tribulation: Pre-Trib, Mid-Trib, Post-Trib — Evidence for Each Position</t>
  </si>
  <si>
    <t>Matthew 24:21, Daniel 12, theological positions with scriptural basis for each</t>
  </si>
  <si>
    <t>abomination of desolation</t>
  </si>
  <si>
    <t>abomination of desolation meaning</t>
  </si>
  <si>
    <t>abomination of desolation 2026</t>
  </si>
  <si>
    <t>Daniel 9 abomination</t>
  </si>
  <si>
    <t>The Abomination of Desolation: Antiochus, AD 70, and the Future Fulfillment Question</t>
  </si>
  <si>
    <t>Antiochus IV (T1 historical), AD 70 (T1), future fulfillment (T3)</t>
  </si>
  <si>
    <t>Armageddon</t>
  </si>
  <si>
    <t>battle of Armageddon</t>
  </si>
  <si>
    <t>Armageddon location</t>
  </si>
  <si>
    <t>when is Armageddon</t>
  </si>
  <si>
    <t>Armageddon: The Location (Megiddo), The Prophecy, and What Modern Warfare Means for It</t>
  </si>
  <si>
    <t>Tel Megiddo archaeology (T1), Revelation 16 text, military logistics of the site</t>
  </si>
  <si>
    <t>one world religion</t>
  </si>
  <si>
    <t>one world religion conspiracy</t>
  </si>
  <si>
    <t>interfaith movement antichrist</t>
  </si>
  <si>
    <t>Chrislam</t>
  </si>
  <si>
    <t>One World Religion: Interfaith Movements, Vatican Statements, and the Prophecy Claim</t>
  </si>
  <si>
    <t>Actual interfaith documents, papal encyclicals, Abrahamic Family House (T1)</t>
  </si>
  <si>
    <t>Abraham Accords prophecy</t>
  </si>
  <si>
    <t>Abraham Accords Bible prophecy</t>
  </si>
  <si>
    <t>Abraham Accords antichrist</t>
  </si>
  <si>
    <t>peace deal prophecy</t>
  </si>
  <si>
    <t>The Abraham Accords: The Diplomatic Reality and the Prophetic Interpretations</t>
  </si>
  <si>
    <t>Actual treaty text (T1), Daniel 9:27 interpretations, expansion status</t>
  </si>
  <si>
    <t>Operation Condor</t>
  </si>
  <si>
    <t>CIA South America dictators</t>
  </si>
  <si>
    <t>Operation Condor deaths</t>
  </si>
  <si>
    <t>Condor assassinations</t>
  </si>
  <si>
    <t>Operation Condor: US-Backed State Terror in South America — Declassified</t>
  </si>
  <si>
    <t>CIA documents, 60K+ killed, congressional testimony — T1</t>
  </si>
  <si>
    <t>Bohemian Grove Cremation of Care</t>
  </si>
  <si>
    <t>Cremation of Care ritual</t>
  </si>
  <si>
    <t>Bohemian Grove ceremony</t>
  </si>
  <si>
    <t>Alex Jones Bohemian Grove</t>
  </si>
  <si>
    <t>The Cremation of Care: What the Ritual Is, Who Participates, and What It Means</t>
  </si>
  <si>
    <t>Jones footage (T1), historical records, theatrical vs occult interpretations</t>
  </si>
  <si>
    <t>ECHELON</t>
  </si>
  <si>
    <t>Five Eyes surveillance</t>
  </si>
  <si>
    <t>ECHELON spy network</t>
  </si>
  <si>
    <t>global signals intelligence</t>
  </si>
  <si>
    <t>ECHELON: The Global Surveillance Network That Predated Snowden</t>
  </si>
  <si>
    <t>European Parliament investigation (T1), Five Eyes structure confirmed</t>
  </si>
  <si>
    <t>suppressed inventions</t>
  </si>
  <si>
    <t>suppressed technology</t>
  </si>
  <si>
    <t>free energy devices suppressed</t>
  </si>
  <si>
    <t>water powered car</t>
  </si>
  <si>
    <t>Suppressed Inventions: Confirmed Patent Buyouts vs Free Energy Claims</t>
  </si>
  <si>
    <t>GM streetcar (T1-T2), oil company patents, perpetual motion claims (T5)</t>
  </si>
  <si>
    <t>Georgia Guidestones text</t>
  </si>
  <si>
    <t>Georgia Guidestones 500 million</t>
  </si>
  <si>
    <t>Georgia Guidestones ten commandments</t>
  </si>
  <si>
    <t>Georgia Guidestones translation</t>
  </si>
  <si>
    <t>The Georgia Guidestones Text: What the Inscriptions Said in All Eight Languages</t>
  </si>
  <si>
    <t>Full text documented (T1), interpretation debate, RC Christian identity</t>
  </si>
  <si>
    <t>Clinton body count</t>
  </si>
  <si>
    <t>Clinton kill list</t>
  </si>
  <si>
    <t>suspicious deaths Clintons</t>
  </si>
  <si>
    <t>Clinton conspiracy deaths</t>
  </si>
  <si>
    <t>The Clinton Body Count: Statistical Analysis of the Deaths and the Claims</t>
  </si>
  <si>
    <t>Base rate of deaths for anyone who knows 10K+ people, specific cases rated individually</t>
  </si>
  <si>
    <t>underground bases</t>
  </si>
  <si>
    <t>T2-T5</t>
  </si>
  <si>
    <t>DUMB deep underground bases</t>
  </si>
  <si>
    <t>underground military bases map</t>
  </si>
  <si>
    <t>Cheyenne Mountain underground</t>
  </si>
  <si>
    <t>Underground Military Bases: Confirmed Facilities vs Speculated Networks</t>
  </si>
  <si>
    <t>NORAD/Cheyenne Mountain (T1), Denver Airport tunnels (T2), vast network claims (T4-T5)</t>
  </si>
  <si>
    <t>Tic Tac UFO</t>
  </si>
  <si>
    <t>USS Nimitz UFO encounter</t>
  </si>
  <si>
    <t>Tic Tac UAP Navy</t>
  </si>
  <si>
    <t>Commander Fravor UFO</t>
  </si>
  <si>
    <t>The Tic Tac UFO: The Navy Encounter That Changed the Conversation</t>
  </si>
  <si>
    <t>Navy confirmed video (T1), Fravor testimony, DoD acknowledgment, physics questions</t>
  </si>
  <si>
    <t>Project Veritas</t>
  </si>
  <si>
    <t>Project Veritas investigations</t>
  </si>
  <si>
    <t>undercover journalism conspiracy</t>
  </si>
  <si>
    <t>media bias evidence</t>
  </si>
  <si>
    <t>Project Veritas: The Method, The Results, and the Legal Consequences</t>
  </si>
  <si>
    <t>Undercover footage (T1-T2), editing criticism, legal outcomes by case</t>
  </si>
  <si>
    <t>World Economic Forum conspiracy</t>
  </si>
  <si>
    <t>WEF conspiracy</t>
  </si>
  <si>
    <t>Klaus Schwab you will own nothing</t>
  </si>
  <si>
    <t>WEF Young Global Leaders</t>
  </si>
  <si>
    <t>The World Economic Forum: What It Actually Is, Who Attends, and the "Own Nothing" Claim</t>
  </si>
  <si>
    <t>Full quote context, YGL alumni list (T1), actual WEF policy influence</t>
  </si>
  <si>
    <t>CERN conspiracy</t>
  </si>
  <si>
    <t>CERN portal conspiracy</t>
  </si>
  <si>
    <t>CERN opening dimensions</t>
  </si>
  <si>
    <t>CERN Shiva statue</t>
  </si>
  <si>
    <t>CERN: The Particle Physics Lab, The Shiva Statue, and the Portal Claims</t>
  </si>
  <si>
    <t>Actual physics research (T1), Shiva statue context, portal claims (T5)</t>
  </si>
  <si>
    <t>organ harvesting</t>
  </si>
  <si>
    <t>organ harvesting China</t>
  </si>
  <si>
    <t>Uyghur organ harvesting</t>
  </si>
  <si>
    <t>forced organ donation</t>
  </si>
  <si>
    <t>Organ Harvesting: The China Tribunal Findings and Global Evidence</t>
  </si>
  <si>
    <t>China Tribunal independent judgment (T2), Falun Gong persecution (T1-T2)</t>
  </si>
  <si>
    <t>Jesuits conspiracy</t>
  </si>
  <si>
    <t>Jesuit world control</t>
  </si>
  <si>
    <t>Jesuit oath</t>
  </si>
  <si>
    <t>Society of Jesus conspiracy</t>
  </si>
  <si>
    <t>The Jesuits: The Order's Actual History and Influence vs the Control Claims</t>
  </si>
  <si>
    <t>Historical suppression (T1), Vatican influence, world control claims (T4)</t>
  </si>
  <si>
    <t>AIDS manufactured</t>
  </si>
  <si>
    <t>AIDS conspiracy</t>
  </si>
  <si>
    <t>HIV created in lab</t>
  </si>
  <si>
    <t>AIDS bio weapon</t>
  </si>
  <si>
    <t>Was HIV Created in a Lab? The Evidence, The Special Virus Program, and the Science</t>
  </si>
  <si>
    <t>Genetic evidence for natural origin (T1-T2), Strecker memorandum, SVP claims</t>
  </si>
  <si>
    <t>Federal Reserve Act 1913</t>
  </si>
  <si>
    <t>Jekyll Island Federal Reserve</t>
  </si>
  <si>
    <t>Federal Reserve creation</t>
  </si>
  <si>
    <t>bankers secret meeting 1910</t>
  </si>
  <si>
    <t>The Jekyll Island Meeting: How the Federal Reserve Was Actually Created</t>
  </si>
  <si>
    <t>Jekyll Island meeting confirmed (T1), attendees documented, Aldrich Plan</t>
  </si>
  <si>
    <t>Revelation 12 sign</t>
  </si>
  <si>
    <t>Revelation 12 sign 2017</t>
  </si>
  <si>
    <t>woman clothed in sun</t>
  </si>
  <si>
    <t>great sign in heaven</t>
  </si>
  <si>
    <t>The Revelation 12 Sign: The 2017 Alignment, What Was Predicted, What Happened</t>
  </si>
  <si>
    <t>Astronomical alignment occurred (T1), predictions attached to it, outcomes</t>
  </si>
  <si>
    <t>Temple Mount</t>
  </si>
  <si>
    <t>Temple Mount prophecy</t>
  </si>
  <si>
    <t>Temple Mount conflict</t>
  </si>
  <si>
    <t>al-Aqsa third temple</t>
  </si>
  <si>
    <t>The Temple Mount: The Geopolitical Reality and the Prophetic Significance</t>
  </si>
  <si>
    <t>Current political status (T1), competing religious claims, temple rebuilding obstacles</t>
  </si>
  <si>
    <t>Nephilim</t>
  </si>
  <si>
    <t>Nephilim in the Bible</t>
  </si>
  <si>
    <t>giants in Genesis 6</t>
  </si>
  <si>
    <t>Nephilim bones found</t>
  </si>
  <si>
    <t>The Nephilim: Genesis 6, The Book of Enoch, and the Archaeological Claims</t>
  </si>
  <si>
    <t>Biblical text (T1), Enoch context, giant skeleton hoaxes (T1 as hoaxes)</t>
  </si>
  <si>
    <t>Sumerian Anunnaki</t>
  </si>
  <si>
    <t>Anunnaki aliens</t>
  </si>
  <si>
    <t>Zecharia Sitchin Anunnaki</t>
  </si>
  <si>
    <t>Sumerian gods aliens</t>
  </si>
  <si>
    <t>The Anunnaki: What Sumerian Texts Actually Say vs Sitchin's Interpretation</t>
  </si>
  <si>
    <t>Academic Sumerian translation vs Sitchin translation — side by side</t>
  </si>
  <si>
    <t>Operation Ajax</t>
  </si>
  <si>
    <t>CIA Iran coup 1953</t>
  </si>
  <si>
    <t>Mossadegh overthrow</t>
  </si>
  <si>
    <t>CIA coup Iran</t>
  </si>
  <si>
    <t>Operation Ajax: The CIA Coup That Overthrew Iran's Democracy</t>
  </si>
  <si>
    <t>CIA admitted 2013, Kermit Roosevelt memoir, declassified documents — T1</t>
  </si>
  <si>
    <t>Georgia runoff conspiracy</t>
  </si>
  <si>
    <t>2K</t>
  </si>
  <si>
    <t>election fraud Georgia</t>
  </si>
  <si>
    <t>ballot counting conspiracy</t>
  </si>
  <si>
    <t>election machine fraud</t>
  </si>
  <si>
    <t>Election Fraud Claims: What the Audits, Courts, and Investigations Actually Found</t>
  </si>
  <si>
    <t>Court rulings (T1), audit results (T1), statistical analysis claims (T3)</t>
  </si>
  <si>
    <t>Blackrock conspiracy</t>
  </si>
  <si>
    <t>Blackrock owns everything</t>
  </si>
  <si>
    <t>Blackrock housing conspiracy</t>
  </si>
  <si>
    <t>who controls Blackrock</t>
  </si>
  <si>
    <t>BlackRock: The World's Largest Asset Manager — What It Actually Controls</t>
  </si>
  <si>
    <t>AUM data (T1), voting power mechanics, housing market purchases (T2)</t>
  </si>
  <si>
    <t>smart meter conspiracy</t>
  </si>
  <si>
    <t>smart meter health effects</t>
  </si>
  <si>
    <t>smart meter surveillance</t>
  </si>
  <si>
    <t>smart meter dangers</t>
  </si>
  <si>
    <t>Smart Meters: RF Emission Data, Privacy Concerns, and Health Claims</t>
  </si>
  <si>
    <t>FCC emission standards (T1), data collection capabilities (T2), health claims (T4)</t>
  </si>
  <si>
    <t>Georgia Stones destruction</t>
  </si>
  <si>
    <t>who destroyed Georgia Guidestones</t>
  </si>
  <si>
    <t>Georgia Guidestones bombing 2022</t>
  </si>
  <si>
    <t>Georgia Guidestones demolished</t>
  </si>
  <si>
    <t>The Destruction of the Georgia Guidestones: The Bombing and the Demolition</t>
  </si>
  <si>
    <t>July 2022 explosion (T1), GBI investigation, county demolished remainder</t>
  </si>
  <si>
    <t>USS Indianapolis</t>
  </si>
  <si>
    <t>USS Indianapolis cover up</t>
  </si>
  <si>
    <t>McVay court martial</t>
  </si>
  <si>
    <t>Indianapolis sinking conspiracy</t>
  </si>
  <si>
    <t>USS Indianapolis: The Sinking, The Coverup of Intelligence Failures, The Exoneration</t>
  </si>
  <si>
    <t>Naval records (T1), McVay exoneration 2000, intelligence failures</t>
  </si>
  <si>
    <t>banking cartel</t>
  </si>
  <si>
    <t>money cartel</t>
  </si>
  <si>
    <t>bank oligarchy</t>
  </si>
  <si>
    <t>who controls world banking</t>
  </si>
  <si>
    <t>The Global Banking System: How It Actually Works vs the Cartel Theory</t>
  </si>
  <si>
    <t>BIS, IMF, World Bank structure (T1), coordination mechanisms, control claims</t>
  </si>
  <si>
    <t>cancer cure suppressed</t>
  </si>
  <si>
    <t>hidden cancer cure</t>
  </si>
  <si>
    <t>Big Pharma hiding cancer cure</t>
  </si>
  <si>
    <t>natural cancer cure suppressed</t>
  </si>
  <si>
    <t>Cancer Cure Suppression: Why the Conspiracy Fails Basic Logic — But What IS Hidden</t>
  </si>
  <si>
    <t>Competition between thousands of labs worldwide, actual suppressed research examples</t>
  </si>
  <si>
    <t>planned obsolescence</t>
  </si>
  <si>
    <t>CORPORATE</t>
  </si>
  <si>
    <t>products designed to break</t>
  </si>
  <si>
    <t>Apple planned obsolescence</t>
  </si>
  <si>
    <t>light bulb conspiracy</t>
  </si>
  <si>
    <t>Planned Obsolescence: The Phoebus Cartel Was Real — What About Today?</t>
  </si>
  <si>
    <t>Phoebus light bulb cartel (T1), Apple throttling (T1 confirmed, settled), modern examples</t>
  </si>
  <si>
    <t>Davos conspiracy</t>
  </si>
  <si>
    <t>Davos meeting conspiracy</t>
  </si>
  <si>
    <t>World Economic Forum Davos</t>
  </si>
  <si>
    <t>Davos attendees influence</t>
  </si>
  <si>
    <t>Davos: What Happens at the World Economic Forum Annual Meeting — Documented</t>
  </si>
  <si>
    <t>Public sessions (T1), closed-door meetings, actual policy influence</t>
  </si>
  <si>
    <t>Maui fires conspiracy</t>
  </si>
  <si>
    <t>Lahaina fire directed energy</t>
  </si>
  <si>
    <t>Maui fires suspicious</t>
  </si>
  <si>
    <t>Maui land grab conspiracy</t>
  </si>
  <si>
    <t>The Maui Fires: Weather Data, Infrastructure Failures, and the Conspiracy Claims</t>
  </si>
  <si>
    <t>Weather conditions (T1), power line failures (T2), DEW claims (T5), land grab concerns (T3)</t>
  </si>
  <si>
    <t>GMO conspiracy</t>
  </si>
  <si>
    <t>GMO health risks</t>
  </si>
  <si>
    <t>Monsanto conspiracy</t>
  </si>
  <si>
    <t>GMO food dangers</t>
  </si>
  <si>
    <t>GMOs: The Science, The Corporate Behavior, and Where the Real Concerns Live</t>
  </si>
  <si>
    <t>Safety consensus (T1-T2), Monsanto lawsuits (T1), regulatory capture questions (T3)</t>
  </si>
  <si>
    <t>oil conspiracy</t>
  </si>
  <si>
    <t>oil companies climate coverup</t>
  </si>
  <si>
    <t>Exxon knew climate change</t>
  </si>
  <si>
    <t>OPEC price fixing</t>
  </si>
  <si>
    <t>Big Oil: Exxon's Climate Research Cover-Up and the OPEC Cartel — Documented</t>
  </si>
  <si>
    <t>Internal Exxon documents (T1), OPEC coordination (T1), suppressed alternatives (T3)</t>
  </si>
  <si>
    <t>media manipulation</t>
  </si>
  <si>
    <t>media propaganda</t>
  </si>
  <si>
    <t>who controls the media</t>
  </si>
  <si>
    <t>six corporations own media</t>
  </si>
  <si>
    <t>Media Ownership: Six Corporations Control 90% of US Media — The Actual Numbers</t>
  </si>
  <si>
    <t>Ownership charts (T1), editorial independence questions, consolidation timeline</t>
  </si>
  <si>
    <t>cashless society conspiracy</t>
  </si>
  <si>
    <t>digital currency control</t>
  </si>
  <si>
    <t>cashless society danger</t>
  </si>
  <si>
    <t>CBDC conspiracy</t>
  </si>
  <si>
    <t>The Cashless Society: CBDC Development, Surveillance Potential, and the Freedom Concerns</t>
  </si>
  <si>
    <t>Fed digital dollar research (T1), China digital yuan (T1), surveillance capabilities</t>
  </si>
  <si>
    <t>Operation Warp Speed</t>
  </si>
  <si>
    <t>Warp Speed vaccine development</t>
  </si>
  <si>
    <t>rushed vaccine conspiracy</t>
  </si>
  <si>
    <t>mRNA vaccine safety</t>
  </si>
  <si>
    <t>Operation Warp Speed: What Was Accelerated, What Was Skipped, and What the Data Shows</t>
  </si>
  <si>
    <t>Phase 3 trial data (T1), EUA process (T1), long-term monitoring data</t>
  </si>
  <si>
    <t>Antarctica conspiracy</t>
  </si>
  <si>
    <t>Antarctica secrets</t>
  </si>
  <si>
    <t>hidden civilization Antarctica</t>
  </si>
  <si>
    <t>Antarctica treaty conspiracy</t>
  </si>
  <si>
    <t>Antarctica: The Treaty, The Research Stations, and the Secret Civilization Claims</t>
  </si>
  <si>
    <t>Antarctic Treaty text (T1), research stations (T1), ancient ruins claims (T5)</t>
  </si>
  <si>
    <t>Tartaria</t>
  </si>
  <si>
    <t>HISTORY</t>
  </si>
  <si>
    <t>Tartaria empire conspiracy</t>
  </si>
  <si>
    <t>mud flood theory</t>
  </si>
  <si>
    <t>lost civilization Tartaria</t>
  </si>
  <si>
    <t>Tartaria: The Historical Maps, The Mud Flood Theory, and What Historians Say</t>
  </si>
  <si>
    <t>Historical maps with Tartary (T1), architectural evidence claims, mud flood theory</t>
  </si>
  <si>
    <t>stolen election 2020</t>
  </si>
  <si>
    <t>2020 election fraud evidence</t>
  </si>
  <si>
    <t>election rigged 2020</t>
  </si>
  <si>
    <t>voting machine conspiracy</t>
  </si>
  <si>
    <t>2020 Election: Every Major Fraud Claim, Every Court Ruling, Every Audit Result</t>
  </si>
  <si>
    <t>Court rulings (T1), state audits (T1), statistical claims (T3-T4)</t>
  </si>
  <si>
    <t>Soros conspiracy</t>
  </si>
  <si>
    <t>George Soros conspiracy</t>
  </si>
  <si>
    <t>Soros funding protests</t>
  </si>
  <si>
    <t>Open Society Foundation conspiracy</t>
  </si>
  <si>
    <t>George Soros: Documented Funding, Political Influence, and the Conspiracy Claims</t>
  </si>
  <si>
    <t>OSF grants (T1), actual amounts, actual recipients vs claims about scope</t>
  </si>
  <si>
    <t>Bohemian Grove guest list</t>
  </si>
  <si>
    <t>Bohemian Grove attendees</t>
  </si>
  <si>
    <t>Bohemian Grove presidents</t>
  </si>
  <si>
    <t>who goes to Bohemian Grove</t>
  </si>
  <si>
    <t>Bohemian Grove Guest List: Confirmed Attendees Through History</t>
  </si>
  <si>
    <t>Nixon tape mentioning it (T1), known members, infiltration reports</t>
  </si>
  <si>
    <t>rapture date predictions</t>
  </si>
  <si>
    <t>T1 (as failures)</t>
  </si>
  <si>
    <t>rapture prediction history</t>
  </si>
  <si>
    <t>failed rapture predictions</t>
  </si>
  <si>
    <t>rapture 2026 prediction</t>
  </si>
  <si>
    <t>Every Major Rapture Prediction in History and Its Outcome: A Complete List</t>
  </si>
  <si>
    <t>Miller 1844, Camping 2011, Blood Moons 2015 — every failed prediction documented</t>
  </si>
  <si>
    <t>Israel prophecy</t>
  </si>
  <si>
    <t>Israel Bible prophecy</t>
  </si>
  <si>
    <t>1948 prophecy fulfilled</t>
  </si>
  <si>
    <t>Israel end times role</t>
  </si>
  <si>
    <t>Israel in Prophecy: The 1948 Fulfillment, Current Geopolitics, and What Remains</t>
  </si>
  <si>
    <t>Isaiah 66:8 / 1948 (T2), ongoing conflict, temple rebuilding status</t>
  </si>
  <si>
    <t>one world currency</t>
  </si>
  <si>
    <t>digital world currency</t>
  </si>
  <si>
    <t>one world currency prophecy</t>
  </si>
  <si>
    <t>global currency conspiracy</t>
  </si>
  <si>
    <t>One World Currency: CBDC Developments, SDR Expansion, and the Prophecy Connection</t>
  </si>
  <si>
    <t>IMF SDR (T1), CBDC development (T1), Revelation 13 interpretation</t>
  </si>
  <si>
    <t>AI antichrist</t>
  </si>
  <si>
    <t>artificial intelligence antichrist</t>
  </si>
  <si>
    <t>AI image of the beast</t>
  </si>
  <si>
    <t>technology antichrist</t>
  </si>
  <si>
    <t>AI as the Image of the Beast? The Technology, The Prophecy, and the Connection Claims</t>
  </si>
  <si>
    <t>Revelation 13:15, current AI capabilities, theological interpretation</t>
  </si>
  <si>
    <t>ten kings prophecy</t>
  </si>
  <si>
    <t>ten kings Revelation</t>
  </si>
  <si>
    <t>ten horns prophecy</t>
  </si>
  <si>
    <t>Revelation 17 ten kings</t>
  </si>
  <si>
    <t>The Ten Kings of Revelation 17: EU, Club of Rome, and Every Identification Attempt</t>
  </si>
  <si>
    <t>Club of Rome 10 regions (T2), EU theories, historical identifications</t>
  </si>
  <si>
    <t>two state solution prophecy</t>
  </si>
  <si>
    <t>dividing the land prophecy</t>
  </si>
  <si>
    <t>Joel 3 Palestine</t>
  </si>
  <si>
    <t>Israel land division judgment</t>
  </si>
  <si>
    <t>Dividing the Land: Joel 3:2 and the Two-State Solution — Prophetic Implications</t>
  </si>
  <si>
    <t>Joel 3:2 text, current peace negotiations, interpretation debate</t>
  </si>
  <si>
    <t>Gog Magog war</t>
  </si>
  <si>
    <t>Russia Gog Magog</t>
  </si>
  <si>
    <t>Turkey Gog Magog</t>
  </si>
  <si>
    <t>Ezekiel war nations</t>
  </si>
  <si>
    <t>Gog and Magog: Russian Identification, Turkish Identification, and the Evidence</t>
  </si>
  <si>
    <t>Josephus identification, modern geopolitical mapping, coalition analysis</t>
  </si>
  <si>
    <t>millennial reign</t>
  </si>
  <si>
    <t>1000 year reign of Christ</t>
  </si>
  <si>
    <t>millennium Bible</t>
  </si>
  <si>
    <t>premillennialism vs amillennialism</t>
  </si>
  <si>
    <t>The Millennial Reign: What Revelation 20 Says and How Four Traditions Read It</t>
  </si>
  <si>
    <t>Premillennial, amillennial, postmillennial, preterist — evidence for each</t>
  </si>
  <si>
    <t>seal judgments</t>
  </si>
  <si>
    <t>seven seal judgments Revelation</t>
  </si>
  <si>
    <t>first seal white horse</t>
  </si>
  <si>
    <t>seal judgments timeline</t>
  </si>
  <si>
    <t>The Seven Seals: A Verse-by-Verse Analysis with Historical and Future Interpretations</t>
  </si>
  <si>
    <t>Revelation 6-8, parallel in Matthew 24, four interpretation schools</t>
  </si>
  <si>
    <t>trumpet judgments</t>
  </si>
  <si>
    <t>seven trumpets Revelation</t>
  </si>
  <si>
    <t>trumpet judgments Revelation</t>
  </si>
  <si>
    <t>trumpet plagues</t>
  </si>
  <si>
    <t>The Seven Trumpets of Revelation: Literal, Symbolic, and Historical Interpretations</t>
  </si>
  <si>
    <t>Revelation 8-11, comparison across interpretive traditions</t>
  </si>
  <si>
    <t>Event 201</t>
  </si>
  <si>
    <t>Event 201 pandemic simulation</t>
  </si>
  <si>
    <t>Event 201 coronavirus</t>
  </si>
  <si>
    <t>Bill Gates pandemic simulation</t>
  </si>
  <si>
    <t>Event 201: The October 2019 Pandemic Simulation — What It Was and Wasn't</t>
  </si>
  <si>
    <t>Johns Hopkins exercise (T1), timing coincidence, participants, actual scenario details</t>
  </si>
  <si>
    <t>Gain of function research</t>
  </si>
  <si>
    <t>gain of function Wuhan</t>
  </si>
  <si>
    <t>Fauci gain of function</t>
  </si>
  <si>
    <t>NIH funding Wuhan</t>
  </si>
  <si>
    <t>Gain of Function Research: What NIH Funded, What the Rules Are, and What Changed</t>
  </si>
  <si>
    <t>NIH grant records (T1), EcoHealth Alliance, moratorium history</t>
  </si>
  <si>
    <t>USS Pueblo</t>
  </si>
  <si>
    <t>1K</t>
  </si>
  <si>
    <t>USS Pueblo capture</t>
  </si>
  <si>
    <t>North Korea USS Pueblo</t>
  </si>
  <si>
    <t>Pueblo incident cover up</t>
  </si>
  <si>
    <t>USS Pueblo: The Ship North Korea Still Has — The Capture and the Intelligence Failure</t>
  </si>
  <si>
    <t>Navy records (T1), crew testimony, ship still in Pyongyang</t>
  </si>
  <si>
    <t>Havana Syndrome</t>
  </si>
  <si>
    <t>Havana Syndrome cause</t>
  </si>
  <si>
    <t>directed energy weapon diplomats</t>
  </si>
  <si>
    <t>Havana Syndrome CIA</t>
  </si>
  <si>
    <t>Havana Syndrome: The Symptoms, The Investigations, and the Directed Energy Theory</t>
  </si>
  <si>
    <t>State Dept confirmed cases (T1), NAS report, intelligence assessments diverge</t>
  </si>
  <si>
    <t>alien abduction</t>
  </si>
  <si>
    <t>alien abduction evidence</t>
  </si>
  <si>
    <t>alien abduction stories</t>
  </si>
  <si>
    <t>Betty and Barney Hill</t>
  </si>
  <si>
    <t>Alien Abduction: The Hill Case, The Harvard Study, and What Psychology Says</t>
  </si>
  <si>
    <t>Hill case (T2-T3), Mack research, sleep paralysis explanation (T1-T2)</t>
  </si>
  <si>
    <t>secret societies list</t>
  </si>
  <si>
    <t>list of secret societies</t>
  </si>
  <si>
    <t>real secret societies</t>
  </si>
  <si>
    <t>most powerful secret societies</t>
  </si>
  <si>
    <t>Secret Societies: Every Known Organization, Their Documented Activities, and Influence</t>
  </si>
  <si>
    <t>Skull &amp; Bones, Bilderberg, CFR, Trilateral — public records vs secret claims</t>
  </si>
  <si>
    <t>Pentagon missing trillions</t>
  </si>
  <si>
    <t>Pentagon $21 trillion missing</t>
  </si>
  <si>
    <t>DOD audit failure</t>
  </si>
  <si>
    <t>unaccounted Pentagon spending</t>
  </si>
  <si>
    <t>The Pentagon's Missing Trillions: What the Audit Failures Actually Mean</t>
  </si>
  <si>
    <t>OIG reports (T1), Skidmore/Fitts research, accounting adjustments vs missing money</t>
  </si>
  <si>
    <t>Moloch owl Bohemian Grove</t>
  </si>
  <si>
    <t>owl of Minerva</t>
  </si>
  <si>
    <t>Bohemian Grove worship</t>
  </si>
  <si>
    <t>The Owl at Bohemian Grove: Minerva, Moloch, or Just a Mascot?</t>
  </si>
  <si>
    <t>Club history (T1), owl symbolism, Moloch identification (T3-T4)</t>
  </si>
  <si>
    <t>MH370 conspiracy</t>
  </si>
  <si>
    <t>MH370 what happened</t>
  </si>
  <si>
    <t>Malaysia Airlines 370 conspiracy</t>
  </si>
  <si>
    <t>MH370 Diego Garcia</t>
  </si>
  <si>
    <t>MH370: Every Theory Ranked by Evidence — From Mechanical Failure to Diego Garcia</t>
  </si>
  <si>
    <t>Confirmed: loss of contact (T1), search area (T1), theories rated individually</t>
  </si>
  <si>
    <t>TWA 800</t>
  </si>
  <si>
    <t>TWA 800 missile theory</t>
  </si>
  <si>
    <t>TWA Flight 800 cover up</t>
  </si>
  <si>
    <t>TWA 800 witness testimony</t>
  </si>
  <si>
    <t>TWA Flight 800: The NTSB Finding, The Witness Testimony, and the Missile Theory</t>
  </si>
  <si>
    <t>NTSB center fuel tank (T2), 258 eyewitnesses missile reports, CIA animation</t>
  </si>
  <si>
    <t>weather warfare</t>
  </si>
  <si>
    <t>ENMOD treaty</t>
  </si>
  <si>
    <t>military weather modification</t>
  </si>
  <si>
    <t>weaponized weather</t>
  </si>
  <si>
    <t>Weather Warfare: The ENMOD Treaty Proves Nations Took It Seriously</t>
  </si>
  <si>
    <t>ENMOD Treaty 1976 (T1), Operation Popeye Vietnam (T1), modern capabilities (T3)</t>
  </si>
  <si>
    <t>aspartame conspiracy</t>
  </si>
  <si>
    <t>aspartame dangers</t>
  </si>
  <si>
    <t>Rumsfeld aspartame</t>
  </si>
  <si>
    <t>aspartame cancer</t>
  </si>
  <si>
    <t>Aspartame: The Rumsfeld Connection, The FDA Approval, and the Health Studies</t>
  </si>
  <si>
    <t>Rumsfeld at Searle (T1), FDA approval process, WHO cancer classification 2023</t>
  </si>
  <si>
    <t>social credit system</t>
  </si>
  <si>
    <t>China social credit</t>
  </si>
  <si>
    <t>social credit USA</t>
  </si>
  <si>
    <t>credit score conspiracy</t>
  </si>
  <si>
    <t>Social Credit Systems: What China Built, What the West Is Building, and the Differences</t>
  </si>
  <si>
    <t>China system (T1 documented), Western credit scoring, ESG connections (T2-T3)</t>
  </si>
  <si>
    <t>Bohemian Grove Nixon</t>
  </si>
  <si>
    <t>Nixon Bohemian Grove quote</t>
  </si>
  <si>
    <t>Nixon faggiest thing</t>
  </si>
  <si>
    <t>presidents at Bohemian Grove</t>
  </si>
  <si>
    <t>Nixon on Bohemian Grove: The Tape, The Quote, and What It Tells Us</t>
  </si>
  <si>
    <t>Watergate tapes (T1), exact quote available, context of the conversation</t>
  </si>
  <si>
    <t>Bilderberg attendees</t>
  </si>
  <si>
    <t>Bilderberg Group attendee list</t>
  </si>
  <si>
    <t>Bilderberg invited guests</t>
  </si>
  <si>
    <t>Bilderberg Attendee Database: Every Known Participant from 1954 to Present</t>
  </si>
  <si>
    <t>Official press releases post-2010 (T1), journalist documentation pre-2010 (T2)</t>
  </si>
  <si>
    <t>directed energy weapons</t>
  </si>
  <si>
    <t>DEW military weapons</t>
  </si>
  <si>
    <t>laser weapons military</t>
  </si>
  <si>
    <t>directed energy Maui</t>
  </si>
  <si>
    <t>Directed Energy Weapons: What the Military Has Deployed vs What's Claimed</t>
  </si>
  <si>
    <t>Navy AN/SEQ-3 (T1), THEL (T1), conspiracy applications to fires (T4-T5)</t>
  </si>
  <si>
    <t>UFO crash retrieval</t>
  </si>
  <si>
    <t>crashed UFO recovered</t>
  </si>
  <si>
    <t>alien craft reverse engineering</t>
  </si>
  <si>
    <t>Grusch UFO testimony</t>
  </si>
  <si>
    <t>UFO Crash Retrieval Programs: Grusch Testimony, Congressional Interest, and Evidence</t>
  </si>
  <si>
    <t>Grusch testimony (T2), AARO report, Schumer amendment, physical evidence question</t>
  </si>
  <si>
    <t>cattle mutilation</t>
  </si>
  <si>
    <t>cattle mutilation explained</t>
  </si>
  <si>
    <t>cattle mutilation 2026</t>
  </si>
  <si>
    <t>animal mutilation conspiracy</t>
  </si>
  <si>
    <t>Cattle Mutilation: The FBI Investigation, The Veterinary Explanations, and What's Left</t>
  </si>
  <si>
    <t>FBI report (T1), predator/decomposition explanation (T2), surgical precision claims (T3)</t>
  </si>
  <si>
    <t>Dulles brothers</t>
  </si>
  <si>
    <t>Allen Dulles conspiracy</t>
  </si>
  <si>
    <t>John Foster Dulles</t>
  </si>
  <si>
    <t>Dulles CIA legacy</t>
  </si>
  <si>
    <t>The Dulles Brothers: How Two Men Shaped American Intelligence and Foreign Policy</t>
  </si>
  <si>
    <t>CIA Director + Secretary of State simultaneously (T1), documented operations</t>
  </si>
  <si>
    <t>Paul McCartney death conspiracy</t>
  </si>
  <si>
    <t>Paul is dead evidence</t>
  </si>
  <si>
    <t>Beatles conspiracy</t>
  </si>
  <si>
    <t>Paul McCartney replaced</t>
  </si>
  <si>
    <t>Paul Is Dead: The 1969 Theory, The "Clues," and Why It Persists</t>
  </si>
  <si>
    <t>Origin traced to university newspaper hoax (T1-T2), McCartney still alive (T1)</t>
  </si>
  <si>
    <t>Operation Midnight Climax</t>
  </si>
  <si>
    <t>Bay of Pigs conspiracy</t>
  </si>
  <si>
    <t>Watergate deeper conspiracy</t>
  </si>
  <si>
    <t>Pentagon Papers</t>
  </si>
  <si>
    <t>Project Stargate remote viewing</t>
  </si>
  <si>
    <t>CIA assassination attempts Castro</t>
  </si>
  <si>
    <t>Operation Timber Sycamore</t>
  </si>
  <si>
    <t>Rex 84</t>
  </si>
  <si>
    <t>Operation Fast and Furious</t>
  </si>
  <si>
    <t>Benghazi conspiracy</t>
  </si>
  <si>
    <t>IRS targeting scandal</t>
  </si>
  <si>
    <t>NSA Room 641A</t>
  </si>
  <si>
    <t>Stuxnet</t>
  </si>
  <si>
    <t>Operation Acoustic Kitty</t>
  </si>
  <si>
    <t>DARPA LifeLog Facebook</t>
  </si>
  <si>
    <t>In-Q-Tel CIA venture capital</t>
  </si>
  <si>
    <t>Total Information Awareness</t>
  </si>
  <si>
    <t>Carnivore FBI surveillance</t>
  </si>
  <si>
    <t>PROMIS software conspiracy</t>
  </si>
  <si>
    <t>Danny Casolaro Octopus</t>
  </si>
  <si>
    <t>500</t>
  </si>
  <si>
    <t>Operation Ore</t>
  </si>
  <si>
    <t>MKULTRA Canada</t>
  </si>
  <si>
    <t>Church Committee findings</t>
  </si>
  <si>
    <t>Pike Committee</t>
  </si>
  <si>
    <t>Executive Order 11110</t>
  </si>
  <si>
    <t>Project SHAD</t>
  </si>
  <si>
    <t>Operation Big Buzz</t>
  </si>
  <si>
    <t>Operation Sea Spray</t>
  </si>
  <si>
    <t>Tuskegee airmen vs experiment</t>
  </si>
  <si>
    <t>USS Maine conspiracy</t>
  </si>
  <si>
    <t>vaccine autism link</t>
  </si>
  <si>
    <t>Wakefield study fraud</t>
  </si>
  <si>
    <t>thimerosal mercury vaccines</t>
  </si>
  <si>
    <t>SV40 contamination</t>
  </si>
  <si>
    <t>statin conspiracy</t>
  </si>
  <si>
    <t>mammography screening conspiracy</t>
  </si>
  <si>
    <t>psychiatry conspiracy</t>
  </si>
  <si>
    <t>SSRI school shootings</t>
  </si>
  <si>
    <t>MSG conspiracy</t>
  </si>
  <si>
    <t>seed oil conspiracy</t>
  </si>
  <si>
    <t>sugar industry cover up</t>
  </si>
  <si>
    <t>tobacco science playbook</t>
  </si>
  <si>
    <t>opioid crisis conspiracy</t>
  </si>
  <si>
    <t>Purdue Pharma</t>
  </si>
  <si>
    <t>ivermectin suppressed</t>
  </si>
  <si>
    <t>hydroxychloroquine conspiracy</t>
  </si>
  <si>
    <t>Lyme disease bioweapon</t>
  </si>
  <si>
    <t>Plum Island bioweapon</t>
  </si>
  <si>
    <t>mycoplasma fermentans</t>
  </si>
  <si>
    <t>Morgellons disease</t>
  </si>
  <si>
    <t>gold price manipulation</t>
  </si>
  <si>
    <t>silver market manipulation</t>
  </si>
  <si>
    <t>LIBOR scandal</t>
  </si>
  <si>
    <t>forex rigging scandal</t>
  </si>
  <si>
    <t>Panama Papers</t>
  </si>
  <si>
    <t>Paradise Papers</t>
  </si>
  <si>
    <t>Pandora Papers</t>
  </si>
  <si>
    <t>offshore tax havens</t>
  </si>
  <si>
    <t>ESG conspiracy</t>
  </si>
  <si>
    <t>Vanguard Blackrock conspiracy</t>
  </si>
  <si>
    <t>Bitcoin created by CIA</t>
  </si>
  <si>
    <t>cryptocurrency conspiracy</t>
  </si>
  <si>
    <t>petrodollar conspiracy</t>
  </si>
  <si>
    <t>Nixon gold standard</t>
  </si>
  <si>
    <t>PPT Plunge Protection Team</t>
  </si>
  <si>
    <t>Exchange Stabilization Fund</t>
  </si>
  <si>
    <t>quantitative easing conspiracy</t>
  </si>
  <si>
    <t>Wall Street bailout conspiracy</t>
  </si>
  <si>
    <t>GameStop conspiracy</t>
  </si>
  <si>
    <t>dark pools conspiracy</t>
  </si>
  <si>
    <t>Daniel statue prophecy</t>
  </si>
  <si>
    <t>seventy weeks of Daniel</t>
  </si>
  <si>
    <t>fig tree generation prophecy</t>
  </si>
  <si>
    <t>Jubilee year prophecy</t>
  </si>
  <si>
    <t>Shemitah cycle</t>
  </si>
  <si>
    <t>blood covenant prophecy</t>
  </si>
  <si>
    <t>Ezekiel dry bones prophecy</t>
  </si>
  <si>
    <t>Zechariah 14 prophecy</t>
  </si>
  <si>
    <t>Obadiah Edom prophecy</t>
  </si>
  <si>
    <t>Joel locust army prophecy</t>
  </si>
  <si>
    <t>Micah 5 Bethlehem prophecy</t>
  </si>
  <si>
    <t>Isaiah 53 suffering servant</t>
  </si>
  <si>
    <t>Psalm 22 crucifixion prophecy</t>
  </si>
  <si>
    <t>Daniel 12 sealed book</t>
  </si>
  <si>
    <t>Revelation 13 beast system</t>
  </si>
  <si>
    <t>Babylon the Great</t>
  </si>
  <si>
    <t>Mystery Babylon America</t>
  </si>
  <si>
    <t>Whore of Babylon</t>
  </si>
  <si>
    <t>false prophet Revelation</t>
  </si>
  <si>
    <t>144000 Revelation</t>
  </si>
  <si>
    <t>new Jerusalem</t>
  </si>
  <si>
    <t>lake of fire</t>
  </si>
  <si>
    <t>sheep goat judgment</t>
  </si>
  <si>
    <t>white throne judgment</t>
  </si>
  <si>
    <t>wedding supper of the Lamb</t>
  </si>
  <si>
    <t>parable ten virgins</t>
  </si>
  <si>
    <t>Elijah must come first</t>
  </si>
  <si>
    <t>John the Baptist Elijah</t>
  </si>
  <si>
    <t>Enoch taken prophecy</t>
  </si>
  <si>
    <t>Methuselah prophecy name</t>
  </si>
  <si>
    <t>tower of Babel conspiracy</t>
  </si>
  <si>
    <t>Nimrod one world government</t>
  </si>
  <si>
    <t>Genesis 6 conspiracy</t>
  </si>
  <si>
    <t>Book of Enoch conspiracy</t>
  </si>
  <si>
    <t>Dead Sea Scrolls cover up</t>
  </si>
  <si>
    <t>Nag Hammadi texts</t>
  </si>
  <si>
    <t>lost books of the Bible</t>
  </si>
  <si>
    <t>Council of Nicaea conspiracy</t>
  </si>
  <si>
    <t>Bible changed conspiracy</t>
  </si>
  <si>
    <t>King James Bible conspiracy</t>
  </si>
  <si>
    <t>Septuagint vs Masoretic</t>
  </si>
  <si>
    <t>textual criticism Bible</t>
  </si>
  <si>
    <t>Isaiah 7 14 virgin prophecy</t>
  </si>
  <si>
    <t>Immanuel prophecy</t>
  </si>
  <si>
    <t>Jeremiah 29 11 context</t>
  </si>
  <si>
    <t>2 Chronicles 7 14 prophecy</t>
  </si>
  <si>
    <t>Hosea prophecy fulfilled</t>
  </si>
  <si>
    <t>Amos earthquake prophecy</t>
  </si>
  <si>
    <t>Habakkuk end times</t>
  </si>
  <si>
    <t>Malachi 4 Elijah</t>
  </si>
  <si>
    <t>Acts 2 last days</t>
  </si>
  <si>
    <t>1 Thessalonians rapture</t>
  </si>
  <si>
    <t>Bob Lazar Area 51</t>
  </si>
  <si>
    <t>Travis Walton abduction</t>
  </si>
  <si>
    <t>Skinwalker Ranch</t>
  </si>
  <si>
    <t>Dyatlov Pass conspiracy</t>
  </si>
  <si>
    <t>Bermuda Triangle</t>
  </si>
  <si>
    <t>Nazca Lines aliens</t>
  </si>
  <si>
    <t>crop circles</t>
  </si>
  <si>
    <t>men in black real</t>
  </si>
  <si>
    <t>Roswell autopsy film</t>
  </si>
  <si>
    <t>T1 (hoax)</t>
  </si>
  <si>
    <t>Betty Hill star map</t>
  </si>
  <si>
    <t>Kecksburg UFO incident</t>
  </si>
  <si>
    <t>Shag Harbour UFO</t>
  </si>
  <si>
    <t>Westall UFO 1966</t>
  </si>
  <si>
    <t>Zimbabwe school UFO 1994</t>
  </si>
  <si>
    <t>Varginha UFO Brazil</t>
  </si>
  <si>
    <t>Belgian UFO wave</t>
  </si>
  <si>
    <t>Japan Airlines Flight 1628</t>
  </si>
  <si>
    <t>Colares UFO Brazil</t>
  </si>
  <si>
    <t>Valensole UFO encounter</t>
  </si>
  <si>
    <t>Pascagoula abduction</t>
  </si>
  <si>
    <t>social media censorship</t>
  </si>
  <si>
    <t>Section 230 conspiracy</t>
  </si>
  <si>
    <t>Twitter Files</t>
  </si>
  <si>
    <t>Facebook Cambridge Analytica</t>
  </si>
  <si>
    <t>Google censorship</t>
  </si>
  <si>
    <t>YouTube algorithm manipulation</t>
  </si>
  <si>
    <t>Palantir surveillance</t>
  </si>
  <si>
    <t>Clearview AI facial recognition</t>
  </si>
  <si>
    <t>Ring doorbell police access</t>
  </si>
  <si>
    <t>Pegasus spyware</t>
  </si>
  <si>
    <t>China TikTok spying</t>
  </si>
  <si>
    <t>Huawei backdoor</t>
  </si>
  <si>
    <t>smart TV spying</t>
  </si>
  <si>
    <t>Alexa always listening</t>
  </si>
  <si>
    <t>Siri recording conversations</t>
  </si>
  <si>
    <t>location tracking conspiracy</t>
  </si>
  <si>
    <t>metadata surveillance</t>
  </si>
  <si>
    <t>predictive policing</t>
  </si>
  <si>
    <t>AI deepfake elections</t>
  </si>
  <si>
    <t>synthetic media manipulation</t>
  </si>
  <si>
    <t>Lusitania conspiracy</t>
  </si>
  <si>
    <t>Pearl Harbor foreknowledge</t>
  </si>
  <si>
    <t>Reichstag fire false flag</t>
  </si>
  <si>
    <t>Lincoln assassination conspiracy</t>
  </si>
  <si>
    <t>Archduke Ferdinand conspiracy</t>
  </si>
  <si>
    <t>Nero burned Rome</t>
  </si>
  <si>
    <t>Knights Templar treasure</t>
  </si>
  <si>
    <t>Holy Grail conspiracy</t>
  </si>
  <si>
    <t>Ark of the Covenant location</t>
  </si>
  <si>
    <t>Spear of Destiny</t>
  </si>
  <si>
    <t>Shroud of Turin conspiracy</t>
  </si>
  <si>
    <t>Voynich Manuscript</t>
  </si>
  <si>
    <t>Oak Island mystery</t>
  </si>
  <si>
    <t>Roanoke colony conspiracy</t>
  </si>
  <si>
    <t>Sphinx water erosion</t>
  </si>
  <si>
    <t>Gobekli Tepe civilization reset</t>
  </si>
  <si>
    <t>Younger Dryas impact theory</t>
  </si>
  <si>
    <t>lost civilization evidence</t>
  </si>
  <si>
    <t>library of Alexandria conspiracy</t>
  </si>
  <si>
    <t>Smithsonian giant cover up</t>
  </si>
  <si>
    <t>Knights of Malta</t>
  </si>
  <si>
    <t>Opus Dei conspiracy</t>
  </si>
  <si>
    <t>Priory of Sion</t>
  </si>
  <si>
    <t>Rosicrucians</t>
  </si>
  <si>
    <t>Order of the Eastern Star</t>
  </si>
  <si>
    <t>Shriners conspiracy</t>
  </si>
  <si>
    <t>Thule Society</t>
  </si>
  <si>
    <t>Vril Society</t>
  </si>
  <si>
    <t>Golden Dawn occult</t>
  </si>
  <si>
    <t>Ordo Templi Orientis</t>
  </si>
  <si>
    <t>Aleister Crowley conspiracy</t>
  </si>
  <si>
    <t>Jack Parsons occult</t>
  </si>
  <si>
    <t>Theosophical Society conspiracy</t>
  </si>
  <si>
    <t>Lucis Trust UN conspiracy</t>
  </si>
  <si>
    <t>Fabian Society conspiracy</t>
  </si>
  <si>
    <t>Round Table Groups</t>
  </si>
  <si>
    <t>Cecil Rhodes conspiracy</t>
  </si>
  <si>
    <t>Committee of 300</t>
  </si>
  <si>
    <t>13 bloodlines</t>
  </si>
  <si>
    <t>black nobility</t>
  </si>
  <si>
    <t>climate change hoax</t>
  </si>
  <si>
    <t>Climategate emails</t>
  </si>
  <si>
    <t>oil company climate deception</t>
  </si>
  <si>
    <t>IPCC conspiracy</t>
  </si>
  <si>
    <t>carbon tax conspiracy</t>
  </si>
  <si>
    <t>green new deal conspiracy</t>
  </si>
  <si>
    <t>electric vehicle conspiracy</t>
  </si>
  <si>
    <t>nuclear energy suppressed</t>
  </si>
  <si>
    <t>BP oil spill cover up</t>
  </si>
  <si>
    <t>Fukushima cover up</t>
  </si>
  <si>
    <t>Chernobyl conspiracy</t>
  </si>
  <si>
    <t>depleted uranium cover up</t>
  </si>
  <si>
    <t>Agent Orange cover up</t>
  </si>
  <si>
    <t>DDT cover up</t>
  </si>
  <si>
    <t>Flint water crisis conspiracy</t>
  </si>
  <si>
    <t>Camp Lejeune water contamination</t>
  </si>
  <si>
    <t>voter fraud evidence</t>
  </si>
  <si>
    <t>electoral college conspiracy</t>
  </si>
  <si>
    <t>two party system conspiracy</t>
  </si>
  <si>
    <t>gerrymandering conspiracy</t>
  </si>
  <si>
    <t>Citizens United conspiracy</t>
  </si>
  <si>
    <t>lobbying conspiracy</t>
  </si>
  <si>
    <t>revolving door politics</t>
  </si>
  <si>
    <t>regulatory capture</t>
  </si>
  <si>
    <t>military industrial complex</t>
  </si>
  <si>
    <t>war profiteering</t>
  </si>
  <si>
    <t>assassination politics</t>
  </si>
  <si>
    <t>political dynasty conspiracy</t>
  </si>
  <si>
    <t>administrative state conspiracy</t>
  </si>
  <si>
    <t>UN Agenda conspiracy</t>
  </si>
  <si>
    <t>WHO power grab conspiracy</t>
  </si>
  <si>
    <t>pandemic treaty conspiracy</t>
  </si>
  <si>
    <t>sovereignty conspiracy</t>
  </si>
  <si>
    <t>North American Union conspiracy</t>
  </si>
  <si>
    <t>Amero currency conspiracy</t>
  </si>
  <si>
    <t>NAFTA conspiracy</t>
  </si>
  <si>
    <t>TPP conspiracy</t>
  </si>
  <si>
    <t>immigration conspiracy</t>
  </si>
  <si>
    <t>replacement theory</t>
  </si>
  <si>
    <t>Cultural Marxism conspiracy</t>
  </si>
  <si>
    <t>Frankfurt School conspiracy</t>
  </si>
  <si>
    <t>Operation Mockingbird modern</t>
  </si>
  <si>
    <t>CIA Hollywood influence</t>
  </si>
  <si>
    <t>Pentagon Hollywood office</t>
  </si>
  <si>
    <t>propaganda model Chomsky</t>
  </si>
  <si>
    <t>manufacturing consent</t>
  </si>
  <si>
    <t>Yellow journalism conspiracy</t>
  </si>
  <si>
    <t>Sinclair Broadcasting script</t>
  </si>
  <si>
    <t>media blackout conspiracy</t>
  </si>
  <si>
    <t>controlled opposition</t>
  </si>
  <si>
    <t>limited hangout</t>
  </si>
  <si>
    <t>Stratfor emails conspiracy</t>
  </si>
  <si>
    <t>Wikileaks Podesta emails</t>
  </si>
  <si>
    <t>DNC hack conspiracy</t>
  </si>
  <si>
    <t>Seth Rich conspiracy</t>
  </si>
  <si>
    <t>Coca-Cola hit squads</t>
  </si>
  <si>
    <t>Nestle water conspiracy</t>
  </si>
  <si>
    <t>Bayer Monsanto merger</t>
  </si>
  <si>
    <t>Dupont Teflon cover up</t>
  </si>
  <si>
    <t>3M PFAS cover up</t>
  </si>
  <si>
    <t>Johnson and Johnson talc</t>
  </si>
  <si>
    <t>Boeing 737 MAX cover up</t>
  </si>
  <si>
    <t>Volkswagen emissions scandal</t>
  </si>
  <si>
    <t>Theranos fraud</t>
  </si>
  <si>
    <t>Enron conspiracy</t>
  </si>
  <si>
    <t>Wells Fargo fake accounts</t>
  </si>
  <si>
    <t>Facebook emotional manipulation</t>
  </si>
  <si>
    <t>Manchurian Candidate real</t>
  </si>
  <si>
    <t>hypnosis mind control</t>
  </si>
  <si>
    <t>subliminal messaging</t>
  </si>
  <si>
    <t>backmasking conspiracy</t>
  </si>
  <si>
    <t>electronic mind control</t>
  </si>
  <si>
    <t>voice to skull technology</t>
  </si>
  <si>
    <t>Lilly wave mind control</t>
  </si>
  <si>
    <t>Jose Delgado brain control</t>
  </si>
  <si>
    <t>MKULTRA subprojects</t>
  </si>
  <si>
    <t>Operation Midnight Climax details</t>
  </si>
  <si>
    <t>Sidney Gottlieb biography</t>
  </si>
  <si>
    <t>Ewen Cameron experiments</t>
  </si>
  <si>
    <t>psychic driving</t>
  </si>
  <si>
    <t>sensory deprivation experiments</t>
  </si>
  <si>
    <t>brainwashing Korean War</t>
  </si>
  <si>
    <t>Jonestown CIA conspiracy</t>
  </si>
  <si>
    <t>hollow earth theory</t>
  </si>
  <si>
    <t>expanding earth theory</t>
  </si>
  <si>
    <t>electric universe theory</t>
  </si>
  <si>
    <t>plasma cosmology</t>
  </si>
  <si>
    <t>aether physics suppressed</t>
  </si>
  <si>
    <t>cold fusion cover up</t>
  </si>
  <si>
    <t>zero point energy</t>
  </si>
  <si>
    <t>anti-gravity technology</t>
  </si>
  <si>
    <t>time travel conspiracy</t>
  </si>
  <si>
    <t>John Titor time traveler</t>
  </si>
  <si>
    <t>Philadelphia Experiment details</t>
  </si>
  <si>
    <t>multiverse conspiracy</t>
  </si>
  <si>
    <t>simulation theory evidence</t>
  </si>
  <si>
    <t>consciousness conspiracy</t>
  </si>
  <si>
    <t>DMT conspiracy</t>
  </si>
  <si>
    <t>pineal gland third eye</t>
  </si>
  <si>
    <t>fluoride pineal gland</t>
  </si>
  <si>
    <t>calcification pineal gland</t>
  </si>
  <si>
    <t>near death experience conspiracy</t>
  </si>
  <si>
    <t>remote viewing evidence</t>
  </si>
  <si>
    <t>Las Vegas shooting conspiracy</t>
  </si>
  <si>
    <t>Boston Marathon conspiracy</t>
  </si>
  <si>
    <t>Pulse nightclub conspiracy</t>
  </si>
  <si>
    <t>Parkland shooting conspiracy</t>
  </si>
  <si>
    <t>January 6 conspiracy</t>
  </si>
  <si>
    <t>January 6 FBI involvement</t>
  </si>
  <si>
    <t>COVID lockdown conspiracy</t>
  </si>
  <si>
    <t>mask mandate conspiracy</t>
  </si>
  <si>
    <t>PCR test conspiracy</t>
  </si>
  <si>
    <t>excess deaths conspiracy</t>
  </si>
  <si>
    <t>myocarditis vaccine</t>
  </si>
  <si>
    <t>VAERS data analysis</t>
  </si>
  <si>
    <t>Nordstream pipeline conspiracy</t>
  </si>
  <si>
    <t>Seymour Hersh Nordstream</t>
  </si>
  <si>
    <t>Ukraine biolabs</t>
  </si>
  <si>
    <t>Wagner Group conspiracy</t>
  </si>
  <si>
    <t>Prigozhin death conspiracy</t>
  </si>
  <si>
    <t>Navalny death conspiracy</t>
  </si>
  <si>
    <t>balloon shoot down conspiracy</t>
  </si>
  <si>
    <t>East Palestine train derailment</t>
  </si>
  <si>
    <t>Denver murals meaning</t>
  </si>
  <si>
    <t>dollar bill symbols</t>
  </si>
  <si>
    <t>eye of providence</t>
  </si>
  <si>
    <t>pentagram Washington DC</t>
  </si>
  <si>
    <t>Masonic architecture DC</t>
  </si>
  <si>
    <t>symbolic architecture</t>
  </si>
  <si>
    <t>Saturn worship conspiracy</t>
  </si>
  <si>
    <t>black cube symbolism</t>
  </si>
  <si>
    <t>owl symbolism conspiracy</t>
  </si>
  <si>
    <t>obelisk symbolism conspiracy</t>
  </si>
  <si>
    <t>music industry conspiracy</t>
  </si>
  <si>
    <t>27 club conspiracy</t>
  </si>
  <si>
    <t>celebrity cloning</t>
  </si>
  <si>
    <t>Hollywood pedophile ring</t>
  </si>
  <si>
    <t>Diddy trafficking conspiracy</t>
  </si>
  <si>
    <t>Weinstein conspiracy</t>
  </si>
  <si>
    <t>Epstein Maxwell network</t>
  </si>
  <si>
    <t>Ghislaine Maxwell trial</t>
  </si>
  <si>
    <t>royal family conspiracy</t>
  </si>
  <si>
    <t>Princess Diana conspiracy</t>
  </si>
  <si>
    <t>mattress firm conspiracy</t>
  </si>
  <si>
    <t>Wayfair conspiracy</t>
  </si>
  <si>
    <t>Chuck E Cheese pizza conspiracy</t>
  </si>
  <si>
    <t>Finland doesn't exist</t>
  </si>
  <si>
    <t>Avril Lavigne replaced</t>
  </si>
  <si>
    <t>Stevie Wonder can see</t>
  </si>
  <si>
    <t>Andrew Carlssin time traveler</t>
  </si>
  <si>
    <t>phantom time hypothesis</t>
  </si>
  <si>
    <t>mud flood Tartaria</t>
  </si>
  <si>
    <t>Toynbee tiles mystery</t>
  </si>
  <si>
    <t>KEYWORD CATEGORIES — SUMMARY</t>
  </si>
  <si>
    <t>Count</t>
  </si>
  <si>
    <t>Total Est. Volume</t>
  </si>
  <si>
    <t>Avg Evidence Tier</t>
  </si>
  <si>
    <t>Priority for OpenIntel</t>
  </si>
  <si>
    <t>~200</t>
  </si>
  <si>
    <t>500K+</t>
  </si>
  <si>
    <t>HIGHEST — David has 1,554-prophecy database. Unique advantage.</t>
  </si>
  <si>
    <t>GOV/Intelligence</t>
  </si>
  <si>
    <t>~180</t>
  </si>
  <si>
    <t>2M+</t>
  </si>
  <si>
    <t>HIGH — Many confirmed. Evidence-tier format shines here.</t>
  </si>
  <si>
    <t>~120</t>
  </si>
  <si>
    <t>1.5M+</t>
  </si>
  <si>
    <t>HIGH — Huge search volume. Mix of real and fabricated.</t>
  </si>
  <si>
    <t>~100</t>
  </si>
  <si>
    <t>MEDIUM — Sensitive. Must be extremely careful with epistemic rigor.</t>
  </si>
  <si>
    <t>MEDIUM — High competition. Political bias risk.</t>
  </si>
  <si>
    <t>UFO/Paranormal</t>
  </si>
  <si>
    <t>~80</t>
  </si>
  <si>
    <t>600K+</t>
  </si>
  <si>
    <t>HIGH — Congressional hearings changed landscape. Timely.</t>
  </si>
  <si>
    <t>~70</t>
  </si>
  <si>
    <t>400K+</t>
  </si>
  <si>
    <t>MEDIUM — Many confirmed scandals. Data-rich.</t>
  </si>
  <si>
    <t>~40</t>
  </si>
  <si>
    <t>300K+</t>
  </si>
  <si>
    <t>HIGH — Confirmed cases (Tonkin, Northwoods) prove the format.</t>
  </si>
  <si>
    <t>SCIENCE/Fringe</t>
  </si>
  <si>
    <t>LOW — Mostly debunkable. Less unique value-add.</t>
  </si>
  <si>
    <t>TECH/Surveillance</t>
  </si>
  <si>
    <t>~30</t>
  </si>
  <si>
    <t>100K+</t>
  </si>
  <si>
    <t>MEDIUM — Snowden era makes this well-documented.</t>
  </si>
  <si>
    <t>~20</t>
  </si>
  <si>
    <t>MEDIUM — Operation Mockingbird, media ownership — documented.</t>
  </si>
  <si>
    <t>MEDIUM — Templars, ancient civilizations — evergreen.</t>
  </si>
  <si>
    <t>~15</t>
  </si>
  <si>
    <t>50K+</t>
  </si>
  <si>
    <t>LOW — Many confirmed but less "conspiracy" traffic.</t>
  </si>
  <si>
    <t>MEDIUM — Bridges to prophecy category.</t>
  </si>
  <si>
    <t>LOW — Climate politics make this high-risk for bias.</t>
  </si>
  <si>
    <t>MK/Mind Control</t>
  </si>
  <si>
    <t>30K+</t>
  </si>
  <si>
    <t>MEDIUM — MKUltra confirmed. Monarch is not.</t>
  </si>
  <si>
    <t>ZIMMWRITER BULK WRITER — READY TO PASTE</t>
  </si>
  <si>
    <t>Copy column A and paste directly into ZimmWriter Bulk Writer input. Outline focus included.</t>
  </si>
  <si>
    <t>Title (with outline_focus variable)</t>
  </si>
  <si>
    <t>The Illuminati: What the Evidence Actually Shows{outline_focus=Historical Bavarian Illuminati vs modern conspiracy claims, evidence tiers for each}{category=SECRET_SOC}</t>
  </si>
  <si>
    <t>Conspiracy Theories That Turned Out to Be True: A Verified List{outline_focus=Only include confirmed conspiracies with T1-T2 evidence}{category=GENERAL}</t>
  </si>
  <si>
    <t>Flat Earth Theory: What Would Have to Be True for This to Work{outline_focus=Steel-man the theory then show what physics would need to be wrong}{category=SCIENCE}</t>
  </si>
  <si>
    <t>Area 51: What We Know, What We Suspect, What Remains Classified{outline_focus=Separate confirmed (U-2, SR-71 testing) from speculative (alien tech)}{category=UFO}</t>
  </si>
  <si>
    <t>The New World Order: Tracing the Claim Through Primary Sources{outline_focus=Bush Sr speech, UN documents, WEF statements — what was actually said vs interpreted}{category=SECRET_SOC}</t>
  </si>
  <si>
    <t>MKUltra: The Confirmed CIA Mind Control Program — Full Evidence Brief{outline_focus=Church Committee records, FOIA documents, court cases — all T1 verified}{category=GOV}</t>
  </si>
  <si>
    <t>Chemtrails: Contrail Science vs Conspiracy Claims — Evidence Assessment{outline_focus=Atmospheric science of contrails, cloud seeding programs (confirmed), vs spraying claims}{category=ENVIRONMENT}</t>
  </si>
  <si>
    <t>Bigfoot: 60 Years of Evidence Rated and Ranked{outline_focus=Patterson film analysis, DNA samples, footprint casts — rate each T1-T5}{category=SCIENCE}</t>
  </si>
  <si>
    <t>The Reptilian Theory: Origin, Evidence, and Honest Assessment{outline_focus=David Icke origin, ancient mythology parallels, what evidence exists vs speculation}{category=SECRET_SOC}</t>
  </si>
  <si>
    <t>Freemasonry: What's Confirmed, What's Claimed, What's Fantasy{outline_focus=Documented history, membership records, confirmed influence vs NWO claims}{category=SECRET_SOC}</t>
  </si>
  <si>
    <t>The Moon Landing: Every Hoax Claim Tested Against Physical Evidence{outline_focus=Take each claim (shadows, flag, Van Allen) and rate evidence for and against}{category=SCIENCE}</t>
  </si>
  <si>
    <t>The Deep State: Bureaucratic Reality vs Conspiracy Theory{outline_focus=Confirmed: career officials influence policy. Unconfirmed: coordinated shadow government}{category=POLITICAL}</t>
  </si>
  <si>
    <t>September 11: The Official Record vs Every Alternative Theory — Rated{outline_focus=NIST reports, witness testimony, physics analysis — rate each claim independently}{category=FALSE_FLAG}</t>
  </si>
  <si>
    <t>The Rothschild Family: Documented History vs Conspiracy Narrative{outline_focus=Verified banking history, actual current holdings vs world-control claims}{category=FINANCE}</t>
  </si>
  <si>
    <t>The Bilderberg Group: Confirmed Attendees, Documented Agendas, and What We Don't Know{outline_focus=Attendee lists are public. Agendas are not. Rate what's known vs speculated}{category=SECRET_SOC}</t>
  </si>
  <si>
    <t>The JFK Assassination: Every Theory Rated Against the Declassified Record{outline_focus=Warren Commission, HSCA, 2017-2023 declassifications — what changed}{category=GOV}</t>
  </si>
  <si>
    <t>HAARP: What the Facility Actually Does vs What It's Accused Of{outline_focus=Ionospheric research (confirmed) vs weather warfare claims — evidence for each}{category=GOV}</t>
  </si>
  <si>
    <t>The Antichrist: Every Biblical Reference, Every Historical Candidate, Every Modern Claim{outline_focus=Compile all scripture references, list every person historically accused, rate each}{category=PROPHECY}</t>
  </si>
  <si>
    <t>End Times Checklist: Every Biblical Prophecy Marker Rated for Current Fulfillment{outline_focus=Go through Matthew 24, Daniel, Revelation markers — which are fulfilled T1-T2 vs pending}{category=PROPHECY}</t>
  </si>
  <si>
    <t>The Epstein Case: What's Proven, What's Sealed, What's Speculation{outline_focus=Court documents (T1), flight logs (T1), client list claims (T3-T4)}{category=GOV}</t>
  </si>
  <si>
    <t>Fluoride: The Science, The Studies, and The Conspiracy Claims — All Rated{outline_focus=NTP report, Harvard meta-analysis, EPA standards — rate each independently}{category=HEALTH}</t>
  </si>
  <si>
    <t>COINTELPRO: The FBI Program That Was Real — Full Declassified Evidence{outline_focus=Senate findings, Church Committee, declassified memos — all T1}{category=GOV}</t>
  </si>
  <si>
    <t>Vaccine Safety: What the Studies Show, What the Claims Are, Where They Diverge{outline_focus=VAERS data, clinical trials, manufacturer disclosures — rate each claim}{category=HEALTH}</t>
  </si>
  <si>
    <t>Skull and Bones: The Yale Society With Three Presidents — What's Documented{outline_focus=Confirmed members (Bush, Kerry), rituals (some documented), influence claims}{category=SECRET_SOC}</t>
  </si>
  <si>
    <t>Bohemian Grove: Inside the Retreat Where World Leaders Gather{outline_focus=Alex Jones infiltration footage (T1), member lists, Cremation of Care ritual}{category=SECRET_SOC}</t>
  </si>
  <si>
    <t>FEMA Camps: What FEMA Facilities Actually Exist and What They're For{outline_focus=Actual FEMA facilities (T1) vs concentration camp claims (T4-T5)}{category=GOV}</t>
  </si>
  <si>
    <t>Operation Paperclip: How 1,600 Nazi Scientists Came to America — The Full Record{outline_focus=Declassified program, named scientists, NASA connections — all T1}{category=GOV}</t>
  </si>
  <si>
    <t>Pizzagate: The Claim, The Evidence, The Shooting — A Complete Timeline{outline_focus=Original emails, interpretations, Comet Ping Pong shooting, Welch trial — rate each}{category=POLITICAL}</t>
  </si>
  <si>
    <t>QAnon: Tracking Every Major Prediction Against What Actually Happened{outline_focus=List predictions, check fulfillment, calculate accuracy rate}{category=POLITICAL}</t>
  </si>
  <si>
    <t>The Georgia Guidestones: What We Know About Who Built Them and Why{outline_focus=Construction records, RC Christian identity research, 2022 destruction}{category=SECRET_SOC}</t>
  </si>
  <si>
    <t>The Federal Reserve: Its Actual Structure, Ownership, and the Conspiracy Claims{outline_focus=Legal structure (T1), ownership questions, Jekyll Island meeting (T1)}{category=FINANCE}</t>
  </si>
  <si>
    <t>Operation Northwoods: The False Flag Plan the Joint Chiefs Actually Proposed{outline_focus=Declassified document exists — full T1. JFK rejected it.}{category=GOV}</t>
  </si>
  <si>
    <t>The Gulf of Tonkin Incident: The Lie That Started the Vietnam War{outline_focus=NSA declassified 2005 — confirmed second attack never happened. T1.}{category=GOV}</t>
  </si>
  <si>
    <t>The Philadelphia Experiment: The Navy's Official Denial vs the Persistent Legend{outline_focus=Navy records, Carlos Allende letters, ship logs — rate each}{category=GOV}</t>
  </si>
  <si>
    <t>The Mandela Effect: Mass Misremembering or Something Stranger? — Evidence Review{outline_focus=Psychology of false memory (T1) vs multiverse theory (T5)}{category=SCIENCE}</t>
  </si>
  <si>
    <t>Project Blue Beam: The Theory, The Single Source, and What Would Need to Be True{outline_focus=Serge Monast origin, no corroborating sources — honest T5 assessment}{category=GOV}</t>
  </si>
  <si>
    <t>CIA Drug Trafficking: What the Investigations Actually Found{outline_focus=Kerry Committee (T1), Gary Webb reporting, Iran-Contra evidence, Freeway Ricky Ross}{category=GOV}</t>
  </si>
  <si>
    <t>Sandy Hook: The Shooting, The Conspiracy Claims, The Defamation Trials{outline_focus=Verified event (T1), hoax claims (T5), $1.5B judgment against Jones (T1)}{category=FALSE_FLAG}</t>
  </si>
  <si>
    <t>Agenda 21 and Agenda 2030: What the Documents Actually Say vs the Claims{outline_focus=Read the actual UN documents and compare to conspiracy interpretations}{category=POLITICAL}</t>
  </si>
  <si>
    <t>The Mark of the Beast: Every Technology That's Been Called the Mark — A Timeline{outline_focus=Barcodes, SSN, credit cards, microchips, vaccines — historical pattern of claims}{category=PROPHECY}</t>
  </si>
  <si>
    <t>The Rapture: Biblical Basis, Theological Debate, and Failed Predictions{outline_focus=Every major rapture prediction with date and outcome}{category=PROPHECY}</t>
  </si>
  <si>
    <t>The Trilateral Commission: Members, Meetings, and the Conspiracy Claims{outline_focus=Founded by Brzezinski and Rockefeller (T1), membership lists available}{category=SECRET_SOC}</t>
  </si>
  <si>
    <t>Weather Modification: What Programs Actually Exist and What They Can Do{outline_focus=Cloud seeding programs (T1, dozens of countries), vs weather warfare claims}{category=ENVIRONMENT}</t>
  </si>
  <si>
    <t>World Trade Center Building 7: NIST Report vs Controlled Demolition Claims{outline_focus=NIST thermal expansion theory, AE911Truth counter-analysis, UAF study}{category=FALSE_FLAG}</t>
  </si>
  <si>
    <t>5G Health Concerns: What the Studies Show vs What's Claimed{outline_focus=RF radiation research, WHO guidelines, COVID-link claims (T5)}{category=HEALTH}</t>
  </si>
  <si>
    <t>Baba Vanga: Testing Every Published Prediction Against What Happened{outline_focus=Source verification problem — most predictions have no primary source}{category=PROPHECY}</t>
  </si>
  <si>
    <t>Nostradamus: The Quatrains, The Interpretations, The Accuracy Rate{outline_focus=Original French text vs post-hoc interpretations — rate methodology}{category=PROPHECY}</t>
  </si>
  <si>
    <t>Denver International Airport: The Murals, The Tunnels, The Horse — What's Real{outline_focus=Construction records, artist statements, underground areas — rate each claim}{category=SECRET_SOC}</t>
  </si>
  <si>
    <t>The CIA Heart Attack Gun: The Congressional Testimony That Confirmed It{outline_focus=Church Committee 1975, William Colby testimony — T1 confirmed}{category=GOV}</t>
  </si>
  <si>
    <t>The Great Reset: What Klaus Schwab Actually Wrote vs What's Attributed to Him{outline_focus=Read the actual book and WEF statements, compare to conspiracy versions}{category=POLITICAL}</t>
  </si>
  <si>
    <t>Operation Mockingbird: The CIA's Media Infiltration Program — What's Documented{outline_focus=Church Committee findings, Carl Bernstein reporting, confirmed journalists}{category=GOV}</t>
  </si>
  <si>
    <t>Majestic 12: The Documents, The Controversy, The Verdict on Authenticity{outline_focus=Document analysis, Stanton Friedman research, skeptic response}{category=UFO}</t>
  </si>
  <si>
    <t>The Secret Space Program: Black Budget Aircraft vs Extraterrestrial Claims{outline_focus=Confirmed black projects (B-2, F-117) vs speculative programs}{category=UFO}</t>
  </si>
  <si>
    <t>Waco: The Siege, The Fire, The Cover-Up Claims — Complete Evidence Review{outline_focus=ATF records, FBI HRT actions, infrared footage controversy, Danforth report}{category=GOV}</t>
  </si>
  <si>
    <t>The Council on Foreign Relations: Documented Influence on US Foreign Policy{outline_focus=Founded 1921, membership list public, policy papers accessible — rate influence claims}{category=SECRET_SOC}</t>
  </si>
  <si>
    <t>Predictive Programming: Pattern Recognition vs Confirmation Bias — An Honest Look{outline_focus=Statistical analysis of "predictions" — how many misses vs hits}{category=MEDIA}</t>
  </si>
  <si>
    <t>Martial Law in America: Historical Precedents, Current Legal Framework, and the Claims{outline_focus=Lincoln, FDR Japanese internment (T1), modern authority under which statutes}{category=POLITICAL}</t>
  </si>
  <si>
    <t>Blood Sacrifice Claims: Ancient Practice vs Modern Conspiracy — Evidence Assessment{outline_focus=Historical human sacrifice (T1-T2), modern elite claims (T4-T5)}{category=RELIGION}</t>
  </si>
  <si>
    <t>Adrenochrome: The Real Chemical, The Fear and Loathing Reference, and the QAnon Claim{outline_focus=Actual biochemistry (T1), Thompson fiction, QAnon elaboration (T5)}{category=SECRET_SOC}</t>
  </si>
  <si>
    <t>The Third Temple: Current Construction Efforts, Political Reality, and Prophecy{outline_focus=Temple Institute preparations (T1), political obstacles, prophecy interpretation}{category=PROPHECY}</t>
  </si>
  <si>
    <t>Operation Gladio: NATO's Secret Armies — The Parliamentary Investigation{outline_focus=Italian/European parliamentary investigations confirmed. T1.}{category=GOV}</t>
  </si>
  <si>
    <t>Ruby Ridge: The Federal Siege, the Senate Investigation, and What Changed{outline_focus=Senate hearings, DOJ settlement, rule changes — T1 documented}{category=GOV}</t>
  </si>
  <si>
    <t>The Bohemian Club: 150 Years of Elite Gathering — Member Lists and Rituals{outline_focus=Founded 1872, membership documented, Cremation of Care filmed}{category=SECRET_SOC}</t>
  </si>
  <si>
    <t>UFO Disclosure: From Ridicule to Congressional Hearings — The Evidence Shift{outline_focus=2017 NYT article, Grusch testimony, AARO reports, Schumer amendment}{category=UFO}</t>
  </si>
  <si>
    <t>The Montauk Project: The Claims, The Single Source, and What Camp Hero Actually Was{outline_focus=Preston Nichols books, radar station history (T1), no corroborating evidence}{category=GOV}</t>
  </si>
  <si>
    <t>False Flag Operations: Every Confirmed Case in History — A Verified List{outline_focus=Only include confirmed: Gleiwitz, Northwoods proposal, Gulf of Tonkin, Lavon Affair}{category=FALSE_FLAG}</t>
  </si>
  <si>
    <t>Dead Internet Theory: Bot Traffic Data, AI Content Growth, and What's Real{outline_focus=Imperva 49.6% bot traffic (T1), AI content growth data, theory extrapolation}{category=TECH}</t>
  </si>
  <si>
    <t>Project Monarch: Why No Government Document Has Ever Confirmed This Program{outline_focus=Distinguish from MKUltra (T1). Monarch has zero primary source documentation.}{category=MK}</t>
  </si>
  <si>
    <t>Targeted Individuals: COINTELPRO History, Modern Claims, and Medical Perspectives{outline_focus=COINTELPRO targeting was real (T1). Modern electronic harassment claims need assessment.}{category=GOV}</t>
  </si>
  <si>
    <t>World Government: What International Organizations Actually Have Power to Do{outline_focus=UN Charter limits (T1), WEF influence, WHO pandemic authority — rate each}{category=POLITICAL}</t>
  </si>
  <si>
    <t>Iran-Contra: Arms, Drugs, and the Constitutional Crisis — Complete Record{outline_focus=Congressional investigation, Tower Commission, Walsh report — all T1}{category=GOV}</t>
  </si>
  <si>
    <t>CIA Black Sites: The Senate Report, The Locations, The Legal Aftermath{outline_focus=Senate Intelligence Committee report 2014 — T1 confirmed}{category=GOV}</t>
  </si>
  <si>
    <t>Mass Surveillance: Everything Snowden Revealed — Verified and Documented{outline_focus=Snowden documents published by Guardian/WaPo — T1 confirmed}{category=GOV}</t>
  </si>
  <si>
    <t>Blood Moon Prophecy: The Tetrad Theory, John Hagee's Claims, and What Happened{outline_focus=Track every blood moon prediction and its outcome}{category=PROPHECY}</t>
  </si>
  <si>
    <t>Ancient Aliens: The Archaeological Evidence Rated Honestly{outline_focus=Puma Punku, Nazca Lines, Pyramids — conventional archaeology vs alien theory for each}{category=UFO}</t>
  </si>
  <si>
    <t>Geoengineering: Active Programs, Proposed Programs, and Conspiracy Claims{outline_focus=Cloud seeding (T1 confirmed), SAI proposals (T2 documented), chemtrail link (T4)}{category=ENVIRONMENT}</t>
  </si>
  <si>
    <t>Crisis Actors: The Claim, The Evidence Standard Required, and What's Been Proven{outline_focus=Zero confirmed cases. Active in multiple defamation suits. T5.}{category=FALSE_FLAG}</t>
  </si>
  <si>
    <t>Rothschild Banking: The Actual History of the Dynasty vs the "Every Central Bank" Claim{outline_focus=Historical banking influence (T1-T2) vs modern control claims (T3-T4)}{category=FINANCE}</t>
  </si>
  <si>
    <t>The Protocols of the Elders of Zion: The Proven Forgery That Won't Die{outline_focus=Proven plagiarism from 1864 French satire — T1 confirmed forgery}{category=SECRET_SOC}</t>
  </si>
  <si>
    <t>Nikola Tesla: The FBI Files, The Seized Documents, and the Free Energy Claims{outline_focus=FBI file exists (T1), Trump uncle connection, free energy claims (T4)}{category=TECH}</t>
  </si>
  <si>
    <t>Dulce Base: The Alien Underground Base Claim — What Evidence Exists{outline_focus=Phil Schneider claims, no physical evidence — T5}{category=UFO}</t>
  </si>
  <si>
    <t>The Vatican Archives: What's Actually In There and What Access Exists{outline_focus=Archives partially opened (T1), restricted sections, Galileo files}{category=RELIGION}</t>
  </si>
  <si>
    <t>Agenda 2030: Reading the Actual UN Document vs the Conspiracy Interpretation{outline_focus=Full text available — compare what it says to what's claimed}{category=POLITICAL}</t>
  </si>
  <si>
    <t>Missing 411: The Cases, The Patterns, and the Statistical Question{outline_focus=Paulides cases, SAR criticism, base rate comparison}{category=SCIENCE}</t>
  </si>
  <si>
    <t>Executive Orders and Emergency Powers: What the President Can Actually Do{outline_focus=National Emergencies Act (T1), COG programs, actual EO text vs claims}{category=POLITICAL}</t>
  </si>
  <si>
    <t>Roswell 1947: The Weather Balloon, Project Mogul, and the Alien Claims{outline_focus=Air Force reports (T1), witness testimony evolution over decades}{category=UFO}</t>
  </si>
  <si>
    <t>The USS Liberty Incident: The Attack, The Investigation, The Survivors' Claims{outline_focus=Attack confirmed (T1), Israeli apology (T1), survivor testimony vs official findings}{category=GOV}</t>
  </si>
  <si>
    <t>The 1980 October Surprise: The Allegation, The Investigations, The New Evidence{outline_focus=Congressional investigation inconclusive, 2023 NYT Ben Barnes admission}{category=GOV}</t>
  </si>
  <si>
    <t>The Phoenix Lights 1997: Mass Sighting, Military Flares, and What Remains Unexplained{outline_focus=Thousands of witnesses (T1), Air Force flare explanation, governor admission}{category=UFO}</t>
  </si>
  <si>
    <t>The Club of Rome: What They Published, Who They Are, and the Depopulation Claims{outline_focus=Limits to Growth report (T1), membership, actual recommendations vs conspiracy version}{category=SECRET_SOC}</t>
  </si>
  <si>
    <t>The Tuskegee Syphilis Study: 40 Years of Government Medical Abuse — Full Record{outline_focus=Confirmed, documented, presidential apology 1997 — T1}{category=GOV}</t>
  </si>
  <si>
    <t>Project ARTICHOKE: The CIA Interrogation Program That Preceded MKUltra{outline_focus=Declassified documents confirm. Predecessor to MKUltra — T1}{category=GOV}</t>
  </si>
  <si>
    <t>The Lavon Affair: The Confirmed Israeli False Flag Operation in Egypt{outline_focus=Israeli government acknowledged 2005, awarded agents — T1 confirmed}{category=GOV}</t>
  </si>
  <si>
    <t>Fractional Reserve Banking: How Money Creation Actually Works — No Conspiracy Required{outline_focus=Monetary mechanics (T1), the real debate is policy not conspiracy}{category=FINANCE}</t>
  </si>
  <si>
    <t>The Rendlesham Forest Incident: Military Witnesses, Official Investigation, Unexplained{outline_focus=Halt memo (T1), military testimony, lighthouse theory, binary code claims}{category=UFO}</t>
  </si>
  <si>
    <t>The Seven Seals of Revelation: Every Interpretation and What Events They've Been Mapped To{outline_focus=Historical-critical, futurist, preterist, idealist — map all interpretations}{category=PROPHECY}</t>
  </si>
  <si>
    <t>The Four Horsemen: Biblical Text, Historical Interpretations, and Modern Applications{outline_focus=Revelation 6 text, every major war/plague/famine claim linked to horsemen}{category=PROPHECY}</t>
  </si>
  <si>
    <t>The Black Budget: $23 Billion in Confirmed Classified Military Spending{outline_focus=Snowden document confirmed size (T1), program names mostly classified}{category=GOV}</t>
  </si>
  <si>
    <t>The Satanic Panic: How a Moral Panic Destroyed Lives — The Full Investigation{outline_focus=FBI Lanning report found no evidence (T1), wrongful convictions documented}{category=RELIGION}</t>
  </si>
  <si>
    <t>Bilderberg 2026: Confirmed Attendees, Location, and What We Know About the Agenda{outline_focus=Annual meeting, some transparency, Chatham House rules}{category=SECRET_SOC}</t>
  </si>
  <si>
    <t>DARPA: The Pentagon's Innovation Arm — Confirmed Projects and Speculated Ones{outline_focus=Internet, GPS confirmed (T1), brain-computer interface research documented}{category=GOV}</t>
  </si>
  <si>
    <t>The Shadow Government: Continuity of Government Programs Are Real — Here's What They Do{outline_focus=COG programs (T1), presidential succession, Greenbrier bunker}{category=POLITICAL}</t>
  </si>
  <si>
    <t>The Rockefeller Family: Documented Influence on Medicine, Education, and Policy{outline_focus=Foundation grants (T1), General Education Board, medical school reform (T1)}{category=FINANCE}</t>
  </si>
  <si>
    <t>Project Blue Book: 12,618 Cases Investigated, 701 Unsolved — The Full Record{outline_focus=Air Force program (T1), all cases now public, 701 remain unexplained}{category=UFO}</t>
  </si>
  <si>
    <t>Transhumanism: The Philosophy, The Technology, and the Conspiracy Fears{outline_focus=Neuralink (T1), WEF Fourth Industrial Revolution (T1), agenda claims (T3)}{category=TECH}</t>
  </si>
  <si>
    <t>Water Fluoridation: The 75-Year Debate — Every Study Rated{outline_focus=CDC endorsement, NTP review, dose-response studies — rate each independently}{category=HEALTH}</t>
  </si>
  <si>
    <t>The Depopulation Claim: What Public Figures Actually Said and What It Means{outline_focus=Exact quotes from Gates, Turner, Kissinger — in full context vs conspiracy edit}{category=POLITICAL}</t>
  </si>
  <si>
    <t>Daniel's Prophecies: The Four Kingdoms, the 70 Weeks, and Historical Fulfillment{outline_focus=Archaeological confirmation of kingdom sequence (T1-T2), dating debate}{category=PROPHECY}</t>
  </si>
  <si>
    <t>Ezekiel 38-39: The Gog and Magog Prophecy — Nations Identified and Current Geopolitics{outline_focus=Hebrew names, geographical identification, current alliance patterns}{category=PROPHECY}</t>
  </si>
  <si>
    <t>Operation CHAOS: The CIA's Illegal Domestic Spying Program — Declassified{outline_focus=Family Jewels, Rockefeller Commission — T1 confirmed}{category=GOV}</t>
  </si>
  <si>
    <t>COVID-19 Origin: Lab Leak vs Natural Spillover — All Evidence Rated{outline_focus=DOE assessment, FBI assessment, WHO investigation limitations}{category=HEALTH}</t>
  </si>
  <si>
    <t>Central Banking: How the System Actually Works vs the Cartel Theory{outline_focus=BIS structure (T1), Fed ownership structure, coordination mechanisms}{category=FINANCE}</t>
  </si>
  <si>
    <t>The Food Industry: Documented Lobbying, Hidden Research, and Health Cover-Ups{outline_focus=Sugar Research Foundation (T1 confirmed), tobacco playbook in food}{category=HEALTH}</t>
  </si>
  <si>
    <t>Big Pharma: Documented Fraud Cases, Settled Lawsuits, and Suppression Claims{outline_focus=Vioxx (T1), opioid crisis (T1), suppressed cure claims (T4-T5)}{category=HEALTH}</t>
  </si>
  <si>
    <t>Matthew 24: Jesus' Prophetic Discourse — Every Sign Tracked Against Current Events{outline_focus=Wars, earthquakes, famine, false prophets — data on each marker}{category=PROPHECY}</t>
  </si>
  <si>
    <t>The Book of Revelation: Four Major Interpretive Frameworks Compared Side by Side{outline_focus=Preterist, historicist, futurist, idealist — show how each reads the same text differently}{category=PROPHECY}</t>
  </si>
  <si>
    <t>MKUltra Survivors: Documented Cases, Court Testimony, and Settlement Records{outline_focus=Orlikow case (T1), Montreal experiments, children claims}{category=MK}</t>
  </si>
  <si>
    <t>NSA Warrantless Wiretapping: From Bush-Era Secrecy to Snowden Confirmation{outline_focus=NYT 2005 revelation, Snowden documents, FISA court orders — all T1}{category=GOV}</t>
  </si>
  <si>
    <t>The "Globalist Agenda": What International Institutions Actually Do and Don't Control{outline_focus=Distinguish: international cooperation (T1) vs secret coordinated control (T3-T5)}{category=POLITICAL}</t>
  </si>
  <si>
    <t>Israel-Palestine: Documented Lobbying Influence vs Conspiracy Claims{outline_focus=AIPAC spending (T1), Mearsheimer &amp; Walt paper, actual policy influence data}{category=POLITICAL}</t>
  </si>
  <si>
    <t>The Two Witnesses of Revelation 11: Every Interpretation From Church History{outline_focus=Moses/Elijah, Enoch/Elijah, symbolic — list every major position}{category=PROPHECY}</t>
  </si>
  <si>
    <t>The Red Heifer: Current Status in Israel and Prophetic Significance{outline_focus=Temple Institute breeding program (T1), Numbers 19, third temple connection}{category=PROPHECY}</t>
  </si>
  <si>
    <t>Isaiah 17: "Damascus Will Cease to Be a City" — Has This Been Fulfilled?{outline_focus=Historical destructions, current Syrian civil war, interpretation debate}{category=PROPHECY}</t>
  </si>
  <si>
    <t>Psalm 83: The Nations Listed, Modern Identifications, and the War Question{outline_focus=Ancient names → modern nations mapping, is it prophecy or prayer?}{category=PROPHECY}</t>
  </si>
  <si>
    <t>The Number 666: Nero, Bar Codes, Microchips — Every Theory Through History{outline_focus=Greek/Hebrew gematria, Nero theory (T2), modern identification claims}{category=PROPHECY}</t>
  </si>
  <si>
    <t>The Great Tribulation: Pre-Trib, Mid-Trib, Post-Trib — Evidence for Each Position{outline_focus=Matthew 24:21, Daniel 12, theological positions with scriptural basis for each}{category=PROPHECY}</t>
  </si>
  <si>
    <t>The Abomination of Desolation: Antiochus, AD 70, and the Future Fulfillment Question{outline_focus=Antiochus IV (T1 historical), AD 70 (T1), future fulfillment (T3)}{category=PROPHECY}</t>
  </si>
  <si>
    <t>Armageddon: The Location (Megiddo), The Prophecy, and What Modern Warfare Means for It{outline_focus=Tel Megiddo archaeology (T1), Revelation 16 text, military logistics of the site}{category=PROPHECY}</t>
  </si>
  <si>
    <t>One World Religion: Interfaith Movements, Vatican Statements, and the Prophecy Claim{outline_focus=Actual interfaith documents, papal encyclicals, Abrahamic Family House (T1)}{category=PROPHECY}</t>
  </si>
  <si>
    <t>The Abraham Accords: The Diplomatic Reality and the Prophetic Interpretations{outline_focus=Actual treaty text (T1), Daniel 9:27 interpretations, expansion status}{category=PROPHECY}</t>
  </si>
  <si>
    <t>Operation Condor: US-Backed State Terror in South America — Declassified{outline_focus=CIA documents, 60K+ killed, congressional testimony — T1}{category=GOV}</t>
  </si>
  <si>
    <t>The Cremation of Care: What the Ritual Is, Who Participates, and What It Means{outline_focus=Jones footage (T1), historical records, theatrical vs occult interpretations}{category=SECRET_SOC}</t>
  </si>
  <si>
    <t>ECHELON: The Global Surveillance Network That Predated Snowden{outline_focus=European Parliament investigation (T1), Five Eyes structure confirmed}{category=GOV}</t>
  </si>
  <si>
    <t>Suppressed Inventions: Confirmed Patent Buyouts vs Free Energy Claims{outline_focus=GM streetcar (T1-T2), oil company patents, perpetual motion claims (T5)}{category=TECH}</t>
  </si>
  <si>
    <t>The Georgia Guidestones Text: What the Inscriptions Said in All Eight Languages{outline_focus=Full text documented (T1), interpretation debate, RC Christian identity}{category=SECRET_SOC}</t>
  </si>
  <si>
    <t>The Clinton Body Count: Statistical Analysis of the Deaths and the Claims{outline_focus=Base rate of deaths for anyone who knows 10K+ people, specific cases rated individually}{category=POLITICAL}</t>
  </si>
  <si>
    <t>Underground Military Bases: Confirmed Facilities vs Speculated Networks{outline_focus=NORAD/Cheyenne Mountain (T1), Denver Airport tunnels (T2), vast network claims (T4-T5)}{category=GOV}</t>
  </si>
  <si>
    <t>The Tic Tac UFO: The Navy Encounter That Changed the Conversation{outline_focus=Navy confirmed video (T1), Fravor testimony, DoD acknowledgment, physics questions}{category=UFO}</t>
  </si>
  <si>
    <t>Project Veritas: The Method, The Results, and the Legal Consequences{outline_focus=Undercover footage (T1-T2), editing criticism, legal outcomes by case}{category=MEDIA}</t>
  </si>
  <si>
    <t>The World Economic Forum: What It Actually Is, Who Attends, and the "Own Nothing" Claim{outline_focus=Full quote context, YGL alumni list (T1), actual WEF policy influence}{category=POLITICAL}</t>
  </si>
  <si>
    <t>CERN: The Particle Physics Lab, The Shiva Statue, and the Portal Claims{outline_focus=Actual physics research (T1), Shiva statue context, portal claims (T5)}{category=SCIENCE}</t>
  </si>
  <si>
    <t>Organ Harvesting: The China Tribunal Findings and Global Evidence{outline_focus=China Tribunal independent judgment (T2), Falun Gong persecution (T1-T2)}{category=HEALTH}</t>
  </si>
  <si>
    <t>The Jesuits: The Order's Actual History and Influence vs the Control Claims{outline_focus=Historical suppression (T1), Vatican influence, world control claims (T4)}{category=RELIGION}</t>
  </si>
  <si>
    <t>Was HIV Created in a Lab? The Evidence, The Special Virus Program, and the Science{outline_focus=Genetic evidence for natural origin (T1-T2), Strecker memorandum, SVP claims}{category=HEALTH}</t>
  </si>
  <si>
    <t>The Jekyll Island Meeting: How the Federal Reserve Was Actually Created{outline_focus=Jekyll Island meeting confirmed (T1), attendees documented, Aldrich Plan}{category=FINANCE}</t>
  </si>
  <si>
    <t>The Revelation 12 Sign: The 2017 Alignment, What Was Predicted, What Happened{outline_focus=Astronomical alignment occurred (T1), predictions attached to it, outcomes}{category=PROPHECY}</t>
  </si>
  <si>
    <t>The Temple Mount: The Geopolitical Reality and the Prophetic Significance{outline_focus=Current political status (T1), competing religious claims, temple rebuilding obstacles}{category=PROPHECY}</t>
  </si>
  <si>
    <t>The Nephilim: Genesis 6, The Book of Enoch, and the Archaeological Claims{outline_focus=Biblical text (T1), Enoch context, giant skeleton hoaxes (T1 as hoaxes)}{category=PROPHECY}</t>
  </si>
  <si>
    <t>The Anunnaki: What Sumerian Texts Actually Say vs Sitchin's Interpretation{outline_focus=Academic Sumerian translation vs Sitchin translation — side by side}{category=UFO}</t>
  </si>
  <si>
    <t>Operation Ajax: The CIA Coup That Overthrew Iran's Democracy{outline_focus=CIA admitted 2013, Kermit Roosevelt memoir, declassified documents — T1}{category=GOV}</t>
  </si>
  <si>
    <t>Election Fraud Claims: What the Audits, Courts, and Investigations Actually Found{outline_focus=Court rulings (T1), audit results (T1), statistical analysis claims (T3)}{category=POLITICAL}</t>
  </si>
  <si>
    <t>BlackRock: The World's Largest Asset Manager — What It Actually Controls{outline_focus=AUM data (T1), voting power mechanics, housing market purchases (T2)}{category=FINANCE}</t>
  </si>
  <si>
    <t>Smart Meters: RF Emission Data, Privacy Concerns, and Health Claims{outline_focus=FCC emission standards (T1), data collection capabilities (T2), health claims (T4)}{category=TECH}</t>
  </si>
  <si>
    <t>The Destruction of the Georgia Guidestones: The Bombing and the Demolition{outline_focus=July 2022 explosion (T1), GBI investigation, county demolished remainder}{category=SECRET_SOC}</t>
  </si>
  <si>
    <t>USS Indianapolis: The Sinking, The Coverup of Intelligence Failures, The Exoneration{outline_focus=Naval records (T1), McVay exoneration 2000, intelligence failures}{category=GOV}</t>
  </si>
  <si>
    <t>The Global Banking System: How It Actually Works vs the Cartel Theory{outline_focus=BIS, IMF, World Bank structure (T1), coordination mechanisms, control claims}{category=FINANCE}</t>
  </si>
  <si>
    <t>Cancer Cure Suppression: Why the Conspiracy Fails Basic Logic — But What IS Hidden{outline_focus=Competition between thousands of labs worldwide, actual suppressed research examples}{category=HEALTH}</t>
  </si>
  <si>
    <t>Planned Obsolescence: The Phoebus Cartel Was Real — What About Today?{outline_focus=Phoebus light bulb cartel (T1), Apple throttling (T1 confirmed, settled), modern examples}{category=CORPORATE}</t>
  </si>
  <si>
    <t>Davos: What Happens at the World Economic Forum Annual Meeting — Documented{outline_focus=Public sessions (T1), closed-door meetings, actual policy influence}{category=POLITICAL}</t>
  </si>
  <si>
    <t>The Maui Fires: Weather Data, Infrastructure Failures, and the Conspiracy Claims{outline_focus=Weather conditions (T1), power line failures (T2), DEW claims (T5), land grab concerns (T3)}{category=FALSE_FLAG}</t>
  </si>
  <si>
    <t>GMOs: The Science, The Corporate Behavior, and Where the Real Concerns Live{outline_focus=Safety consensus (T1-T2), Monsanto lawsuits (T1), regulatory capture questions (T3)}{category=HEALTH}</t>
  </si>
  <si>
    <t>Big Oil: Exxon's Climate Research Cover-Up and the OPEC Cartel — Documented{outline_focus=Internal Exxon documents (T1), OPEC coordination (T1), suppressed alternatives (T3)}{category=CORPORATE}</t>
  </si>
  <si>
    <t>Media Ownership: Six Corporations Control 90% of US Media — The Actual Numbers{outline_focus=Ownership charts (T1), editorial independence questions, consolidation timeline}{category=MEDIA}</t>
  </si>
  <si>
    <t>The Cashless Society: CBDC Development, Surveillance Potential, and the Freedom Concerns{outline_focus=Fed digital dollar research (T1), China digital yuan (T1), surveillance capabilities}{category=FINANCE}</t>
  </si>
  <si>
    <t>Operation Warp Speed: What Was Accelerated, What Was Skipped, and What the Data Shows{outline_focus=Phase 3 trial data (T1), EUA process (T1), long-term monitoring data}{category=HEALTH}</t>
  </si>
  <si>
    <t>Antarctica: The Treaty, The Research Stations, and the Secret Civilization Claims{outline_focus=Antarctic Treaty text (T1), research stations (T1), ancient ruins claims (T5)}{category=SCIENCE}</t>
  </si>
  <si>
    <t>Tartaria: The Historical Maps, The Mud Flood Theory, and What Historians Say{outline_focus=Historical maps with Tartary (T1), architectural evidence claims, mud flood theory}{category=HISTORY}</t>
  </si>
  <si>
    <t>2020 Election: Every Major Fraud Claim, Every Court Ruling, Every Audit Result{outline_focus=Court rulings (T1), state audits (T1), statistical claims (T3-T4)}{category=POLITICAL}</t>
  </si>
  <si>
    <t>George Soros: Documented Funding, Political Influence, and the Conspiracy Claims{outline_focus=OSF grants (T1), actual amounts, actual recipients vs claims about scope}{category=POLITICAL}</t>
  </si>
  <si>
    <t>Bohemian Grove Guest List: Confirmed Attendees Through History{outline_focus=Nixon tape mentioning it (T1), known members, infiltration reports}{category=SECRET_SOC}</t>
  </si>
  <si>
    <t>Every Major Rapture Prediction in History and Its Outcome: A Complete List{outline_focus=Miller 1844, Camping 2011, Blood Moons 2015 — every failed prediction documented}{category=PROPHECY}</t>
  </si>
  <si>
    <t>Israel in Prophecy: The 1948 Fulfillment, Current Geopolitics, and What Remains{outline_focus=Isaiah 66:8 / 1948 (T2), ongoing conflict, temple rebuilding status}{category=PROPHECY}</t>
  </si>
  <si>
    <t>One World Currency: CBDC Developments, SDR Expansion, and the Prophecy Connection{outline_focus=IMF SDR (T1), CBDC development (T1), Revelation 13 interpretation}{category=PROPHECY}</t>
  </si>
  <si>
    <t>AI as the Image of the Beast? The Technology, The Prophecy, and the Connection Claims{outline_focus=Revelation 13:15, current AI capabilities, theological interpretation}{category=PROPHECY}</t>
  </si>
  <si>
    <t>The Ten Kings of Revelation 17: EU, Club of Rome, and Every Identification Attempt{outline_focus=Club of Rome 10 regions (T2), EU theories, historical identifications}{category=PROPHECY}</t>
  </si>
  <si>
    <t>Dividing the Land: Joel 3:2 and the Two-State Solution — Prophetic Implications{outline_focus=Joel 3:2 text, current peace negotiations, interpretation debate}{category=PROPHECY}</t>
  </si>
  <si>
    <t>Gog and Magog: Russian Identification, Turkish Identification, and the Evidence{outline_focus=Josephus identification, modern geopolitical mapping, coalition analysis}{category=PROPHECY}</t>
  </si>
  <si>
    <t>The Millennial Reign: What Revelation 20 Says and How Four Traditions Read It{outline_focus=Premillennial, amillennial, postmillennial, preterist — evidence for each}{category=PROPHECY}</t>
  </si>
  <si>
    <t>The Seven Seals: A Verse-by-Verse Analysis with Historical and Future Interpretations{outline_focus=Revelation 6-8, parallel in Matthew 24, four interpretation schools}{category=PROPHECY}</t>
  </si>
  <si>
    <t>The Seven Trumpets of Revelation: Literal, Symbolic, and Historical Interpretations{outline_focus=Revelation 8-11, comparison across interpretive traditions}{category=PROPHECY}</t>
  </si>
  <si>
    <t>Event 201: The October 2019 Pandemic Simulation — What It Was and Wasn't{outline_focus=Johns Hopkins exercise (T1), timing coincidence, participants, actual scenario details}{category=HEALTH}</t>
  </si>
  <si>
    <t>Gain of Function Research: What NIH Funded, What the Rules Are, and What Changed{outline_focus=NIH grant records (T1), EcoHealth Alliance, moratorium history}{category=HEALTH}</t>
  </si>
  <si>
    <t>USS Pueblo: The Ship North Korea Still Has — The Capture and the Intelligence Failure{outline_focus=Navy records (T1), crew testimony, ship still in Pyongyang}{category=GOV}</t>
  </si>
  <si>
    <t>Havana Syndrome: The Symptoms, The Investigations, and the Directed Energy Theory{outline_focus=State Dept confirmed cases (T1), NAS report, intelligence assessments diverge}{category=GOV}</t>
  </si>
  <si>
    <t>Alien Abduction: The Hill Case, The Harvard Study, and What Psychology Says{outline_focus=Hill case (T2-T3), Mack research, sleep paralysis explanation (T1-T2)}{category=UFO}</t>
  </si>
  <si>
    <t>Secret Societies: Every Known Organization, Their Documented Activities, and Influence{outline_focus=Skull &amp; Bones, Bilderberg, CFR, Trilateral — public records vs secret claims}{category=SECRET_SOC}</t>
  </si>
  <si>
    <t>The Pentagon's Missing Trillions: What the Audit Failures Actually Mean{outline_focus=OIG reports (T1), Skidmore/Fitts research, accounting adjustments vs missing money}{category=GOV}</t>
  </si>
  <si>
    <t>The Owl at Bohemian Grove: Minerva, Moloch, or Just a Mascot?{outline_focus=Club history (T1), owl symbolism, Moloch identification (T3-T4)}{category=SECRET_SOC}</t>
  </si>
  <si>
    <t>MH370: Every Theory Ranked by Evidence — From Mechanical Failure to Diego Garcia{outline_focus=Confirmed: loss of contact (T1), search area (T1), theories rated individually}{category=GOV}</t>
  </si>
  <si>
    <t>TWA Flight 800: The NTSB Finding, The Witness Testimony, and the Missile Theory{outline_focus=NTSB center fuel tank (T2), 258 eyewitnesses missile reports, CIA animation}{category=GOV}</t>
  </si>
  <si>
    <t>Weather Warfare: The ENMOD Treaty Proves Nations Took It Seriously{outline_focus=ENMOD Treaty 1976 (T1), Operation Popeye Vietnam (T1), modern capabilities (T3)}{category=ENVIRONMENT}</t>
  </si>
  <si>
    <t>Aspartame: The Rumsfeld Connection, The FDA Approval, and the Health Studies{outline_focus=Rumsfeld at Searle (T1), FDA approval process, WHO cancer classification 2023}{category=HEALTH}</t>
  </si>
  <si>
    <t>Social Credit Systems: What China Built, What the West Is Building, and the Differences{outline_focus=China system (T1 documented), Western credit scoring, ESG connections (T2-T3)}{category=TECH}</t>
  </si>
  <si>
    <t>Nixon on Bohemian Grove: The Tape, The Quote, and What It Tells Us{outline_focus=Watergate tapes (T1), exact quote available, context of the conversation}{category=SECRET_SOC}</t>
  </si>
  <si>
    <t>Bilderberg Attendee Database: Every Known Participant from 1954 to Present{outline_focus=Official press releases post-2010 (T1), journalist documentation pre-2010 (T2)}{category=SECRET_SOC}</t>
  </si>
  <si>
    <t>Directed Energy Weapons: What the Military Has Deployed vs What's Claimed{outline_focus=Navy AN/SEQ-3 (T1), THEL (T1), conspiracy applications to fires (T4-T5)}{category=GOV}</t>
  </si>
  <si>
    <t>UFO Crash Retrieval Programs: Grusch Testimony, Congressional Interest, and Evidence{outline_focus=Grusch testimony (T2), AARO report, Schumer amendment, physical evidence question}{category=UFO}</t>
  </si>
  <si>
    <t>Cattle Mutilation: The FBI Investigation, The Veterinary Explanations, and What's Left{outline_focus=FBI report (T1), predator/decomposition explanation (T2), surgical precision claims (T3)}{category=UFO}</t>
  </si>
  <si>
    <t>The Dulles Brothers: How Two Men Shaped American Intelligence and Foreign Policy{outline_focus=CIA Director + Secretary of State simultaneously (T1), documented operations}{category=GOV}</t>
  </si>
  <si>
    <t>Paul Is Dead: The 1969 Theory, The "Clues," and Why It Persists{outline_focus=Origin traced to university newspaper hoax (T1-T2), McCartney still alive (T1)}{category=MEDIA}</t>
  </si>
  <si>
    <t>OPENINTEL CASE INVESTIGATION TEMPLATE</t>
  </si>
  <si>
    <t>v1.0 | Structure-Based Case Classification | Postgres + Knowledge Graph Ready</t>
  </si>
  <si>
    <t>SECTION A — CASE IDENTITY</t>
  </si>
  <si>
    <t>GRAPH METADATA</t>
  </si>
  <si>
    <t>Node Type</t>
  </si>
  <si>
    <t>Notes / Source</t>
  </si>
  <si>
    <t>Full Case Name</t>
  </si>
  <si>
    <t>CASE</t>
  </si>
  <si>
    <t>e.g., MKUltra, JFK Assassination, Bilderberg Group</t>
  </si>
  <si>
    <t>Short Code</t>
  </si>
  <si>
    <t>CASE_ID</t>
  </si>
  <si>
    <t>e.g., MKU, JFK, BIL — 2-4 char abbreviation</t>
  </si>
  <si>
    <t>UUID (OI-CT-XXXX)</t>
  </si>
  <si>
    <t>UUID</t>
  </si>
  <si>
    <t>Auto-generated in Postgres. Format: OI-CT-0001</t>
  </si>
  <si>
    <t>Case Type</t>
  </si>
  <si>
    <t>CASE_TYPE</t>
  </si>
  <si>
    <t>EVENT | PROGRAM | INSTITUTION | PROPAGANDA | PROPHETIC | PHENOMENON | PATTERN | SYMBOL | CULTURAL</t>
  </si>
  <si>
    <t>Evidence Tier (T1-T5)</t>
  </si>
  <si>
    <t>T1=Proven | T2=Strong | T3=Credible | T4=Weak | T5=Speculative</t>
  </si>
  <si>
    <t>TIER</t>
  </si>
  <si>
    <t>One-Sentence Verdict</t>
  </si>
  <si>
    <t>TEXT</t>
  </si>
  <si>
    <t>Max 280 chars. The Twitter-length summary.</t>
  </si>
  <si>
    <t>5W CARD</t>
  </si>
  <si>
    <t>WHO</t>
  </si>
  <si>
    <t>ENTITY[]</t>
  </si>
  <si>
    <t>Primary actors. Comma-separate. Each becomes an Entity node.</t>
  </si>
  <si>
    <t>WHAT</t>
  </si>
  <si>
    <t>WHEN</t>
  </si>
  <si>
    <t>End Date (if applicable)</t>
  </si>
  <si>
    <t>DATE_RANGE</t>
  </si>
  <si>
    <t>WHERE</t>
  </si>
  <si>
    <t>LOCATION[]</t>
  </si>
  <si>
    <t>WHY (Alleged Motive)</t>
  </si>
  <si>
    <t>Primary Search Keyword</t>
  </si>
  <si>
    <t>KEYWORD</t>
  </si>
  <si>
    <t>Maps to Master Keywords sheet for SEO tracking</t>
  </si>
  <si>
    <t>Est. Monthly Search Volume</t>
  </si>
  <si>
    <t>INT</t>
  </si>
  <si>
    <t>Auto-pull from Master Keywords if keyword matches</t>
  </si>
  <si>
    <t>SECTION B — UNIVERSAL MODULES (All Case Types)</t>
  </si>
  <si>
    <t>TIMELINE (Chronological Events)</t>
  </si>
  <si>
    <t>Date</t>
  </si>
  <si>
    <t>Event Description</t>
  </si>
  <si>
    <t>Source</t>
  </si>
  <si>
    <t>Verification Status</t>
  </si>
  <si>
    <t>EVENT_NODE</t>
  </si>
  <si>
    <t>Each row = one graph node. Edge: CASE→HAS_EVENT→EVENT</t>
  </si>
  <si>
    <t>ENTITY CARDS (People / Orgs / Groups)</t>
  </si>
  <si>
    <t>Name</t>
  </si>
  <si>
    <t>Role / Position</t>
  </si>
  <si>
    <t>Connection to Case</t>
  </si>
  <si>
    <t>First Appearance</t>
  </si>
  <si>
    <t>Current Status</t>
  </si>
  <si>
    <t>ENTITY_NODE</t>
  </si>
  <si>
    <t>Edge: CASE→INVOLVES→ENTITY | ENTITY→CONNECTED_TO→ENTITY</t>
  </si>
  <si>
    <t>EVIDENCE CARDS (Individual Pieces of Evidence)</t>
  </si>
  <si>
    <t>Evidence Type (1-38)</t>
  </si>
  <si>
    <t>Description</t>
  </si>
  <si>
    <t>Source / URL</t>
  </si>
  <si>
    <t>Tier (T1-T5)</t>
  </si>
  <si>
    <t>Verification</t>
  </si>
  <si>
    <t>EVIDENCE_NODE</t>
  </si>
  <si>
    <t>Edge: CASE→SUPPORTED_BY→EVIDENCE | 38 evidence types in enum</t>
  </si>
  <si>
    <t>VIDEO / IMAGE CARDS (Authenticated Media)</t>
  </si>
  <si>
    <t>Media Type</t>
  </si>
  <si>
    <t>Description / Title</t>
  </si>
  <si>
    <t>URL / Archive Link</t>
  </si>
  <si>
    <t>Metadata / Chain of Custody</t>
  </si>
  <si>
    <t>Authentication</t>
  </si>
  <si>
    <t>MEDIA_NODE</t>
  </si>
  <si>
    <t>Edge: CASE→HAS_MEDIA→MEDIA | EVIDENCE→SOURCED_FROM→MEDIA</t>
  </si>
  <si>
    <t>WIKIPEDIA CARD (Official Narrative Comparison)</t>
  </si>
  <si>
    <t>NARRATIVE_NODE</t>
  </si>
  <si>
    <t>Edge: CASE→HAS_NARRATIVE→NARRATIVE</t>
  </si>
  <si>
    <t>Wikipedia URL</t>
  </si>
  <si>
    <t>Wikipedia Summary (what it says)</t>
  </si>
  <si>
    <t>Key Omissions (what it leaves out)</t>
  </si>
  <si>
    <t>Primary Sources Wikipedia Cites</t>
  </si>
  <si>
    <t>Primary Sources Wikipedia Ignores</t>
  </si>
  <si>
    <t>Last Edit Date / Edit War Flag</t>
  </si>
  <si>
    <t>"WHAT WOULD CHANGE THIS" (Falsifiability Card)</t>
  </si>
  <si>
    <t>THRESHOLD_NODE</t>
  </si>
  <si>
    <t>The intellectual honesty test. What breaks the theory?</t>
  </si>
  <si>
    <t>Evidence that would UPGRADE tier</t>
  </si>
  <si>
    <t>Evidence that would DOWNGRADE tier</t>
  </si>
  <si>
    <t>Is this theory falsifiable? (Y/N + explain)</t>
  </si>
  <si>
    <t>10 THINGS CARD (Verified Surprising Facts)</t>
  </si>
  <si>
    <t>Fact</t>
  </si>
  <si>
    <t>Tier</t>
  </si>
  <si>
    <t>FACT_NODE</t>
  </si>
  <si>
    <t>Viral section. Verified only. Edge: CASE→HAS_FACT→FACT</t>
  </si>
  <si>
    <t>RELATED CASES (Cross-Links)</t>
  </si>
  <si>
    <t>Case UUID</t>
  </si>
  <si>
    <t>Case Name</t>
  </si>
  <si>
    <t>Relationship Type</t>
  </si>
  <si>
    <t>Shared Entities</t>
  </si>
  <si>
    <t>Strength (1-10)</t>
  </si>
  <si>
    <t>EDGE</t>
  </si>
  <si>
    <t>Edge: CASE→RELATED_TO→CASE | weight = strength score</t>
  </si>
  <si>
    <t>SECTION C — CASE-TYPE-SPECIFIC MODULES</t>
  </si>
  <si>
    <t>Active?</t>
  </si>
  <si>
    <t>Modules auto-activate based on Case Type in B8</t>
  </si>
  <si>
    <t>NARRATIVE COMPARISON (Official vs Alternative)</t>
  </si>
  <si>
    <t>Active for: EVENT, PROGRAM, INSTITUTION</t>
  </si>
  <si>
    <t>Official Narrative (government/media position)</t>
  </si>
  <si>
    <t>Alternative Narrative #1</t>
  </si>
  <si>
    <t>Alternative Narrative #2</t>
  </si>
  <si>
    <t>Alternative Narrative #3</t>
  </si>
  <si>
    <t>Key Divergence Point (where narratives split)</t>
  </si>
  <si>
    <t>CONTRADICTIONS LOG</t>
  </si>
  <si>
    <t>Claim A</t>
  </si>
  <si>
    <t>Claim B (Contradicts)</t>
  </si>
  <si>
    <t>Source A</t>
  </si>
  <si>
    <t>Source B</t>
  </si>
  <si>
    <t>CONFLICT_EDGE</t>
  </si>
  <si>
    <t>Active for: EVENT, PROGRAM</t>
  </si>
  <si>
    <t>DOCUMENT CARD (Specific Documents / Filings / Declassified)</t>
  </si>
  <si>
    <t>Title</t>
  </si>
  <si>
    <t>Classification</t>
  </si>
  <si>
    <t>Source / Archive</t>
  </si>
  <si>
    <t>Key Content</t>
  </si>
  <si>
    <t>DOCUMENT_NODE</t>
  </si>
  <si>
    <t>Active for: PROGRAM, EVENT</t>
  </si>
  <si>
    <t>WITNESS CARD (Named Testimony)</t>
  </si>
  <si>
    <t>Role / Capacity</t>
  </si>
  <si>
    <t>Testimony Date / Context</t>
  </si>
  <si>
    <t>Key Claim</t>
  </si>
  <si>
    <t>WITNESS_NODE</t>
  </si>
  <si>
    <t>Active for: EVENT, PHENOMENON</t>
  </si>
  <si>
    <t>FINANCIAL TRAIL (Money Flows)</t>
  </si>
  <si>
    <t>From (Payer)</t>
  </si>
  <si>
    <t>To (Recipient)</t>
  </si>
  <si>
    <t>Amount / Range</t>
  </si>
  <si>
    <t>Date / Period</t>
  </si>
  <si>
    <t>FINANCIAL_EDGE</t>
  </si>
  <si>
    <t>Active for: INSTITUTION, PROPAGANDA, PROGRAM</t>
  </si>
  <si>
    <t>PROPAGATION MAP (How Narrative Spread)</t>
  </si>
  <si>
    <t>PROPAGATION_NODE</t>
  </si>
  <si>
    <t>Active for: PROPAGANDA — BLUE OCEAN MODULE</t>
  </si>
  <si>
    <t>Campaign Start Date (relative to target event)</t>
  </si>
  <si>
    <t>Target Event Date</t>
  </si>
  <si>
    <t>Time Delta (campaign start → target event)</t>
  </si>
  <si>
    <t>Negative = preemptive campaign. Gemini's temporal signal.</t>
  </si>
  <si>
    <t>First Known Source (patient zero)</t>
  </si>
  <si>
    <t>Platform</t>
  </si>
  <si>
    <t>Amplification Chain (how it spread)</t>
  </si>
  <si>
    <t>Stage 1</t>
  </si>
  <si>
    <t>Stage 2</t>
  </si>
  <si>
    <t>Stage 3</t>
  </si>
  <si>
    <t>Stage 4</t>
  </si>
  <si>
    <t>Stage 5</t>
  </si>
  <si>
    <t>Organic vs Coordinated Assessment</t>
  </si>
  <si>
    <t>Evidence for assessment</t>
  </si>
  <si>
    <t>Narrative Comparison (actual vs claimed)</t>
  </si>
  <si>
    <t>What target actually said/did</t>
  </si>
  <si>
    <t>What campaign claimed</t>
  </si>
  <si>
    <t>Delta / distortion level (1-10)</t>
  </si>
  <si>
    <t>SUPPRESSION LOG (Institutional Force Applied)</t>
  </si>
  <si>
    <t>Action Taken</t>
  </si>
  <si>
    <t>By Whom</t>
  </si>
  <si>
    <t>Target</t>
  </si>
  <si>
    <t>SUPPRESSION_NODE</t>
  </si>
  <si>
    <t>Active for: PROPAGANDA, PROGRAM — Gemini's P_s variable</t>
  </si>
  <si>
    <t>Suppression Pressure Score (P_s: 0-100)</t>
  </si>
  <si>
    <t>Sum of institutional actions × severity weight</t>
  </si>
  <si>
    <t>BOT / COORDINATION ANALYSIS</t>
  </si>
  <si>
    <t>BOT_ANALYSIS_NODE</t>
  </si>
  <si>
    <t>Sample Size (# accounts analyzed)</t>
  </si>
  <si>
    <t>Account Age Distribution</t>
  </si>
  <si>
    <t>&lt;30 days</t>
  </si>
  <si>
    <t>30-90 days</t>
  </si>
  <si>
    <t>90-365 days</t>
  </si>
  <si>
    <t>&gt;1 year</t>
  </si>
  <si>
    <t>Message Timing Pattern</t>
  </si>
  <si>
    <t>Burst (coordinated)</t>
  </si>
  <si>
    <t>Organic spread</t>
  </si>
  <si>
    <t>Assessment</t>
  </si>
  <si>
    <t>Messaging Uniformity Score (0-100)</t>
  </si>
  <si>
    <t>100 = identical phrasing across accounts (strong bot signal)</t>
  </si>
  <si>
    <t>Identified Bot/Sock Accounts</t>
  </si>
  <si>
    <t>Coordination Confidence (Low/Med/High)</t>
  </si>
  <si>
    <t>SCRIPTURE CARD (Biblical Reference)</t>
  </si>
  <si>
    <t>Reference</t>
  </si>
  <si>
    <t>Original Language</t>
  </si>
  <si>
    <t>Tradition 1 Interp.</t>
  </si>
  <si>
    <t>Tradition 2 Interp.</t>
  </si>
  <si>
    <t>SCRIPTURE_NODE</t>
  </si>
  <si>
    <t>Active for: PROPHETIC</t>
  </si>
  <si>
    <t>FULFILLMENT TRACKER</t>
  </si>
  <si>
    <t>Prophecy Ref</t>
  </si>
  <si>
    <t>Status</t>
  </si>
  <si>
    <t>Fulfillment Evidence</t>
  </si>
  <si>
    <t>Historical/Modern</t>
  </si>
  <si>
    <t>PROPHECY_NODE</t>
  </si>
  <si>
    <t>Active for: PROPHETIC — Links to 1,554-prophecy DB</t>
  </si>
  <si>
    <t>SIGHTING MAP (Geographic Reports)</t>
  </si>
  <si>
    <t>Location</t>
  </si>
  <si>
    <t>Witnesses (#)</t>
  </si>
  <si>
    <t>SIGHTING_NODE</t>
  </si>
  <si>
    <t>Active for: PHENOMENON</t>
  </si>
  <si>
    <t>PHYSICAL EVIDENCE (Lab Results / Forensics)</t>
  </si>
  <si>
    <t>Evidence Type</t>
  </si>
  <si>
    <t>Lab / Analyst</t>
  </si>
  <si>
    <t>Results</t>
  </si>
  <si>
    <t>Chain of Custody</t>
  </si>
  <si>
    <t>PHYSICAL_NODE</t>
  </si>
  <si>
    <t>Active for: PHENOMENON, EVENT</t>
  </si>
  <si>
    <t>SYMBOL ORIGIN (Historical Meaning vs Conspiracy Interpretation)</t>
  </si>
  <si>
    <t>SYMBOL_NODE</t>
  </si>
  <si>
    <t>Active for: SYMBOL</t>
  </si>
  <si>
    <t>Symbol / Image Described</t>
  </si>
  <si>
    <t>Documented Historical Origin</t>
  </si>
  <si>
    <t>Established Academic Meaning</t>
  </si>
  <si>
    <t>Conspiracy Interpretation #1</t>
  </si>
  <si>
    <t>Conspiracy Interpretation #2</t>
  </si>
  <si>
    <t>Predictive Programming Claim?</t>
  </si>
  <si>
    <t>If yes, specify media + timestamp</t>
  </si>
  <si>
    <t>PATTERN ANALYSIS (Statistical / Convergent Data)</t>
  </si>
  <si>
    <t>PATTERN_NODE</t>
  </si>
  <si>
    <t>Active for: PATTERN — Gemini's T3 territory</t>
  </si>
  <si>
    <t>Pattern Description</t>
  </si>
  <si>
    <t>Data Points (# of convergent observations)</t>
  </si>
  <si>
    <t>Base Rate (expected frequency if random)</t>
  </si>
  <si>
    <t>Source for base rate</t>
  </si>
  <si>
    <t>Observed Rate</t>
  </si>
  <si>
    <t>Statistical Significance (p-value if calculable)</t>
  </si>
  <si>
    <t>Personnel Overlaps (shared actors across events)</t>
  </si>
  <si>
    <t>Person/Org</t>
  </si>
  <si>
    <t>Event/Case 1</t>
  </si>
  <si>
    <t>Event/Case 2</t>
  </si>
  <si>
    <t>Coincidence or Pattern?</t>
  </si>
  <si>
    <t>Timing Anomalies (suspicious clustering)</t>
  </si>
  <si>
    <t>Financial Anomalies (unusual transactions)</t>
  </si>
  <si>
    <t>Alternative Explanation (coincidence theory)</t>
  </si>
  <si>
    <t>SECTION D — AUTO-SCORE ENGINE</t>
  </si>
  <si>
    <t>Auto-calculated from filled fields above</t>
  </si>
  <si>
    <t>All scores auto-calculate. Higher = more credible. These map to the composite T-rating.</t>
  </si>
  <si>
    <t>METRIC</t>
  </si>
  <si>
    <t>RAW SCORE</t>
  </si>
  <si>
    <t>MAX POSSIBLE</t>
  </si>
  <si>
    <t>% FILLED</t>
  </si>
  <si>
    <t>WEIGHT</t>
  </si>
  <si>
    <t>WEIGHTED</t>
  </si>
  <si>
    <t>Scoring Logic</t>
  </si>
  <si>
    <t>Evidence Density</t>
  </si>
  <si>
    <t>Count of filled Evidence Cards (rows 43-50)</t>
  </si>
  <si>
    <t>Source Diversity</t>
  </si>
  <si>
    <t>Unique source types across all evidence</t>
  </si>
  <si>
    <t>Entity Network Density</t>
  </si>
  <si>
    <t>Count of filled Entity Cards (rows 36-40)</t>
  </si>
  <si>
    <t>Timeline Completeness</t>
  </si>
  <si>
    <t>Count of filled Timeline entries (rows 24-33)</t>
  </si>
  <si>
    <t>Cross-Domain Connections</t>
  </si>
  <si>
    <t>Count of filled Related Cases (rows 83-87)</t>
  </si>
  <si>
    <t>Contradiction Documentation</t>
  </si>
  <si>
    <t>Count of filled Contradictions (rows 99-103)</t>
  </si>
  <si>
    <t>Falsifiability (What Would Change This)</t>
  </si>
  <si>
    <t>Count of filled fields in rows 66-68</t>
  </si>
  <si>
    <t>COMPOSITE CREDIBILITY SCORE</t>
  </si>
  <si>
    <t>/ 100</t>
  </si>
  <si>
    <t>Weighted sum of all metrics above</t>
  </si>
  <si>
    <t>SUGGESTED T-RATING (from score)</t>
  </si>
  <si>
    <t>80-100=T1 | 60-79=T2 | 40-59=T3 | 20-39=T4 | 0-19=T5</t>
  </si>
  <si>
    <t>INVESTIGATOR T-RATING (manual override)</t>
  </si>
  <si>
    <t>If different from suggested, explain in notes why</t>
  </si>
  <si>
    <t>Override Justification</t>
  </si>
  <si>
    <t>GEMINI FICTIONALITY SCORE</t>
  </si>
  <si>
    <t>F = (1-V)×(1-C)×(1-S)×(1+N) | Lower = more credible</t>
  </si>
  <si>
    <t>V — Verifiability (0-1)</t>
  </si>
  <si>
    <t>How much can be independently verified? 1 = fully verifiable</t>
  </si>
  <si>
    <t>C — Consistency (0-1)</t>
  </si>
  <si>
    <t>Internal logical consistency? 1 = no contradictions</t>
  </si>
  <si>
    <t>S — Specificity (0-1)</t>
  </si>
  <si>
    <t>How specific are the claims? 1 = precise, testable</t>
  </si>
  <si>
    <t>N — Narrative Complexity (0-1)</t>
  </si>
  <si>
    <t>How many actors/explanations required? 1 = maximum complexity</t>
  </si>
  <si>
    <t>FICTIONALITY SCORE (F)</t>
  </si>
  <si>
    <t>Lower = more credible. &gt;0.5 = likely fiction.</t>
  </si>
  <si>
    <t>DIAGNOSTIC: SCORE vs T-RATING CROSS-CHECK</t>
  </si>
  <si>
    <t>High fictionality + high T = reassess | Low fictionality + low T = investigate</t>
  </si>
  <si>
    <t>SECTION E — COMPLETION TRACKER</t>
  </si>
  <si>
    <t>Module</t>
  </si>
  <si>
    <t>Fields Filled</t>
  </si>
  <si>
    <t>Total Fields</t>
  </si>
  <si>
    <t>% Complete</t>
  </si>
  <si>
    <t>Case Identity (Section A)</t>
  </si>
  <si>
    <t>Timeline</t>
  </si>
  <si>
    <t>Entity Cards</t>
  </si>
  <si>
    <t>Evidence Cards</t>
  </si>
  <si>
    <t>Video/Image Cards</t>
  </si>
  <si>
    <t>Wikipedia Card</t>
  </si>
  <si>
    <t>What Would Change This</t>
  </si>
  <si>
    <t>10 Things Card</t>
  </si>
  <si>
    <t>Related Cases</t>
  </si>
  <si>
    <t>OVERALL COMPLETION</t>
  </si>
  <si>
    <t>TOTAL FILLABLE FIELDS ON THIS TEMPLATE</t>
  </si>
  <si>
    <t>(Push it to the edge. Nobody fills them all out.)</t>
  </si>
  <si>
    <t>SECTION F — POSTGRES / KNOWLEDGE GRAPH SCHEMA REFERENCE</t>
  </si>
  <si>
    <t>NODE TYPES (Postgres Tables)</t>
  </si>
  <si>
    <t>Primary Key Format</t>
  </si>
  <si>
    <t>Source Section</t>
  </si>
  <si>
    <t>Root case record</t>
  </si>
  <si>
    <t>OI-CT-XXXX</t>
  </si>
  <si>
    <t>Section A (rows 5-19)</t>
  </si>
  <si>
    <t>Timeline events</t>
  </si>
  <si>
    <t>OI-EV-XXXXXXXX</t>
  </si>
  <si>
    <t>Timeline (rows 24-33)</t>
  </si>
  <si>
    <t>People, organizations, groups</t>
  </si>
  <si>
    <t>OI-EN-XXXXXXXX</t>
  </si>
  <si>
    <t>Entity Cards (rows 36-40)</t>
  </si>
  <si>
    <t>Individual evidence pieces (38 types)</t>
  </si>
  <si>
    <t>OI-ED-XXXXXXXX</t>
  </si>
  <si>
    <t>Evidence Cards (rows 43-50)</t>
  </si>
  <si>
    <t>Authenticated video/image/audio</t>
  </si>
  <si>
    <t>OI-MD-XXXXXXXX</t>
  </si>
  <si>
    <t>Video/Image (rows 53-55)</t>
  </si>
  <si>
    <t>Official + alternative narratives</t>
  </si>
  <si>
    <t>OI-NR-XXXXXXXX</t>
  </si>
  <si>
    <t>Wikipedia + Narrative (rows 57-96)</t>
  </si>
  <si>
    <t>Specific documents/filings</t>
  </si>
  <si>
    <t>OI-DC-XXXXXXXX</t>
  </si>
  <si>
    <t>Document Card (rows 106-110)</t>
  </si>
  <si>
    <t>Named witness testimony</t>
  </si>
  <si>
    <t>OI-WI-XXXXXXXX</t>
  </si>
  <si>
    <t>Witness Card (rows 113-117)</t>
  </si>
  <si>
    <t>Money flow relationships</t>
  </si>
  <si>
    <t>OI-FN-XXXXXXXX</t>
  </si>
  <si>
    <t>Financial Trail (rows 120-124)</t>
  </si>
  <si>
    <t>Campaign spread analysis</t>
  </si>
  <si>
    <t>OI-PG-XXXXXXXX</t>
  </si>
  <si>
    <t>Propagation Map (rows 127-135)</t>
  </si>
  <si>
    <t>Censorship/deplatforming actions</t>
  </si>
  <si>
    <t>OI-SP-XXXXXXXX</t>
  </si>
  <si>
    <t>Suppression Log (rows 138-143)</t>
  </si>
  <si>
    <t>Biblical reference with interpretations</t>
  </si>
  <si>
    <t>OI-SC-XXXXXXXX</t>
  </si>
  <si>
    <t>Scripture Card (rows 156-160)</t>
  </si>
  <si>
    <t>Fulfillment tracking record</t>
  </si>
  <si>
    <t>OI-PH-XXXXXXXX</t>
  </si>
  <si>
    <t>Fulfillment (rows 163-165)</t>
  </si>
  <si>
    <t>Geographic phenomenon report</t>
  </si>
  <si>
    <t>OI-SI-XXXXXXXX</t>
  </si>
  <si>
    <t>Sighting Map (rows 168-172)</t>
  </si>
  <si>
    <t>Lab results, forensic data</t>
  </si>
  <si>
    <t>OI-PY-XXXXXXXX</t>
  </si>
  <si>
    <t>Physical Evidence (rows 175-177)</t>
  </si>
  <si>
    <t>Symbol interpretation record</t>
  </si>
  <si>
    <t>OI-SY-XXXXXXXX</t>
  </si>
  <si>
    <t>Symbol Origin (rows 180-185)</t>
  </si>
  <si>
    <t>Statistical pattern analysis</t>
  </si>
  <si>
    <t>OI-PT-XXXXXXXX</t>
  </si>
  <si>
    <t>Pattern Analysis (rows 188-199)</t>
  </si>
  <si>
    <t>EDGE TYPES (Relationships)</t>
  </si>
  <si>
    <t>From → To</t>
  </si>
  <si>
    <t>Properties</t>
  </si>
  <si>
    <t>HAS_EVENT</t>
  </si>
  <si>
    <t>CASE → EVENT_NODE</t>
  </si>
  <si>
    <t>date, verification_status</t>
  </si>
  <si>
    <t>INVOLVES</t>
  </si>
  <si>
    <t>CASE → ENTITY_NODE</t>
  </si>
  <si>
    <t>role, connection_type</t>
  </si>
  <si>
    <t>CONNECTED_TO</t>
  </si>
  <si>
    <t>ENTITY → ENTITY</t>
  </si>
  <si>
    <t>relationship_type, strength</t>
  </si>
  <si>
    <t>SUPPORTED_BY</t>
  </si>
  <si>
    <t>CASE → EVIDENCE_NODE</t>
  </si>
  <si>
    <t>evidence_type, tier</t>
  </si>
  <si>
    <t>HAS_MEDIA</t>
  </si>
  <si>
    <t>CASE → MEDIA_NODE</t>
  </si>
  <si>
    <t>media_type, authentication</t>
  </si>
  <si>
    <t>SOURCED_FROM</t>
  </si>
  <si>
    <t>EVIDENCE → MEDIA_NODE</t>
  </si>
  <si>
    <t>timestamp, chain_of_custody</t>
  </si>
  <si>
    <t>RELATED_TO</t>
  </si>
  <si>
    <t>CASE → CASE</t>
  </si>
  <si>
    <t>relationship_type, strength(1-10)</t>
  </si>
  <si>
    <t>PAID_BY</t>
  </si>
  <si>
    <t>amount, date, source_document</t>
  </si>
  <si>
    <t>SUPPRESSED_BY</t>
  </si>
  <si>
    <t>CASE → ENTITY</t>
  </si>
  <si>
    <t>action, date, severity</t>
  </si>
  <si>
    <t>FULFILLS</t>
  </si>
  <si>
    <t>EVENT → PROPHECY_NODE</t>
  </si>
  <si>
    <t>fulfillment_status, evidence</t>
  </si>
  <si>
    <t>CONTRADICTS</t>
  </si>
  <si>
    <t>EVIDENCE → EVIDENCE</t>
  </si>
  <si>
    <t>resolution_status</t>
  </si>
  <si>
    <t>MKUltra: CIA Mind Control Program</t>
  </si>
  <si>
    <t>MKU</t>
  </si>
  <si>
    <t>OI-CT-0001</t>
  </si>
  <si>
    <t>PROGRAM</t>
  </si>
  <si>
    <t>CIA ran illegal mind control experiments on unwitting US/Canadian citizens from 1953-1973, confirmed by Congressional investigation and declassified documents.</t>
  </si>
  <si>
    <t>CIA, Dr. Sidney Gottlieb, Allen Dulles, Dr. Donald Ewen Cameron, Richard Helms, Church Committee</t>
  </si>
  <si>
    <t>Illegal human experimentation program using LSD, electroshock, hypnosis, sensory deprivation, and other methods to develop mind control techniques for use in interrogation and intelligence operations.</t>
  </si>
  <si>
    <t>1973 (officially terminated)</t>
  </si>
  <si>
    <t>United States (multiple sites), Montreal Canada (Allan Memorial Institute)</t>
  </si>
  <si>
    <t>Develop interrogation techniques, counter Soviet/Chinese brainwashing programs, achieve reliable methods of behavioral control for intelligence operations.</t>
  </si>
  <si>
    <t>CIA Director Allen Dulles approves Project MKUltra under Technical Services Staff</t>
  </si>
  <si>
    <t>CIA declassified memo, FOIA</t>
  </si>
  <si>
    <t>VERIFIED</t>
  </si>
  <si>
    <t>1953-1964</t>
  </si>
  <si>
    <t>149 sub-projects conducted across 80+ institutions including universities, hospitals, and prisons</t>
  </si>
  <si>
    <t>Church Committee Report, 1977</t>
  </si>
  <si>
    <t>1957-1964</t>
  </si>
  <si>
    <t>Dr. Donald Ewen Cameron conducts Project 68 at Allan Memorial Institute, Montreal — electroshock, drug-induced comas, sensory deprivation on patients</t>
  </si>
  <si>
    <t>Canadian govt investigation, court records</t>
  </si>
  <si>
    <t>CIA Inspector General report recommends tighter controls on MKUltra experiments</t>
  </si>
  <si>
    <t>Declassified IG report</t>
  </si>
  <si>
    <t>Project renamed MKSEARCH; continues under reduced scope</t>
  </si>
  <si>
    <t>CIA records, FOIA</t>
  </si>
  <si>
    <t>CIA Director Richard Helms orders destruction of all MKUltra files</t>
  </si>
  <si>
    <t>Church Committee testimony</t>
  </si>
  <si>
    <t>Church Committee investigation exposes MKUltra to Congress and the public</t>
  </si>
  <si>
    <t>Senate Select Committee records</t>
  </si>
  <si>
    <t>20,000 documents discovered in CIA financial records — Helms missed the budget files when ordering destruction</t>
  </si>
  <si>
    <t>FOIA release, National Security Archive</t>
  </si>
  <si>
    <t>1977-08</t>
  </si>
  <si>
    <t>Senate Select Committee on Intelligence holds public hearings; CIA Director Stansfield Turner testifies</t>
  </si>
  <si>
    <t>Congressional Record</t>
  </si>
  <si>
    <t>Canadian government settles with Cameron victims for $100,000 each; US govt settles separately in 1994</t>
  </si>
  <si>
    <t>Court records, news coverage</t>
  </si>
  <si>
    <t>Dr. Sidney Gottlieb</t>
  </si>
  <si>
    <t>Chief, CIA Technical Services Division</t>
  </si>
  <si>
    <t>Program director — conceived and ran MKUltra day-to-day</t>
  </si>
  <si>
    <t>1953 (program inception)</t>
  </si>
  <si>
    <t>Deceased (1999)</t>
  </si>
  <si>
    <t>Allen Dulles</t>
  </si>
  <si>
    <t>CIA Director (1953-1961)</t>
  </si>
  <si>
    <t>Authorized and greenlit MKUltra</t>
  </si>
  <si>
    <t>1953 (approval)</t>
  </si>
  <si>
    <t>Deceased (1969)</t>
  </si>
  <si>
    <t>Dr. Donald Ewen Cameron</t>
  </si>
  <si>
    <t>President, American Psychiatric Assoc.</t>
  </si>
  <si>
    <t>Ran Project 68 subcontract — most extreme experiments on patients</t>
  </si>
  <si>
    <t>1957 (Montreal experiments)</t>
  </si>
  <si>
    <t>Deceased (1967)</t>
  </si>
  <si>
    <t>Richard Helms</t>
  </si>
  <si>
    <t>CIA Director (1966-1973)</t>
  </si>
  <si>
    <t>Ordered destruction of all MKUltra files in 1973</t>
  </si>
  <si>
    <t>1966 (became Director)</t>
  </si>
  <si>
    <t>Deceased (2002)</t>
  </si>
  <si>
    <t>Frank Church</t>
  </si>
  <si>
    <t>US Senator, Chair of Church Committee</t>
  </si>
  <si>
    <t>Led Congressional investigation that exposed MKUltra to the public</t>
  </si>
  <si>
    <t>1975 (investigation)</t>
  </si>
  <si>
    <t>Deceased (1984)</t>
  </si>
  <si>
    <t>FOIA Document</t>
  </si>
  <si>
    <t>20,000+ pages of MKUltra financial records discovered in 1977 after Helms failed to destroy budget files</t>
  </si>
  <si>
    <t>National Security Archive, George Washington University</t>
  </si>
  <si>
    <t>Church Committee Final Report, Book I: Foreign and Military Intelligence (1976)</t>
  </si>
  <si>
    <t>US Senate, 94th Congress</t>
  </si>
  <si>
    <t>Govt Admission</t>
  </si>
  <si>
    <t>CIA Director Stansfield Turner public testimony acknowledging MKUltra before Senate, 1977</t>
  </si>
  <si>
    <t>Congressional hearing transcript</t>
  </si>
  <si>
    <t>Court Record</t>
  </si>
  <si>
    <t>Orlikow v. United States — Cameron victims lawsuit against CIA, settled 1988</t>
  </si>
  <si>
    <t>US District Court records</t>
  </si>
  <si>
    <t>Declassified</t>
  </si>
  <si>
    <t>CIA Inspector General Report on MKUltra (1963) — internal review of program scope and ethics violations</t>
  </si>
  <si>
    <t>CIA FOIA Electronic Reading Room</t>
  </si>
  <si>
    <t>Testimony</t>
  </si>
  <si>
    <t>Multiple former CIA officers testified before Church Committee about program operations and cover-up</t>
  </si>
  <si>
    <t>Senate hearing transcripts, 1975-1977</t>
  </si>
  <si>
    <t>Financial Record</t>
  </si>
  <si>
    <t>CIA budget records showing payments to 80+ institutions including universities (Harvard, Stanford, Columbia, McGill)</t>
  </si>
  <si>
    <t>FOIA documents, 1977 discovery</t>
  </si>
  <si>
    <t>Official Report</t>
  </si>
  <si>
    <t>1977 Senate Select Committee on Intelligence report: Project MKUltra, The CIA's Program of Research in Behavioral Modification</t>
  </si>
  <si>
    <t>US Government Printing Office</t>
  </si>
  <si>
    <t>https://en.wikipedia.org/wiki/MKUltra</t>
  </si>
  <si>
    <t>Covers basic history, Church Committee, LSD experiments, sub-projects. Reasonably comprehensive for a confirmed program.</t>
  </si>
  <si>
    <t>Limited coverage of Canadian victims, downplays institutional complicity of universities, minimal on ongoing FOIA battles</t>
  </si>
  <si>
    <t>Church Committee report, NY Times 1974 article, Marks (The Search for the Manchurian Candidate)</t>
  </si>
  <si>
    <t>Colin Ross medical research on Cameron victims, full sub-project list analysis, connections to Operation Paperclip personnel</t>
  </si>
  <si>
    <t>Actively edited; semi-protected. Minor edit wars on scope of experiments and victim count.</t>
  </si>
  <si>
    <t>Additional declassified sub-project files showing even broader scope than currently documented (some sub-projects still have no released files)</t>
  </si>
  <si>
    <t>Evidence that the Church Committee findings were fabricated or that CIA financial records were planted (no credible basis for this exists)</t>
  </si>
  <si>
    <t>Y</t>
  </si>
  <si>
    <t>Fully falsifiable — based on government documents, court records, and sworn testimony. Could theoretically be disproven if documents shown to be forged, but independent verification exists across multiple institutions.</t>
  </si>
  <si>
    <t>The CIA paid $100K+ per victim to Cameron's Montreal patients — the US government literally wrote settlement checks</t>
  </si>
  <si>
    <t>Court records, Orlikow v. US</t>
  </si>
  <si>
    <t>At least 80 institutions participated including Harvard, Stanford, Columbia, and McGill University</t>
  </si>
  <si>
    <t>CIA budget records, FOIA</t>
  </si>
  <si>
    <t>The program was only discovered because one CIA employee filed the budget records under 'financial' instead of 'operational' — Helms missed them in the destruction order</t>
  </si>
  <si>
    <t>Dr. Frank Olson, a CIA biochemist, fell from a hotel window in 1953 after being secretly dosed with LSD; his family maintains he was murdered</t>
  </si>
  <si>
    <t>Olson family lawsuit, CIA admission of dosing</t>
  </si>
  <si>
    <t>Operation Midnight Climax: CIA set up San Francisco brothels to dose unwitting clients with LSD and observe through one-way mirrors</t>
  </si>
  <si>
    <t>Declassified CIA documents</t>
  </si>
  <si>
    <t>Richard Helms was convicted of lying to Congress about CIA activities in Chile — the same Director who ordered MKUltra files destroyed</t>
  </si>
  <si>
    <t>Court records, 1977</t>
  </si>
  <si>
    <t>The program ran for 20 years before anyone outside CIA knew it existed</t>
  </si>
  <si>
    <t>Church Committee timeline</t>
  </si>
  <si>
    <t>Prisoners at Lexington Federal Prison were given LSD for 77 consecutive days</t>
  </si>
  <si>
    <t>FOIA documents</t>
  </si>
  <si>
    <t>Ken Kesey (One Flew Over the Cuckoo's Nest author) was a voluntary MKUltra test subject at Stanford — it inspired his writing and the counterculture movement</t>
  </si>
  <si>
    <t>Kesey interviews, Stanford records</t>
  </si>
  <si>
    <t>Ted Kaczynski (Unabomber) participated in a Harvard psychological study run by Henry Murray, who had CIA MKUltra connections</t>
  </si>
  <si>
    <t>Harvard records, Chase (2003)</t>
  </si>
  <si>
    <t>Same institution</t>
  </si>
  <si>
    <t>CIA, media manipulation</t>
  </si>
  <si>
    <t>Same actors</t>
  </si>
  <si>
    <t>Imported Nazi scientists, some involved in MKUltra</t>
  </si>
  <si>
    <t>Tuskegee Syphilis Study</t>
  </si>
  <si>
    <t>Same methods</t>
  </si>
  <si>
    <t>Government experiments on unwitting citizens, same era</t>
  </si>
  <si>
    <t>Causal chain</t>
  </si>
  <si>
    <t>Direct predecessor program to MKUltra</t>
  </si>
  <si>
    <t>Church Committee Investigations</t>
  </si>
  <si>
    <t>The investigation that exposed MKUltra</t>
  </si>
  <si>
    <t>US government position (post-Church Committee): MKUltra was a misguided Cold War program that was terminated in 1973. Regrettable but contained. No ongoing programs of this nature.</t>
  </si>
  <si>
    <t>Program scope was far broader than admitted — many sub-projects remain undisclosed, file destruction was deliberate cover-up</t>
  </si>
  <si>
    <t>Marks (1979), FOIA researchers</t>
  </si>
  <si>
    <t>Techniques developed in MKUltra were refined and continued under different program names through the 1980s+</t>
  </si>
  <si>
    <t>Intelligence community researchers, some former operatives</t>
  </si>
  <si>
    <t>MKUltra was connected to broader human experimentation programs including radiation, biological agents, and social engineering</t>
  </si>
  <si>
    <t>Advisory Committee on Human Radiation Experiments (1995)</t>
  </si>
  <si>
    <t>The 1973 file destruction — was it a routine records purge or deliberate evidence destruction? Church Committee concluded deliberate.</t>
  </si>
  <si>
    <t>CIA claimed program terminated 1973</t>
  </si>
  <si>
    <t>MKSEARCH continued elements; techniques found in post-1973 interrogation manuals</t>
  </si>
  <si>
    <t>CIA official statement</t>
  </si>
  <si>
    <t>KUBARK manual, Honduras manual (declassified 1997)</t>
  </si>
  <si>
    <t>CIA claimed all files destroyed</t>
  </si>
  <si>
    <t>20,000 pages found in 1977 in financial records</t>
  </si>
  <si>
    <t>Richard Helms testimony</t>
  </si>
  <si>
    <t>Dr. Cameron described as independent researcher</t>
  </si>
  <si>
    <t>CIA funding records show direct contractual relationship + oversight</t>
  </si>
  <si>
    <t>Cameron's published papers</t>
  </si>
  <si>
    <t>CIA budget documents, FOIA</t>
  </si>
  <si>
    <t>Program described as limited LSD research</t>
  </si>
  <si>
    <t>149 sub-projects spanning electroshock, hypnosis, radiation, biological agents, social engineering</t>
  </si>
  <si>
    <t>Early CIA public statements</t>
  </si>
  <si>
    <t>Church Committee full inventory</t>
  </si>
  <si>
    <t>CIA claimed subjects were volunteers</t>
  </si>
  <si>
    <t>Prisoners, mental patients, and unwitting bar patrons were used (Operation Midnight Climax)</t>
  </si>
  <si>
    <t>Initial CIA briefings to Congress</t>
  </si>
  <si>
    <t>Declassified operational files, victim testimony</t>
  </si>
  <si>
    <t>MKUltra Authorization Memo (April 13, 1953)</t>
  </si>
  <si>
    <t>DECLASSIFIED</t>
  </si>
  <si>
    <t>Allen Dulles formally approves project; establishes TSS authority and funding channels</t>
  </si>
  <si>
    <t>CIA Inspector General Report on MKUltra (1963)</t>
  </si>
  <si>
    <t>Internal review noting ethical violations, recommending tighter controls; program continued anyway</t>
  </si>
  <si>
    <t>Church Committee Final Report, Book I (1976)</t>
  </si>
  <si>
    <t>UNCLASSIFIED</t>
  </si>
  <si>
    <t>US Senate, GPO</t>
  </si>
  <si>
    <t>First comprehensive public accounting of MKUltra scope, methods, and institutional failures</t>
  </si>
  <si>
    <t>Senate Select Committee Report: Project MKUltra (1977)</t>
  </si>
  <si>
    <t>Detailed analysis after 20,000 document discovery; sub-project inventory and witness testimony</t>
  </si>
  <si>
    <t>KUBARK Counterintelligence Interrogation Manual (1963)</t>
  </si>
  <si>
    <t>National Security Archive, FOIA</t>
  </si>
  <si>
    <t>CIA interrogation manual incorporating techniques developed in MKUltra research</t>
  </si>
  <si>
    <t>CIA (TSS Budget)</t>
  </si>
  <si>
    <t>80+ universities, hospitals, prisons</t>
  </si>
  <si>
    <t>$25M+ (1953-1973, inflation-adjusted ~$250M+)</t>
  </si>
  <si>
    <t>1953-1973</t>
  </si>
  <si>
    <t>FOIA budget records, 1977 discovery</t>
  </si>
  <si>
    <t>CIA</t>
  </si>
  <si>
    <t>Society for the Investigation of Human Ecology (front)</t>
  </si>
  <si>
    <t>Multi-million dollar conduit</t>
  </si>
  <si>
    <t>1955-1965</t>
  </si>
  <si>
    <t>Church Committee report</t>
  </si>
  <si>
    <t>CIA via front orgs</t>
  </si>
  <si>
    <t>Allan Memorial Institute (Cameron)</t>
  </si>
  <si>
    <t>$69,000/year (documented)</t>
  </si>
  <si>
    <t>Canadian govt investigation</t>
  </si>
  <si>
    <t>US Government</t>
  </si>
  <si>
    <t>Cameron victims (settlement)</t>
  </si>
  <si>
    <t>$100,000 per victim</t>
  </si>
  <si>
    <t>Court records</t>
  </si>
  <si>
    <t>Eli Lilly &amp; Company</t>
  </si>
  <si>
    <t>Contract for bulk LSD production</t>
  </si>
  <si>
    <t>1953-1960s</t>
  </si>
  <si>
    <t>Declassified procurement records</t>
  </si>
  <si>
    <t>File destruction ordered</t>
  </si>
  <si>
    <t>CIA Director Richard Helms</t>
  </si>
  <si>
    <t>All MKUltra operational files</t>
  </si>
  <si>
    <t>Congressional testimony limited</t>
  </si>
  <si>
    <t>CIA General Counsel</t>
  </si>
  <si>
    <t>1975-1977</t>
  </si>
  <si>
    <t>Scope of testimony narrowed by CIA legal</t>
  </si>
  <si>
    <t>Classification maintained</t>
  </si>
  <si>
    <t>1953-1975</t>
  </si>
  <si>
    <t>22 years of total secrecy before Church Committee</t>
  </si>
  <si>
    <t>FOIA delays and redactions</t>
  </si>
  <si>
    <t>CIA FOIA office</t>
  </si>
  <si>
    <t>1977-present</t>
  </si>
  <si>
    <t>Many sub-project files still heavily redacted or unreleased</t>
  </si>
  <si>
    <t>Witness intimidation alleged</t>
  </si>
  <si>
    <t>CIA operatives (unnamed)</t>
  </si>
  <si>
    <t>Multiple Church Committee witnesses reported pressure not to testify</t>
  </si>
  <si>
    <t>OPENINTEL DATABASE SCHEMA v2.0</t>
  </si>
  <si>
    <t>LOOKUP: case_types</t>
  </si>
  <si>
    <t>Template Mapping</t>
  </si>
  <si>
    <t>Template Row</t>
  </si>
  <si>
    <t>Column</t>
  </si>
  <si>
    <t>Type</t>
  </si>
  <si>
    <t>Constraints</t>
  </si>
  <si>
    <t>code</t>
  </si>
  <si>
    <t>PRIMARY KEY</t>
  </si>
  <si>
    <t>EVENT, PROGRAM, INSTITUTION, PROPAGANDA, PROPHETIC, PHENOMENON, PATTERN, SYMBOL, CULTURAL</t>
  </si>
  <si>
    <t>Section A → Case Type dropdown</t>
  </si>
  <si>
    <t>Row 8 (B8)</t>
  </si>
  <si>
    <t>label</t>
  </si>
  <si>
    <t>NOT NULL</t>
  </si>
  <si>
    <t>Human-readable label</t>
  </si>
  <si>
    <t>description</t>
  </si>
  <si>
    <t>What this case type means</t>
  </si>
  <si>
    <t>example_case</t>
  </si>
  <si>
    <t>e.g., MKUltra for PROGRAM, JFK for EVENT</t>
  </si>
  <si>
    <t>template_modules</t>
  </si>
  <si>
    <t>JSON array of module names that load for this type</t>
  </si>
  <si>
    <t>Section C → Active/Inactive badges</t>
  </si>
  <si>
    <t>Row 89</t>
  </si>
  <si>
    <t>LOOKUP: evidence_types (38 types across 6 tiers)</t>
  </si>
  <si>
    <t>type_id</t>
  </si>
  <si>
    <t>INTEGER</t>
  </si>
  <si>
    <t>Evidence Cards → Type dropdown</t>
  </si>
  <si>
    <t>Rows 43-50 (B col)</t>
  </si>
  <si>
    <t>tier</t>
  </si>
  <si>
    <t>CHECK T1-T5,NEGATIVE</t>
  </si>
  <si>
    <t>T1=Primary, T2=Secondary, T3=Tertiary, T4=Weak, T5=Weakest, NEGATIVE</t>
  </si>
  <si>
    <t>tier_label</t>
  </si>
  <si>
    <t>name</t>
  </si>
  <si>
    <t>e.g., Declassified Government Document, Court Record</t>
  </si>
  <si>
    <t>weight</t>
  </si>
  <si>
    <t>REAL</t>
  </si>
  <si>
    <t>DEFAULT 0.5</t>
  </si>
  <si>
    <t>Base weight for OCS calculation (0.02-0.95)</t>
  </si>
  <si>
    <t>Auto-Score Engine weights</t>
  </si>
  <si>
    <t>Rows 205-211</t>
  </si>
  <si>
    <t>CORE: cases</t>
  </si>
  <si>
    <t>Root entity — one row per case</t>
  </si>
  <si>
    <t>id</t>
  </si>
  <si>
    <t>e.g., OI-CT-0001</t>
  </si>
  <si>
    <t>UUID field</t>
  </si>
  <si>
    <t>Row 7 (B7)</t>
  </si>
  <si>
    <t>short_code</t>
  </si>
  <si>
    <t>UNIQUE NOT NULL</t>
  </si>
  <si>
    <t>e.g., MKU, JFK, BIL</t>
  </si>
  <si>
    <t>Short Code field</t>
  </si>
  <si>
    <t>Row 6 (B6)</t>
  </si>
  <si>
    <t>case_type</t>
  </si>
  <si>
    <t>NOT NULL FK→case_types</t>
  </si>
  <si>
    <t>References case_types.code</t>
  </si>
  <si>
    <t>Case Type dropdown</t>
  </si>
  <si>
    <t>title</t>
  </si>
  <si>
    <t>Display title</t>
  </si>
  <si>
    <t>Row 5 (B5)</t>
  </si>
  <si>
    <t>slug</t>
  </si>
  <si>
    <t>URL-safe version (auto-generated)</t>
  </si>
  <si>
    <t>verdict</t>
  </si>
  <si>
    <t>One-sentence T-rated verdict (max 280 chars)</t>
  </si>
  <si>
    <t>Row 10 (B10)</t>
  </si>
  <si>
    <t>rating</t>
  </si>
  <si>
    <t>CHECK T1-T5,MIXED</t>
  </si>
  <si>
    <t>Overall evidence tier</t>
  </si>
  <si>
    <t>Evidence Tier dropdown</t>
  </si>
  <si>
    <t>Row 9 (B9)</t>
  </si>
  <si>
    <t>ocs_score</t>
  </si>
  <si>
    <t>DEFAULT 0.0</t>
  </si>
  <si>
    <t>OpenIntel Credibility Score 0.0-1.0</t>
  </si>
  <si>
    <t>Composite Score / 100</t>
  </si>
  <si>
    <t>Row 213 (B213)</t>
  </si>
  <si>
    <t>status</t>
  </si>
  <si>
    <t>DEFAULT 'draft'</t>
  </si>
  <si>
    <t>draft, active, verified, disputed, archived</t>
  </si>
  <si>
    <t>who_summary</t>
  </si>
  <si>
    <t>5W Card → WHO</t>
  </si>
  <si>
    <t>Row 13 (B13)</t>
  </si>
  <si>
    <t>what_summary</t>
  </si>
  <si>
    <t>5W Card → WHAT</t>
  </si>
  <si>
    <t>Row 14 (B14)</t>
  </si>
  <si>
    <t>when_summary</t>
  </si>
  <si>
    <t>5W Card → WHEN</t>
  </si>
  <si>
    <t>Row 15 (B15+D15)</t>
  </si>
  <si>
    <t>where_summary</t>
  </si>
  <si>
    <t>5W Card → WHERE</t>
  </si>
  <si>
    <t>Row 16 (B16)</t>
  </si>
  <si>
    <t>why_summary</t>
  </si>
  <si>
    <t>5W Card → WHY</t>
  </si>
  <si>
    <t>Row 17 (B17)</t>
  </si>
  <si>
    <t>primary_keyword</t>
  </si>
  <si>
    <t>Row 18 (B18)</t>
  </si>
  <si>
    <t>est_monthly_volume</t>
  </si>
  <si>
    <t>Row 19 (B19)</t>
  </si>
  <si>
    <t>what_would_change</t>
  </si>
  <si>
    <t>What evidence would upgrade/downgrade</t>
  </si>
  <si>
    <t>Falsifiability Card</t>
  </si>
  <si>
    <t>Rows 66-68</t>
  </si>
  <si>
    <t>CORE: entities</t>
  </si>
  <si>
    <t>People, organizations, documents, events, locations</t>
  </si>
  <si>
    <t>Entity Cards → auto-gen</t>
  </si>
  <si>
    <t>Rows 36-40</t>
  </si>
  <si>
    <t>Entity Cards → Name (col B)</t>
  </si>
  <si>
    <t>entity_type</t>
  </si>
  <si>
    <t>CHECK (6 types)</t>
  </si>
  <si>
    <t>PERSON, ORGANIZATION, DOCUMENT, EVENT, LOCATION, TECHNOLOGY</t>
  </si>
  <si>
    <t>role</t>
  </si>
  <si>
    <t>Entity Cards → Role (col C)</t>
  </si>
  <si>
    <t>first_appearance</t>
  </si>
  <si>
    <t>Entity Cards → First Appearance (col E)</t>
  </si>
  <si>
    <t>current_status</t>
  </si>
  <si>
    <t>Entity Cards → Current Status (col F)</t>
  </si>
  <si>
    <t>Entity Cards → Connection (col D)</t>
  </si>
  <si>
    <t>JUNCTION: case_entities</t>
  </si>
  <si>
    <t>Knowledge graph edges: CASE → ENTITY</t>
  </si>
  <si>
    <t>case_id</t>
  </si>
  <si>
    <t>FK→cases</t>
  </si>
  <si>
    <t>Auto from UUID (B7)</t>
  </si>
  <si>
    <t>entity_id</t>
  </si>
  <si>
    <t>FK→entities</t>
  </si>
  <si>
    <t>relationship</t>
  </si>
  <si>
    <t>directed, authorized, participated, investigated, victim</t>
  </si>
  <si>
    <t>strength</t>
  </si>
  <si>
    <t>0.0-1.0 for graph rendering</t>
  </si>
  <si>
    <t>JUNCTION: entity_relationships</t>
  </si>
  <si>
    <t>Graph edges: ENTITY → ENTITY</t>
  </si>
  <si>
    <t>entity_a / entity_b</t>
  </si>
  <si>
    <t>Two entities connected</t>
  </si>
  <si>
    <t>relationship_type</t>
  </si>
  <si>
    <t>employed_by, reported_to, funded, investigated, married_to</t>
  </si>
  <si>
    <t>start_date / end_date</t>
  </si>
  <si>
    <t>evidence_tier / source</t>
  </si>
  <si>
    <t>CORE: evidence</t>
  </si>
  <si>
    <t>evidence_type</t>
  </si>
  <si>
    <t>FK→evidence_types</t>
  </si>
  <si>
    <t>Evidence Cards → Type (col B)</t>
  </si>
  <si>
    <t>Rows 43-50</t>
  </si>
  <si>
    <t>CHECK T1-T5,NEG</t>
  </si>
  <si>
    <t>Evidence Cards → Tier (col E)</t>
  </si>
  <si>
    <t>title / description</t>
  </si>
  <si>
    <t>Evidence Cards → Description (col C)</t>
  </si>
  <si>
    <t>source_url / source_name</t>
  </si>
  <si>
    <t>Evidence Cards → Source (col D)</t>
  </si>
  <si>
    <t>independence_score</t>
  </si>
  <si>
    <t>0.0-1.0: how independent from other evidence</t>
  </si>
  <si>
    <t>OCS formula → E_ind</t>
  </si>
  <si>
    <t>provenance_score</t>
  </si>
  <si>
    <t>Chain of custody / authentication</t>
  </si>
  <si>
    <t>Evidence Cards → Verification (col F)</t>
  </si>
  <si>
    <t>is_negative</t>
  </si>
  <si>
    <t>BOOLEAN</t>
  </si>
  <si>
    <t>DEFAULT FALSE</t>
  </si>
  <si>
    <t>TRUE if evidence argues AGAINST the case</t>
  </si>
  <si>
    <t>CORE: timeline_events</t>
  </si>
  <si>
    <t>Chronological events within a case</t>
  </si>
  <si>
    <t>event_date</t>
  </si>
  <si>
    <t>ISO date or 'circa 1953', 'late 1960s'</t>
  </si>
  <si>
    <t>Timeline → Date (col B)</t>
  </si>
  <si>
    <t>Rows 24-33</t>
  </si>
  <si>
    <t>event_date_precision</t>
  </si>
  <si>
    <t>exact, day, month, year, decade, circa</t>
  </si>
  <si>
    <t>sort_date</t>
  </si>
  <si>
    <t>Normalized YYYY-MM-DD for ordering</t>
  </si>
  <si>
    <t>Timeline → Event Description (col C)</t>
  </si>
  <si>
    <t>evidence_id</t>
  </si>
  <si>
    <t>FK→evidence</t>
  </si>
  <si>
    <t>Timeline → Source (col D)</t>
  </si>
  <si>
    <t>is_disputed</t>
  </si>
  <si>
    <t>Timeline → Verification (col E)</t>
  </si>
  <si>
    <t>CORE: claims</t>
  </si>
  <si>
    <t>Individual assertions — each separately rated</t>
  </si>
  <si>
    <t>id / case_id</t>
  </si>
  <si>
    <t>PK / FK→cases</t>
  </si>
  <si>
    <t>claim_text</t>
  </si>
  <si>
    <t>The specific assertion</t>
  </si>
  <si>
    <t>⚠️ NOT in template yet</t>
  </si>
  <si>
    <t>Future: add claims module</t>
  </si>
  <si>
    <t>claim_type</t>
  </si>
  <si>
    <t>CORE, SUPPORTING, PERIPHERAL, PREDICTION, ATTRIBUTION</t>
  </si>
  <si>
    <t>rating / status</t>
  </si>
  <si>
    <t>T1-T5 per claim; active/confirmed/refuted/superseded/dormant</t>
  </si>
  <si>
    <t>depends_on</t>
  </si>
  <si>
    <t>Comma-separated claim IDs this claim rests on</t>
  </si>
  <si>
    <t>JUNCTION: claim_evidence</t>
  </si>
  <si>
    <t>Which evidence supports/refutes which claims</t>
  </si>
  <si>
    <t>claim_id / evidence_id</t>
  </si>
  <si>
    <t>COMPOSITE PK</t>
  </si>
  <si>
    <t>supports, refutes, neutral, ambiguous</t>
  </si>
  <si>
    <t>CORE: contradictions</t>
  </si>
  <si>
    <t>Internal inconsistencies</t>
  </si>
  <si>
    <t>claim_a_id / claim_b_id</t>
  </si>
  <si>
    <t>FK→claims</t>
  </si>
  <si>
    <t>contradiction_type</t>
  </si>
  <si>
    <t>INTERNAL, CROSS_CASE, EVIDENCE_VS_CLAIM, TIMELINE, LOGICAL</t>
  </si>
  <si>
    <t>Contradictions Log</t>
  </si>
  <si>
    <t>Rows 100-104</t>
  </si>
  <si>
    <t>description / resolution</t>
  </si>
  <si>
    <t>Contradictions → Claims A,B (cols B-E)</t>
  </si>
  <si>
    <t>severity</t>
  </si>
  <si>
    <t>fatal, major, minor, cosmetic</t>
  </si>
  <si>
    <t>SPECIALIZED: prophecy_fulfillment</t>
  </si>
  <si>
    <t>For PROPHETIC case type</t>
  </si>
  <si>
    <t>prophecy_source</t>
  </si>
  <si>
    <t>e.g., Daniel 9:24-27</t>
  </si>
  <si>
    <t>Scripture Card → Reference (col B)</t>
  </si>
  <si>
    <t>Rows 157-161</t>
  </si>
  <si>
    <t>tradition</t>
  </si>
  <si>
    <t>EVANGELICAL, CATHOLIC, ORTHODOX, JEWISH, DISPENSATIONAL, PRETERIST, etc.</t>
  </si>
  <si>
    <t>Scripture Card → Tradition cols (D,E)</t>
  </si>
  <si>
    <t>fulfillment_status</t>
  </si>
  <si>
    <t>UNFULFILLED, PARTIALLY, CLAIMED, VERIFIED, DISPUTED, FAILED</t>
  </si>
  <si>
    <t>Fulfillment Tracker → Status (col C)</t>
  </si>
  <si>
    <t>Rows 164-166</t>
  </si>
  <si>
    <t>evidence_tier</t>
  </si>
  <si>
    <t>Fulfillment → Evidence + Tier</t>
  </si>
  <si>
    <t>SPECIALIZED: propaganda_indicators</t>
  </si>
  <si>
    <t>For PROPAGANDA case type — BLUE OCEAN</t>
  </si>
  <si>
    <t>indicator_type</t>
  </si>
  <si>
    <t>BOT_NETWORK, PAID_INFLUENCER, MEDIA_COORDINATION, SUPPRESSION, ASTROTURF, etc. (10 types)</t>
  </si>
  <si>
    <t>Bot Analysis + Propagation Map</t>
  </si>
  <si>
    <t>Rows 127-154</t>
  </si>
  <si>
    <t>scale</t>
  </si>
  <si>
    <t>local, regional, national, international</t>
  </si>
  <si>
    <t>confidence</t>
  </si>
  <si>
    <t>confirmed, probable, possible, speculative</t>
  </si>
  <si>
    <t>Bot Analysis → Coordination Confidence</t>
  </si>
  <si>
    <t>Row 154</t>
  </si>
  <si>
    <t>financial_amount / actor / target</t>
  </si>
  <si>
    <t>MIXED</t>
  </si>
  <si>
    <t>Propagation Map → various fields</t>
  </si>
  <si>
    <t>SPECIALIZED: suppression_log</t>
  </si>
  <si>
    <t>Censorship/deplatforming actions — Gemini's P_s</t>
  </si>
  <si>
    <t>platform</t>
  </si>
  <si>
    <t>Twitter, YouTube, Facebook, Google, Reddit, etc.</t>
  </si>
  <si>
    <t>action_type</t>
  </si>
  <si>
    <t>REMOVED, DEMONETIZED, SHADOW_BANNED, LABELED, THROTTLED, DEPLATFORMED, etc.</t>
  </si>
  <si>
    <t>Suppression Log → Action (col B)</t>
  </si>
  <si>
    <t>Rows 139-143</t>
  </si>
  <si>
    <t>content_description</t>
  </si>
  <si>
    <t>Suppression Log → Target (col E)</t>
  </si>
  <si>
    <t>official_reason / evidence_url</t>
  </si>
  <si>
    <t>SPECIALIZED: statistical_anomalies</t>
  </si>
  <si>
    <t>Base-rate analysis for PATTERN detection</t>
  </si>
  <si>
    <t>anomaly_type</t>
  </si>
  <si>
    <t>DEATH_CLUSTER, FINANCIAL, TIMING, GEOGRAPHIC, BEHAVIORAL, etc. (9 types)</t>
  </si>
  <si>
    <t>Pattern Analysis → Pattern Desc</t>
  </si>
  <si>
    <t>Row 190</t>
  </si>
  <si>
    <t>observed_count / expected_count</t>
  </si>
  <si>
    <t>INT / REAL</t>
  </si>
  <si>
    <t>Pattern → Data Points + Base Rate</t>
  </si>
  <si>
    <t>Rows 191-192</t>
  </si>
  <si>
    <t>sigma_deviation / p_value</t>
  </si>
  <si>
    <t>Pattern → Statistical Significance</t>
  </si>
  <si>
    <t>Row 194</t>
  </si>
  <si>
    <t>T1-T5 per anomaly</t>
  </si>
  <si>
    <t>CORE: cross_links</t>
  </si>
  <si>
    <t>Connections between cases</t>
  </si>
  <si>
    <t>case_a_id / case_b_id</t>
  </si>
  <si>
    <t>Related Cases → UUID (col B)</t>
  </si>
  <si>
    <t>Rows 83-87</t>
  </si>
  <si>
    <t>link_type</t>
  </si>
  <si>
    <t>SHARED_ENTITY, SHARED_PATTERN, CAUSAL, TEMPORAL, GEOGRAPHIC, CONTRADICTORY, EVOLUTION, DEBUNKS, PREDICTION, THEMATIC</t>
  </si>
  <si>
    <t>Related Cases → Relationship (col D)</t>
  </si>
  <si>
    <t>0.0-1.0 (template uses 1-10, normalize by /10)</t>
  </si>
  <si>
    <t>Related Cases → Strength (col F)</t>
  </si>
  <si>
    <t>CORE: media_items</t>
  </si>
  <si>
    <t>Images, documents, videos linked to cases</t>
  </si>
  <si>
    <t>media_type</t>
  </si>
  <si>
    <t>IMAGE, VIDEO, AUDIO, DOCUMENT, MAP, CHART, INFOGRAPHIC, SCREENSHOT</t>
  </si>
  <si>
    <t>Video/Image Cards → Type (col B)</t>
  </si>
  <si>
    <t>Rows 53-55</t>
  </si>
  <si>
    <t>Video/Image → Description (col C)</t>
  </si>
  <si>
    <t>file_url / source_url</t>
  </si>
  <si>
    <t>Video/Image → URL (col D)</t>
  </si>
  <si>
    <t>is_primary / sort_order</t>
  </si>
  <si>
    <t>BOOL / INT</t>
  </si>
  <si>
    <t>TAGGING: tags + case_tags</t>
  </si>
  <si>
    <t>Flexible tagging system</t>
  </si>
  <si>
    <t>tags: id, name, category</t>
  </si>
  <si>
    <t>TOPIC, ERA, REGION, ORGANIZATION, TECHNIQUE, STATUS</t>
  </si>
  <si>
    <t>Master Keywords → Category (col C)</t>
  </si>
  <si>
    <t>Master Keywords sheet</t>
  </si>
  <si>
    <t>case_tags: case_id, tag_id</t>
  </si>
  <si>
    <t>AUDIT: ocs_audit_log</t>
  </si>
  <si>
    <t>Track score changes over time</t>
  </si>
  <si>
    <t>case_id / old_score / new_score</t>
  </si>
  <si>
    <t>TEXT / REAL</t>
  </si>
  <si>
    <t>Auto-Score Engine changes</t>
  </si>
  <si>
    <t>old_rating / new_rating / reason</t>
  </si>
  <si>
    <t>Tier changes tracked</t>
  </si>
  <si>
    <t>VIEWS</t>
  </si>
  <si>
    <t>case_summary</t>
  </si>
  <si>
    <t>Aggregates evidence_count, claim_count, timeline_events, cross_links, entity_count per case</t>
  </si>
  <si>
    <t>Completion Tracker (Section E)</t>
  </si>
  <si>
    <t>Rows 231-241</t>
  </si>
  <si>
    <t>evidence_strength</t>
  </si>
  <si>
    <t>Avg independence, provenance, T1-T5 counts per case</t>
  </si>
  <si>
    <t>Auto-Score → Evidence Density</t>
  </si>
  <si>
    <t>Row 205</t>
  </si>
  <si>
    <t>OCS SCORE FORMULA (Worker API)</t>
  </si>
  <si>
    <t>OCS = 0.35×E_qual + 0.20×E_ind + 0.15×S_div + 0.10×T_depth + 0.10×C_dom - 0.10×B_seal</t>
  </si>
  <si>
    <t>E_qual = Evidence quality (weighted avg of evidence tier scores)</t>
  </si>
  <si>
    <t>Row 205 (40%)</t>
  </si>
  <si>
    <t>E_ind = Evidence independence (avg independence_score)</t>
  </si>
  <si>
    <t>Auto-Score → Source Diversity</t>
  </si>
  <si>
    <t>Row 206 (15%)</t>
  </si>
  <si>
    <t>S_div = Source diversity (unique source_name count / total)</t>
  </si>
  <si>
    <t>T_depth = Timeline depth (normalized)</t>
  </si>
  <si>
    <t>Auto-Score → Timeline</t>
  </si>
  <si>
    <t>Row 208 (10%)</t>
  </si>
  <si>
    <t>C_dom = Cross-domain links (normalized)</t>
  </si>
  <si>
    <t>Auto-Score → Cross-Domain</t>
  </si>
  <si>
    <t>Row 209 (10%)</t>
  </si>
  <si>
    <t>B_seal = Belief seal penalty (T4+T5 proportion)</t>
  </si>
  <si>
    <t>TIER MAPPING: T1 ≥ 0.80 | T2 ≥ 0.60 | T3 ≥ 0.40 | T4 ≥ 0.20 | T5 &lt; 0.20</t>
  </si>
  <si>
    <t>Auto-Score → Suggested T-Rating</t>
  </si>
  <si>
    <t>Row 215</t>
  </si>
  <si>
    <t>SCHEMA TOTALS</t>
  </si>
  <si>
    <t>Lookups: 2</t>
  </si>
  <si>
    <t>case_types, evidence_types</t>
  </si>
  <si>
    <t>Audit: 1</t>
  </si>
  <si>
    <t>ocs_audit_log</t>
  </si>
  <si>
    <t>Views: 2</t>
  </si>
  <si>
    <t>case_summary, evidence_strength</t>
  </si>
  <si>
    <t>GAP ANALYSIS: Template ↔ Schema Alignment</t>
  </si>
  <si>
    <t>Template Feature</t>
  </si>
  <si>
    <t>Schema Table</t>
  </si>
  <si>
    <t>Notes</t>
  </si>
  <si>
    <t>✅ MAPPED</t>
  </si>
  <si>
    <t>Section A — Case Identity (11 fields)</t>
  </si>
  <si>
    <t>cases</t>
  </si>
  <si>
    <t>All 11 fields map directly to cases columns</t>
  </si>
  <si>
    <t>Timeline (10 slots)</t>
  </si>
  <si>
    <t>timeline_events</t>
  </si>
  <si>
    <t>Direct mapping. Add event_date_precision in template?</t>
  </si>
  <si>
    <t>Entity Cards (5 slots)</t>
  </si>
  <si>
    <t>entities + case_entities</t>
  </si>
  <si>
    <t>Template needs entity_type dropdown (PERSON/ORG/etc.)</t>
  </si>
  <si>
    <t>Evidence Cards (8 slots)</t>
  </si>
  <si>
    <t>evidence</t>
  </si>
  <si>
    <t>Template has 38-type dropdown. Add independence_score + is_negative?</t>
  </si>
  <si>
    <t>Video/Image Cards (3 slots)</t>
  </si>
  <si>
    <t>media_items</t>
  </si>
  <si>
    <t>Direct mapping</t>
  </si>
  <si>
    <t>cases (via narratives)</t>
  </si>
  <si>
    <t>Schema stores as narrative_node; template has 6 dedicated fields</t>
  </si>
  <si>
    <t>cases.what_would_change</t>
  </si>
  <si>
    <t>Template has 3 fields; schema condenses to 1 column</t>
  </si>
  <si>
    <t>evidence (fact subtype)</t>
  </si>
  <si>
    <t>Could add fact_type='VERIFIED_SURPRISING' filter</t>
  </si>
  <si>
    <t>Related Cases (5 slots)</t>
  </si>
  <si>
    <t>cross_links</t>
  </si>
  <si>
    <t>Template strength 1-10 → schema 0.0-1.0 (divide by 10)</t>
  </si>
  <si>
    <t>Narrative Comparison</t>
  </si>
  <si>
    <t>claims (narrative claims)</t>
  </si>
  <si>
    <t>Template is free-text; schema treats each narrative as a claim</t>
  </si>
  <si>
    <t>Contradictions Log (5 slots)</t>
  </si>
  <si>
    <t>contradictions</t>
  </si>
  <si>
    <t>Direct mapping. Template needs severity dropdown?</t>
  </si>
  <si>
    <t>Document Card (5 slots)</t>
  </si>
  <si>
    <t>evidence (doc subtype)</t>
  </si>
  <si>
    <t>Schema stores as evidence with type=DOCUMENT</t>
  </si>
  <si>
    <t>Financial Trail (5 slots)</t>
  </si>
  <si>
    <t>propaganda_indicators (FINANCIAL_TRAIL)</t>
  </si>
  <si>
    <t>Also entity_relationships for PAID_BY edges</t>
  </si>
  <si>
    <t>Propagation Map</t>
  </si>
  <si>
    <t>propaganda_indicators</t>
  </si>
  <si>
    <t>Multiple indicator_types map to propagation fields</t>
  </si>
  <si>
    <t>Suppression Log (5 slots)</t>
  </si>
  <si>
    <t>suppression_log</t>
  </si>
  <si>
    <t>Direct mapping. P_s score = COUNT * severity weight</t>
  </si>
  <si>
    <t>Bot/Coordination Analysis</t>
  </si>
  <si>
    <t>propaganda_indicators (BOT_NETWORK)</t>
  </si>
  <si>
    <t>Uniformity score, timing = indicator properties</t>
  </si>
  <si>
    <t>Scripture + Fulfillment</t>
  </si>
  <si>
    <t>prophecy_fulfillment</t>
  </si>
  <si>
    <t>Sighting Map + Physical Evidence</t>
  </si>
  <si>
    <t>evidence + statistical_anomalies</t>
  </si>
  <si>
    <t>Sightings = evidence; patterns = anomalies</t>
  </si>
  <si>
    <t>Symbol Origin + Pattern Analysis</t>
  </si>
  <si>
    <t>claims + statistical_anomalies</t>
  </si>
  <si>
    <t>Symbol interpretations = competing claims</t>
  </si>
  <si>
    <t>Auto-Score Engine</t>
  </si>
  <si>
    <t>cases.ocs_score + ocs_audit_log</t>
  </si>
  <si>
    <t>Template formula maps to OCS Worker API formula</t>
  </si>
  <si>
    <t>Gemini Fictionality Score</t>
  </si>
  <si>
    <t>cases (custom field)</t>
  </si>
  <si>
    <t>Add fictionality_v, _c, _s, _n, _score columns to cases table?</t>
  </si>
  <si>
    <t>⚠️ IN SCHEMA, NOT IN TEMPLATE:</t>
  </si>
  <si>
    <t>claims table (individual rated assertions)</t>
  </si>
  <si>
    <t>claims + claim_evidence</t>
  </si>
  <si>
    <t>Gemini fictionality columns</t>
  </si>
  <si>
    <t>Wikipedia-specific fields</t>
  </si>
  <si>
    <t>CLAIMS BREAKDOWN (Individual Rated Assertions)</t>
  </si>
  <si>
    <t>Claim Type</t>
  </si>
  <si>
    <t>Claim Text</t>
  </si>
  <si>
    <t>Rating</t>
  </si>
  <si>
    <t>Strongest For</t>
  </si>
  <si>
    <t>✅</t>
  </si>
  <si>
    <t>Strongest Against</t>
  </si>
  <si>
    <t>CLAIM_NODE</t>
  </si>
  <si>
    <t>Active for: ALL CASE TYPES. Each claim = separate Postgres row in claims table.</t>
  </si>
  <si>
    <t>Active for: ALL CASE TYPES</t>
  </si>
  <si>
    <t>CORE</t>
  </si>
  <si>
    <t>The CIA operated an illegal mind control program from 1953-1973</t>
  </si>
  <si>
    <t>Church Committee Report, 20,000 FOIA documents, CIA Director testimony</t>
  </si>
  <si>
    <t>None credible</t>
  </si>
  <si>
    <t>Unwitting human subjects were used including prisoners, mental patients, and civilians</t>
  </si>
  <si>
    <t>Operation Midnight Climax docs, Lexington prison records, Cameron victim testimony</t>
  </si>
  <si>
    <t>CIA Director Richard Helms ordered destruction of all MKUltra files in 1973</t>
  </si>
  <si>
    <t>Helms' own testimony before Church Committee</t>
  </si>
  <si>
    <t>None</t>
  </si>
  <si>
    <t>SUPPORTING</t>
  </si>
  <si>
    <t>80+ universities, hospitals, and prisons participated as research sites</t>
  </si>
  <si>
    <t>CIA budget records (1977 FOIA discovery)</t>
  </si>
  <si>
    <t>Some institutions dispute awareness of CIA funding source</t>
  </si>
  <si>
    <t>Dr. Cameron's Montreal experiments caused permanent psychological damage to patients</t>
  </si>
  <si>
    <t>Canadian govt investigation, Orlikow v. US settlement, victim medical records</t>
  </si>
  <si>
    <t>ATTRIBUTION</t>
  </si>
  <si>
    <t>Dr. Frank Olson was murdered by CIA rather than committing suicide after LSD dosing</t>
  </si>
  <si>
    <t>Second autopsy findings (1994), Olson family evidence, CIA admission of dosing</t>
  </si>
  <si>
    <t>Original coroner ruled suicide; CIA investigation inconclusive</t>
  </si>
  <si>
    <t>PREDICTION</t>
  </si>
  <si>
    <t>MKUltra techniques continued under different program names after the 1973 'termination'</t>
  </si>
  <si>
    <t>KUBARK manual (1963), Honduras manual (1983), enhanced interrogation parallels</t>
  </si>
  <si>
    <t>CIA officially denies continuation; no post-1973 program documents declassified</t>
  </si>
  <si>
    <t>PERIPHERAL</t>
  </si>
  <si>
    <t>Ted Kaczynski's radicalization was influenced by Harvard MKUltra-connected experiments</t>
  </si>
  <si>
    <t>Harvard records confirming Murray study participation; Murray's CIA connections</t>
  </si>
  <si>
    <t>Correlation not causation; many study participants did not radicalize</t>
  </si>
  <si>
    <t>CIA used front organizations to funnel money and obscure program connections</t>
  </si>
  <si>
    <t>Society for Human Ecology records, financial trail documentation</t>
  </si>
  <si>
    <t>MKUltra LSD experiments catalyzed the 1960s counterculture movement</t>
  </si>
  <si>
    <t>Ken Kesey connection documented; Grateful Dead origins</t>
  </si>
  <si>
    <t>Counterculture had many roots; overstates single-cause explanation</t>
  </si>
  <si>
    <t>NEW: witness_testimony</t>
  </si>
  <si>
    <t>Dedicated table for named witness accounts</t>
  </si>
  <si>
    <t>Links to person entity if witness is also an entity</t>
  </si>
  <si>
    <t>witness_name</t>
  </si>
  <si>
    <t>Witness Card → Name (col B)</t>
  </si>
  <si>
    <t>Rows 113-117</t>
  </si>
  <si>
    <t>role_capacity</t>
  </si>
  <si>
    <t>Official capacity in which they testified</t>
  </si>
  <si>
    <t>Witness Card → Role (col C)</t>
  </si>
  <si>
    <t>testimony_date</t>
  </si>
  <si>
    <t>Witness Card → Date (col D)</t>
  </si>
  <si>
    <t>testimony_context</t>
  </si>
  <si>
    <t>Congressional hearing, deposition, interview, affidavit, etc.</t>
  </si>
  <si>
    <t>key_claim</t>
  </si>
  <si>
    <t>Most important assertion made</t>
  </si>
  <si>
    <t>Witness Card → Key Claim (col E)</t>
  </si>
  <si>
    <t>corroboration_status</t>
  </si>
  <si>
    <t>CHECK (4 vals)</t>
  </si>
  <si>
    <t>CORROBORATED, UNCORROBORATED, CONTRADICTED, PARTIAL</t>
  </si>
  <si>
    <t>credibility_score</t>
  </si>
  <si>
    <t>0.0-1.0 assessed witness credibility</t>
  </si>
  <si>
    <t>Links to evidence record if testimony is documented</t>
  </si>
  <si>
    <t>is_hostile</t>
  </si>
  <si>
    <t>TRUE if witness was compelled or hostile to case thesis</t>
  </si>
  <si>
    <t>notes</t>
  </si>
  <si>
    <t>NEW: wikipedia_cards</t>
  </si>
  <si>
    <t>Structured Wikipedia narrative comparison</t>
  </si>
  <si>
    <t>OI-WK-XXXXXXXX</t>
  </si>
  <si>
    <t>FK→cases, UNIQUE</t>
  </si>
  <si>
    <t>One Wikipedia card per case</t>
  </si>
  <si>
    <t>wikipedia_url</t>
  </si>
  <si>
    <t>Wikipedia Card → URL</t>
  </si>
  <si>
    <t>Row 58 (B58)</t>
  </si>
  <si>
    <t>wiki_summary</t>
  </si>
  <si>
    <t>What Wikipedia says about the topic</t>
  </si>
  <si>
    <t>Wikipedia Card → Summary</t>
  </si>
  <si>
    <t>Row 59 (B59)</t>
  </si>
  <si>
    <t>key_omissions</t>
  </si>
  <si>
    <t>What Wikipedia leaves out — the editorial blind spots</t>
  </si>
  <si>
    <t>Wikipedia Card → Omissions</t>
  </si>
  <si>
    <t>Row 60 (B60)</t>
  </si>
  <si>
    <t>sources_cited</t>
  </si>
  <si>
    <t>Primary sources Wikipedia references</t>
  </si>
  <si>
    <t>Wikipedia Card → Sources Cited</t>
  </si>
  <si>
    <t>Row 61 (B61)</t>
  </si>
  <si>
    <t>sources_ignored</t>
  </si>
  <si>
    <t>Primary sources Wikipedia does NOT reference</t>
  </si>
  <si>
    <t>Wikipedia Card → Sources Ignored</t>
  </si>
  <si>
    <t>Row 62 (B62)</t>
  </si>
  <si>
    <t>last_edit_date</t>
  </si>
  <si>
    <t>Wikipedia Card → Last Edit</t>
  </si>
  <si>
    <t>Row 63 (B63)</t>
  </si>
  <si>
    <t>edit_war_flag</t>
  </si>
  <si>
    <t>TRUE if article has active or historical edit wars</t>
  </si>
  <si>
    <t>protection_level</t>
  </si>
  <si>
    <t>NONE, SEMI, FULL, EXTENDED_CONFIRMED — Wikipedia protection status</t>
  </si>
  <si>
    <t>snapshot_date</t>
  </si>
  <si>
    <t>TIMESTAMP</t>
  </si>
  <si>
    <t>When this Wikipedia analysis was last performed</t>
  </si>
  <si>
    <t>fictionality_v</t>
  </si>
  <si>
    <t>CHECK 0.0-1.0</t>
  </si>
  <si>
    <t>Gemini V — Verifiability. 1 = fully verifiable</t>
  </si>
  <si>
    <t>Gemini Fictionality → V</t>
  </si>
  <si>
    <t>Row 233 (B233)</t>
  </si>
  <si>
    <t>fictionality_c</t>
  </si>
  <si>
    <t>Gemini C — Consistency. 1 = no contradictions</t>
  </si>
  <si>
    <t>Gemini Fictionality → C</t>
  </si>
  <si>
    <t>Row 234 (B234)</t>
  </si>
  <si>
    <t>fictionality_s</t>
  </si>
  <si>
    <t>Gemini S — Specificity. 1 = precise, testable</t>
  </si>
  <si>
    <t>Gemini Fictionality → S</t>
  </si>
  <si>
    <t>Row 235 (B235)</t>
  </si>
  <si>
    <t>fictionality_n</t>
  </si>
  <si>
    <t>Gemini N — Narrative Complexity. 1 = maximum complexity</t>
  </si>
  <si>
    <t>Gemini Fictionality → N</t>
  </si>
  <si>
    <t>Row 236 (B236)</t>
  </si>
  <si>
    <t>fictionality_score</t>
  </si>
  <si>
    <t>F = (1-V)×(1-C)×(1-S)×(1+N). Lower = more credible. &gt;0.5 = likely fiction</t>
  </si>
  <si>
    <t>Gemini → FICTIONALITY SCORE</t>
  </si>
  <si>
    <t>Row 237 (B237)</t>
  </si>
  <si>
    <t>— NEW: Gemini 5-Pillar Integration — columns added to cases table</t>
  </si>
  <si>
    <t>✅ RESOLVED</t>
  </si>
  <si>
    <t>ADDED: Claims Breakdown module (10 slots) in Case Template rows 200-210. MKUltra filled with 10 rated claims.</t>
  </si>
  <si>
    <t>Witness Card → dedicated schema table</t>
  </si>
  <si>
    <t>witness_testimony (NEW)</t>
  </si>
  <si>
    <t>ADDED: witness_testimony table with 15 columns inc. corroboration_status, credibility_score, is_hostile. Maps to template rows 113-117.</t>
  </si>
  <si>
    <t>cases table (5 new columns)</t>
  </si>
  <si>
    <t>ADDED: fictionality_v, _c, _s, _n, _score REAL columns to cases table. Maps to template Gemini section.</t>
  </si>
  <si>
    <t>wikipedia_cards (NEW)</t>
  </si>
  <si>
    <t>ADDED: wikipedia_cards table with 11 columns inc. edit_war_flag, protection_level, snapshot_date. Maps to template rows 58-63.</t>
  </si>
  <si>
    <t>PostgreSQL (192.168.1.97:5432) + Cloudflare D1 | April 2026 | 19 Tables + 2 Lookups + 1 Audit + 2 Views + 21 Indexes | ALL GAPS RESOLVED</t>
  </si>
  <si>
    <t>case_title</t>
  </si>
  <si>
    <t>matched_title</t>
  </si>
  <si>
    <t>discovery_method</t>
  </si>
  <si>
    <t>url</t>
  </si>
  <si>
    <t>source_domain</t>
  </si>
  <si>
    <t>source_type</t>
  </si>
  <si>
    <t>priority</t>
  </si>
  <si>
    <t>link_label</t>
  </si>
  <si>
    <t>CASE-0011</t>
  </si>
  <si>
    <t>Moon landing conspiracy theories</t>
  </si>
  <si>
    <t>wikipedia_search</t>
  </si>
  <si>
    <t>https://en.wikipedia.org/wiki/Moon_landing_conspiracy_theories</t>
  </si>
  <si>
    <t>en.wikipedia.org</t>
  </si>
  <si>
    <t>wikipedia_primary</t>
  </si>
  <si>
    <t>wikipedia_article_links</t>
  </si>
  <si>
    <t>https://en.wikipedia.org/wiki/Great_Moon_Hoax</t>
  </si>
  <si>
    <t>wikipedia_internal</t>
  </si>
  <si>
    <t>Great Moon Hoax</t>
  </si>
  <si>
    <t>https://en.wikipedia.org/wiki/Astronaut</t>
  </si>
  <si>
    <t>Astronauts</t>
  </si>
  <si>
    <t>https://en.wikipedia.org/wiki/Buzz_Aldrin</t>
  </si>
  <si>
    <t>Buzz Aldrin</t>
  </si>
  <si>
    <t>https://en.wikipedia.org/wiki/Neil_Armstrong</t>
  </si>
  <si>
    <t>Neil Armstrong</t>
  </si>
  <si>
    <t>https://en.wikipedia.org/wiki/Mockup</t>
  </si>
  <si>
    <t>mockup</t>
  </si>
  <si>
    <t>https://en.wikipedia.org/wiki/Apollo_Lunar_Module</t>
  </si>
  <si>
    <t>Apollo Lunar Module</t>
  </si>
  <si>
    <t>https://en.wikipedia.org/wiki/Conspiracy_theories</t>
  </si>
  <si>
    <t>Conspiracy theories</t>
  </si>
  <si>
    <t>https://en.wikipedia.org/wiki/Apollo_program</t>
  </si>
  <si>
    <t>Apollo program</t>
  </si>
  <si>
    <t>https://en.wikipedia.org/wiki/Moon_landing</t>
  </si>
  <si>
    <t>Moon landings</t>
  </si>
  <si>
    <t>https://en.wikipedia.org/wiki/Hoax</t>
  </si>
  <si>
    <t>hoaxes</t>
  </si>
  <si>
    <t>https://en.wikipedia.org/wiki/List_of_Apollo_missions#Crewed_missions</t>
  </si>
  <si>
    <t>six crewed landings (1969â€“1972)</t>
  </si>
  <si>
    <t>https://en.wikipedia.org/wiki/Telemetry</t>
  </si>
  <si>
    <t>telemetry</t>
  </si>
  <si>
    <t>https://en.wikipedia.org/wiki/Moon_rock</t>
  </si>
  <si>
    <t>Moon rock</t>
  </si>
  <si>
    <t>https://en.wikipedia.org/wiki/Third-party_evidence_for_Apollo_Moon_landings</t>
  </si>
  <si>
    <t>third-party evidence for the landings</t>
  </si>
  <si>
    <t>https://en.wikipedia.org/wiki/Lunar_Reconnaissance_Orbiter</t>
  </si>
  <si>
    <t>Lunar Reconnaissance Orbiter</t>
  </si>
  <si>
    <t>https://en.wikipedia.org/wiki/Apollo_Lunar_Module#Descent_stage</t>
  </si>
  <si>
    <t>Lunar Module descent stages</t>
  </si>
  <si>
    <t>https://en.wikipedia.org/wiki/Lunar_Flag_Assembly</t>
  </si>
  <si>
    <t>American flags erected on the Moon</t>
  </si>
  <si>
    <t>https://en.wikipedia.org/wiki/Apollo_11</t>
  </si>
  <si>
    <t>Apollo 11</t>
  </si>
  <si>
    <t>https://en.wikipedia.org/wiki/Ascent_Propulsion_System</t>
  </si>
  <si>
    <t>Ascent Propulsion System</t>
  </si>
  <si>
    <t>CASE-0012</t>
  </si>
  <si>
    <t>Deep state</t>
  </si>
  <si>
    <t>https://en.wikipedia.org/wiki/Deep_state</t>
  </si>
  <si>
    <t>https://en.wikipedia.org/wiki/Deep_state_(disambiguation)</t>
  </si>
  <si>
    <t>Deep state (disambiguation)</t>
  </si>
  <si>
    <t>https://en.wikipedia.org/wiki/Deep_state_conspiracy_theory_in_Turkey</t>
  </si>
  <si>
    <t>Turkey</t>
  </si>
  <si>
    <t>https://en.wikipedia.org/wiki/2016_United_States_presidential_election</t>
  </si>
  <si>
    <t>2016 United States presidential election</t>
  </si>
  <si>
    <t>https://en.wikipedia.org/wiki/Deep_state_conspiracy_theory_in_the_United_States</t>
  </si>
  <si>
    <t>United States</t>
  </si>
  <si>
    <t>https://en.wikipedia.org/wiki/First_presidency_of_Donald_Trump</t>
  </si>
  <si>
    <t>Donald Trump administration</t>
  </si>
  <si>
    <t>https://en.wikipedia.org/wiki/Calque</t>
  </si>
  <si>
    <t>calque</t>
  </si>
  <si>
    <t>https://en.wikipedia.org/wiki/Cold_War</t>
  </si>
  <si>
    <t>Cold War</t>
  </si>
  <si>
    <t>https://en.wikipedia.org/wiki/Medieval_Europe</t>
  </si>
  <si>
    <t>Medieval Europe</t>
  </si>
  <si>
    <t>https://en.wikipedia.org/wiki/Early_modern_Europe</t>
  </si>
  <si>
    <t>early modern Europe</t>
  </si>
  <si>
    <t>https://en.wikipedia.org/wiki/Witchcraft</t>
  </si>
  <si>
    <t>witchcraft</t>
  </si>
  <si>
    <t>https://en.wikipedia.org/wiki/Satanism</t>
  </si>
  <si>
    <t>demonic conspiracies</t>
  </si>
  <si>
    <t>https://en.wikipedia.org/wiki/Malleus_Maleficarum</t>
  </si>
  <si>
    <t>Malleus Maleficarum (1487)</t>
  </si>
  <si>
    <t>https://en.wikipedia.org/wiki/Christendom</t>
  </si>
  <si>
    <t>Christian society</t>
  </si>
  <si>
    <t>https://en.wikipedia.org/wiki/Mass_hysteria</t>
  </si>
  <si>
    <t>mass hysteria</t>
  </si>
  <si>
    <t>https://en.wikipedia.org/wiki/Witch_hunt</t>
  </si>
  <si>
    <t>witch trials</t>
  </si>
  <si>
    <t>https://en.wikipedia.org/wiki/Inquisition</t>
  </si>
  <si>
    <t>inquisitions</t>
  </si>
  <si>
    <t>https://en.wikipedia.org/wiki/Colonial_North_America</t>
  </si>
  <si>
    <t>colonial North America</t>
  </si>
  <si>
    <t>https://en.wikipedia.org/wiki/Yuval_Noah_Harari</t>
  </si>
  <si>
    <t>Yuval Noah Harari</t>
  </si>
  <si>
    <t>CASE-0013</t>
  </si>
  <si>
    <t>9/11 conspiracy theories</t>
  </si>
  <si>
    <t>https://en.wikipedia.org/wiki/9/11_conspiracy_theories</t>
  </si>
  <si>
    <t>https://en.wikipedia.org/wiki/Collapse_of_the_World_Trade_Center</t>
  </si>
  <si>
    <t>the collapse</t>
  </si>
  <si>
    <t>https://en.wikipedia.org/wiki/World_Trade_Center_(1973%E2%80%932001)</t>
  </si>
  <si>
    <t>World Trade Center</t>
  </si>
  <si>
    <t>https://en.wikipedia.org/wiki/7_World_Trade_Center_(1987%E2%80%932001)</t>
  </si>
  <si>
    <t>7 World Trade Center</t>
  </si>
  <si>
    <t>https://en.wikipedia.org/wiki/September_11_attacks</t>
  </si>
  <si>
    <t>https://en.wikipedia.org/wiki/Conspiracy_theory</t>
  </si>
  <si>
    <t>https://en.wikipedia.org/wiki/United_States</t>
  </si>
  <si>
    <t>https://en.wikipedia.org/wiki/Al-Qaeda</t>
  </si>
  <si>
    <t>al-Qaeda</t>
  </si>
  <si>
    <t>https://en.wikipedia.org/wiki/September_11_attacks_advance-knowledge_conspiracy_theories</t>
  </si>
  <si>
    <t>advance knowledge of the attacks</t>
  </si>
  <si>
    <t>https://en.wikipedia.org/wiki/World_Trade_Center_controlled_demolition_conspiracy_theories</t>
  </si>
  <si>
    <t>result of controlled demolitions</t>
  </si>
  <si>
    <t>https://en.wikipedia.org/wiki/The_Pentagon</t>
  </si>
  <si>
    <t>the Pentagon</t>
  </si>
  <si>
    <t>https://en.wikipedia.org/wiki/War_in_Afghanistan_(2001%E2%80%932021)</t>
  </si>
  <si>
    <t>Afghanistan</t>
  </si>
  <si>
    <t>https://en.wikipedia.org/wiki/Iraq_War</t>
  </si>
  <si>
    <t>Iraq</t>
  </si>
  <si>
    <t>https://en.wikipedia.org/wiki/Geostrategy</t>
  </si>
  <si>
    <t>geostrategic</t>
  </si>
  <si>
    <t>https://en.wikipedia.org/wiki/Turkmenistan%E2%80%93Afghanistan%E2%80%93Pakistan%E2%80%93India_Pipeline</t>
  </si>
  <si>
    <t>plans to construct a natural gas pipeline through Afghanistan</t>
  </si>
  <si>
    <t>https://en.wikipedia.org/wiki/National_Institute_of_Standards_and_Technology</t>
  </si>
  <si>
    <t>National Institute of Standards and Technology</t>
  </si>
  <si>
    <t>https://en.wikipedia.org/wiki/Popular_Mechanics</t>
  </si>
  <si>
    <t>Popular Mechanics</t>
  </si>
  <si>
    <t>https://en.wikipedia.org/wiki/9/11_Commission</t>
  </si>
  <si>
    <t>9/11 Commission</t>
  </si>
  <si>
    <t>https://en.wikipedia.org/wiki/Civil_engineering</t>
  </si>
  <si>
    <t>civil engineering</t>
  </si>
  <si>
    <t>https://en.wikipedia.org/wiki/Architects_%26_Engineers_for_9/11_Truth</t>
  </si>
  <si>
    <t>Architects &amp; Engineers for 9/11 Truth</t>
  </si>
  <si>
    <t>CASE-0014</t>
  </si>
  <si>
    <t>https://en.wikipedia.org/wiki/Rothschild_family</t>
  </si>
  <si>
    <t>https://en.wikipedia.org/wiki/The_House_of_Rothschild</t>
  </si>
  <si>
    <t>The House of Rothschild</t>
  </si>
  <si>
    <t>https://en.wikipedia.org/wiki/List_of_European_Jewish_nobility</t>
  </si>
  <si>
    <t>Jewish noble</t>
  </si>
  <si>
    <t>https://en.wikipedia.org/wiki/Banking_family</t>
  </si>
  <si>
    <t>banking family</t>
  </si>
  <si>
    <t>https://en.wikipedia.org/wiki/Francis_II,_Holy_Roman_Emperor</t>
  </si>
  <si>
    <t>Francis I of Austria</t>
  </si>
  <si>
    <t>https://en.wikipedia.org/wiki/Rothschild</t>
  </si>
  <si>
    <t>Rothschild</t>
  </si>
  <si>
    <t>https://en.wikipedia.org/wiki/High_German_language</t>
  </si>
  <si>
    <t>German</t>
  </si>
  <si>
    <t>https://en.wikipedia.org/wiki/Frankfurter_Judengasse</t>
  </si>
  <si>
    <t>Frankfurter Judengasse</t>
  </si>
  <si>
    <t>https://en.wikipedia.org/wiki/Free_City_of_Frankfurt</t>
  </si>
  <si>
    <t>Frankfurt</t>
  </si>
  <si>
    <t>https://en.wikipedia.org/wiki/Holy_Roman_Empire</t>
  </si>
  <si>
    <t>Holy Roman Empire</t>
  </si>
  <si>
    <t>https://en.wikipedia.org/wiki/Nathaniel_Rothschild,_5th_Baron_Rothschild</t>
  </si>
  <si>
    <t>Nathaniel Rothschild, 5th Baron Rothschild</t>
  </si>
  <si>
    <t>https://en.wikipedia.org/wiki/Baron_Rothschild#Rothschild_baronets,_of_Tring_Park_(1847)</t>
  </si>
  <si>
    <t>Baronet, of Tring Park</t>
  </si>
  <si>
    <t>https://en.wikipedia.org/wiki/Baron_Rothschild</t>
  </si>
  <si>
    <t>Baron Rothschild</t>
  </si>
  <si>
    <t>https://en.wikipedia.org/wiki/Go%C3%BBt_Rothschild</t>
  </si>
  <si>
    <t>GoÃ»t Rothschild</t>
  </si>
  <si>
    <t>https://en.wikipedia.org/wiki/Latin_language</t>
  </si>
  <si>
    <t>Latin</t>
  </si>
  <si>
    <t>https://en.wikipedia.org/wiki/Rothschild_family_residences</t>
  </si>
  <si>
    <t>Family residences</t>
  </si>
  <si>
    <t>https://en.wikipedia.org/wiki/Rothschild_properties_in_the_home_counties</t>
  </si>
  <si>
    <t>British properties</t>
  </si>
  <si>
    <t>https://en.wikipedia.org/wiki/Palais_Rothschild</t>
  </si>
  <si>
    <t>Palais Rothschild</t>
  </si>
  <si>
    <t>https://en.wikipedia.org/wiki/Rothschild_banking_family_of_Austria</t>
  </si>
  <si>
    <t>Austrian branch</t>
  </si>
  <si>
    <t>https://en.wikipedia.org/wiki/Rothschild_banking_family_of_England</t>
  </si>
  <si>
    <t>English branch</t>
  </si>
  <si>
    <t>CASE-0015</t>
  </si>
  <si>
    <t>Bilderberg Meeting</t>
  </si>
  <si>
    <t>https://en.wikipedia.org/wiki/Bilderberg_Meeting</t>
  </si>
  <si>
    <t>https://en.wikipedia.org/wiki/Netherlands</t>
  </si>
  <si>
    <t>Netherlands</t>
  </si>
  <si>
    <t>https://en.wikipedia.org/wiki/Eponym</t>
  </si>
  <si>
    <t>eponymous</t>
  </si>
  <si>
    <t>https://en.wikipedia.org/wiki/Marie-Jos%C3%A9e_Kravis</t>
  </si>
  <si>
    <t>Marie-JosÃ©e Kravis</t>
  </si>
  <si>
    <t>https://en.wikipedia.org/wiki/Henri_de_Castries</t>
  </si>
  <si>
    <t>Henri de Castries</t>
  </si>
  <si>
    <t>https://en.wikipedia.org/wiki/Europe</t>
  </si>
  <si>
    <t>Europe</t>
  </si>
  <si>
    <t>https://en.wikipedia.org/wiki/North_America</t>
  </si>
  <si>
    <t>North America</t>
  </si>
  <si>
    <t>https://en.wikipedia.org/wiki/World_war</t>
  </si>
  <si>
    <t>world war</t>
  </si>
  <si>
    <t>https://en.wikipedia.org/wiki/Free_market</t>
  </si>
  <si>
    <t>free market</t>
  </si>
  <si>
    <t>https://en.wikipedia.org/wiki/Capitalism</t>
  </si>
  <si>
    <t>capitalism</t>
  </si>
  <si>
    <t>https://en.wikipedia.org/wiki/Political_leaders</t>
  </si>
  <si>
    <t>political leaders</t>
  </si>
  <si>
    <t>https://en.wikipedia.org/wiki/Experts</t>
  </si>
  <si>
    <t>experts</t>
  </si>
  <si>
    <t>https://en.wikipedia.org/wiki/Private_industry</t>
  </si>
  <si>
    <t>industry</t>
  </si>
  <si>
    <t>https://en.wikipedia.org/wiki/Finance</t>
  </si>
  <si>
    <t>finance</t>
  </si>
  <si>
    <t>https://en.wikipedia.org/wiki/Chatham_House_Rule</t>
  </si>
  <si>
    <t>Chatham House Rule</t>
  </si>
  <si>
    <t>https://en.wikipedia.org/wiki/Left-wing_politics</t>
  </si>
  <si>
    <t>left</t>
  </si>
  <si>
    <t>https://en.wikipedia.org/wiki/Right-wing_politics</t>
  </si>
  <si>
    <t>right</t>
  </si>
  <si>
    <t>https://en.wikipedia.org/wiki/Prince_Bernhard_of_Lippe-Biesterfeld</t>
  </si>
  <si>
    <t>Prince Bernhard of the Netherlands</t>
  </si>
  <si>
    <t>https://en.wikipedia.org/wiki/Lockheed_bribery_scandals</t>
  </si>
  <si>
    <t>Lockheed bribery scandals</t>
  </si>
  <si>
    <t>CASE-0016</t>
  </si>
  <si>
    <t>John F. Kennedy assassination conspiracy theories</t>
  </si>
  <si>
    <t>https://en.wikipedia.org/wiki/John_F._Kennedy_assassination_conspiracy_theories</t>
  </si>
  <si>
    <t>https://en.wikipedia.org/wiki/Robert_F._Kennedy_assassination_conspiracy_theories</t>
  </si>
  <si>
    <t>Robert F. Kennedy assassination conspiracy theories</t>
  </si>
  <si>
    <t>https://en.wikipedia.org/wiki/John_F._Kennedy</t>
  </si>
  <si>
    <t>John F. Kennedy</t>
  </si>
  <si>
    <t>https://en.wikipedia.org/wiki/Jacqueline_Kennedy</t>
  </si>
  <si>
    <t>Jacqueline Kennedy</t>
  </si>
  <si>
    <t>https://en.wikipedia.org/wiki/Nellie_Connally</t>
  </si>
  <si>
    <t>Nellie Connally</t>
  </si>
  <si>
    <t>https://en.wikipedia.org/wiki/John_Connally</t>
  </si>
  <si>
    <t>John Connally</t>
  </si>
  <si>
    <t>https://en.wikipedia.org/wiki/Assassination_of_John_F._Kennedy</t>
  </si>
  <si>
    <t>the assassination</t>
  </si>
  <si>
    <t>https://en.wikipedia.org/wiki/President_of_the_United_States</t>
  </si>
  <si>
    <t>president of the United States</t>
  </si>
  <si>
    <t>https://en.wikipedia.org/wiki/Central_Intelligence_Agency</t>
  </si>
  <si>
    <t>Central Intelligence Agency</t>
  </si>
  <si>
    <t>https://en.wikipedia.org/wiki/Italian-American_Mafia</t>
  </si>
  <si>
    <t>Mafia</t>
  </si>
  <si>
    <t>https://en.wikipedia.org/wiki/Lyndon_B._Johnson</t>
  </si>
  <si>
    <t>Lyndon B. Johnson</t>
  </si>
  <si>
    <t>https://en.wikipedia.org/wiki/Fidel_Castro</t>
  </si>
  <si>
    <t>Fidel Castro</t>
  </si>
  <si>
    <t>https://en.wikipedia.org/wiki/KGB</t>
  </si>
  <si>
    <t>KGB</t>
  </si>
  <si>
    <t>https://en.wikipedia.org/wiki/Federal_government_of_the_United_States</t>
  </si>
  <si>
    <t>American federal government</t>
  </si>
  <si>
    <t>https://en.wikipedia.org/wiki/Federal_Bureau_of_Investigation</t>
  </si>
  <si>
    <t>Federal Bureau of Investigation</t>
  </si>
  <si>
    <t>https://en.wikipedia.org/wiki/Warren_Commission</t>
  </si>
  <si>
    <t>Warren Commission</t>
  </si>
  <si>
    <t>https://en.wikipedia.org/wiki/Vincent_Bugliosi</t>
  </si>
  <si>
    <t>Vincent Bugliosi</t>
  </si>
  <si>
    <t>https://en.wikipedia.org/wiki/SS-100-X</t>
  </si>
  <si>
    <t>limousine</t>
  </si>
  <si>
    <t>https://en.wikipedia.org/wiki/Dallas</t>
  </si>
  <si>
    <t>Dallas</t>
  </si>
  <si>
    <t>CASE-0017</t>
  </si>
  <si>
    <t>High-frequency Active Auroral Research Program</t>
  </si>
  <si>
    <t>https://en.wikipedia.org/wiki/High-frequency_Active_Auroral_Research_Program</t>
  </si>
  <si>
    <t>https://en.wikipedia.org/wiki/HAARP_(album)</t>
  </si>
  <si>
    <t>HAARP (album)</t>
  </si>
  <si>
    <t>https://en.wikipedia.org/wiki/Harp_(disambiguation)</t>
  </si>
  <si>
    <t>harp</t>
  </si>
  <si>
    <t>https://en.wikipedia.org/wiki/Mount_Sanford_(Alaska)</t>
  </si>
  <si>
    <t>Mount Sanford</t>
  </si>
  <si>
    <t>https://en.wikipedia.org/wiki/Ionosphere</t>
  </si>
  <si>
    <t>Ionosphere</t>
  </si>
  <si>
    <t>https://en.wikipedia.org/wiki/Gakona,_Alaska</t>
  </si>
  <si>
    <t>Gakona, Alaska</t>
  </si>
  <si>
    <t>https://en.wikipedia.org/wiki/University_of_Alaska_Fairbanks</t>
  </si>
  <si>
    <t>University of Alaska Fairbanks</t>
  </si>
  <si>
    <t>https://en.wikipedia.org/wiki/Ionization</t>
  </si>
  <si>
    <t>ionized</t>
  </si>
  <si>
    <t>https://en.wikipedia.org/wiki/Atmosphere_of_Earth</t>
  </si>
  <si>
    <t>Earth's atmosphere</t>
  </si>
  <si>
    <t>https://en.wikipedia.org/wiki/Radio_frequency</t>
  </si>
  <si>
    <t>radio frequency</t>
  </si>
  <si>
    <t>https://en.wikipedia.org/wiki/Transmitter</t>
  </si>
  <si>
    <t>transmitter</t>
  </si>
  <si>
    <t>https://en.wikipedia.org/wiki/High_frequency</t>
  </si>
  <si>
    <t>high frequency</t>
  </si>
  <si>
    <t>https://en.wikipedia.org/wiki/VHF</t>
  </si>
  <si>
    <t>VHF</t>
  </si>
  <si>
    <t>https://en.wikipedia.org/wiki/Ultra_high_frequency</t>
  </si>
  <si>
    <t>UHF</t>
  </si>
  <si>
    <t>https://en.wikipedia.org/wiki/Radar</t>
  </si>
  <si>
    <t>radar</t>
  </si>
  <si>
    <t>https://en.wikipedia.org/wiki/Fluxgate_compass</t>
  </si>
  <si>
    <t>fluxgate</t>
  </si>
  <si>
    <t>https://en.wikipedia.org/wiki/Magnetometer</t>
  </si>
  <si>
    <t>magnetometer</t>
  </si>
  <si>
    <t>https://en.wikipedia.org/wiki/Ionospheric_sounding</t>
  </si>
  <si>
    <t>ionospheric sounding</t>
  </si>
  <si>
    <t>https://en.wikipedia.org/wiki/U.S._Air_Force</t>
  </si>
  <si>
    <t>U.S. Air Force</t>
  </si>
  <si>
    <t>https://en.wikipedia.org/wiki/United_States_Navy</t>
  </si>
  <si>
    <t>U.S. Navy</t>
  </si>
  <si>
    <t>CASE-0018</t>
  </si>
  <si>
    <t>Antichrist</t>
  </si>
  <si>
    <t>https://en.wikipedia.org/wiki/Antichrist</t>
  </si>
  <si>
    <t>https://en.wikipedia.org/wiki/Antichrist_(disambiguation)</t>
  </si>
  <si>
    <t>Antichrist (disambiguation)</t>
  </si>
  <si>
    <t>https://en.wikipedia.org/wiki/Devil_in_Christianity</t>
  </si>
  <si>
    <t>Devil</t>
  </si>
  <si>
    <t>https://en.wikipedia.org/wiki/Luca_Signorelli</t>
  </si>
  <si>
    <t>Luca Signorelli</t>
  </si>
  <si>
    <t>https://en.wikipedia.org/wiki/Orvieto_Cathedral</t>
  </si>
  <si>
    <t>Orvieto Cathedral</t>
  </si>
  <si>
    <t>https://en.wikipedia.org/wiki/Christian_eschatology</t>
  </si>
  <si>
    <t>Christian eschatology</t>
  </si>
  <si>
    <t>https://en.wikipedia.org/wiki/Eschatology</t>
  </si>
  <si>
    <t>eschatology</t>
  </si>
  <si>
    <t>https://en.wikipedia.org/wiki/Bible</t>
  </si>
  <si>
    <t>Bible</t>
  </si>
  <si>
    <t>https://en.wikipedia.org/wiki/Jesus_in_Christianity</t>
  </si>
  <si>
    <t>Jesus Christ</t>
  </si>
  <si>
    <t>https://en.wikipedia.org/wiki/Second_Coming</t>
  </si>
  <si>
    <t>Second Coming</t>
  </si>
  <si>
    <t>https://en.wikipedia.org/wiki/New_Testament</t>
  </si>
  <si>
    <t>New Testament</t>
  </si>
  <si>
    <t>https://en.wikipedia.org/wiki/First_Epistle_of_John</t>
  </si>
  <si>
    <t>First</t>
  </si>
  <si>
    <t>https://en.wikipedia.org/wiki/Second_Epistle_of_John</t>
  </si>
  <si>
    <t>Second Epistle of John</t>
  </si>
  <si>
    <t>https://en.wikipedia.org/wiki/Gospels</t>
  </si>
  <si>
    <t>Gospels</t>
  </si>
  <si>
    <t>https://en.wikipedia.org/wiki/Gospel_of_Matthew</t>
  </si>
  <si>
    <t>Matthew</t>
  </si>
  <si>
    <t>https://en.wikipedia.org/wiki/Matthew_24#Jesus_predicts_the_destruction_of_the_Temple</t>
  </si>
  <si>
    <t>chapter 24</t>
  </si>
  <si>
    <t>https://en.wikipedia.org/wiki/Gospel_of_Mark</t>
  </si>
  <si>
    <t>Mark</t>
  </si>
  <si>
    <t>https://en.wikipedia.org/wiki/Mark_13</t>
  </si>
  <si>
    <t>chapter 13</t>
  </si>
  <si>
    <t>https://en.wikipedia.org/wiki/False_prophet#Christianity</t>
  </si>
  <si>
    <t>false prophets</t>
  </si>
  <si>
    <t>https://en.wikipedia.org/wiki/Christ_(title)</t>
  </si>
  <si>
    <t>Christ</t>
  </si>
  <si>
    <t>CASE-0019</t>
  </si>
  <si>
    <t>Eschatology</t>
  </si>
  <si>
    <t>https://en.wikipedia.org/wiki/End_times_(disambiguation)</t>
  </si>
  <si>
    <t>end times (disambiguation)</t>
  </si>
  <si>
    <t>https://en.wikipedia.org/wiki/Eschaton_(disambiguation)</t>
  </si>
  <si>
    <t>eschaton (disambiguation)</t>
  </si>
  <si>
    <t>https://en.wikipedia.org/wiki/Last_days_(disambiguation)</t>
  </si>
  <si>
    <t>last days (disambiguation)</t>
  </si>
  <si>
    <t>https://en.wikipedia.org/wiki/Eschatology_(disambiguation)</t>
  </si>
  <si>
    <t>eschatology (disambiguation)</t>
  </si>
  <si>
    <t>https://en.wikipedia.org/wiki/Last_Things_(novel)</t>
  </si>
  <si>
    <t>Last Things (novel)</t>
  </si>
  <si>
    <t>https://en.wikipedia.org/wiki/Four_Horsemen_of_the_Apocalypse</t>
  </si>
  <si>
    <t>Four Horsemen of the Apocalypse</t>
  </si>
  <si>
    <t>https://en.wikipedia.org/wiki/Apocalypse_(D%C3%BCrer)</t>
  </si>
  <si>
    <t>Apocalypse</t>
  </si>
  <si>
    <t>https://en.wikipedia.org/wiki/Albrecht_D%C3%BCrer</t>
  </si>
  <si>
    <t>Albrecht DÃ¼rer</t>
  </si>
  <si>
    <t>https://en.wikipedia.org/wiki/Ancient_Greek_language</t>
  </si>
  <si>
    <t>Ancient Greek</t>
  </si>
  <si>
    <t>https://en.wikipedia.org/wiki/-logy</t>
  </si>
  <si>
    <t>https://en.wikipedia.org/wiki/Contemporary_era</t>
  </si>
  <si>
    <t>present age</t>
  </si>
  <si>
    <t>https://en.wikipedia.org/wiki/Human_history</t>
  </si>
  <si>
    <t>human history</t>
  </si>
  <si>
    <t>https://en.wikipedia.org/wiki/World_religion</t>
  </si>
  <si>
    <t>world religions</t>
  </si>
  <si>
    <t>https://en.wikipedia.org/wiki/Abrahamic_religions</t>
  </si>
  <si>
    <t>Abrahamic</t>
  </si>
  <si>
    <t>https://en.wikipedia.org/wiki/Indian_religions</t>
  </si>
  <si>
    <t>Indian</t>
  </si>
  <si>
    <t>https://en.wikipedia.org/wiki/Apocalypticism</t>
  </si>
  <si>
    <t>apocalypticism</t>
  </si>
  <si>
    <t>https://en.wikipedia.org/wiki/Doomsday_cult</t>
  </si>
  <si>
    <t>doomsday cults</t>
  </si>
  <si>
    <t>https://en.wikipedia.org/wiki/Mysticism</t>
  </si>
  <si>
    <t>mysticism</t>
  </si>
  <si>
    <t>https://en.wikipedia.org/wiki/Divinity</t>
  </si>
  <si>
    <t>divine</t>
  </si>
  <si>
    <t>CASE-0020</t>
  </si>
  <si>
    <t>Death of Jeffrey Epstein</t>
  </si>
  <si>
    <t>https://en.wikipedia.org/wiki/Death_of_Jeffrey_Epstein</t>
  </si>
  <si>
    <t>https://en.wikipedia.org/wiki/Metropolitan_Correctional_Center,_New_York</t>
  </si>
  <si>
    <t>Metropolitan Correctional Center, New York</t>
  </si>
  <si>
    <t>https://en.wikipedia.org/wiki/Office_of_Chief_Medical_Examiner_of_the_City_of_New_York</t>
  </si>
  <si>
    <t>New York City Medical Examiner</t>
  </si>
  <si>
    <t>https://en.wikipedia.org/wiki/Conspiracy_(criminal)</t>
  </si>
  <si>
    <t>Conspiracy</t>
  </si>
  <si>
    <t>https://en.wikipedia.org/wiki/False_evidence</t>
  </si>
  <si>
    <t>Record falsification</t>
  </si>
  <si>
    <t>https://en.wikipedia.org/wiki/Community_service</t>
  </si>
  <si>
    <t>community service</t>
  </si>
  <si>
    <t>https://en.wikipedia.org/wiki/Jeffrey_Epstein</t>
  </si>
  <si>
    <t>Jeffrey Epstein</t>
  </si>
  <si>
    <t>https://en.wikipedia.org/wiki/Personal_life_of_Jeffrey_Epstein</t>
  </si>
  <si>
    <t>Personal</t>
  </si>
  <si>
    <t>https://en.wikipedia.org/wiki/Mark_Epstein_(property_developer)</t>
  </si>
  <si>
    <t>Mark Epstein</t>
  </si>
  <si>
    <t>https://en.wikipedia.org/wiki/Alleged_connections_to_intelligence_agencies_of_Jeffrey_Epstein</t>
  </si>
  <si>
    <t>Alleged connections to intelligence agencies</t>
  </si>
  <si>
    <t>https://en.wikipedia.org/wiki/Jeffrey_Epstein%27s_birthday_book</t>
  </si>
  <si>
    <t>Birthday book</t>
  </si>
  <si>
    <t>https://en.wikipedia.org/wiki/Estate_of_Jeffrey_Epstein</t>
  </si>
  <si>
    <t>Estate</t>
  </si>
  <si>
    <t>https://en.wikipedia.org/wiki/Epstein_didn%27t_kill_himself</t>
  </si>
  <si>
    <t>Epstein didn't kill himself</t>
  </si>
  <si>
    <t>https://en.wikipedia.org/wiki/Ghislaine_Maxwell</t>
  </si>
  <si>
    <t>Ghislaine Maxwell</t>
  </si>
  <si>
    <t>https://en.wikipedia.org/wiki/Litigation_involving_Jeffrey_Epstein</t>
  </si>
  <si>
    <t>Litigation</t>
  </si>
  <si>
    <t>https://en.wikipedia.org/wiki/Lolita_Express</t>
  </si>
  <si>
    <t>Lolita Express</t>
  </si>
  <si>
    <t>https://en.wikipedia.org/wiki/Connections_of_Jeffrey_Epstein</t>
  </si>
  <si>
    <t>Relationships</t>
  </si>
  <si>
    <t>https://en.wikipedia.org/wiki/Relationship_of_Bill_Clinton_and_Jeffrey_Epstein</t>
  </si>
  <si>
    <t>Bill Clinton</t>
  </si>
  <si>
    <t>https://en.wikipedia.org/wiki/Relationship_of_Thorbj%C3%B8rn_Jagland_and_Jeffrey_Epstein</t>
  </si>
  <si>
    <t>ThorbjÃ¸rn Jagland</t>
  </si>
  <si>
    <t>https://en.wikipedia.org/wiki/Relationship_of_Peter_Mandelson_and_Jeffrey_Epstein</t>
  </si>
  <si>
    <t>Peter Mandelson</t>
  </si>
  <si>
    <t>CASE-0021</t>
  </si>
  <si>
    <t>Opposition to water fluoridation</t>
  </si>
  <si>
    <t>https://en.wikipedia.org/wiki/Opposition_to_water_fluoridation</t>
  </si>
  <si>
    <t>https://en.wikipedia.org/wiki/Alternative_medicine</t>
  </si>
  <si>
    <t>Alternative medicine</t>
  </si>
  <si>
    <t>https://en.wikipedia.org/wiki/History_of_alternative_medicine</t>
  </si>
  <si>
    <t>History</t>
  </si>
  <si>
    <t>https://en.wikipedia.org/wiki/Terminology_of_alternative_medicine</t>
  </si>
  <si>
    <t>Terminology</t>
  </si>
  <si>
    <t>https://en.wikipedia.org/wiki/Alternative_veterinary_medicine</t>
  </si>
  <si>
    <t>Alternative veterinary medicine</t>
  </si>
  <si>
    <t>https://en.wikipedia.org/wiki/Quackery</t>
  </si>
  <si>
    <t>Quackery</t>
  </si>
  <si>
    <t>https://en.wikipedia.org/wiki/Pseudoscience</t>
  </si>
  <si>
    <t>Pseudoscience</t>
  </si>
  <si>
    <t>https://en.wikipedia.org/wiki/Antiscience</t>
  </si>
  <si>
    <t>Antiscience</t>
  </si>
  <si>
    <t>https://en.wikipedia.org/wiki/Skepticism</t>
  </si>
  <si>
    <t>Skepticism</t>
  </si>
  <si>
    <t>https://en.wikipedia.org/wiki/Scientific_skepticism</t>
  </si>
  <si>
    <t>Scientific</t>
  </si>
  <si>
    <t>https://en.wikipedia.org/wiki/Therapeutic_nihilism</t>
  </si>
  <si>
    <t>Therapeutic nihilism</t>
  </si>
  <si>
    <t>https://en.wikipedia.org/wiki/Acupressure</t>
  </si>
  <si>
    <t>Acupressure</t>
  </si>
  <si>
    <t>https://en.wikipedia.org/wiki/Acupuncture</t>
  </si>
  <si>
    <t>Acupuncture</t>
  </si>
  <si>
    <t>https://en.wikipedia.org/wiki/Alkaline_diet</t>
  </si>
  <si>
    <t>Alkaline diet</t>
  </si>
  <si>
    <t>https://en.wikipedia.org/wiki/Anthroposophic_medicine</t>
  </si>
  <si>
    <t>Anthroposophic medicine</t>
  </si>
  <si>
    <t>https://en.wikipedia.org/wiki/Apitherapy</t>
  </si>
  <si>
    <t>Apitherapy</t>
  </si>
  <si>
    <t>https://en.wikipedia.org/wiki/Applied_kinesiology</t>
  </si>
  <si>
    <t>Applied kinesiology</t>
  </si>
  <si>
    <t>https://en.wikipedia.org/wiki/Aromatherapy</t>
  </si>
  <si>
    <t>Aromatherapy</t>
  </si>
  <si>
    <t>https://en.wikipedia.org/wiki/Association_for_Research_and_Enlightenment</t>
  </si>
  <si>
    <t>Association for Research and Enlightenment</t>
  </si>
  <si>
    <t>https://en.wikipedia.org/wiki/Auriculotherapy</t>
  </si>
  <si>
    <t>Auriculotherapy</t>
  </si>
  <si>
    <t>CASE-0022</t>
  </si>
  <si>
    <t>https://en.wikipedia.org/wiki/COINTELPRO</t>
  </si>
  <si>
    <t>https://en.wikipedia.org/wiki/Jean_Seberg</t>
  </si>
  <si>
    <t>Jean Seberg</t>
  </si>
  <si>
    <t>https://en.wikipedia.org/wiki/Black_Panther_Party</t>
  </si>
  <si>
    <t>Black Panther Party</t>
  </si>
  <si>
    <t>https://en.wikipedia.org/wiki/Syllabic_abbreviation</t>
  </si>
  <si>
    <t>syllabic abbreviation</t>
  </si>
  <si>
    <t>https://en.wikipedia.org/wiki/Covert_operation</t>
  </si>
  <si>
    <t>covert</t>
  </si>
  <si>
    <t>https://en.wikipedia.org/wiki/Surveillance</t>
  </si>
  <si>
    <t>surveilling</t>
  </si>
  <si>
    <t>https://en.wikipedia.org/wiki/Discrediting</t>
  </si>
  <si>
    <t>discrediting</t>
  </si>
  <si>
    <t>https://en.wikipedia.org/wiki/List_of_political_parties_in_the_United_States</t>
  </si>
  <si>
    <t>American political parties</t>
  </si>
  <si>
    <t>https://en.wikipedia.org/wiki/Political_organisation</t>
  </si>
  <si>
    <t>organizations</t>
  </si>
  <si>
    <t>https://en.wikipedia.org/wiki/Subversive</t>
  </si>
  <si>
    <t>subversive</t>
  </si>
  <si>
    <t>https://en.wikipedia.org/wiki/Feminism_in_the_United_States</t>
  </si>
  <si>
    <t>feminist</t>
  </si>
  <si>
    <t>https://en.wikipedia.org/wiki/Communist_Party_USA</t>
  </si>
  <si>
    <t>Communist Party USA</t>
  </si>
  <si>
    <t>https://en.wikipedia.org/wiki/Opposition_to_United_States_involvement_in_the_Vietnam_War</t>
  </si>
  <si>
    <t>anti-Vietnam War</t>
  </si>
  <si>
    <t>https://en.wikipedia.org/wiki/Civil_rights_movement</t>
  </si>
  <si>
    <t>civil rights</t>
  </si>
  <si>
    <t>https://en.wikipedia.org/wiki/Black_power_movement</t>
  </si>
  <si>
    <t>Black power movements</t>
  </si>
  <si>
    <t>https://en.wikipedia.org/wiki/Martin_Luther_King_Jr.</t>
  </si>
  <si>
    <t>Martin Luther King Jr.</t>
  </si>
  <si>
    <t>https://en.wikipedia.org/wiki/Malcolm_X</t>
  </si>
  <si>
    <t>Malcolm X</t>
  </si>
  <si>
    <t>https://en.wikipedia.org/wiki/Student_activism</t>
  </si>
  <si>
    <t>student organizations</t>
  </si>
  <si>
    <t>https://en.wikipedia.org/wiki/Students_for_a_Democratic_Society</t>
  </si>
  <si>
    <t>Students for a Democratic Society</t>
  </si>
  <si>
    <t>CASE-0023</t>
  </si>
  <si>
    <t>Vaccine misinformation</t>
  </si>
  <si>
    <t>https://en.wikipedia.org/wiki/Vaccine_misinformation</t>
  </si>
  <si>
    <t>https://en.wikipedia.org/wiki/Misinformation</t>
  </si>
  <si>
    <t>Misinformation</t>
  </si>
  <si>
    <t>https://en.wikipedia.org/wiki/Immunization</t>
  </si>
  <si>
    <t>immunization</t>
  </si>
  <si>
    <t>https://en.wikipedia.org/wiki/Vaccines</t>
  </si>
  <si>
    <t>vaccines</t>
  </si>
  <si>
    <t>presented on the Internet as being scientific information</t>
  </si>
  <si>
    <t>https://en.wikipedia.org/wiki/Vaccine_hesitancy</t>
  </si>
  <si>
    <t>vaccine hesitancy</t>
  </si>
  <si>
    <t>https://en.wikipedia.org/wiki/COVID-19_pandemic</t>
  </si>
  <si>
    <t>COVID-19 pandemic</t>
  </si>
  <si>
    <t>https://en.wikipedia.org/wiki/World_Health_Organization</t>
  </si>
  <si>
    <t>World Health Organization</t>
  </si>
  <si>
    <t>https://en.wikipedia.org/wiki/Vaccination</t>
  </si>
  <si>
    <t>Vaccination</t>
  </si>
  <si>
    <t>https://en.wikipedia.org/wiki/Vaccinator</t>
  </si>
  <si>
    <t>Vaccinator</t>
  </si>
  <si>
    <t>https://en.wikipedia.org/wiki/Vaccine</t>
  </si>
  <si>
    <t>Vaccine</t>
  </si>
  <si>
    <t>https://en.wikipedia.org/wiki/Vaccine_trial</t>
  </si>
  <si>
    <t>Vaccine trial</t>
  </si>
  <si>
    <t>https://en.wikipedia.org/wiki/COVID-19_vaccine_card</t>
  </si>
  <si>
    <t>COVID-19 vaccine card</t>
  </si>
  <si>
    <t>https://en.wikipedia.org/wiki/Smallpox_vaccine</t>
  </si>
  <si>
    <t>Smallpox</t>
  </si>
  <si>
    <t>https://en.wikipedia.org/wiki/Polio_vaccine</t>
  </si>
  <si>
    <t>Polio</t>
  </si>
  <si>
    <t>https://en.wikipedia.org/wiki/Varicella_vaccine</t>
  </si>
  <si>
    <t>Chicken pox</t>
  </si>
  <si>
    <t>https://en.wikipedia.org/wiki/MMR_vaccine</t>
  </si>
  <si>
    <t>Measles/Mumps/Rubella</t>
  </si>
  <si>
    <t>https://en.wikipedia.org/wiki/Influenza_vaccine</t>
  </si>
  <si>
    <t>Influenza</t>
  </si>
  <si>
    <t>https://en.wikipedia.org/wiki/Ebola_vaccine</t>
  </si>
  <si>
    <t>Ebola</t>
  </si>
  <si>
    <t>https://en.wikipedia.org/wiki/COVID-19_vaccine</t>
  </si>
  <si>
    <t>COVID-19</t>
  </si>
  <si>
    <t>CASE-0024</t>
  </si>
  <si>
    <t>https://en.wikipedia.org/wiki/Skull_and_Bones</t>
  </si>
  <si>
    <t>https://en.wikipedia.org/wiki/Skull_and_crossbones_(disambiguation)</t>
  </si>
  <si>
    <t>Skull and crossbones (disambiguation)</t>
  </si>
  <si>
    <t>https://en.wikipedia.org/wiki/Yale_University</t>
  </si>
  <si>
    <t>Yale University</t>
  </si>
  <si>
    <t>https://en.wikipedia.org/wiki/List_of_senior_societies</t>
  </si>
  <si>
    <t>Senior society</t>
  </si>
  <si>
    <t>https://en.wikipedia.org/wiki/New_Haven,_Connecticut</t>
  </si>
  <si>
    <t>New Haven</t>
  </si>
  <si>
    <t>https://en.wikipedia.org/wiki/Connecticut</t>
  </si>
  <si>
    <t>Connecticut</t>
  </si>
  <si>
    <t>https://en.wikipedia.org/wiki/Secret_society#Colleges_and_universities</t>
  </si>
  <si>
    <t>secret student society</t>
  </si>
  <si>
    <t>https://en.wikipedia.org/wiki/Linonian_Society</t>
  </si>
  <si>
    <t>Linonia</t>
  </si>
  <si>
    <t>https://en.wikipedia.org/wiki/Brothers_in_Unity</t>
  </si>
  <si>
    <t>Brothers in Unity</t>
  </si>
  <si>
    <t>https://en.wikipedia.org/wiki/Calliopean_Society</t>
  </si>
  <si>
    <t>Calliopean Society</t>
  </si>
  <si>
    <t>https://en.wikipedia.org/wiki/Phi_Beta_Kappa</t>
  </si>
  <si>
    <t>Phi Beta Kappa</t>
  </si>
  <si>
    <t>https://en.wikipedia.org/wiki/William_Huntington_Russell</t>
  </si>
  <si>
    <t>William Huntington Russell</t>
  </si>
  <si>
    <t>https://en.wikipedia.org/wiki/Alphonso_Taft</t>
  </si>
  <si>
    <t>Alphonso Taft</t>
  </si>
  <si>
    <t>https://en.wikipedia.org/wiki/Freshman</t>
  </si>
  <si>
    <t>freshman</t>
  </si>
  <si>
    <t>https://en.wikipedia.org/wiki/Sophomore_year</t>
  </si>
  <si>
    <t>sophomore</t>
  </si>
  <si>
    <t>https://en.wikipedia.org/wiki/Junior_(education_year)</t>
  </si>
  <si>
    <t>junior</t>
  </si>
  <si>
    <t>https://en.wikipedia.org/wiki/Mixed-sex_education</t>
  </si>
  <si>
    <t>coeducational</t>
  </si>
  <si>
    <t>https://en.wikipedia.org/wiki/St._Anthony_Hall</t>
  </si>
  <si>
    <t>St. Anthony Hall</t>
  </si>
  <si>
    <t>https://en.wikipedia.org/wiki/Manuscript_Society_(Yale_University)</t>
  </si>
  <si>
    <t>Manuscript Society</t>
  </si>
  <si>
    <t>https://en.wikipedia.org/wiki/William_F._Buckley</t>
  </si>
  <si>
    <t>William F. Buckley</t>
  </si>
  <si>
    <t>CASE-0025</t>
  </si>
  <si>
    <t>https://en.wikipedia.org/wiki/Bohemian_Grove</t>
  </si>
  <si>
    <t>https://en.wikipedia.org/wiki/Monte_Rio,_California</t>
  </si>
  <si>
    <t>Monte Rio, California</t>
  </si>
  <si>
    <t>https://en.wikipedia.org/wiki/Bohemian_Club</t>
  </si>
  <si>
    <t>https://en.wikipedia.org/wiki/Gentlemen%27s_club</t>
  </si>
  <si>
    <t>gentlemen's club</t>
  </si>
  <si>
    <t>https://en.wikipedia.org/wiki/Henry_Edwards_(entomologist)</t>
  </si>
  <si>
    <t>Henry "Harry" Edwards</t>
  </si>
  <si>
    <t>https://en.wikipedia.org/wiki/New_York_City</t>
  </si>
  <si>
    <t>New York City</t>
  </si>
  <si>
    <t>https://en.wikipedia.org/wiki/Bohemianism</t>
  </si>
  <si>
    <t>Bohemians</t>
  </si>
  <si>
    <t>https://en.wikipedia.org/wiki/Sequoia_sempervirens</t>
  </si>
  <si>
    <t>redwoods</t>
  </si>
  <si>
    <t>https://en.wikipedia.org/wiki/Marin_County,_California</t>
  </si>
  <si>
    <t>Marin County</t>
  </si>
  <si>
    <t>https://en.wikipedia.org/wiki/Taylorville,_California</t>
  </si>
  <si>
    <t>Taylorville</t>
  </si>
  <si>
    <t>https://en.wikipedia.org/wiki/Samuel_P._Taylor_State_Park</t>
  </si>
  <si>
    <t>Samuel P. Taylor State Park</t>
  </si>
  <si>
    <t>https://en.wikipedia.org/wiki/Sonoma_County,_California</t>
  </si>
  <si>
    <t>Sonoma</t>
  </si>
  <si>
    <t>https://en.wikipedia.org/wiki/Muir_Woods_National_Monument</t>
  </si>
  <si>
    <t>Muir Woods</t>
  </si>
  <si>
    <t>https://en.wikipedia.org/wiki/Duncans_Mills,_California</t>
  </si>
  <si>
    <t>Duncans Mills</t>
  </si>
  <si>
    <t>https://en.wikipedia.org/wiki/Russian_River_(California)</t>
  </si>
  <si>
    <t>Russian River</t>
  </si>
  <si>
    <t>https://en.wikipedia.org/wiki/William_Henry_Irwin</t>
  </si>
  <si>
    <t>William Henry Irwin</t>
  </si>
  <si>
    <t>https://en.wikipedia.org/wiki/Manhattan_Project</t>
  </si>
  <si>
    <t>Manhattan Project</t>
  </si>
  <si>
    <t>https://en.wikipedia.org/wiki/Ernest_Lawrence</t>
  </si>
  <si>
    <t>Ernest Lawrence</t>
  </si>
  <si>
    <t>https://en.wikipedia.org/wiki/J._Robert_Oppenheimer</t>
  </si>
  <si>
    <t>J. Robert Oppenheimer</t>
  </si>
  <si>
    <t>https://en.wikipedia.org/wiki/S-1_Executive_Committee</t>
  </si>
  <si>
    <t>S-1 Executive Committee</t>
  </si>
  <si>
    <t>CASE-0026</t>
  </si>
  <si>
    <t>FEMA camps conspiracy theory</t>
  </si>
  <si>
    <t>https://en.wikipedia.org/wiki/FEMA_camps_conspiracy_theory</t>
  </si>
  <si>
    <t>https://en.wikipedia.org/wiki/Patriot_movement</t>
  </si>
  <si>
    <t>Patriot movement</t>
  </si>
  <si>
    <t>https://en.wikipedia.org/wiki/Federal_Emergency_Management_Agency</t>
  </si>
  <si>
    <t>Federal Emergency Management Agency</t>
  </si>
  <si>
    <t>https://en.wikipedia.org/wiki/United_States_citizens</t>
  </si>
  <si>
    <t>United States citizens</t>
  </si>
  <si>
    <t>https://en.wikipedia.org/wiki/Concentration_camp</t>
  </si>
  <si>
    <t>concentration camps</t>
  </si>
  <si>
    <t>https://en.wikipedia.org/wiki/Martial_law</t>
  </si>
  <si>
    <t>https://en.wikipedia.org/wiki/Dissidents</t>
  </si>
  <si>
    <t>dissidents</t>
  </si>
  <si>
    <t>https://en.wikipedia.org/wiki/Extermination_(crime)</t>
  </si>
  <si>
    <t>extermination</t>
  </si>
  <si>
    <t>https://en.wikipedia.org/wiki/New_World_Order_(conspiracy_theory)</t>
  </si>
  <si>
    <t>New World Order</t>
  </si>
  <si>
    <t>https://en.wikipedia.org/wiki/Social_media</t>
  </si>
  <si>
    <t>social media</t>
  </si>
  <si>
    <t>https://en.wikipedia.org/wiki/Internment_of_Japanese_Americans</t>
  </si>
  <si>
    <t>imprisoned Japanese-American citizens in internment camps during WWII</t>
  </si>
  <si>
    <t>https://en.wikipedia.org/wiki/Rex_84</t>
  </si>
  <si>
    <t>https://en.wikipedia.org/wiki/Continuity_of_government</t>
  </si>
  <si>
    <t>https://en.wikipedia.org/wiki/Nuclear_war</t>
  </si>
  <si>
    <t>nuclear war</t>
  </si>
  <si>
    <t>https://en.wikipedia.org/wiki/Federal_Civil_Defense_Administration</t>
  </si>
  <si>
    <t>Federal Civil Defense Administration</t>
  </si>
  <si>
    <t>https://en.wikipedia.org/wiki/President_Harry_S_Truman</t>
  </si>
  <si>
    <t>President Harry S Truman</t>
  </si>
  <si>
    <t>President</t>
  </si>
  <si>
    <t>https://en.wikipedia.org/wiki/Jimmy_Carter</t>
  </si>
  <si>
    <t>Jimmy Carter</t>
  </si>
  <si>
    <t>https://en.wikipedia.org/wiki/Department_of_Homeland_Security</t>
  </si>
  <si>
    <t>Department of Homeland Security</t>
  </si>
  <si>
    <t>https://en.wikipedia.org/wiki/Executive_(government)</t>
  </si>
  <si>
    <t>executive</t>
  </si>
  <si>
    <t>CASE-0027</t>
  </si>
  <si>
    <t>https://en.wikipedia.org/wiki/Operation_Paperclip</t>
  </si>
  <si>
    <t>https://en.wikipedia.org/wiki/Paper_Clips_Project</t>
  </si>
  <si>
    <t>Paper Clips Project</t>
  </si>
  <si>
    <t>https://en.wikipedia.org/wiki/Paper_clip_(disambiguation)</t>
  </si>
  <si>
    <t>Paper clip (disambiguation)</t>
  </si>
  <si>
    <t>https://en.wikipedia.org/wiki/Kurt_Debus</t>
  </si>
  <si>
    <t>Kurt Debus</t>
  </si>
  <si>
    <t>https://en.wikipedia.org/wiki/V-2_rocket</t>
  </si>
  <si>
    <t>V-2 rocket</t>
  </si>
  <si>
    <t>https://en.wikipedia.org/wiki/NASA</t>
  </si>
  <si>
    <t>NASA</t>
  </si>
  <si>
    <t>US president</t>
  </si>
  <si>
    <t>https://en.wikipedia.org/wiki/Vice_President_of_the_United_States</t>
  </si>
  <si>
    <t>US vice president</t>
  </si>
  <si>
    <t>https://en.wikipedia.org/wiki/Cape_Canaveral_Launch_Complex_34</t>
  </si>
  <si>
    <t>Blockhouse 34</t>
  </si>
  <si>
    <t>https://en.wikipedia.org/wiki/Nazi_Germany</t>
  </si>
  <si>
    <t>Nazi Germany</t>
  </si>
  <si>
    <t>https://en.wikipedia.org/wiki/End_of_World_War_II_in_Europe</t>
  </si>
  <si>
    <t>end of World War II in Europe</t>
  </si>
  <si>
    <t>https://en.wikipedia.org/wiki/Nazi_Party</t>
  </si>
  <si>
    <t>Nazi Party</t>
  </si>
  <si>
    <t>https://en.wikipedia.org/wiki/SS</t>
  </si>
  <si>
    <t>SS</t>
  </si>
  <si>
    <t>https://en.wikipedia.org/wiki/Sturmabteilung</t>
  </si>
  <si>
    <t>SA</t>
  </si>
  <si>
    <t>https://en.wikipedia.org/wiki/Joint_Intelligence_Objectives_Agency</t>
  </si>
  <si>
    <t>Joint Intelligence Objectives Agency</t>
  </si>
  <si>
    <t>https://en.wikipedia.org/wiki/United_States_Army</t>
  </si>
  <si>
    <t>US Army</t>
  </si>
  <si>
    <t>https://en.wikipedia.org/wiki/Counterintelligence_Corps</t>
  </si>
  <si>
    <t>Counterintelligence Corps</t>
  </si>
  <si>
    <t>CASE-0028</t>
  </si>
  <si>
    <t>Pizzagate conspiracy theory</t>
  </si>
  <si>
    <t>https://en.wikipedia.org/wiki/Pizzagate_conspiracy_theory</t>
  </si>
  <si>
    <t>https://en.wikipedia.org/wiki/Battle_of_the_Buffet#"Pizzagate"</t>
  </si>
  <si>
    <t>Battle of the Buffet Â§Â "Pizzagate"</t>
  </si>
  <si>
    <t>https://en.wikipedia.org/wiki/Bill_de_Blasio#Mayor_of_New_York_City_(2014â€“2021)</t>
  </si>
  <si>
    <t>Bill de Blasio Â§Â Mayor of New York City (2014â€“2021)</t>
  </si>
  <si>
    <t>https://en.wikipedia.org/wiki/Save_the_Children</t>
  </si>
  <si>
    <t>Save the Children</t>
  </si>
  <si>
    <t>https://en.wikipedia.org/wiki/Comet_Ping_Pong</t>
  </si>
  <si>
    <t>Comet Ping Pong</t>
  </si>
  <si>
    <t>https://en.wikipedia.org/wiki/Child_sex_ring</t>
  </si>
  <si>
    <t>child sex ring</t>
  </si>
  <si>
    <t>conspiracy theory</t>
  </si>
  <si>
    <t>https://en.wikipedia.org/wiki/Viral_phenomenon</t>
  </si>
  <si>
    <t>viral</t>
  </si>
  <si>
    <t>https://en.wikipedia.org/wiki/New_York_City_Police_Department</t>
  </si>
  <si>
    <t>New York City Police Department</t>
  </si>
  <si>
    <t>https://en.wikipedia.org/wiki/Pedophilia</t>
  </si>
  <si>
    <t>pedophilia</t>
  </si>
  <si>
    <t>https://en.wikipedia.org/wiki/Democratic_Party_(United_States)</t>
  </si>
  <si>
    <t>Democratic Party</t>
  </si>
  <si>
    <t>https://en.wikipedia.org/wiki/Anthony_Weiner</t>
  </si>
  <si>
    <t>Anthony Weiner</t>
  </si>
  <si>
    <t>https://en.wikipedia.org/wiki/Washington,_D.C._police</t>
  </si>
  <si>
    <t>Washington, D.C. police</t>
  </si>
  <si>
    <t>https://en.wikipedia.org/wiki/John_Podesta</t>
  </si>
  <si>
    <t>John Podesta</t>
  </si>
  <si>
    <t>https://en.wikipedia.org/wiki/Hillary_Clinton</t>
  </si>
  <si>
    <t>Hillary Clinton</t>
  </si>
  <si>
    <t>https://en.wikipedia.org/wiki/Campaign_manager</t>
  </si>
  <si>
    <t>campaign chair</t>
  </si>
  <si>
    <t>https://en.wikipedia.org/wiki/Phishing#Spear_phishing</t>
  </si>
  <si>
    <t>spear-phishing</t>
  </si>
  <si>
    <t>https://en.wikipedia.org/wiki/WikiLeaks</t>
  </si>
  <si>
    <t>WikiLeaks</t>
  </si>
  <si>
    <t>https://en.wikipedia.org/wiki/Podesta_emails</t>
  </si>
  <si>
    <t>his emails</t>
  </si>
  <si>
    <t>CASE-0029</t>
  </si>
  <si>
    <t>https://en.wikipedia.org/wiki/QAnon</t>
  </si>
  <si>
    <t>https://en.wikipedia.org/wiki/American_flag</t>
  </si>
  <si>
    <t>American flag</t>
  </si>
  <si>
    <t>https://en.wikipedia.org/wiki/Second_Amendment_to_the_United_States_Constitution</t>
  </si>
  <si>
    <t>Second Amendment</t>
  </si>
  <si>
    <t>https://en.wikipedia.org/wiki/Richmond,_Virginia</t>
  </si>
  <si>
    <t>Richmond</t>
  </si>
  <si>
    <t>https://en.wikipedia.org/wiki/Far-right</t>
  </si>
  <si>
    <t>far-right</t>
  </si>
  <si>
    <t>https://en.wikipedia.org/wiki/American_political_conspiracy_theory</t>
  </si>
  <si>
    <t>American political conspiracy theory</t>
  </si>
  <si>
    <t>https://en.wikipedia.org/wiki/Political_movement</t>
  </si>
  <si>
    <t>political movement</t>
  </si>
  <si>
    <t>https://en.wikipedia.org/wiki/Virtual_community</t>
  </si>
  <si>
    <t>online communities</t>
  </si>
  <si>
    <t>https://en.wikipedia.org/wiki/Influencers</t>
  </si>
  <si>
    <t>influencers</t>
  </si>
  <si>
    <t>https://en.wikipedia.org/wiki/Cabal</t>
  </si>
  <si>
    <t>cabal</t>
  </si>
  <si>
    <t>https://en.wikipedia.org/wiki/Theistic_Satanism</t>
  </si>
  <si>
    <t>Satanic</t>
  </si>
  <si>
    <t>https://en.wikipedia.org/wiki/Human_cannibalism</t>
  </si>
  <si>
    <t>cannibalistic</t>
  </si>
  <si>
    <t>https://en.wikipedia.org/wiki/Child_molesters</t>
  </si>
  <si>
    <t>child molesters</t>
  </si>
  <si>
    <t>https://en.wikipedia.org/wiki/Sex_trafficking</t>
  </si>
  <si>
    <t>sex trafficking</t>
  </si>
  <si>
    <t>https://en.wikipedia.org/wiki/Donald_Trump</t>
  </si>
  <si>
    <t>Donald Trump</t>
  </si>
  <si>
    <t>https://en.wikipedia.org/wiki/Pizzagate</t>
  </si>
  <si>
    <t>https://en.wikipedia.org/wiki/Cult</t>
  </si>
  <si>
    <t>cult</t>
  </si>
  <si>
    <t>first presidency of Donald Trump</t>
  </si>
  <si>
    <t>CASE-0030</t>
  </si>
  <si>
    <t>https://en.wikipedia.org/wiki/Georgia_Guidestones</t>
  </si>
  <si>
    <t>https://en.wikipedia.org/wiki/Elbert_County,_Georgia</t>
  </si>
  <si>
    <t>Elbert County, Georgia</t>
  </si>
  <si>
    <t>https://en.wikipedia.org/wiki/Granite</t>
  </si>
  <si>
    <t>Granite</t>
  </si>
  <si>
    <t>https://en.wikipedia.org/wiki/Monument</t>
  </si>
  <si>
    <t>monument</t>
  </si>
  <si>
    <t>https://en.wikipedia.org/wiki/Stonehenge</t>
  </si>
  <si>
    <t>Stonehenge</t>
  </si>
  <si>
    <t>Satanism</t>
  </si>
  <si>
    <t>https://en.wikipedia.org/wiki/Christianity</t>
  </si>
  <si>
    <t>Christianity</t>
  </si>
  <si>
    <t>https://en.wikipedia.org/wiki/Vandalism</t>
  </si>
  <si>
    <t>vandal</t>
  </si>
  <si>
    <t>https://en.wikipedia.org/wiki/Pseudonym</t>
  </si>
  <si>
    <t>pseudonym</t>
  </si>
  <si>
    <t>https://en.wikipedia.org/wiki/Compass</t>
  </si>
  <si>
    <t>compass</t>
  </si>
  <si>
    <t>https://en.wikipedia.org/wiki/Calendar</t>
  </si>
  <si>
    <t>calendar</t>
  </si>
  <si>
    <t>https://en.wikipedia.org/wiki/Clock</t>
  </si>
  <si>
    <t>clock</t>
  </si>
  <si>
    <t>https://en.wikipedia.org/wiki/Neolithic</t>
  </si>
  <si>
    <t>Neolithic</t>
  </si>
  <si>
    <t>https://en.wikipedia.org/wiki/Acre</t>
  </si>
  <si>
    <t>acre</t>
  </si>
  <si>
    <t>https://en.wikipedia.org/wiki/Hectare</t>
  </si>
  <si>
    <t>hectare</t>
  </si>
  <si>
    <t>https://en.wikipedia.org/wiki/Georgia_State_Route_77</t>
  </si>
  <si>
    <t>Georgia State Route 77</t>
  </si>
  <si>
    <t>https://en.wikipedia.org/wiki/Elberton,_Georgia</t>
  </si>
  <si>
    <t>Elberton</t>
  </si>
  <si>
    <t>https://en.wikipedia.org/wiki/Doug_Barnard_Jr.</t>
  </si>
  <si>
    <t>Doug Barnard</t>
  </si>
  <si>
    <t>https://en.wikipedia.org/wiki/Master_of_ceremonies</t>
  </si>
  <si>
    <t>Master of Ceremonies</t>
  </si>
  <si>
    <t>CASE-0031</t>
  </si>
  <si>
    <t>Eustace Mullins</t>
  </si>
  <si>
    <t>https://en.wikipedia.org/wiki/Eustace_Mullins</t>
  </si>
  <si>
    <t>https://en.wikipedia.org/wiki/Roanoke,_Virginia</t>
  </si>
  <si>
    <t>Roanoke, Virginia</t>
  </si>
  <si>
    <t>https://en.wikipedia.org/wiki/Hockley,_Texas</t>
  </si>
  <si>
    <t>Hockley, Texas</t>
  </si>
  <si>
    <t>https://en.wikipedia.org/wiki/National_Renaissance_Party_(United_States)</t>
  </si>
  <si>
    <t>National Renaissance Party</t>
  </si>
  <si>
    <t>https://en.wikipedia.org/wiki/Antisemitism</t>
  </si>
  <si>
    <t>Antisemitism</t>
  </si>
  <si>
    <t>https://en.wikipedia.org/wiki/Holocaust_denial</t>
  </si>
  <si>
    <t>Holocaust denial</t>
  </si>
  <si>
    <t>https://en.wikipedia.org/wiki/Neo-fascism</t>
  </si>
  <si>
    <t>Neo-fascism</t>
  </si>
  <si>
    <t>https://en.wikipedia.org/wiki/Constitutional_militia_movement</t>
  </si>
  <si>
    <t>constitutional militia movement</t>
  </si>
  <si>
    <t>https://en.wikipedia.org/wiki/White_supremacist</t>
  </si>
  <si>
    <t>white supremacist</t>
  </si>
  <si>
    <t>https://en.wikipedia.org/wiki/Ezra_Pound</t>
  </si>
  <si>
    <t>Ezra Pound</t>
  </si>
  <si>
    <t>https://en.wikipedia.org/wiki/Federal_Reserve_Act</t>
  </si>
  <si>
    <t>Federal Reserve Act</t>
  </si>
  <si>
    <t>https://en.wikipedia.org/wiki/US_Congress</t>
  </si>
  <si>
    <t>Congress</t>
  </si>
  <si>
    <t>https://en.wikipedia.org/wiki/Southern_Poverty_Law_Center</t>
  </si>
  <si>
    <t>Southern Poverty Law Center</t>
  </si>
  <si>
    <t>https://en.wikipedia.org/wiki/J._Edgar_Hoover</t>
  </si>
  <si>
    <t>J. Edgar Hoover</t>
  </si>
  <si>
    <t>https://en.wikipedia.org/wiki/Ohio_State_University</t>
  </si>
  <si>
    <t>Ohio State University</t>
  </si>
  <si>
    <t>https://en.wikipedia.org/wiki/New_York_University</t>
  </si>
  <si>
    <t>New York University</t>
  </si>
  <si>
    <t>https://en.wikipedia.org/wiki/University_of_North_Dakota</t>
  </si>
  <si>
    <t>University of North Dakota</t>
  </si>
  <si>
    <t>https://en.wikipedia.org/wiki/FBI</t>
  </si>
  <si>
    <t>FBI</t>
  </si>
  <si>
    <t>https://en.wikipedia.org/wiki/Charlottesville,_Virginia</t>
  </si>
  <si>
    <t>Charlottesville, Virginia</t>
  </si>
  <si>
    <t>CASE-0032</t>
  </si>
  <si>
    <t>https://en.wikipedia.org/wiki/Operation_Northwoods</t>
  </si>
  <si>
    <t>https://en.wikipedia.org/wiki/Cuban_Project</t>
  </si>
  <si>
    <t>Cuban Project</t>
  </si>
  <si>
    <t>https://en.wikipedia.org/wiki/Guantanamo_Bay_Naval_Base</t>
  </si>
  <si>
    <t>Guantanamo Bay Naval Base</t>
  </si>
  <si>
    <t>https://en.wikipedia.org/wiki/Cuba</t>
  </si>
  <si>
    <t>Cuba</t>
  </si>
  <si>
    <t>https://en.wikipedia.org/wiki/Eastern_Time_Zone</t>
  </si>
  <si>
    <t>EST</t>
  </si>
  <si>
    <t>https://en.wikipedia.org/wiki/False_flag</t>
  </si>
  <si>
    <t>false flag</t>
  </si>
  <si>
    <t>https://en.wikipedia.org/wiki/Terrorism</t>
  </si>
  <si>
    <t>terrorism</t>
  </si>
  <si>
    <t>https://en.wikipedia.org/wiki/Assassination</t>
  </si>
  <si>
    <t>assassinations</t>
  </si>
  <si>
    <t>https://en.wikipedia.org/wiki/Aircraft_hijacking</t>
  </si>
  <si>
    <t>aircraft hijackings</t>
  </si>
  <si>
    <t>https://en.wikipedia.org/wiki/Joint_Chiefs_of_Staff</t>
  </si>
  <si>
    <t>Joint Chiefs of Staff</t>
  </si>
  <si>
    <t>https://en.wikipedia.org/wiki/Lyman_Lemnitzer</t>
  </si>
  <si>
    <t>Lyman Lemnitzer</t>
  </si>
  <si>
    <t>https://en.wikipedia.org/wiki/United_States_Department_of_Defense</t>
  </si>
  <si>
    <t>United States Department of Defense</t>
  </si>
  <si>
    <t>https://en.wikipedia.org/wiki/Robert_McNamara</t>
  </si>
  <si>
    <t>Robert McNamara</t>
  </si>
  <si>
    <t>https://en.wikipedia.org/wiki/Assassination_Records_Review_Board</t>
  </si>
  <si>
    <t>Assassination Records Review Board</t>
  </si>
  <si>
    <t>https://en.wikipedia.org/wiki/Operation_Mongoose</t>
  </si>
  <si>
    <t>https://en.wikipedia.org/wiki/CIA_assassination_attempts_on_Fidel_Castro</t>
  </si>
  <si>
    <t>Assassination attempts on Fidel Castro</t>
  </si>
  <si>
    <t>https://en.wikipedia.org/wiki/Escambray_rebellion</t>
  </si>
  <si>
    <t>Escambray rebellion</t>
  </si>
  <si>
    <t>https://en.wikipedia.org/wiki/United_States_involvement_in_regime_change</t>
  </si>
  <si>
    <t>United States involvement in regime change</t>
  </si>
  <si>
    <t>CASE-0033</t>
  </si>
  <si>
    <t>Gulf of Tonkin incident</t>
  </si>
  <si>
    <t>https://en.wikipedia.org/wiki/Gulf_of_Tonkin_incident</t>
  </si>
  <si>
    <t>https://en.wikipedia.org/wiki/Tonkin_Affair</t>
  </si>
  <si>
    <t>Tonkin Affair</t>
  </si>
  <si>
    <t>https://en.wikipedia.org/wiki/Vietnam_War</t>
  </si>
  <si>
    <t>Vietnam War</t>
  </si>
  <si>
    <t>https://en.wikipedia.org/wiki/USS_Maddox_(DD-731)</t>
  </si>
  <si>
    <t>USS Maddox</t>
  </si>
  <si>
    <t>https://en.wikipedia.org/wiki/Gulf_of_Tonkin</t>
  </si>
  <si>
    <t>https://en.wikipedia.org/wiki/Gulf_of_Tonkin_Resolution</t>
  </si>
  <si>
    <t>Gulf of Tonkin Resolution</t>
  </si>
  <si>
    <t>https://en.wikipedia.org/wiki/Joint_warfare_in_South_Vietnam,_1963%E2%80%931969</t>
  </si>
  <si>
    <t>escalation of the War in Vietnam</t>
  </si>
  <si>
    <t>https://en.wikipedia.org/wiki/North_Vietnam</t>
  </si>
  <si>
    <t>North Vietnam</t>
  </si>
  <si>
    <t>https://en.wikipedia.org/wiki/U._S._Grant_Sharp_Jr.</t>
  </si>
  <si>
    <t>U. S. Grant Sharp Jr.</t>
  </si>
  <si>
    <t>https://en.wikipedia.org/wiki/Roy_L._Johnson</t>
  </si>
  <si>
    <t>Roy L. Johnson</t>
  </si>
  <si>
    <t>https://en.wikipedia.org/wiki/John_J._Herrick</t>
  </si>
  <si>
    <t>John J. Herrick</t>
  </si>
  <si>
    <t>https://en.wikipedia.org/wiki/Destroyer</t>
  </si>
  <si>
    <t>destroyers</t>
  </si>
  <si>
    <t>https://en.wikipedia.org/wiki/Aircraft_carrier</t>
  </si>
  <si>
    <t>aircraft carrier</t>
  </si>
  <si>
    <t>https://en.wikipedia.org/wiki/F8_Crusader</t>
  </si>
  <si>
    <t>aircraft</t>
  </si>
  <si>
    <t>https://en.wikipedia.org/wiki/Torpedo_boat</t>
  </si>
  <si>
    <t>torpedo boats</t>
  </si>
  <si>
    <t>https://en.wikipedia.org/wiki/Outline_of_the_Vietnam_War#Military_activity_during_the_Vietnam_War</t>
  </si>
  <si>
    <t>Military engagements</t>
  </si>
  <si>
    <t>https://en.wikipedia.org/wiki/War_in_Vietnam_(1959%E2%80%931963)</t>
  </si>
  <si>
    <t>Guerrilla phase</t>
  </si>
  <si>
    <t>https://en.wikipedia.org/wiki/North_Vietnamese_invasion_of_Laos</t>
  </si>
  <si>
    <t>Laos</t>
  </si>
  <si>
    <t>CASE-0034</t>
  </si>
  <si>
    <t>https://en.wikipedia.org/wiki/Philadelphia_Experiment</t>
  </si>
  <si>
    <t>https://en.wikipedia.org/wiki/Philadelphia_Experiment_(disambiguation)</t>
  </si>
  <si>
    <t>Philadelphia Experiment (disambiguation)</t>
  </si>
  <si>
    <t>https://en.wikipedia.org/wiki/USS_Eldridge</t>
  </si>
  <si>
    <t>USS Eldridge</t>
  </si>
  <si>
    <t>https://en.wikipedia.org/wiki/Paranormal</t>
  </si>
  <si>
    <t>Paranormal</t>
  </si>
  <si>
    <t>https://en.wikipedia.org/wiki/Astral_projection</t>
  </si>
  <si>
    <t>Astral projection</t>
  </si>
  <si>
    <t>https://en.wikipedia.org/wiki/Astrology</t>
  </si>
  <si>
    <t>Astrology</t>
  </si>
  <si>
    <t>https://en.wikipedia.org/wiki/Aura_(paranormal)</t>
  </si>
  <si>
    <t>Aura</t>
  </si>
  <si>
    <t>https://en.wikipedia.org/wiki/Bilocation</t>
  </si>
  <si>
    <t>Bilocation</t>
  </si>
  <si>
    <t>https://en.wikipedia.org/wiki/Inedia</t>
  </si>
  <si>
    <t>Breatharianism</t>
  </si>
  <si>
    <t>https://en.wikipedia.org/wiki/Clairvoyance</t>
  </si>
  <si>
    <t>Clairvoyance</t>
  </si>
  <si>
    <t>https://en.wikipedia.org/wiki/Close_encounter</t>
  </si>
  <si>
    <t>Close encounter</t>
  </si>
  <si>
    <t>https://en.wikipedia.org/wiki/Cold_spot_(paranormal)</t>
  </si>
  <si>
    <t>Cold spot</t>
  </si>
  <si>
    <t>https://en.wikipedia.org/wiki/Crystal_gazing</t>
  </si>
  <si>
    <t>Crystal gazing</t>
  </si>
  <si>
    <t>https://en.wikipedia.org/wiki/Evocation</t>
  </si>
  <si>
    <t>Conjuration</t>
  </si>
  <si>
    <t>https://en.wikipedia.org/wiki/Cryptozoology</t>
  </si>
  <si>
    <t>Cryptozoology</t>
  </si>
  <si>
    <t>https://en.wikipedia.org/wiki/Spirit_possession</t>
  </si>
  <si>
    <t>Demonic possession</t>
  </si>
  <si>
    <t>https://en.wikipedia.org/wiki/Demonology</t>
  </si>
  <si>
    <t>Demonology</t>
  </si>
  <si>
    <t>https://en.wikipedia.org/wiki/Doppelg%C3%A4nger</t>
  </si>
  <si>
    <t>DoppelgÃ¤nger</t>
  </si>
  <si>
    <t>https://en.wikipedia.org/wiki/Ectoplasm_(paranormal)</t>
  </si>
  <si>
    <t>Ectoplasm</t>
  </si>
  <si>
    <t>https://en.wikipedia.org/wiki/Electronic_voice_phenomenon</t>
  </si>
  <si>
    <t>Electronic voice phenomenon</t>
  </si>
  <si>
    <t>CASE-0035</t>
  </si>
  <si>
    <t>False memory</t>
  </si>
  <si>
    <t>https://en.wikipedia.org/wiki/False_memory</t>
  </si>
  <si>
    <t>https://en.wikipedia.org/wiki/False_Memory_(novel)</t>
  </si>
  <si>
    <t>False Memory (novel)</t>
  </si>
  <si>
    <t>https://en.wikipedia.org/wiki/Psychology</t>
  </si>
  <si>
    <t>psychology</t>
  </si>
  <si>
    <t>https://en.wikipedia.org/wiki/Recall_(memory)</t>
  </si>
  <si>
    <t>recalls</t>
  </si>
  <si>
    <t>https://en.wikipedia.org/wiki/Suggestibility</t>
  </si>
  <si>
    <t>Suggestibility</t>
  </si>
  <si>
    <t>https://en.wikipedia.org/wiki/Misattribution_of_memory</t>
  </si>
  <si>
    <t>source misattribution</t>
  </si>
  <si>
    <t>https://en.wikipedia.org/wiki/Pierre_Janet</t>
  </si>
  <si>
    <t>Pierre Janet</t>
  </si>
  <si>
    <t>https://en.wikipedia.org/wiki/Sigmund_Freud</t>
  </si>
  <si>
    <t>Sigmund Freud</t>
  </si>
  <si>
    <t>https://en.wikipedia.org/wiki/Neurologist</t>
  </si>
  <si>
    <t>neurologist</t>
  </si>
  <si>
    <t>https://en.wikipedia.org/wiki/Elizabeth_Loftus</t>
  </si>
  <si>
    <t>Elizabeth Loftus</t>
  </si>
  <si>
    <t>https://en.wikipedia.org/wiki/Memory_recall</t>
  </si>
  <si>
    <t>memory recall</t>
  </si>
  <si>
    <t>https://en.wikipedia.org/wiki/Presupposition</t>
  </si>
  <si>
    <t>presupposition</t>
  </si>
  <si>
    <t>https://en.wikipedia.org/wiki/Misinformation_effect</t>
  </si>
  <si>
    <t>misinformation effect</t>
  </si>
  <si>
    <t>https://en.wikipedia.org/wiki/Chihuahua_(dog)</t>
  </si>
  <si>
    <t>chihuahua</t>
  </si>
  <si>
    <t>https://en.wikipedia.org/wiki/Fuzzy-trace_theory</t>
  </si>
  <si>
    <t>fuzzy-trace theory</t>
  </si>
  <si>
    <t>https://en.wikipedia.org/wiki/Deese%E2%80%93Roediger%E2%80%93McDermott_paradigm</t>
  </si>
  <si>
    <t>Deeseâ€“Roedigerâ€“McDermott paradigm</t>
  </si>
  <si>
    <t>https://en.wikipedia.org/wiki/Mandela_Effect_(disambiguation)</t>
  </si>
  <si>
    <t>Mandela Effect (disambiguation)</t>
  </si>
  <si>
    <t>paranormal</t>
  </si>
  <si>
    <t>https://en.wikipedia.org/wiki/South_Africa</t>
  </si>
  <si>
    <t>South African</t>
  </si>
  <si>
    <t>https://en.wikipedia.org/wiki/Nelson_Mandela</t>
  </si>
  <si>
    <t>Nelson Mandela</t>
  </si>
  <si>
    <t>CASE-0036</t>
  </si>
  <si>
    <t>Serge Monast</t>
  </si>
  <si>
    <t>https://en.wikipedia.org/wiki/Serge_Monast</t>
  </si>
  <si>
    <t>https://en.wikipedia.org/wiki/Montreal</t>
  </si>
  <si>
    <t>Montreal</t>
  </si>
  <si>
    <t>https://en.wikipedia.org/wiki/Quebec</t>
  </si>
  <si>
    <t>Quebec</t>
  </si>
  <si>
    <t>https://en.wikipedia.org/wiki/Journalist</t>
  </si>
  <si>
    <t>Journalist</t>
  </si>
  <si>
    <t>https://en.wikipedia.org/wiki/French_language</t>
  </si>
  <si>
    <t>French</t>
  </si>
  <si>
    <t>https://en.wikipedia.org/wiki/Canadian</t>
  </si>
  <si>
    <t>Canadian</t>
  </si>
  <si>
    <t>https://en.wikipedia.org/wiki/Canada</t>
  </si>
  <si>
    <t>Canada</t>
  </si>
  <si>
    <t>conspiracy theorist</t>
  </si>
  <si>
    <t>https://en.wikipedia.org/wiki/World_government</t>
  </si>
  <si>
    <t>Abrahamic religions</t>
  </si>
  <si>
    <t>https://en.wikipedia.org/wiki/New-age</t>
  </si>
  <si>
    <t>New Age</t>
  </si>
  <si>
    <t>https://en.wikipedia.org/wiki/Secret_societies</t>
  </si>
  <si>
    <t>secret societies</t>
  </si>
  <si>
    <t>https://en.wikipedia.org/wiki/William_Guy_Carr</t>
  </si>
  <si>
    <t>William Guy Carr</t>
  </si>
  <si>
    <t>https://en.wikipedia.org/wiki/United_Nations</t>
  </si>
  <si>
    <t>United Nations</t>
  </si>
  <si>
    <t>https://en.wikipedia.org/wiki/New_Age</t>
  </si>
  <si>
    <t>https://en.wikipedia.org/wiki/Religion</t>
  </si>
  <si>
    <t>religion</t>
  </si>
  <si>
    <t>https://en.wikipedia.org/wiki/Second_Coming_of_Christ</t>
  </si>
  <si>
    <t>Second Coming of Christ</t>
  </si>
  <si>
    <t>CASE-0037</t>
  </si>
  <si>
    <t>CIA drug trafficking allegations</t>
  </si>
  <si>
    <t>https://en.wikipedia.org/wiki/CIA_drug_trafficking_allegations</t>
  </si>
  <si>
    <t>https://en.wikipedia.org/wiki/Illegal_drug_trade</t>
  </si>
  <si>
    <t>illegal drug trade</t>
  </si>
  <si>
    <t>https://en.wikipedia.org/wiki/Alfred_W._McCoy</t>
  </si>
  <si>
    <t>Alfred W. McCoy</t>
  </si>
  <si>
    <t>https://en.wikipedia.org/wiki/Peter_Dale_Scott</t>
  </si>
  <si>
    <t>Peter Dale Scott</t>
  </si>
  <si>
    <t>https://en.wikipedia.org/wiki/Gary_Webb</t>
  </si>
  <si>
    <t>Gary Webb</t>
  </si>
  <si>
    <t>https://en.wikipedia.org/wiki/Alexander_Cockburn</t>
  </si>
  <si>
    <t>Alexander Cockburn</t>
  </si>
  <si>
    <t>https://en.wikipedia.org/wiki/Larry_Collins_(writer)</t>
  </si>
  <si>
    <t>Larry Collins</t>
  </si>
  <si>
    <t>federal government of the United States</t>
  </si>
  <si>
    <t>https://en.wikipedia.org/wiki/United_States_House_of_Representatives</t>
  </si>
  <si>
    <t>House of Representatives</t>
  </si>
  <si>
    <t>https://en.wikipedia.org/wiki/United_States_Senate</t>
  </si>
  <si>
    <t>Senate</t>
  </si>
  <si>
    <t>https://en.wikipedia.org/wiki/United_States_Department_of_Justice</t>
  </si>
  <si>
    <t>Department of Justice</t>
  </si>
  <si>
    <t>https://en.wikipedia.org/wiki/Central_Intelligence_Agency_Office_of_Inspector_General</t>
  </si>
  <si>
    <t>CIA's Inspector General</t>
  </si>
  <si>
    <t>https://en.wikipedia.org/wiki/Tim_Weiner</t>
  </si>
  <si>
    <t>Tim Weiner</t>
  </si>
  <si>
    <t>https://en.wikipedia.org/wiki/Golden_Triangle_(Southeast_Asia)</t>
  </si>
  <si>
    <t>Golden Triangle</t>
  </si>
  <si>
    <t>https://en.wikipedia.org/wiki/Burma</t>
  </si>
  <si>
    <t>Burma</t>
  </si>
  <si>
    <t>https://en.wikipedia.org/wiki/United_States_Department_of_State</t>
  </si>
  <si>
    <t>United States Department of State</t>
  </si>
  <si>
    <t>https://en.wikipedia.org/wiki/United_States_House_Committee_on_Foreign_Affairs</t>
  </si>
  <si>
    <t>United States House Committee on Foreign Affairs</t>
  </si>
  <si>
    <t>https://en.wikipedia.org/wiki/United_States_Senate_Select_Committee_to_Study_Governmental_Operations_with_Respect_to_Intelligence_Activities</t>
  </si>
  <si>
    <t>United States Senate Select Committee to Study Governmental Operations with Respect to Intelligence Activities</t>
  </si>
  <si>
    <t>https://en.wikipedia.org/wiki/Church_Committee</t>
  </si>
  <si>
    <t>Church Committee</t>
  </si>
  <si>
    <t>CASE-0038</t>
  </si>
  <si>
    <t>Sandy Hook Elementary School shooting conspiracy theories</t>
  </si>
  <si>
    <t>https://en.wikipedia.org/wiki/Sandy_Hook_Elementary_School_shooting_conspiracy_theories</t>
  </si>
  <si>
    <t>https://en.wikipedia.org/wiki/Sandy_Hook_Elementary_School_shooting</t>
  </si>
  <si>
    <t>Sandy Hook Elementary School shooting</t>
  </si>
  <si>
    <t>https://en.wikipedia.org/wiki/Sandy_Hook_Elementary_School</t>
  </si>
  <si>
    <t>Sandy Hook Elementary School</t>
  </si>
  <si>
    <t>https://en.wikipedia.org/wiki/Newtown,_Connecticut</t>
  </si>
  <si>
    <t>Newtown, Connecticut</t>
  </si>
  <si>
    <t>https://en.wikipedia.org/wiki/Adam_Lanza</t>
  </si>
  <si>
    <t>Adam Lanza</t>
  </si>
  <si>
    <t>https://en.wikipedia.org/wiki/Victoria_Leigh_Soto</t>
  </si>
  <si>
    <t>Victoria Leigh Soto</t>
  </si>
  <si>
    <t>https://en.wikipedia.org/wiki/.223_Remington</t>
  </si>
  <si>
    <t>.223 Remington</t>
  </si>
  <si>
    <t>https://en.wikipedia.org/wiki/Bushmaster_XM-15</t>
  </si>
  <si>
    <t>Bushmaster XM-15-E2S</t>
  </si>
  <si>
    <t>https://en.wikipedia.org/wiki/Semi-automatic_rifle</t>
  </si>
  <si>
    <t>semi-automatic rifle</t>
  </si>
  <si>
    <t>https://en.wikipedia.org/wiki/10mm</t>
  </si>
  <si>
    <t>10mm</t>
  </si>
  <si>
    <t>https://en.wikipedia.org/wiki/Glock_20SF</t>
  </si>
  <si>
    <t>Glock 20SF</t>
  </si>
  <si>
    <t>https://en.wikipedia.org/wiki/Semi-automatic_pistol</t>
  </si>
  <si>
    <t>semi-automatic pistol</t>
  </si>
  <si>
    <t>https://en.wikipedia.org/wiki/.22LR</t>
  </si>
  <si>
    <t>.22LR</t>
  </si>
  <si>
    <t>https://en.wikipedia.org/wiki/Savage_Mark_II</t>
  </si>
  <si>
    <t>Savage Mark II</t>
  </si>
  <si>
    <t>https://en.wikipedia.org/wiki/Bolt-action_rifle</t>
  </si>
  <si>
    <t>bolt-action rifle</t>
  </si>
  <si>
    <t>https://en.wikipedia.org/wiki/9mm</t>
  </si>
  <si>
    <t>9mm</t>
  </si>
  <si>
    <t>https://en.wikipedia.org/wiki/SIG_Sauer_P226</t>
  </si>
  <si>
    <t>SIG Sauer P226</t>
  </si>
  <si>
    <t>https://en.wikipedia.org/wiki/12-gauge</t>
  </si>
  <si>
    <t>12-gauge</t>
  </si>
  <si>
    <t>https://en.wikipedia.org/wiki/Saiga-12</t>
  </si>
  <si>
    <t>Izhmash Saiga-12</t>
  </si>
  <si>
    <t>https://en.wikipedia.org/wiki/Semi-automatic_shotgun</t>
  </si>
  <si>
    <t>semi-automatic shotgun</t>
  </si>
  <si>
    <t>CASE-0039</t>
  </si>
  <si>
    <t>https://en.wikipedia.org/wiki/Agenda_21</t>
  </si>
  <si>
    <t>https://en.wikipedia.org/wiki/Agenda_2030</t>
  </si>
  <si>
    <t>https://en.wikipedia.org/wiki/Agenda_2000</t>
  </si>
  <si>
    <t>Agenda 2000</t>
  </si>
  <si>
    <t>https://en.wikipedia.org/wiki/Agenda_47</t>
  </si>
  <si>
    <t>Agenda 47</t>
  </si>
  <si>
    <t>https://en.wikipedia.org/wiki/ISBN_(identifier)</t>
  </si>
  <si>
    <t>ISBN</t>
  </si>
  <si>
    <t>https://en.wikipedia.org/wiki/Action_plan</t>
  </si>
  <si>
    <t>action plan</t>
  </si>
  <si>
    <t>https://en.wikipedia.org/wiki/Sustainable_development</t>
  </si>
  <si>
    <t>sustainable development</t>
  </si>
  <si>
    <t>https://en.wikipedia.org/wiki/Earth_Summit</t>
  </si>
  <si>
    <t>Earth Summit</t>
  </si>
  <si>
    <t>https://en.wikipedia.org/wiki/Rio_de_Janeiro</t>
  </si>
  <si>
    <t>Rio de Janeiro</t>
  </si>
  <si>
    <t>https://en.wikipedia.org/wiki/Developing_countries</t>
  </si>
  <si>
    <t>developing countries</t>
  </si>
  <si>
    <t>https://en.wikipedia.org/wiki/Deforestation</t>
  </si>
  <si>
    <t>deforestation</t>
  </si>
  <si>
    <t>https://en.wikipedia.org/wiki/Biodiversity</t>
  </si>
  <si>
    <t>biodiversity</t>
  </si>
  <si>
    <t>https://en.wikipedia.org/wiki/Control_of_pollution</t>
  </si>
  <si>
    <t>control of pollution</t>
  </si>
  <si>
    <t>https://en.wikipedia.org/wiki/Biotechnology</t>
  </si>
  <si>
    <t>biotechnology</t>
  </si>
  <si>
    <t>https://en.wikipedia.org/wiki/Radioactive_waste</t>
  </si>
  <si>
    <t>radioactive wastes</t>
  </si>
  <si>
    <t>https://en.wikipedia.org/wiki/Indigenous_peoples</t>
  </si>
  <si>
    <t>indigenous peoples</t>
  </si>
  <si>
    <t>https://en.wikipedia.org/wiki/Technology_transfer</t>
  </si>
  <si>
    <t>technology transfer</t>
  </si>
  <si>
    <t>https://en.wikipedia.org/wiki/Education_for_sustainable_development</t>
  </si>
  <si>
    <t>education</t>
  </si>
  <si>
    <t>https://en.wikipedia.org/wiki/International_organization</t>
  </si>
  <si>
    <t>international institutions</t>
  </si>
  <si>
    <t>https://en.wikipedia.org/wiki/UN_General_Assembly</t>
  </si>
  <si>
    <t>UNÂ General Assembly</t>
  </si>
  <si>
    <t>CASE-0040</t>
  </si>
  <si>
    <t>Number of the beast</t>
  </si>
  <si>
    <t>https://en.wikipedia.org/wiki/Number_of_the_beast</t>
  </si>
  <si>
    <t>https://en.wikipedia.org/wiki/Number_of_the_Beast_(disambiguation)</t>
  </si>
  <si>
    <t>Number of the Beast (disambiguation)</t>
  </si>
  <si>
    <t>https://en.wikipedia.org/wiki/666_(number)</t>
  </si>
  <si>
    <t>666 (number)</t>
  </si>
  <si>
    <t>https://en.wikipedia.org/wiki/William_Blake</t>
  </si>
  <si>
    <t>William Blake</t>
  </si>
  <si>
    <t>https://en.wikipedia.org/wiki/Koine_Greek_language</t>
  </si>
  <si>
    <t>Koine Greek</t>
  </si>
  <si>
    <t>https://en.wikipedia.org/wiki/The_Beast_(Revelation)</t>
  </si>
  <si>
    <t>Beast of Revelation</t>
  </si>
  <si>
    <t>https://en.wikipedia.org/wiki/Book_of_Revelation</t>
  </si>
  <si>
    <t>Book of Revelation</t>
  </si>
  <si>
    <t>https://en.wikipedia.org/wiki/English_translations_of_the_Bible</t>
  </si>
  <si>
    <t>English translations of the Bible</t>
  </si>
  <si>
    <t>https://en.wikipedia.org/wiki/Greek_numerals</t>
  </si>
  <si>
    <t>Greek numerals</t>
  </si>
  <si>
    <t>https://en.wikipedia.org/wiki/Papyrus_115</t>
  </si>
  <si>
    <t>Papyrus 115</t>
  </si>
  <si>
    <t>https://en.wikipedia.org/wiki/Codex_Ephraemi_Rescriptus</t>
  </si>
  <si>
    <t>Codex Ephraemi Rescriptus</t>
  </si>
  <si>
    <t>https://en.wikipedia.org/wiki/Textual_criticism</t>
  </si>
  <si>
    <t>critical editions of the Greek text</t>
  </si>
  <si>
    <t>https://en.wikipedia.org/wiki/Novum_Testamentum_Graece</t>
  </si>
  <si>
    <t>Novum Testamentum Graece</t>
  </si>
  <si>
    <t>https://en.wikipedia.org/wiki/Gematria</t>
  </si>
  <si>
    <t>gematria</t>
  </si>
  <si>
    <t>https://en.wikipedia.org/wiki/Typology_(theology)</t>
  </si>
  <si>
    <t>typology</t>
  </si>
  <si>
    <t>https://en.wikipedia.org/wiki/Nero</t>
  </si>
  <si>
    <t>Nero</t>
  </si>
  <si>
    <t>https://en.wikipedia.org/wiki/Persecution_of_Christians_in_the_Roman_Empire</t>
  </si>
  <si>
    <t>persecutor of Christians</t>
  </si>
  <si>
    <t>https://en.wikipedia.org/wiki/Historicism_(Christianity)</t>
  </si>
  <si>
    <t>Historicism</t>
  </si>
  <si>
    <t>https://en.wikipedia.org/wiki/Historicist_interpretations_of_the_Book_of_Revelation</t>
  </si>
  <si>
    <t>Interpretations of Revelation</t>
  </si>
  <si>
    <t>CASE-0041</t>
  </si>
  <si>
    <t>Rapture</t>
  </si>
  <si>
    <t>https://en.wikipedia.org/wiki/Rapture</t>
  </si>
  <si>
    <t>https://en.wikipedia.org/wiki/Rapture_(disambiguation)</t>
  </si>
  <si>
    <t>Rapture (disambiguation)</t>
  </si>
  <si>
    <t>https://en.wikipedia.org/wiki/Jan_Luyken</t>
  </si>
  <si>
    <t>Jan Luyken</t>
  </si>
  <si>
    <t>https://en.wikipedia.org/wiki/Matthew_24</t>
  </si>
  <si>
    <t>Matthew 24</t>
  </si>
  <si>
    <t>https://en.wikipedia.org/wiki/Bowyer_Bible</t>
  </si>
  <si>
    <t>Bowyer Bible</t>
  </si>
  <si>
    <t>https://en.wikipedia.org/wiki/Futurism_(Christianity)</t>
  </si>
  <si>
    <t>Futurism</t>
  </si>
  <si>
    <t>https://en.wikipedia.org/wiki/Dispensationalism</t>
  </si>
  <si>
    <t>Dispensationalism</t>
  </si>
  <si>
    <t>https://en.wikipedia.org/wiki/Preterism</t>
  </si>
  <si>
    <t>Preterism</t>
  </si>
  <si>
    <t>https://en.wikipedia.org/wiki/Idealism_(Christian_eschatology)</t>
  </si>
  <si>
    <t>Idealism</t>
  </si>
  <si>
    <t>https://en.wikipedia.org/wiki/Millennialism</t>
  </si>
  <si>
    <t>The Millennium</t>
  </si>
  <si>
    <t>https://en.wikipedia.org/wiki/Amillennialism</t>
  </si>
  <si>
    <t>Amillennialism</t>
  </si>
  <si>
    <t>https://en.wikipedia.org/wiki/Postmillennialism</t>
  </si>
  <si>
    <t>Postmillennialism</t>
  </si>
  <si>
    <t>https://en.wikipedia.org/wiki/Premillennialism</t>
  </si>
  <si>
    <t>Premillennialism</t>
  </si>
  <si>
    <t>https://en.wikipedia.org/wiki/Posttribulation_rapture</t>
  </si>
  <si>
    <t>Posttribulation rapture</t>
  </si>
  <si>
    <t>https://en.wikipedia.org/wiki/Book_of_Daniel</t>
  </si>
  <si>
    <t>Daniel</t>
  </si>
  <si>
    <t>https://en.wikipedia.org/wiki/Prophecy_of_Seventy_Weeks</t>
  </si>
  <si>
    <t>Seventy Weeks</t>
  </si>
  <si>
    <t>https://en.wikipedia.org/wiki/Synoptic_Gospels</t>
  </si>
  <si>
    <t>Synoptic Gospels</t>
  </si>
  <si>
    <t>CASE-0042</t>
  </si>
  <si>
    <t>https://en.wikipedia.org/wiki/Trilateral_Commission</t>
  </si>
  <si>
    <t>https://en.wikipedia.org/wiki/David_Rockefeller</t>
  </si>
  <si>
    <t>David Rockefeller</t>
  </si>
  <si>
    <t>https://en.wikipedia.org/wiki/Zbigniew_Brzezinski</t>
  </si>
  <si>
    <t>Zbigniew Brzezinski</t>
  </si>
  <si>
    <t>https://en.wikipedia.org/wiki/Tokyo</t>
  </si>
  <si>
    <t>Tokyo</t>
  </si>
  <si>
    <t>https://en.wikipedia.org/wiki/Paris</t>
  </si>
  <si>
    <t>Paris</t>
  </si>
  <si>
    <t>https://en.wikipedia.org/wiki/Washington,_D.C.</t>
  </si>
  <si>
    <t>Washington, D.C.</t>
  </si>
  <si>
    <t>https://en.wikipedia.org/wiki/Takeshi_Niinami</t>
  </si>
  <si>
    <t>Takeshi Niinami</t>
  </si>
  <si>
    <t>https://en.wikipedia.org/wiki/Jean-Claude_Trichet</t>
  </si>
  <si>
    <t>Jean-Claude Trichet</t>
  </si>
  <si>
    <t>https://en.wikipedia.org/wiki/Meghan_O%27Sullivan</t>
  </si>
  <si>
    <t>Meghan O'Sullivan</t>
  </si>
  <si>
    <t>https://en.wikipedia.org/wiki/Non-governmental_organization</t>
  </si>
  <si>
    <t>nongovernmental</t>
  </si>
  <si>
    <t>international organization</t>
  </si>
  <si>
    <t>https://en.wikipedia.org/wiki/Internationalism_(politics)</t>
  </si>
  <si>
    <t>internationalist</t>
  </si>
  <si>
    <t>https://en.wikipedia.org/wiki/President_Jimmy_Carter</t>
  </si>
  <si>
    <t>President Jimmy Carter</t>
  </si>
  <si>
    <t>https://en.wikipedia.org/wiki/National_Security_Advisor_(United_States)</t>
  </si>
  <si>
    <t>National Security Advisor</t>
  </si>
  <si>
    <t>https://en.wikipedia.org/wiki/Columbia_University</t>
  </si>
  <si>
    <t>Columbia University</t>
  </si>
  <si>
    <t>https://en.wikipedia.org/wiki/Edwin_Reischauer</t>
  </si>
  <si>
    <t>Edwin Reischauer</t>
  </si>
  <si>
    <t>https://en.wikipedia.org/wiki/Harvard_University</t>
  </si>
  <si>
    <t>Harvard University</t>
  </si>
  <si>
    <t>https://en.wikipedia.org/wiki/United_States_Ambassador_to_Japan</t>
  </si>
  <si>
    <t>United States Ambassador to Japan</t>
  </si>
  <si>
    <t>https://en.wikipedia.org/wiki/Council_on_Foreign_Relations</t>
  </si>
  <si>
    <t>https://en.wikipedia.org/wiki/Gerard_C._Smith</t>
  </si>
  <si>
    <t>Gerard C. Smith</t>
  </si>
  <si>
    <t>CASE-0043</t>
  </si>
  <si>
    <t>Weather modification</t>
  </si>
  <si>
    <t>https://en.wikipedia.org/wiki/Weather_modification</t>
  </si>
  <si>
    <t>https://en.wikipedia.org/wiki/Climate_engineering</t>
  </si>
  <si>
    <t>Climate engineering</t>
  </si>
  <si>
    <t>https://en.wikipedia.org/wiki/Tornado</t>
  </si>
  <si>
    <t>tornado</t>
  </si>
  <si>
    <t>https://en.wikipedia.org/wiki/Anadarko,_Oklahoma</t>
  </si>
  <si>
    <t>Anadarko, Oklahoma</t>
  </si>
  <si>
    <t>https://en.wikipedia.org/wiki/1999_Oklahoma_tornado_outbreak</t>
  </si>
  <si>
    <t>1999 Oklahoma tornado outbreak</t>
  </si>
  <si>
    <t>https://en.wikipedia.org/wiki/Weather</t>
  </si>
  <si>
    <t>Weather</t>
  </si>
  <si>
    <t>https://en.wikipedia.org/wiki/Season</t>
  </si>
  <si>
    <t>Temperate and polar seasons</t>
  </si>
  <si>
    <t>https://en.wikipedia.org/wiki/Winter</t>
  </si>
  <si>
    <t>Winter</t>
  </si>
  <si>
    <t>https://en.wikipedia.org/wiki/Spring_(season)</t>
  </si>
  <si>
    <t>Spring</t>
  </si>
  <si>
    <t>https://en.wikipedia.org/wiki/Summer</t>
  </si>
  <si>
    <t>Summer</t>
  </si>
  <si>
    <t>https://en.wikipedia.org/wiki/Autumn</t>
  </si>
  <si>
    <t>Autumn</t>
  </si>
  <si>
    <t>https://en.wikipedia.org/wiki/Tropics</t>
  </si>
  <si>
    <t>Tropical seasons</t>
  </si>
  <si>
    <t>https://en.wikipedia.org/wiki/Dry_season</t>
  </si>
  <si>
    <t>Dry season</t>
  </si>
  <si>
    <t>https://en.wikipedia.org/wiki/Harmattan</t>
  </si>
  <si>
    <t>Harmattan</t>
  </si>
  <si>
    <t>https://en.wikipedia.org/wiki/Wet_season</t>
  </si>
  <si>
    <t>Wet season</t>
  </si>
  <si>
    <t>https://en.wikipedia.org/wiki/Storm</t>
  </si>
  <si>
    <t>Storms</t>
  </si>
  <si>
    <t>https://en.wikipedia.org/wiki/Cloud</t>
  </si>
  <si>
    <t>Cloud</t>
  </si>
  <si>
    <t>https://en.wikipedia.org/wiki/Cumulonimbus_cloud</t>
  </si>
  <si>
    <t>Cumulonimbus cloud</t>
  </si>
  <si>
    <t>https://en.wikipedia.org/wiki/Arcus_cloud</t>
  </si>
  <si>
    <t>Arcus cloud</t>
  </si>
  <si>
    <t>https://en.wikipedia.org/wiki/Downburst</t>
  </si>
  <si>
    <t>Downburst</t>
  </si>
  <si>
    <t>CASE-0044</t>
  </si>
  <si>
    <t>7 World Trade Center (1987â€“2001)</t>
  </si>
  <si>
    <t>https://en.wikipedia.org/wiki/7_World_Trade_Center_%281987%E2%80%932001%29</t>
  </si>
  <si>
    <t>https://en.wikipedia.org/wiki/7_World_Trade_Center</t>
  </si>
  <si>
    <t>https://en.wikipedia.org/wiki/Greenwich_Street</t>
  </si>
  <si>
    <t>Greenwich Street</t>
  </si>
  <si>
    <t>https://en.wikipedia.org/wiki/Manhattan</t>
  </si>
  <si>
    <t>Manhattan</t>
  </si>
  <si>
    <t>https://en.wikipedia.org/wiki/Geographic_coordinate_system</t>
  </si>
  <si>
    <t>Coordinates</t>
  </si>
  <si>
    <t>https://en.wikipedia.org/wiki/Emery_Roth_%26_Sons</t>
  </si>
  <si>
    <t>Emery Roth &amp; Sons</t>
  </si>
  <si>
    <t>https://en.wikipedia.org/wiki/Silverstein_Properties</t>
  </si>
  <si>
    <t>Silverstein Properties</t>
  </si>
  <si>
    <t>https://en.wikipedia.org/wiki/WSP_Group</t>
  </si>
  <si>
    <t>Irwin Cantor</t>
  </si>
  <si>
    <t>https://en.wikipedia.org/wiki/Tishman_Realty_%26_Construction</t>
  </si>
  <si>
    <t>Tishman Construction</t>
  </si>
  <si>
    <t>https://en.wikipedia.org/wiki/World_Trade_Center_(2001%E2%80%93present)</t>
  </si>
  <si>
    <t>https://en.wikipedia.org/wiki/One_World_Trade_Center</t>
  </si>
  <si>
    <t>One</t>
  </si>
  <si>
    <t>https://en.wikipedia.org/wiki/3_World_Trade_Center</t>
  </si>
  <si>
    <t>https://en.wikipedia.org/wiki/4_World_Trade_Center</t>
  </si>
  <si>
    <t>https://en.wikipedia.org/wiki/2_World_Trade_Center</t>
  </si>
  <si>
    <t>https://en.wikipedia.org/wiki/5_World_Trade_Center</t>
  </si>
  <si>
    <t>https://en.wikipedia.org/wiki/Liberty_Park</t>
  </si>
  <si>
    <t>Liberty Park</t>
  </si>
  <si>
    <t>https://en.wikipedia.org/wiki/National_September_11_Memorial_%26_Museum</t>
  </si>
  <si>
    <t>National September 11 Memorial &amp; Museum</t>
  </si>
  <si>
    <t>https://en.wikipedia.org/wiki/World_Trade_Center_station_(PATH)</t>
  </si>
  <si>
    <t>PATH Station</t>
  </si>
  <si>
    <t>CASE-0045</t>
  </si>
  <si>
    <t>5G misinformation</t>
  </si>
  <si>
    <t>https://en.wikipedia.org/wiki/5G_misinformation</t>
  </si>
  <si>
    <t>https://en.wikipedia.org/wiki/Luxembourg</t>
  </si>
  <si>
    <t>Luxembourg</t>
  </si>
  <si>
    <t>https://en.wikipedia.org/wiki/5G</t>
  </si>
  <si>
    <t>5G telecommunications technology</t>
  </si>
  <si>
    <t>https://en.wikipedia.org/wiki/International_Commission_on_Non-Ionizing_Radiation_Protection</t>
  </si>
  <si>
    <t>International Commission on Non-Ionizing Radiation Protection</t>
  </si>
  <si>
    <t>https://en.wikipedia.org/wiki/COVID-19_vaccine_misinformation_and_hesitancy</t>
  </si>
  <si>
    <t>COVID-19 vaccine</t>
  </si>
  <si>
    <t>https://en.wikipedia.org/wiki/4G</t>
  </si>
  <si>
    <t>4G</t>
  </si>
  <si>
    <t>https://en.wikipedia.org/wiki/COVID-19_misinformation#5G</t>
  </si>
  <si>
    <t>COVID-19 and 5G</t>
  </si>
  <si>
    <t>https://en.wikipedia.org/wiki/Google_Trends</t>
  </si>
  <si>
    <t>Google Trends</t>
  </si>
  <si>
    <t>https://en.wikipedia.org/wiki/Investigations_into_the_origin_of_COVID-19</t>
  </si>
  <si>
    <t>origin of the COVID-19 pandemic</t>
  </si>
  <si>
    <t>https://en.wikipedia.org/wiki/SARS-CoV-2</t>
  </si>
  <si>
    <t>SARS-CoV-2</t>
  </si>
  <si>
    <t>https://en.wikipedia.org/wiki/Wireless_device_radiation_and_health</t>
  </si>
  <si>
    <t>Wireless device radiation and health</t>
  </si>
  <si>
    <t>https://en.wikipedia.org/wiki/COVID-19_misinformation#5G_mobile_networks</t>
  </si>
  <si>
    <t>COVID-19 misinformation Â§Â 5G mobile networks</t>
  </si>
  <si>
    <t>https://en.wikipedia.org/wiki/Non-ionizing_radiation</t>
  </si>
  <si>
    <t>non-ionizing radiation</t>
  </si>
  <si>
    <t>https://en.wikipedia.org/wiki/Ionizing_radiation</t>
  </si>
  <si>
    <t>ionizing radiation</t>
  </si>
  <si>
    <t>https://en.wikipedia.org/wiki/Gamma_ray</t>
  </si>
  <si>
    <t>gamma rays</t>
  </si>
  <si>
    <t>https://en.wikipedia.org/wiki/Viral_disease</t>
  </si>
  <si>
    <t>viral disease</t>
  </si>
  <si>
    <t>https://en.wikipedia.org/wiki/Antigen</t>
  </si>
  <si>
    <t>antigens</t>
  </si>
  <si>
    <t>https://en.wikipedia.org/wiki/Radio_wave</t>
  </si>
  <si>
    <t>radio wave</t>
  </si>
  <si>
    <t>CASE-0046</t>
  </si>
  <si>
    <t>Baba Vanga</t>
  </si>
  <si>
    <t>https://en.wikipedia.org/wiki/Baba_Vanga</t>
  </si>
  <si>
    <t>https://en.wikipedia.org/wiki/Bulgarian_name</t>
  </si>
  <si>
    <t>Bulgarian name</t>
  </si>
  <si>
    <t>https://en.wikipedia.org/wiki/Patronymic</t>
  </si>
  <si>
    <t>patronymic</t>
  </si>
  <si>
    <t>https://en.wikipedia.org/wiki/Surname</t>
  </si>
  <si>
    <t>family name</t>
  </si>
  <si>
    <t>https://en.wikipedia.org/wiki/Strumica</t>
  </si>
  <si>
    <t>Strumica</t>
  </si>
  <si>
    <t>https://en.wikipedia.org/wiki/Ottoman_Empire</t>
  </si>
  <si>
    <t>Ottoman Empire</t>
  </si>
  <si>
    <t>https://en.wikipedia.org/wiki/Sofia</t>
  </si>
  <si>
    <t>Sofia</t>
  </si>
  <si>
    <t>https://en.wikipedia.org/wiki/Bulgaria</t>
  </si>
  <si>
    <t>Bulgaria</t>
  </si>
  <si>
    <t>https://en.wikipedia.org/wiki/Clairvoyant</t>
  </si>
  <si>
    <t>Clairvoyant</t>
  </si>
  <si>
    <t>https://en.wikipedia.org/wiki/Birth_name#Maiden_and_married_names</t>
  </si>
  <si>
    <t>nÃ©e</t>
  </si>
  <si>
    <t>https://en.wikipedia.org/wiki/Bulgarian_language</t>
  </si>
  <si>
    <t>Bulgarian</t>
  </si>
  <si>
    <t>mystic</t>
  </si>
  <si>
    <t>https://en.wikipedia.org/wiki/Rupite</t>
  </si>
  <si>
    <t>Rupite</t>
  </si>
  <si>
    <t>https://en.wikipedia.org/wiki/Belasica</t>
  </si>
  <si>
    <t>Belasica</t>
  </si>
  <si>
    <t>https://en.wikipedia.org/wiki/Eastern_Europe</t>
  </si>
  <si>
    <t>Eastern Europe</t>
  </si>
  <si>
    <t>clairvoyance</t>
  </si>
  <si>
    <t>https://en.wikipedia.org/wiki/Precognition</t>
  </si>
  <si>
    <t>precognition</t>
  </si>
  <si>
    <t>https://en.wikipedia.org/wiki/Fall_of_communism</t>
  </si>
  <si>
    <t>fall of communism</t>
  </si>
  <si>
    <t>https://en.wikipedia.org/wiki/Salonica_vilayet</t>
  </si>
  <si>
    <t>Salonica vilayet</t>
  </si>
  <si>
    <t>CASE-0047</t>
  </si>
  <si>
    <t>Nostradamus</t>
  </si>
  <si>
    <t>https://en.wikipedia.org/wiki/Nostradamus</t>
  </si>
  <si>
    <t>https://en.wikipedia.org/wiki/Nostradamus_(disambiguation)</t>
  </si>
  <si>
    <t>Nostradamus (disambiguation)</t>
  </si>
  <si>
    <t>https://en.wikipedia.org/wiki/Saint-R%C3%A9my-de-Provence</t>
  </si>
  <si>
    <t>Saint-RÃ©my-de-Provence</t>
  </si>
  <si>
    <t>https://en.wikipedia.org/wiki/Provence</t>
  </si>
  <si>
    <t>Provence</t>
  </si>
  <si>
    <t>https://en.wikipedia.org/wiki/Salon-de-Provence</t>
  </si>
  <si>
    <t>Salon-de-Provence</t>
  </si>
  <si>
    <t>https://en.wikipedia.org/wiki/Apothecary</t>
  </si>
  <si>
    <t>apothecary</t>
  </si>
  <si>
    <t>astrological consultant</t>
  </si>
  <si>
    <t>https://en.wikipedia.org/wiki/Prophecy</t>
  </si>
  <si>
    <t>Prophecy</t>
  </si>
  <si>
    <t>https://en.wikipedia.org/wiki/Plague_(disease)</t>
  </si>
  <si>
    <t>plague</t>
  </si>
  <si>
    <t>https://en.wikipedia.org/wiki/Les_Proph%C3%A9ties</t>
  </si>
  <si>
    <t>Les ProphÃ©ties</t>
  </si>
  <si>
    <t>CASE-0048</t>
  </si>
  <si>
    <t>Denver International Airport</t>
  </si>
  <si>
    <t>https://en.wikipedia.org/wiki/Denver_International_Airport</t>
  </si>
  <si>
    <t>https://en.wikipedia.org/wiki/Stapleton_International_Airport</t>
  </si>
  <si>
    <t>Stapleton International Airport</t>
  </si>
  <si>
    <t>https://en.wikipedia.org/wiki/Denver_Airport_station</t>
  </si>
  <si>
    <t>Denver Airport station</t>
  </si>
  <si>
    <t>https://en.wikipedia.org/wiki/IATA_airport_code</t>
  </si>
  <si>
    <t>IATA</t>
  </si>
  <si>
    <t>https://en.wikipedia.org/wiki/ICAO_airport_code</t>
  </si>
  <si>
    <t>ICAO</t>
  </si>
  <si>
    <t>https://en.wikipedia.org/wiki/Federal_Aviation_Administration</t>
  </si>
  <si>
    <t>FAA</t>
  </si>
  <si>
    <t>https://en.wikipedia.org/wiki/Location_identifier#FAA_identifier</t>
  </si>
  <si>
    <t>LID</t>
  </si>
  <si>
    <t>https://en.wikipedia.org/wiki/Location_identifier#WMO_station_identifiers</t>
  </si>
  <si>
    <t>WMO</t>
  </si>
  <si>
    <t>https://en.wikipedia.org/wiki/Government_of_Denver#Department_of_Aviation</t>
  </si>
  <si>
    <t>City &amp; County of Denver</t>
  </si>
  <si>
    <t>https://en.wikipedia.org/wiki/Denver_metropolitan_area</t>
  </si>
  <si>
    <t>Denver metropolitan area</t>
  </si>
  <si>
    <t>https://en.wikipedia.org/wiki/Front_Range_Urban_Corridor</t>
  </si>
  <si>
    <t>Front Range Urban Corridor</t>
  </si>
  <si>
    <t>https://en.wikipedia.org/wiki/Denver</t>
  </si>
  <si>
    <t>Denver</t>
  </si>
  <si>
    <t>https://en.wikipedia.org/wiki/Colorado</t>
  </si>
  <si>
    <t>Colorado</t>
  </si>
  <si>
    <t>https://en.wikipedia.org/wiki/Airline_hub</t>
  </si>
  <si>
    <t>Hub</t>
  </si>
  <si>
    <t>https://en.wikipedia.org/wiki/United_Airlines</t>
  </si>
  <si>
    <t>United Airlines</t>
  </si>
  <si>
    <t>https://en.wikipedia.org/wiki/Frontier_Airlines</t>
  </si>
  <si>
    <t>Frontier Airlines</t>
  </si>
  <si>
    <t>https://en.wikipedia.org/wiki/Southwest_Airlines</t>
  </si>
  <si>
    <t>Southwest Airlines</t>
  </si>
  <si>
    <t>https://en.wikipedia.org/wiki/Time_zone</t>
  </si>
  <si>
    <t>Time zone</t>
  </si>
  <si>
    <t>https://en.wikipedia.org/wiki/Mountain_Time_Zone</t>
  </si>
  <si>
    <t>MST</t>
  </si>
  <si>
    <t>https://en.wikipedia.org/wiki/Daylight_saving_time</t>
  </si>
  <si>
    <t>DST</t>
  </si>
  <si>
    <t>CASE-0049</t>
  </si>
  <si>
    <t>Camp Chapman attack</t>
  </si>
  <si>
    <t>https://en.wikipedia.org/wiki/Camp_Chapman_attack</t>
  </si>
  <si>
    <t>war in Afghanistan</t>
  </si>
  <si>
    <t>https://en.wikipedia.org/wiki/Michael_Mullen</t>
  </si>
  <si>
    <t>Michael Mullen</t>
  </si>
  <si>
    <t>https://en.wikipedia.org/wiki/Forward_Operating_Base_Chapman</t>
  </si>
  <si>
    <t>Forward Operating Base Chapman</t>
  </si>
  <si>
    <t>https://en.wikipedia.org/wiki/Khost_Province</t>
  </si>
  <si>
    <t>Khost Province</t>
  </si>
  <si>
    <t>https://en.wikipedia.org/wiki/Suicide_attack</t>
  </si>
  <si>
    <t>Suicide attack</t>
  </si>
  <si>
    <t>https://en.wikipedia.org/wiki/Pakistani_Taliban</t>
  </si>
  <si>
    <t>Pakistani Taliban</t>
  </si>
  <si>
    <t>https://en.wikipedia.org/wiki/Humam_Khalil_Abu-Mulal_al-Balawi</t>
  </si>
  <si>
    <t>Humam Khalil Abu-Mulal al-Balawi</t>
  </si>
  <si>
    <t>https://en.wikipedia.org/wiki/Killed_in_action</t>
  </si>
  <si>
    <t>â€ </t>
  </si>
  <si>
    <t>https://en.wikipedia.org/wiki/History_of_the_War_in_Afghanistan_(2001%E2%80%932021)</t>
  </si>
  <si>
    <t>https://en.wikipedia.org/wiki/Timeline_of_the_War_in_Afghanistan_(2001%E2%80%932021)</t>
  </si>
  <si>
    <t>https://en.wikipedia.org/wiki/2001_in_Afghanistan</t>
  </si>
  <si>
    <t>https://en.wikipedia.org/wiki/2002_in_Afghanistan</t>
  </si>
  <si>
    <t>https://en.wikipedia.org/wiki/2003_in_Afghanistan</t>
  </si>
  <si>
    <t>https://en.wikipedia.org/wiki/2004_in_Afghanistan</t>
  </si>
  <si>
    <t>https://en.wikipedia.org/wiki/2005_in_Afghanistan</t>
  </si>
  <si>
    <t>https://en.wikipedia.org/wiki/2006_in_Afghanistan</t>
  </si>
  <si>
    <t>https://en.wikipedia.org/wiki/2007_in_Afghanistan</t>
  </si>
  <si>
    <t>CASE-0050</t>
  </si>
  <si>
    <t>https://en.wikipedia.org/wiki/Great_Reset</t>
  </si>
  <si>
    <t>https://en.wikipedia.org/wiki/The_Great_Reset_(book)</t>
  </si>
  <si>
    <t>The Great Reset (book)</t>
  </si>
  <si>
    <t>https://en.wikipedia.org/wiki/World_Economic_Forum</t>
  </si>
  <si>
    <t>World Economic Forum</t>
  </si>
  <si>
    <t>https://en.wikipedia.org/wiki/Charles_III</t>
  </si>
  <si>
    <t>Charles</t>
  </si>
  <si>
    <t>https://en.wikipedia.org/wiki/Klaus_Schwab</t>
  </si>
  <si>
    <t>Klaus Schwab</t>
  </si>
  <si>
    <t>https://en.wikipedia.org/wiki/Stakeholder_theory</t>
  </si>
  <si>
    <t>stakeholder economy</t>
  </si>
  <si>
    <t>https://en.wikipedia.org/wiki/Environmental,_social,_and_governance</t>
  </si>
  <si>
    <t>environmental, social, and governance</t>
  </si>
  <si>
    <t>https://en.wikipedia.org/wiki/Fourth_Industrial_Revolution</t>
  </si>
  <si>
    <t>Fourth Industrial Revolution</t>
  </si>
  <si>
    <t>https://en.wikipedia.org/wiki/International_Monetary_Fund</t>
  </si>
  <si>
    <t>International Monetary Fund</t>
  </si>
  <si>
    <t>https://en.wikipedia.org/wiki/Kristalina_Georgieva</t>
  </si>
  <si>
    <t>Kristalina Georgieva</t>
  </si>
  <si>
    <t>https://en.wikipedia.org/wiki/Green_growth</t>
  </si>
  <si>
    <t>green growth</t>
  </si>
  <si>
    <t>https://en.wikipedia.org/wiki/Davos</t>
  </si>
  <si>
    <t>Davos, Switzerland</t>
  </si>
  <si>
    <t>https://en.wikipedia.org/wiki/Russian_invasion_of_Ukraine</t>
  </si>
  <si>
    <t>Russian invasion of Ukraine</t>
  </si>
  <si>
    <t>https://en.wikipedia.org/wiki/Multinational_corporation</t>
  </si>
  <si>
    <t>multinational corporations</t>
  </si>
  <si>
    <t>https://en.wikipedia.org/wiki/Crony_capitalism</t>
  </si>
  <si>
    <t>crony capitalism</t>
  </si>
  <si>
    <t>https://en.wikipedia.org/wiki/YouTube</t>
  </si>
  <si>
    <t>YouTube</t>
  </si>
  <si>
    <t>https://en.wikipedia.org/wiki/Facebook</t>
  </si>
  <si>
    <t>Facebook</t>
  </si>
  <si>
    <t>CASE-0051</t>
  </si>
  <si>
    <t>https://en.wikipedia.org/wiki/Operation_Mockingbird</t>
  </si>
  <si>
    <t>https://en.wikipedia.org/wiki/Project_Mockingbird</t>
  </si>
  <si>
    <t>Project Mockingbird</t>
  </si>
  <si>
    <t>https://en.wikipedia.org/wiki/CIA_influence_on_public_opinion</t>
  </si>
  <si>
    <t>CIA influence on public opinion</t>
  </si>
  <si>
    <t>https://en.wikipedia.org/wiki/Ramparts_(magazine)</t>
  </si>
  <si>
    <t>Ramparts</t>
  </si>
  <si>
    <t>https://en.wikipedia.org/wiki/National_Student_Association</t>
  </si>
  <si>
    <t>National Student Association</t>
  </si>
  <si>
    <t>https://en.wikipedia.org/wiki/Family_Jewels_(Central_Intelligence_Agency)</t>
  </si>
  <si>
    <t>Family Jewels</t>
  </si>
  <si>
    <t>https://en.wikipedia.org/wiki/Robert_S._Allen</t>
  </si>
  <si>
    <t>Robert Allen</t>
  </si>
  <si>
    <t>United States government</t>
  </si>
  <si>
    <t>https://en.wikipedia.org/wiki/Mass_media</t>
  </si>
  <si>
    <t>mass media</t>
  </si>
  <si>
    <t>https://en.wikipedia.org/wiki/United_States_Senate_Watergate_Committee</t>
  </si>
  <si>
    <t>United States Senate Watergate Committee</t>
  </si>
  <si>
    <t>https://en.wikipedia.org/wiki/Executive_branch_of_the_United_States_government</t>
  </si>
  <si>
    <t>Executive branch of the United States government</t>
  </si>
  <si>
    <t>https://en.wikipedia.org/wiki/The_New_York_Times</t>
  </si>
  <si>
    <t>The New York Times</t>
  </si>
  <si>
    <t>https://en.wikipedia.org/wiki/Seymour_Hersh</t>
  </si>
  <si>
    <t>Seymour Hersh</t>
  </si>
  <si>
    <t>https://en.wikipedia.org/wiki/Rolling_Stone</t>
  </si>
  <si>
    <t>Rolling Stone</t>
  </si>
  <si>
    <t>https://en.wikipedia.org/wiki/Carl_Bernstein</t>
  </si>
  <si>
    <t>Carl Bernstein</t>
  </si>
  <si>
    <t>https://en.wikipedia.org/wiki/New_York_Times</t>
  </si>
  <si>
    <t>New York Times</t>
  </si>
  <si>
    <t>https://en.wikipedia.org/wiki/Arthur_Hays_Sulzberger</t>
  </si>
  <si>
    <t>Arthur Hays Sulzberger</t>
  </si>
  <si>
    <t>CASE-0052</t>
  </si>
  <si>
    <t>https://en.wikipedia.org/wiki/Majestic_12</t>
  </si>
  <si>
    <t>https://en.wikipedia.org/wiki/Majestic_12_(disambiguation)</t>
  </si>
  <si>
    <t>Majestic 12 (disambiguation)</t>
  </si>
  <si>
    <t>https://en.wikipedia.org/wiki/Harry_S._Truman</t>
  </si>
  <si>
    <t>Harry S. Truman</t>
  </si>
  <si>
    <t>https://en.wikipedia.org/wiki/Ufology</t>
  </si>
  <si>
    <t>ufologists</t>
  </si>
  <si>
    <t>https://en.wikipedia.org/wiki/UFO_conspiracy_theories</t>
  </si>
  <si>
    <t>UFO conspiracy theories</t>
  </si>
  <si>
    <t>https://en.wikipedia.org/wiki/Code_name</t>
  </si>
  <si>
    <t>code name</t>
  </si>
  <si>
    <t>https://en.wikipedia.org/wiki/Executive_order</t>
  </si>
  <si>
    <t>executive order</t>
  </si>
  <si>
    <t>U.S. President</t>
  </si>
  <si>
    <t>https://en.wikipedia.org/wiki/Flying_saucer</t>
  </si>
  <si>
    <t>alien spacecraft</t>
  </si>
  <si>
    <t>hoax</t>
  </si>
  <si>
    <t>https://en.wikipedia.org/wiki/Timothy_Good</t>
  </si>
  <si>
    <t>Timothy Good</t>
  </si>
  <si>
    <t>https://en.wikipedia.org/wiki/Roswell,_New_Mexico</t>
  </si>
  <si>
    <t>Roswell</t>
  </si>
  <si>
    <t>https://en.wikipedia.org/wiki/Extraterrestrial_life</t>
  </si>
  <si>
    <t>extraterrestrial life</t>
  </si>
  <si>
    <t>https://en.wikipedia.org/wiki/Bill_Moore_(ufologist)</t>
  </si>
  <si>
    <t>William L. Moore</t>
  </si>
  <si>
    <t>https://en.wikipedia.org/wiki/135_film</t>
  </si>
  <si>
    <t>35 mm film</t>
  </si>
  <si>
    <t>https://en.wikipedia.org/wiki/Classified_information</t>
  </si>
  <si>
    <t>Top Secret</t>
  </si>
  <si>
    <t>https://en.wikipedia.org/wiki/Cover-up</t>
  </si>
  <si>
    <t>cover-up</t>
  </si>
  <si>
    <t>https://en.wikipedia.org/wiki/Roswell_incident</t>
  </si>
  <si>
    <t>https://en.wikipedia.org/wiki/Stanton_T._Friedman</t>
  </si>
  <si>
    <t>Stanton T. Friedman</t>
  </si>
  <si>
    <t>CASE-0053</t>
  </si>
  <si>
    <t>Secret space program</t>
  </si>
  <si>
    <t>https://en.wikipedia.org/wiki/Secret_space_program</t>
  </si>
  <si>
    <t>ufology</t>
  </si>
  <si>
    <t>https://en.wikipedia.org/wiki/Earth</t>
  </si>
  <si>
    <t>Earth</t>
  </si>
  <si>
    <t>https://en.wikipedia.org/wiki/Time_travel</t>
  </si>
  <si>
    <t>time travel</t>
  </si>
  <si>
    <t>https://en.wikipedia.org/wiki/Washington_Spectator</t>
  </si>
  <si>
    <t>Washington Spectator</t>
  </si>
  <si>
    <t>https://en.wikipedia.org/wiki/Alternative_3</t>
  </si>
  <si>
    <t>Alternative 3</t>
  </si>
  <si>
    <t>https://en.wikipedia.org/wiki/Disclosure_movement</t>
  </si>
  <si>
    <t>disclosure movement</t>
  </si>
  <si>
    <t>https://en.wikipedia.org/wiki/Gaia,_Inc.</t>
  </si>
  <si>
    <t>Gaia</t>
  </si>
  <si>
    <t>https://en.wikipedia.org/wiki/David_Wilcock</t>
  </si>
  <si>
    <t>David Wilcock</t>
  </si>
  <si>
    <t>https://en.wikipedia.org/wiki/Whistleblower</t>
  </si>
  <si>
    <t>whistleblower</t>
  </si>
  <si>
    <t>https://en.wikipedia.org/wiki/Above_Majestic</t>
  </si>
  <si>
    <t>Above Majestic</t>
  </si>
  <si>
    <t>https://en.wikipedia.org/wiki/Shared_universe</t>
  </si>
  <si>
    <t>Shared world fiction</t>
  </si>
  <si>
    <t>https://en.wikipedia.org/wiki/Bloomsbury_Publishing</t>
  </si>
  <si>
    <t>Bloomsbury</t>
  </si>
  <si>
    <t>https://en.wikipedia.org/wiki/The_Daily_Beast</t>
  </si>
  <si>
    <t>The Daily Beast</t>
  </si>
  <si>
    <t>https://en.wikipedia.org/wiki/Vice_(magazine)</t>
  </si>
  <si>
    <t>Vice</t>
  </si>
  <si>
    <t>CASE-0054</t>
  </si>
  <si>
    <t>https://en.wikipedia.org/wiki/Waco_siege</t>
  </si>
  <si>
    <t>https://en.wikipedia.org/wiki/Mount_Carmel_Center</t>
  </si>
  <si>
    <t>Mount Carmel Center</t>
  </si>
  <si>
    <t>https://en.wikipedia.org/wiki/McLennan_County,_Texas</t>
  </si>
  <si>
    <t>McLennan County, Texas</t>
  </si>
  <si>
    <t>https://en.wikipedia.org/wiki/Bureau_of_Alcohol,_Tobacco,_Firearms_and_Explosives</t>
  </si>
  <si>
    <t>ATF</t>
  </si>
  <si>
    <t>https://en.wikipedia.org/wiki/United_States_government</t>
  </si>
  <si>
    <t>https://en.wikipedia.org/wiki/Bureau_of_Alcohol,_Tobacco_and_Firearms</t>
  </si>
  <si>
    <t>https://en.wikipedia.org/wiki/FBI_Hostage_Rescue_Team</t>
  </si>
  <si>
    <t>HRT</t>
  </si>
  <si>
    <t>https://en.wikipedia.org/wiki/Texas_Ranger_Division</t>
  </si>
  <si>
    <t>Texas Rangers</t>
  </si>
  <si>
    <t>https://en.wikipedia.org/wiki/Texas_Military_Forces</t>
  </si>
  <si>
    <t>Texas Military Force</t>
  </si>
  <si>
    <t>https://en.wikipedia.org/wiki/Alabama_National_Guard</t>
  </si>
  <si>
    <t>Alabama National Guard</t>
  </si>
  <si>
    <t>https://en.wikipedia.org/wiki/Branch_Davidians</t>
  </si>
  <si>
    <t>Branch Davidians</t>
  </si>
  <si>
    <t>https://en.wikipedia.org/wiki/Les_Aspin</t>
  </si>
  <si>
    <t>Les Aspin</t>
  </si>
  <si>
    <t>https://en.wikipedia.org/wiki/Janet_Reno</t>
  </si>
  <si>
    <t>Janet Reno</t>
  </si>
  <si>
    <t>https://en.wikipedia.org/wiki/Ronald_Noble</t>
  </si>
  <si>
    <t>Ronald Noble</t>
  </si>
  <si>
    <t>https://en.wikipedia.org/wiki/Stephen_Higgins</t>
  </si>
  <si>
    <t>Stephen Higgins</t>
  </si>
  <si>
    <t>https://en.wikipedia.org/wiki/Jeff_Jamar</t>
  </si>
  <si>
    <t>Jeff Jamar</t>
  </si>
  <si>
    <t>https://en.wikipedia.org/wiki/Bob_Ricks</t>
  </si>
  <si>
    <t>Bob Ricks</t>
  </si>
  <si>
    <t>https://en.wikipedia.org/wiki/Ann_Richards</t>
  </si>
  <si>
    <t>Ann Richards</t>
  </si>
  <si>
    <t>https://en.wikipedia.org/wiki/H._Guy_Hunt</t>
  </si>
  <si>
    <t>H. Guy Hunt</t>
  </si>
  <si>
    <t>CASE-0055</t>
  </si>
  <si>
    <t>https://en.wikipedia.org/wiki/United_States_Senate_Committee_on_Foreign_Relations</t>
  </si>
  <si>
    <t>United States Senate Committee on Foreign Relations</t>
  </si>
  <si>
    <t>https://en.wikipedia.org/wiki/European_Council_on_Foreign_Relations</t>
  </si>
  <si>
    <t>European Council on Foreign Relations</t>
  </si>
  <si>
    <t>https://en.wikipedia.org/wiki/501(c)3_organization</t>
  </si>
  <si>
    <t>501(c)3</t>
  </si>
  <si>
    <t>https://en.wikipedia.org/wiki/Think_tank</t>
  </si>
  <si>
    <t>think tank</t>
  </si>
  <si>
    <t>https://en.wikipedia.org/wiki/Taxpayer_Identification_Number</t>
  </si>
  <si>
    <t>Tax ID no.</t>
  </si>
  <si>
    <t>https://en.wikipedia.org/wiki/Harold_Pratt_House</t>
  </si>
  <si>
    <t>Harold Pratt House</t>
  </si>
  <si>
    <t>https://en.wikipedia.org/wiki/Michael_Froman</t>
  </si>
  <si>
    <t>Michael Froman</t>
  </si>
  <si>
    <t>https://en.wikipedia.org/wiki/David_Rubenstein</t>
  </si>
  <si>
    <t>David Rubenstein</t>
  </si>
  <si>
    <t>https://en.wikipedia.org/wiki/Foreign_policy_of_the_United_States</t>
  </si>
  <si>
    <t>U.S. foreign policy</t>
  </si>
  <si>
    <t>https://en.wikipedia.org/wiki/International_relations</t>
  </si>
  <si>
    <t>international relations</t>
  </si>
  <si>
    <t>https://en.wikipedia.org/wiki/501(c)(3)</t>
  </si>
  <si>
    <t>501(c)(3)</t>
  </si>
  <si>
    <t>https://en.wikipedia.org/wiki/Nonprofit_organization</t>
  </si>
  <si>
    <t>nonprofit organization</t>
  </si>
  <si>
    <t>https://en.wikipedia.org/wiki/Washington,_DC</t>
  </si>
  <si>
    <t>https://en.wikipedia.org/wiki/Members_of_the_Council_on_Foreign_Relations</t>
  </si>
  <si>
    <t>membership</t>
  </si>
  <si>
    <t>https://en.wikipedia.org/wiki/United_States_Secretary_of_State</t>
  </si>
  <si>
    <t>secretaries of state</t>
  </si>
  <si>
    <t>media</t>
  </si>
  <si>
    <t>CASE-0056</t>
  </si>
  <si>
    <t>List of conspiracy theories</t>
  </si>
  <si>
    <t>https://en.wikipedia.org/wiki/List_of_conspiracy_theories</t>
  </si>
  <si>
    <t>https://en.wikipedia.org/wiki/Eye_of_Providence</t>
  </si>
  <si>
    <t>Eye of Providence</t>
  </si>
  <si>
    <t>https://en.wikipedia.org/wiki/Founding_Fathers_of_the_United_States</t>
  </si>
  <si>
    <t>Founding Fathers of the United States</t>
  </si>
  <si>
    <t>https://en.wikipedia.org/wiki/Illuminati</t>
  </si>
  <si>
    <t>Illuminati</t>
  </si>
  <si>
    <t>https://en.wikipedia.org/wiki/Historical_method</t>
  </si>
  <si>
    <t>historical</t>
  </si>
  <si>
    <t>https://en.wikipedia.org/wiki/Scientific_method</t>
  </si>
  <si>
    <t>scientific methods</t>
  </si>
  <si>
    <t>https://en.wikipedia.org/wiki/Conspiracy</t>
  </si>
  <si>
    <t>conspiracies</t>
  </si>
  <si>
    <t>https://en.wikipedia.org/wiki/Operation_Himmler</t>
  </si>
  <si>
    <t>Germany's pretense for invading Poland in World War II</t>
  </si>
  <si>
    <t>https://en.wikipedia.org/wiki/Falsifiability</t>
  </si>
  <si>
    <t>their validity depends on evidence</t>
  </si>
  <si>
    <t>https://en.wikipedia.org/wiki/Prima_facie</t>
  </si>
  <si>
    <t>prima facie</t>
  </si>
  <si>
    <t>https://en.wikipedia.org/wiki/Occam%27s_razor</t>
  </si>
  <si>
    <t>convoluted and all-encompassing nature</t>
  </si>
  <si>
    <t>https://en.wikipedia.org/wiki/Paranoia</t>
  </si>
  <si>
    <t>paranoia</t>
  </si>
  <si>
    <t>https://en.wikipedia.org/wiki/Schizotypy</t>
  </si>
  <si>
    <t>schizotypy</t>
  </si>
  <si>
    <t>https://en.wikipedia.org/wiki/Narcissism</t>
  </si>
  <si>
    <t>narcissism</t>
  </si>
  <si>
    <t>https://en.wikipedia.org/wiki/Insecure_attachment</t>
  </si>
  <si>
    <t>insecure attachment</t>
  </si>
  <si>
    <t>https://en.wikipedia.org/wiki/Cognitive_bias</t>
  </si>
  <si>
    <t>cognitive bias</t>
  </si>
  <si>
    <t>https://en.wikipedia.org/wiki/Illusory_pattern_perception</t>
  </si>
  <si>
    <t>illusory pattern perception</t>
  </si>
  <si>
    <t>https://en.wikipedia.org/wiki/Scientific_consensus</t>
  </si>
  <si>
    <t>scientific consensus</t>
  </si>
  <si>
    <t>https://en.wikipedia.org/wiki/Evolutionary_psychology</t>
  </si>
  <si>
    <t>evolutionary origins</t>
  </si>
  <si>
    <t>CASE-0057</t>
  </si>
  <si>
    <t>Martial law</t>
  </si>
  <si>
    <t>https://en.wikipedia.org/wiki/Marital_law</t>
  </si>
  <si>
    <t>Marital law</t>
  </si>
  <si>
    <t>https://en.wikipedia.org/wiki/Martial_law_(disambiguation)</t>
  </si>
  <si>
    <t>Martial law (disambiguation)</t>
  </si>
  <si>
    <t>https://en.wikipedia.org/wiki/Martial_law_in_Poland</t>
  </si>
  <si>
    <t>martial law in Poland</t>
  </si>
  <si>
    <t>https://en.wikipedia.org/wiki/Dunmore%27s_Proclamation</t>
  </si>
  <si>
    <t>Dunmore's Proclamation</t>
  </si>
  <si>
    <t>https://en.wikipedia.org/wiki/Colony_of_Virginia</t>
  </si>
  <si>
    <t>Colony of Virginia</t>
  </si>
  <si>
    <t>https://en.wikipedia.org/wiki/War</t>
  </si>
  <si>
    <t>War</t>
  </si>
  <si>
    <t>https://en.wikipedia.org/wiki/Outline_of_war</t>
  </si>
  <si>
    <t>outline</t>
  </si>
  <si>
    <t>https://en.wikipedia.org/wiki/Military_history</t>
  </si>
  <si>
    <t>https://en.wikipedia.org/wiki/Prehistoric_warfare</t>
  </si>
  <si>
    <t>Prehistoric</t>
  </si>
  <si>
    <t>https://en.wikipedia.org/wiki/Ancient_warfare</t>
  </si>
  <si>
    <t>Ancient</t>
  </si>
  <si>
    <t>https://en.wikipedia.org/wiki/Early_thermal_weapons</t>
  </si>
  <si>
    <t>Thermal</t>
  </si>
  <si>
    <t>https://en.wikipedia.org/wiki/History_of_gunpowder</t>
  </si>
  <si>
    <t>Gunpowder</t>
  </si>
  <si>
    <t>https://en.wikipedia.org/wiki/Timeline_of_the_gunpowder_age</t>
  </si>
  <si>
    <t>https://en.wikipedia.org/wiki/Medieval_warfare</t>
  </si>
  <si>
    <t>Post-classical</t>
  </si>
  <si>
    <t>https://en.wikipedia.org/wiki/Medieval_fortification</t>
  </si>
  <si>
    <t>Castles</t>
  </si>
  <si>
    <t>https://en.wikipedia.org/wiki/Early_modern_warfare</t>
  </si>
  <si>
    <t>Early modern</t>
  </si>
  <si>
    <t>https://en.wikipedia.org/wiki/Military_Revolution</t>
  </si>
  <si>
    <t>Military revolution</t>
  </si>
  <si>
    <t>https://en.wikipedia.org/wiki/Pike_and_shot</t>
  </si>
  <si>
    <t>Pike and shot</t>
  </si>
  <si>
    <t>https://en.wikipedia.org/wiki/Napoleonic_weaponry_and_warfare</t>
  </si>
  <si>
    <t>Napoleonic warfare</t>
  </si>
  <si>
    <t>CASE-0058</t>
  </si>
  <si>
    <t>Sacrifice</t>
  </si>
  <si>
    <t>https://en.wikipedia.org/wiki/Sacrifice</t>
  </si>
  <si>
    <t>https://en.wikipedia.org/wiki/Sacrifice_(disambiguation)</t>
  </si>
  <si>
    <t>Sacrifice (disambiguation)</t>
  </si>
  <si>
    <t>https://en.wikipedia.org/wiki/Marcus_Aurelius</t>
  </si>
  <si>
    <t>Marcus Aurelius</t>
  </si>
  <si>
    <t>https://en.wikipedia.org/wiki/Germanic_peoples</t>
  </si>
  <si>
    <t>Germanic tribes</t>
  </si>
  <si>
    <t>https://en.wikipedia.org/wiki/Bas-relief</t>
  </si>
  <si>
    <t>bas-relief</t>
  </si>
  <si>
    <t>https://en.wikipedia.org/wiki/Capitoline_Hill</t>
  </si>
  <si>
    <t>Capitoline Museum</t>
  </si>
  <si>
    <t>https://en.wikipedia.org/wiki/Deity</t>
  </si>
  <si>
    <t>deity</t>
  </si>
  <si>
    <t>https://en.wikipedia.org/wiki/Propitiation</t>
  </si>
  <si>
    <t>propitiation</t>
  </si>
  <si>
    <t>https://en.wikipedia.org/wiki/Offering_(Christianity)</t>
  </si>
  <si>
    <t>offering</t>
  </si>
  <si>
    <t>https://en.wikipedia.org/wiki/Animal_sacrifice</t>
  </si>
  <si>
    <t>animal sacrifice</t>
  </si>
  <si>
    <t>https://en.wikipedia.org/wiki/Human_sacrifice</t>
  </si>
  <si>
    <t>human sacrifice</t>
  </si>
  <si>
    <t>https://en.wikipedia.org/wiki/Mesoamerica</t>
  </si>
  <si>
    <t>Mesoamerica</t>
  </si>
  <si>
    <t>https://en.wikipedia.org/wiki/Cairn</t>
  </si>
  <si>
    <t>cairn</t>
  </si>
  <si>
    <t>https://en.wikipedia.org/wiki/Janakkala</t>
  </si>
  <si>
    <t>Janakkala</t>
  </si>
  <si>
    <t>https://en.wikipedia.org/wiki/Finland</t>
  </si>
  <si>
    <t>Finland</t>
  </si>
  <si>
    <t>https://en.wikipedia.org/wiki/Eucharist</t>
  </si>
  <si>
    <t>eucharist</t>
  </si>
  <si>
    <t>https://en.wikipedia.org/wiki/Ethnic_religion</t>
  </si>
  <si>
    <t>ethnic religions</t>
  </si>
  <si>
    <t>https://en.wikipedia.org/wiki/Yajna</t>
  </si>
  <si>
    <t>yajna</t>
  </si>
  <si>
    <t>https://en.wikipedia.org/wiki/Bl%C3%B3t</t>
  </si>
  <si>
    <t>blÅtan</t>
  </si>
  <si>
    <t>CASE-0059</t>
  </si>
  <si>
    <t>Adrenochrome</t>
  </si>
  <si>
    <t>https://en.wikipedia.org/wiki/Adrenochrome</t>
  </si>
  <si>
    <t>https://en.wikipedia.org/wiki/Some_Girls_Wander_by_Mistake</t>
  </si>
  <si>
    <t>Some Girls Wander by Mistake</t>
  </si>
  <si>
    <t>https://en.wikipedia.org/wiki/Chemical_nomenclature</t>
  </si>
  <si>
    <t>IUPAC name</t>
  </si>
  <si>
    <t>https://en.wikipedia.org/wiki/CAS_Registry_Number</t>
  </si>
  <si>
    <t>CAS Number</t>
  </si>
  <si>
    <t>https://en.wikipedia.org/wiki/Racemic</t>
  </si>
  <si>
    <t>racemic</t>
  </si>
  <si>
    <t>https://en.wikipedia.org/wiki/JSmol</t>
  </si>
  <si>
    <t>JSmol</t>
  </si>
  <si>
    <t>https://en.wikipedia.org/wiki/ChEBI</t>
  </si>
  <si>
    <t>ChEBI</t>
  </si>
  <si>
    <t>https://en.wikipedia.org/wiki/ChEMBL</t>
  </si>
  <si>
    <t>ChEMBL</t>
  </si>
  <si>
    <t>https://en.wikipedia.org/wiki/ChemSpider</t>
  </si>
  <si>
    <t>ChemSpider</t>
  </si>
  <si>
    <t>https://en.wikipedia.org/wiki/ECHA_InfoCard</t>
  </si>
  <si>
    <t>ECHA InfoCard</t>
  </si>
  <si>
    <t>https://en.wikipedia.org/wiki/European_Community_number</t>
  </si>
  <si>
    <t>EC Number</t>
  </si>
  <si>
    <t>https://en.wikipedia.org/wiki/PubChem</t>
  </si>
  <si>
    <t>PubChem</t>
  </si>
  <si>
    <t>https://en.wikipedia.org/wiki/Unique_Ingredient_Identifier</t>
  </si>
  <si>
    <t>UNII</t>
  </si>
  <si>
    <t>https://en.wikipedia.org/wiki/CompTox_Chemicals_Dashboard</t>
  </si>
  <si>
    <t>CompTox Dashboard</t>
  </si>
  <si>
    <t>https://en.wikipedia.org/wiki/International_Chemical_Identifier</t>
  </si>
  <si>
    <t>InChI</t>
  </si>
  <si>
    <t>https://en.wikipedia.org/wiki/Simplified_molecular-input_line-entry_system</t>
  </si>
  <si>
    <t>SMILES</t>
  </si>
  <si>
    <t>https://en.wikipedia.org/wiki/Chemical_formula</t>
  </si>
  <si>
    <t>Chemical formula</t>
  </si>
  <si>
    <t>https://en.wikipedia.org/wiki/Molar_mass</t>
  </si>
  <si>
    <t>Molar mass</t>
  </si>
  <si>
    <t>https://en.wikipedia.org/wiki/Density</t>
  </si>
  <si>
    <t>Density</t>
  </si>
  <si>
    <t>https://en.wikipedia.org/wiki/Boiling_point</t>
  </si>
  <si>
    <t>Boiling point</t>
  </si>
  <si>
    <t>CASE-0060</t>
  </si>
  <si>
    <t>Third Temple</t>
  </si>
  <si>
    <t>https://en.wikipedia.org/wiki/Third_Temple</t>
  </si>
  <si>
    <t>https://en.wikipedia.org/wiki/Herod%27s_Temple</t>
  </si>
  <si>
    <t>Herod's Temple</t>
  </si>
  <si>
    <t>https://en.wikipedia.org/wiki/Yishai_Sarid#Published_works</t>
  </si>
  <si>
    <t>Yishai Sarid Â§Â Published works</t>
  </si>
  <si>
    <t>https://en.wikipedia.org/wiki/Ezekiel%27s_Temple</t>
  </si>
  <si>
    <t>Ezekiel's Temple</t>
  </si>
  <si>
    <t>https://en.wikipedia.org/wiki/Hebrew_language</t>
  </si>
  <si>
    <t>Hebrew</t>
  </si>
  <si>
    <t>https://en.wikipedia.org/wiki/Temple_in_Jerusalem</t>
  </si>
  <si>
    <t>Temple in Jerusalem</t>
  </si>
  <si>
    <t>https://en.wikipedia.org/wiki/First_Temple</t>
  </si>
  <si>
    <t>First Temple</t>
  </si>
  <si>
    <t>https://en.wikipedia.org/wiki/Second_Temple</t>
  </si>
  <si>
    <t>Second Temple</t>
  </si>
  <si>
    <t>https://en.wikipedia.org/wiki/Siege_of_Jerusalem_(587_BC)</t>
  </si>
  <si>
    <t>Babylonian siege of Jerusalem</t>
  </si>
  <si>
    <t>https://en.wikipedia.org/wiki/Siege_of_Jerusalem_(70_CE)</t>
  </si>
  <si>
    <t>Roman siege of Jerusalem</t>
  </si>
  <si>
    <t>https://en.wikipedia.org/wiki/Judaism</t>
  </si>
  <si>
    <t>Judaism</t>
  </si>
  <si>
    <t>https://en.wikipedia.org/wiki/Orthodox_Judaism</t>
  </si>
  <si>
    <t>Orthodox Judaism</t>
  </si>
  <si>
    <t>https://en.wikipedia.org/wiki/Jews</t>
  </si>
  <si>
    <t>Jews</t>
  </si>
  <si>
    <t>https://en.wikipedia.org/wiki/Hebrew_Bible</t>
  </si>
  <si>
    <t>Hebrew Bible</t>
  </si>
  <si>
    <t>https://en.wikipedia.org/wiki/Prophets_in_Judaism</t>
  </si>
  <si>
    <t>Jewish prophets</t>
  </si>
  <si>
    <t>https://en.wikipedia.org/wiki/Messianic_Age</t>
  </si>
  <si>
    <t>Messianic Age</t>
  </si>
  <si>
    <t>https://en.wikipedia.org/wiki/Temple_Mount</t>
  </si>
  <si>
    <t>https://en.wikipedia.org/wiki/Old_City_of_Jerusalem</t>
  </si>
  <si>
    <t>Old City of Jerusalem</t>
  </si>
  <si>
    <t>https://en.wikipedia.org/wiki/Israel</t>
  </si>
  <si>
    <t>Israel</t>
  </si>
  <si>
    <t>CASE-0061</t>
  </si>
  <si>
    <t>https://en.wikipedia.org/wiki/Operation_Gladio</t>
  </si>
  <si>
    <t>https://en.wikipedia.org/wiki/Gladius</t>
  </si>
  <si>
    <t>Gladius</t>
  </si>
  <si>
    <t>https://en.wikipedia.org/wiki/Years_of_Lead_(Italy)</t>
  </si>
  <si>
    <t>Years of Lead (Italy)</t>
  </si>
  <si>
    <t>https://en.wikipedia.org/wiki/SIFAR</t>
  </si>
  <si>
    <t>SIFAR</t>
  </si>
  <si>
    <t>https://en.wikipedia.org/wiki/Western_bloc</t>
  </si>
  <si>
    <t>Western Europe</t>
  </si>
  <si>
    <t>https://en.wikipedia.org/wiki/Warsaw_Pact</t>
  </si>
  <si>
    <t>Warsaw Pact</t>
  </si>
  <si>
    <t>https://en.wikipedia.org/wiki/Western_Union_(alliance)</t>
  </si>
  <si>
    <t>Western Union</t>
  </si>
  <si>
    <t>https://en.wikipedia.org/wiki/NATO</t>
  </si>
  <si>
    <t>https://en.wikipedia.org/wiki/Supreme_Headquarters_Allied_Powers_Europe</t>
  </si>
  <si>
    <t>Supreme Headquarters Allied Powers Europe</t>
  </si>
  <si>
    <t>https://en.wikipedia.org/wiki/Secret_Intelligence_Service</t>
  </si>
  <si>
    <t>MI6</t>
  </si>
  <si>
    <t>https://en.wikipedia.org/wiki/West_Germany</t>
  </si>
  <si>
    <t>https://en.wikipedia.org/wiki/Greece</t>
  </si>
  <si>
    <t>Greece</t>
  </si>
  <si>
    <t>https://en.wikipedia.org/wiki/Turkey</t>
  </si>
  <si>
    <t>https://en.wikipedia.org/wiki/Norway</t>
  </si>
  <si>
    <t>Norway</t>
  </si>
  <si>
    <t>https://en.wikipedia.org/wiki/Denmark</t>
  </si>
  <si>
    <t>Denmark</t>
  </si>
  <si>
    <t>https://en.wikipedia.org/wiki/Portugal</t>
  </si>
  <si>
    <t>Portugal</t>
  </si>
  <si>
    <t>CASE-0062</t>
  </si>
  <si>
    <t>Ruby Ridge standoff</t>
  </si>
  <si>
    <t>https://en.wikipedia.org/wiki/Ruby_Ridge_standoff</t>
  </si>
  <si>
    <t>https://en.wikipedia.org/wiki/Ruby_Ridge_(disambiguation)</t>
  </si>
  <si>
    <t>Ruby Ridge (disambiguation)</t>
  </si>
  <si>
    <t>https://en.wikipedia.org/wiki/Naples,_Idaho</t>
  </si>
  <si>
    <t>Naples, Idaho</t>
  </si>
  <si>
    <t>https://en.wikipedia.org/wiki/Randy_Weaver</t>
  </si>
  <si>
    <t>Randy Weaver</t>
  </si>
  <si>
    <t>https://en.wikipedia.org/wiki/United_States_Marshals_Service</t>
  </si>
  <si>
    <t>U.S. Marshals</t>
  </si>
  <si>
    <t>https://en.wikipedia.org/wiki/United_States_Border_Patrol</t>
  </si>
  <si>
    <t>USBP</t>
  </si>
  <si>
    <t>https://en.wikipedia.org/wiki/United_States_Secret_Service</t>
  </si>
  <si>
    <t>USSS</t>
  </si>
  <si>
    <t>https://en.wikipedia.org/wiki/Idaho_Army_National_Guard</t>
  </si>
  <si>
    <t>Idaho Army National Guard</t>
  </si>
  <si>
    <t>https://en.wikipedia.org/wiki/Idaho</t>
  </si>
  <si>
    <t>State of Idaho</t>
  </si>
  <si>
    <t>https://en.wikipedia.org/wiki/Idaho_State_Police</t>
  </si>
  <si>
    <t>ISP</t>
  </si>
  <si>
    <t>https://en.wikipedia.org/wiki/Boundary_County,_Idaho</t>
  </si>
  <si>
    <t>Boundary County, Idaho</t>
  </si>
  <si>
    <t>https://en.wikipedia.org/wiki/Arrest_warrant#Bench_warrant</t>
  </si>
  <si>
    <t>bench warrant</t>
  </si>
  <si>
    <t>https://en.wikipedia.org/wiki/Failure_to_appear</t>
  </si>
  <si>
    <t>failure to appear</t>
  </si>
  <si>
    <t>https://en.wikipedia.org/wiki/Sawed-off_shotgun</t>
  </si>
  <si>
    <t>sawed-off shotgun</t>
  </si>
  <si>
    <t>https://en.wikipedia.org/wiki/Law_enforcement</t>
  </si>
  <si>
    <t>undercover federal informant</t>
  </si>
  <si>
    <t>https://en.wikipedia.org/wiki/Entrapment</t>
  </si>
  <si>
    <t>entrapped</t>
  </si>
  <si>
    <t>CASE-0063</t>
  </si>
  <si>
    <t>https://en.wikipedia.org/wiki/Bohemian_Club_(disambiguation)</t>
  </si>
  <si>
    <t>Bohemian Club (disambiguation)</t>
  </si>
  <si>
    <t>https://en.wikipedia.org/wiki/Arts</t>
  </si>
  <si>
    <t>Arts</t>
  </si>
  <si>
    <t>https://en.wikipedia.org/wiki/Politics</t>
  </si>
  <si>
    <t>politics</t>
  </si>
  <si>
    <t>https://en.wikipedia.org/wiki/Business</t>
  </si>
  <si>
    <t>business</t>
  </si>
  <si>
    <t>https://en.wikipedia.org/wiki/San_Francisco</t>
  </si>
  <si>
    <t>San Francisco</t>
  </si>
  <si>
    <t>private club</t>
  </si>
  <si>
    <t>https://en.wikipedia.org/wiki/Nob_Hill,_San_Francisco</t>
  </si>
  <si>
    <t>Nob Hill</t>
  </si>
  <si>
    <t>Sonoma County</t>
  </si>
  <si>
    <t>https://en.wikipedia.org/wiki/UC_Berkeley</t>
  </si>
  <si>
    <t>Berkeley</t>
  </si>
  <si>
    <t>https://en.wikipedia.org/wiki/Stanford</t>
  </si>
  <si>
    <t>Stanford</t>
  </si>
  <si>
    <t>https://en.wikipedia.org/wiki/San_Francisco_Bay_Area</t>
  </si>
  <si>
    <t>San Francisco Bay Area</t>
  </si>
  <si>
    <t>https://en.wikipedia.org/wiki/Membership_discrimination_in_California_clubs#Bohemian_Club</t>
  </si>
  <si>
    <t>restricted to men only</t>
  </si>
  <si>
    <t>https://en.wikipedia.org/wiki/Olympic_Club</t>
  </si>
  <si>
    <t>Olympic Club</t>
  </si>
  <si>
    <t>https://en.wikipedia.org/wiki/Marines_Memorial_Club</t>
  </si>
  <si>
    <t>Marines Memorial Club</t>
  </si>
  <si>
    <t>https://en.wikipedia.org/wiki/Cremation_of_Care</t>
  </si>
  <si>
    <t>Cremation of Care</t>
  </si>
  <si>
    <t>https://en.wikipedia.org/wiki/James_F._Bowman</t>
  </si>
  <si>
    <t>James F. Bowman</t>
  </si>
  <si>
    <t>https://en.wikipedia.org/wiki/List_of_Grove_Plays</t>
  </si>
  <si>
    <t>Grove Play</t>
  </si>
  <si>
    <t>https://en.wikipedia.org/wiki/Nathanial_Brittan_Party_House</t>
  </si>
  <si>
    <t>Nathanial Brittan Party House</t>
  </si>
  <si>
    <t>CASE-0064</t>
  </si>
  <si>
    <t>Disclosure movement</t>
  </si>
  <si>
    <t>https://en.wikipedia.org/wiki/Luis_Elizondo</t>
  </si>
  <si>
    <t>Luis Elizondo</t>
  </si>
  <si>
    <t>https://en.wikipedia.org/wiki/Daniel_Sheehan_(attorney)</t>
  </si>
  <si>
    <t>Daniel Sheehan</t>
  </si>
  <si>
    <t>https://en.wikipedia.org/wiki/Steven_Greer</t>
  </si>
  <si>
    <t>Steven Greer</t>
  </si>
  <si>
    <t>https://en.wikipedia.org/wiki/Pentagon_UFO_videos</t>
  </si>
  <si>
    <t>David Fravor</t>
  </si>
  <si>
    <t>https://en.wikipedia.org/wiki/Christopher_Mellon</t>
  </si>
  <si>
    <t>Christopher Mellon</t>
  </si>
  <si>
    <t>https://en.wikipedia.org/wiki/Harry_Reid</t>
  </si>
  <si>
    <t>Harry Reid</t>
  </si>
  <si>
    <t>https://en.wikipedia.org/wiki/Chuck_Schumer</t>
  </si>
  <si>
    <t>Chuck Schumer</t>
  </si>
  <si>
    <t>https://en.wikipedia.org/wiki/Jeremy_Corbell</t>
  </si>
  <si>
    <t>Jeremy Corbell</t>
  </si>
  <si>
    <t>https://en.wikipedia.org/wiki/Social_movement</t>
  </si>
  <si>
    <t>social movement</t>
  </si>
  <si>
    <t>https://en.wikipedia.org/wiki/United_States_Government</t>
  </si>
  <si>
    <t>United States Government</t>
  </si>
  <si>
    <t>https://en.wikipedia.org/wiki/UFO</t>
  </si>
  <si>
    <t>UFOs</t>
  </si>
  <si>
    <t>https://en.wikipedia.org/wiki/Extraterrestrial_hypothesis</t>
  </si>
  <si>
    <t>space aliens</t>
  </si>
  <si>
    <t>https://en.wikipedia.org/wiki/Interdimensional_hypothesis</t>
  </si>
  <si>
    <t>"interdimensional" beings</t>
  </si>
  <si>
    <t>https://en.wikipedia.org/wiki/Space_animal_hypothesis</t>
  </si>
  <si>
    <t>a novel form of life</t>
  </si>
  <si>
    <t>https://en.wikipedia.org/wiki/Demonic_UFO_hypothesis</t>
  </si>
  <si>
    <t>demons</t>
  </si>
  <si>
    <t>CASE-0065</t>
  </si>
  <si>
    <t>https://en.wikipedia.org/wiki/Montauk_Project</t>
  </si>
  <si>
    <t>https://en.wikipedia.org/wiki/Camp_Hero_State_Park</t>
  </si>
  <si>
    <t>Camp Hero</t>
  </si>
  <si>
    <t>https://en.wikipedia.org/wiki/Montauk_Air_Force_Station</t>
  </si>
  <si>
    <t>Montauk Air Force Station</t>
  </si>
  <si>
    <t>https://en.wikipedia.org/wiki/Montauk,_New_York</t>
  </si>
  <si>
    <t>Montauk, New York</t>
  </si>
  <si>
    <t>https://en.wikipedia.org/wiki/Psychological_warfare</t>
  </si>
  <si>
    <t>psychological warfare</t>
  </si>
  <si>
    <t>https://en.wikipedia.org/wiki/Preston_Nichols</t>
  </si>
  <si>
    <t>Preston Nichols</t>
  </si>
  <si>
    <t>https://en.wikipedia.org/wiki/Jacques_Vall%C3%A9e</t>
  </si>
  <si>
    <t>Jacques VallÃ©e</t>
  </si>
  <si>
    <t>https://en.wikipedia.org/wiki/Repressed_memory</t>
  </si>
  <si>
    <t>repressed memories</t>
  </si>
  <si>
    <t>https://en.wikipedia.org/wiki/Long_Island,_New_York</t>
  </si>
  <si>
    <t>Long Island, New York</t>
  </si>
  <si>
    <t>https://en.wikipedia.org/wiki/Parapsychology</t>
  </si>
  <si>
    <t>parapsychology</t>
  </si>
  <si>
    <t>https://en.wikipedia.org/wiki/Electrical_engineering</t>
  </si>
  <si>
    <t>electrical engineering</t>
  </si>
  <si>
    <t>faked Apollo Moon landings</t>
  </si>
  <si>
    <t>https://en.wikipedia.org/wiki/Montauk_Chronicles</t>
  </si>
  <si>
    <t>Montauk Chronicles</t>
  </si>
  <si>
    <t>https://en.wikipedia.org/wiki/Philip_K._Dick</t>
  </si>
  <si>
    <t>Philip K. Dick Film Festival</t>
  </si>
  <si>
    <t>CASE-0066</t>
  </si>
  <si>
    <t>False flag</t>
  </si>
  <si>
    <t>https://en.wikipedia.org/wiki/False_Flag_(disambiguation)</t>
  </si>
  <si>
    <t>False Flag (disambiguation)</t>
  </si>
  <si>
    <t>https://en.wikipedia.org/wiki/Douglas_A-26_Invader</t>
  </si>
  <si>
    <t>Douglas A-26C Invader</t>
  </si>
  <si>
    <t>https://en.wikipedia.org/wiki/Cuban_Revolutionary_Air_and_Air_Defense_Force</t>
  </si>
  <si>
    <t>Cuban Air Force</t>
  </si>
  <si>
    <t>https://en.wikipedia.org/wiki/Bay_of_Pigs_Invasion</t>
  </si>
  <si>
    <t>Bay of Pigs Invasion</t>
  </si>
  <si>
    <t>https://en.wikipedia.org/wiki/Brigade_2506</t>
  </si>
  <si>
    <t>Brigade 2506</t>
  </si>
  <si>
    <t>https://en.wikipedia.org/wiki/Ruse_de_guerre</t>
  </si>
  <si>
    <t>ruse</t>
  </si>
  <si>
    <t>https://en.wikipedia.org/wiki/Naval_warfare</t>
  </si>
  <si>
    <t>naval warfare</t>
  </si>
  <si>
    <t>https://en.wikipedia.org/wiki/Piracy</t>
  </si>
  <si>
    <t>pirates</t>
  </si>
  <si>
    <t>https://en.wikipedia.org/wiki/Privateers</t>
  </si>
  <si>
    <t>privateers</t>
  </si>
  <si>
    <t>https://en.wikipedia.org/wiki/Casus_belli</t>
  </si>
  <si>
    <t>pretext</t>
  </si>
  <si>
    <t>nongovernmental organizations</t>
  </si>
  <si>
    <t>https://en.wikipedia.org/wiki/Frameup</t>
  </si>
  <si>
    <t>frameup</t>
  </si>
  <si>
    <t>https://en.wikipedia.org/wiki/Military_deception</t>
  </si>
  <si>
    <t>deceive enemies</t>
  </si>
  <si>
    <t>https://en.wikipedia.org/wiki/Perfidy</t>
  </si>
  <si>
    <t>perfidious</t>
  </si>
  <si>
    <t>https://en.wikipedia.org/wiki/Auxiliary_cruiser</t>
  </si>
  <si>
    <t>Auxiliary cruisers</t>
  </si>
  <si>
    <t>https://en.wikipedia.org/wiki/Q-ship</t>
  </si>
  <si>
    <t>Q-ships</t>
  </si>
  <si>
    <t>https://en.wikipedia.org/wiki/RMS_Carmania_(1905)</t>
  </si>
  <si>
    <t>RMS Carmania</t>
  </si>
  <si>
    <t>https://en.wikipedia.org/wiki/SMS_Cap_Trafalgar</t>
  </si>
  <si>
    <t>SMS Cap Trafalgar</t>
  </si>
  <si>
    <t>https://en.wikipedia.org/wiki/World_War_II</t>
  </si>
  <si>
    <t>World War II</t>
  </si>
  <si>
    <t>CASE-0067</t>
  </si>
  <si>
    <t>Dead Internet theory</t>
  </si>
  <si>
    <t>https://en.wikipedia.org/wiki/Dead_Internet_theory</t>
  </si>
  <si>
    <t>https://en.wikipedia.org/wiki/Internet</t>
  </si>
  <si>
    <t>Internet</t>
  </si>
  <si>
    <t>https://en.wikipedia.org/wiki/Internet_bot</t>
  </si>
  <si>
    <t>bot activity</t>
  </si>
  <si>
    <t>https://en.wikipedia.org/wiki/Automatically_generated_content</t>
  </si>
  <si>
    <t>automated content</t>
  </si>
  <si>
    <t>https://en.wikipedia.org/wiki/Algorithmic_curation</t>
  </si>
  <si>
    <t>algorithmic curation</t>
  </si>
  <si>
    <t>https://en.wikipedia.org/wiki/Social_bot</t>
  </si>
  <si>
    <t>social bots</t>
  </si>
  <si>
    <t>https://en.wikipedia.org/wiki/AI_boom</t>
  </si>
  <si>
    <t>AI boom</t>
  </si>
  <si>
    <t>https://en.wikipedia.org/wiki/Large_language_model</t>
  </si>
  <si>
    <t>large language model</t>
  </si>
  <si>
    <t>https://en.wikipedia.org/wiki/Chatbots</t>
  </si>
  <si>
    <t>chatbots</t>
  </si>
  <si>
    <t>https://en.wikipedia.org/wiki/Text-to-image_model</t>
  </si>
  <si>
    <t>text-to-image models</t>
  </si>
  <si>
    <t>https://en.wikipedia.org/wiki/Algorithmic_feeds</t>
  </si>
  <si>
    <t>algorithmic feeds</t>
  </si>
  <si>
    <t>https://en.wikipedia.org/wiki/AI_slop</t>
  </si>
  <si>
    <t>AI slop</t>
  </si>
  <si>
    <t>https://en.wikipedia.org/wiki/User-generated_content</t>
  </si>
  <si>
    <t>user-generated content</t>
  </si>
  <si>
    <t>https://en.wikipedia.org/wiki/Generative_content</t>
  </si>
  <si>
    <t>generative content</t>
  </si>
  <si>
    <t>https://en.wikipedia.org/wiki/Wizardchan</t>
  </si>
  <si>
    <t>Wizardchan</t>
  </si>
  <si>
    <t>https://en.wikipedia.org/wiki/The_Atlantic</t>
  </si>
  <si>
    <t>The Atlantic</t>
  </si>
  <si>
    <t>https://en.wikipedia.org/wiki/CRC_Press</t>
  </si>
  <si>
    <t>CRC Press</t>
  </si>
  <si>
    <t>https://en.wikipedia.org/wiki/AI_%26_Society</t>
  </si>
  <si>
    <t>AI &amp; Society</t>
  </si>
  <si>
    <t>https://en.wikipedia.org/wiki/Link_rot</t>
  </si>
  <si>
    <t>link rot</t>
  </si>
  <si>
    <t>CASE-0068</t>
  </si>
  <si>
    <t>Cathy O'Brien (conspiracy theorist)</t>
  </si>
  <si>
    <t>https://en.wikipedia.org/wiki/Cathy_O%27Brien_%28conspiracy_theorist%29</t>
  </si>
  <si>
    <t>https://en.wikipedia.org/wiki/Muskegon,_Michigan</t>
  </si>
  <si>
    <t>Muskegon, Michigan</t>
  </si>
  <si>
    <t>https://en.wikipedia.org/wiki/Brainwashing</t>
  </si>
  <si>
    <t>mind control</t>
  </si>
  <si>
    <t>https://en.wikipedia.org/wiki/CIA</t>
  </si>
  <si>
    <t>CIA's</t>
  </si>
  <si>
    <t>https://en.wikipedia.org/wiki/Project_MKUltra</t>
  </si>
  <si>
    <t>Project MKUltra</t>
  </si>
  <si>
    <t>https://en.wikipedia.org/wiki/Project_ARTICHOKE</t>
  </si>
  <si>
    <t>https://en.wikipedia.org/wiki/Hypnosis</t>
  </si>
  <si>
    <t>hypnosis</t>
  </si>
  <si>
    <t>https://en.wikipedia.org/wiki/Satanists</t>
  </si>
  <si>
    <t>satanists</t>
  </si>
  <si>
    <t>https://en.wikipedia.org/wiki/Sex_slave</t>
  </si>
  <si>
    <t>sex slave</t>
  </si>
  <si>
    <t>https://en.wikipedia.org/wiki/George_H._W._Bush</t>
  </si>
  <si>
    <t>George H. W. Bush</t>
  </si>
  <si>
    <t>https://en.wikipedia.org/wiki/Miguel_de_la_Madrid</t>
  </si>
  <si>
    <t>Miguel de la Madrid</t>
  </si>
  <si>
    <t>https://en.wikipedia.org/wiki/Hologram</t>
  </si>
  <si>
    <t>holograms</t>
  </si>
  <si>
    <t>https://en.wikipedia.org/wiki/Dissociative_identity_disorder</t>
  </si>
  <si>
    <t>dissociative identity disorder</t>
  </si>
  <si>
    <t>https://en.wikipedia.org/wiki/Photographic_memory</t>
  </si>
  <si>
    <t>photographic recall</t>
  </si>
  <si>
    <t>https://en.wikipedia.org/wiki/Satanic_ritual_abuse</t>
  </si>
  <si>
    <t>satanic ritual abuse</t>
  </si>
  <si>
    <t>https://en.wikipedia.org/wiki/Moral_panic</t>
  </si>
  <si>
    <t>moral panic</t>
  </si>
  <si>
    <t>https://en.wikipedia.org/wiki/Michael_Barkun</t>
  </si>
  <si>
    <t>Michael Barkun</t>
  </si>
  <si>
    <t>https://en.wikipedia.org/wiki/Black_helicopter</t>
  </si>
  <si>
    <t>black helicopter</t>
  </si>
  <si>
    <t>https://en.wikipedia.org/wiki/Jim_Keith</t>
  </si>
  <si>
    <t>Jim Keith</t>
  </si>
  <si>
    <t>https://en.wikipedia.org/wiki/Jodi_Dean</t>
  </si>
  <si>
    <t>Jodi Dean</t>
  </si>
  <si>
    <t>CASE-0069</t>
  </si>
  <si>
    <t>Targeted individual</t>
  </si>
  <si>
    <t>https://en.wikipedia.org/wiki/Targeted_individual</t>
  </si>
  <si>
    <t>https://en.wikipedia.org/wiki/Gang_stalking</t>
  </si>
  <si>
    <t>Gang stalking</t>
  </si>
  <si>
    <t>https://en.wikipedia.org/wiki/Mobbing</t>
  </si>
  <si>
    <t>Mobbing</t>
  </si>
  <si>
    <t>https://en.wikipedia.org/wiki/Targeted_advertising</t>
  </si>
  <si>
    <t>Targeted advertising</t>
  </si>
  <si>
    <t>https://en.wikipedia.org/wiki/Targeted_killing</t>
  </si>
  <si>
    <t>Targeted killing</t>
  </si>
  <si>
    <t>https://en.wikipedia.org/wiki/Targeted_surveillance</t>
  </si>
  <si>
    <t>Targeted surveillance</t>
  </si>
  <si>
    <t>https://en.wikipedia.org/wiki/Electronic_harassment</t>
  </si>
  <si>
    <t>CASE-0070</t>
  </si>
  <si>
    <t>World government</t>
  </si>
  <si>
    <t>https://en.wikipedia.org/wiki/World_government_(disambiguation)</t>
  </si>
  <si>
    <t>World government (disambiguation)</t>
  </si>
  <si>
    <t>https://en.wikipedia.org/wiki/State_(computer_science)</t>
  </si>
  <si>
    <t>State (computer science)</t>
  </si>
  <si>
    <t>https://en.wikipedia.org/wiki/Government</t>
  </si>
  <si>
    <t>government</t>
  </si>
  <si>
    <t>https://en.wikipedia.org/wiki/List_of_forms_of_government</t>
  </si>
  <si>
    <t>List of forms</t>
  </si>
  <si>
    <t>https://en.wikipedia.org/wiki/List_of_countries_by_system_of_government</t>
  </si>
  <si>
    <t>List of countries</t>
  </si>
  <si>
    <t>https://en.wikipedia.org/wiki/Democracy</t>
  </si>
  <si>
    <t>Democracy</t>
  </si>
  <si>
    <t>https://en.wikipedia.org/wiki/Polyarchy</t>
  </si>
  <si>
    <t>rule by many</t>
  </si>
  <si>
    <t>https://en.wikipedia.org/wiki/Demarchy</t>
  </si>
  <si>
    <t>Demarchy</t>
  </si>
  <si>
    <t>https://en.wikipedia.org/wiki/Direct_democracy</t>
  </si>
  <si>
    <t>Direct</t>
  </si>
  <si>
    <t>https://en.wikipedia.org/wiki/Economic_democracy</t>
  </si>
  <si>
    <t>Economic</t>
  </si>
  <si>
    <t>https://en.wikipedia.org/wiki/Liberal_democracy</t>
  </si>
  <si>
    <t>Liberal</t>
  </si>
  <si>
    <t>https://en.wikipedia.org/wiki/Representative_democracy</t>
  </si>
  <si>
    <t>Representative</t>
  </si>
  <si>
    <t>https://en.wikipedia.org/wiki/Social_democracy</t>
  </si>
  <si>
    <t>Social</t>
  </si>
  <si>
    <t>https://en.wikipedia.org/wiki/Socialist_democracy</t>
  </si>
  <si>
    <t>Socialist</t>
  </si>
  <si>
    <t>https://en.wikipedia.org/wiki/Types_of_democracy</t>
  </si>
  <si>
    <t>Others</t>
  </si>
  <si>
    <t>https://en.wikipedia.org/wiki/Oligarchy</t>
  </si>
  <si>
    <t>Oligarchy</t>
  </si>
  <si>
    <t>https://en.wikipedia.org/wiki/Anocracy</t>
  </si>
  <si>
    <t>Anocracy</t>
  </si>
  <si>
    <t>https://en.wikipedia.org/wiki/Aristocracy</t>
  </si>
  <si>
    <t>Aristocracy</t>
  </si>
  <si>
    <t>https://en.wikipedia.org/wiki/Broligarchy</t>
  </si>
  <si>
    <t>Broligarchy</t>
  </si>
  <si>
    <t>CASE-0071</t>
  </si>
  <si>
    <t>Iranâ€“Contra affair</t>
  </si>
  <si>
    <t>https://en.wikipedia.org/wiki/Iran%E2%80%93Contra_affair</t>
  </si>
  <si>
    <t>https://en.wikipedia.org/wiki/Iran%E2%80%93Iraq_War</t>
  </si>
  <si>
    <t>Iranâ€“Iraq War</t>
  </si>
  <si>
    <t>https://en.wikipedia.org/wiki/Cold_War_(1985%E2%80%931991)</t>
  </si>
  <si>
    <t>end of the Cold War</t>
  </si>
  <si>
    <t>https://en.wikipedia.org/wiki/Caspar_Weinberger</t>
  </si>
  <si>
    <t>Caspar Weinberger</t>
  </si>
  <si>
    <t>https://en.wikipedia.org/wiki/George_Shultz</t>
  </si>
  <si>
    <t>George Shultz</t>
  </si>
  <si>
    <t>https://en.wikipedia.org/wiki/Ed_Meese</t>
  </si>
  <si>
    <t>Ed Meese</t>
  </si>
  <si>
    <t>https://en.wikipedia.org/wiki/Donald_Regan</t>
  </si>
  <si>
    <t>Donald Regan</t>
  </si>
  <si>
    <t>https://en.wikipedia.org/wiki/Oval_Office</t>
  </si>
  <si>
    <t>Oval Office</t>
  </si>
  <si>
    <t>https://en.wikipedia.org/wiki/Presidency_of_Ronald_Reagan#Administration</t>
  </si>
  <si>
    <t>Reagan administration</t>
  </si>
  <si>
    <t>https://en.wikipedia.org/wiki/Robert_McFarlane_(American_politician)</t>
  </si>
  <si>
    <t>Robert McFarlane</t>
  </si>
  <si>
    <t>https://en.wikipedia.org/wiki/Hezbollah</t>
  </si>
  <si>
    <t>Hezbollah</t>
  </si>
  <si>
    <t>https://en.wikipedia.org/wiki/Contras</t>
  </si>
  <si>
    <t>Contras</t>
  </si>
  <si>
    <t>https://en.wikipedia.org/wiki/Oliver_North</t>
  </si>
  <si>
    <t>Oliver North</t>
  </si>
  <si>
    <t>https://en.wikipedia.org/wiki/Adnan_Khashoggi</t>
  </si>
  <si>
    <t>Adnan Khashoggi</t>
  </si>
  <si>
    <t>https://en.wikipedia.org/wiki/Manucher_Ghorbanifar</t>
  </si>
  <si>
    <t>Manucher Ghorbanifar</t>
  </si>
  <si>
    <t>https://en.wikipedia.org/wiki/John_Poindexter</t>
  </si>
  <si>
    <t>John Poindexter</t>
  </si>
  <si>
    <t>https://en.wikipedia.org/wiki/Manuel_Noriega</t>
  </si>
  <si>
    <t>Manuel Noriega</t>
  </si>
  <si>
    <t>https://en.wikipedia.org/wiki/Persian_language</t>
  </si>
  <si>
    <t>Persian</t>
  </si>
  <si>
    <t>https://en.wikipedia.org/wiki/Spanish_language</t>
  </si>
  <si>
    <t>Spanish</t>
  </si>
  <si>
    <t>https://en.wikipedia.org/wiki/Political_scandal</t>
  </si>
  <si>
    <t>political scandal</t>
  </si>
  <si>
    <t>CASE-0072</t>
  </si>
  <si>
    <t>https://en.wikipedia.org/wiki/CIA_black_sites</t>
  </si>
  <si>
    <t>https://en.wikipedia.org/wiki/Extraordinary_rendition</t>
  </si>
  <si>
    <t>Detention</t>
  </si>
  <si>
    <t>https://en.wikipedia.org/wiki/Open_Society_Foundations</t>
  </si>
  <si>
    <t>Open Society Foundations</t>
  </si>
  <si>
    <t>https://en.wikipedia.org/wiki/Torture</t>
  </si>
  <si>
    <t>torture</t>
  </si>
  <si>
    <t>September 11 attacks</t>
  </si>
  <si>
    <t>https://en.wikipedia.org/wiki/War_on_terror</t>
  </si>
  <si>
    <t>war on terror</t>
  </si>
  <si>
    <t>https://en.wikipedia.org/wiki/Extrajudicial_punishment</t>
  </si>
  <si>
    <t>extrajudicial</t>
  </si>
  <si>
    <t>https://en.wikipedia.org/wiki/Black_sites</t>
  </si>
  <si>
    <t>black sites</t>
  </si>
  <si>
    <t>https://en.wikipedia.org/wiki/Combatant</t>
  </si>
  <si>
    <t>enemy combatants</t>
  </si>
  <si>
    <t>https://en.wikipedia.org/wiki/Enhanced_interrogation_techniques</t>
  </si>
  <si>
    <t>enhanced interrogation techniques</t>
  </si>
  <si>
    <t>https://en.wikipedia.org/wiki/Guantanamo_Bay_detention_camp</t>
  </si>
  <si>
    <t>military prison at Guantanamo Bay</t>
  </si>
  <si>
    <t>https://en.wikipedia.org/wiki/Unlawful_combatant#United_States</t>
  </si>
  <si>
    <t>illegal enemy combatants</t>
  </si>
  <si>
    <t>https://en.wikipedia.org/wiki/Detention,_Treatment,_and_Trial_of_Certain_Non-Citizens_in_the_War_Against_Terrorism</t>
  </si>
  <si>
    <t>a presidential military order</t>
  </si>
  <si>
    <t>https://en.wikipedia.org/wiki/Human_rights</t>
  </si>
  <si>
    <t>human rights</t>
  </si>
  <si>
    <t>https://en.wikipedia.org/wiki/The_Washington_Post</t>
  </si>
  <si>
    <t>The Washington Post</t>
  </si>
  <si>
    <t>https://en.wikipedia.org/wiki/George_W._Bush</t>
  </si>
  <si>
    <t>George W. Bush</t>
  </si>
  <si>
    <t>https://en.wikipedia.org/wiki/Presidency_of_George_W._Bush</t>
  </si>
  <si>
    <t>Bush Administration</t>
  </si>
  <si>
    <t>CASE-0073</t>
  </si>
  <si>
    <t>Mass surveillance</t>
  </si>
  <si>
    <t>https://en.wikipedia.org/wiki/Mass_surveillance</t>
  </si>
  <si>
    <t>https://en.wikipedia.org/wiki/Global_surveillance</t>
  </si>
  <si>
    <t>Global surveillance</t>
  </si>
  <si>
    <t>https://en.wikipedia.org/wiki/Origins_of_global_surveillance</t>
  </si>
  <si>
    <t>Origins</t>
  </si>
  <si>
    <t>https://en.wikipedia.org/wiki/Global_surveillance_disclosures_(1970%E2%80%932013)</t>
  </si>
  <si>
    <t>Pre-2013</t>
  </si>
  <si>
    <t>https://en.wikipedia.org/wiki/Snowden_disclosures</t>
  </si>
  <si>
    <t>Snowden</t>
  </si>
  <si>
    <t>https://en.wikipedia.org/wiki/Reactions_to_global_surveillance_disclosures</t>
  </si>
  <si>
    <t>Reactions</t>
  </si>
  <si>
    <t>https://en.wikipedia.org/wiki/List_of_government_mass_surveillance_projects</t>
  </si>
  <si>
    <t>List of government mass surveillance projects</t>
  </si>
  <si>
    <t>https://en.wikipedia.org/wiki/XKeyscore</t>
  </si>
  <si>
    <t>XKeyscore</t>
  </si>
  <si>
    <t>https://en.wikipedia.org/wiki/PRISM</t>
  </si>
  <si>
    <t>PRISM</t>
  </si>
  <si>
    <t>https://en.wikipedia.org/wiki/ECHELON</t>
  </si>
  <si>
    <t>https://en.wikipedia.org/wiki/Sentient_(intelligence_analysis_system)</t>
  </si>
  <si>
    <t>Sentient</t>
  </si>
  <si>
    <t>https://en.wikipedia.org/wiki/Carnivore_(software)</t>
  </si>
  <si>
    <t>Carnivore</t>
  </si>
  <si>
    <t>https://en.wikipedia.org/wiki/Dishfire</t>
  </si>
  <si>
    <t>Dishfire</t>
  </si>
  <si>
    <t>https://en.wikipedia.org/wiki/Stone_Ghost</t>
  </si>
  <si>
    <t>Stone Ghost</t>
  </si>
  <si>
    <t>https://en.wikipedia.org/wiki/Tempora</t>
  </si>
  <si>
    <t>Tempora</t>
  </si>
  <si>
    <t>https://en.wikipedia.org/wiki/Frenchelon</t>
  </si>
  <si>
    <t>Frenchelon</t>
  </si>
  <si>
    <t>https://en.wikipedia.org/wiki/Fairview_(surveillance_program)</t>
  </si>
  <si>
    <t>Fairview</t>
  </si>
  <si>
    <t>https://en.wikipedia.org/wiki/MYSTIC_(surveillance_program)</t>
  </si>
  <si>
    <t>MYSTIC</t>
  </si>
  <si>
    <t>https://en.wikipedia.org/wiki/Digital_Collection_System_Network</t>
  </si>
  <si>
    <t>DCSN</t>
  </si>
  <si>
    <t>https://en.wikipedia.org/wiki/Boundless_Informant</t>
  </si>
  <si>
    <t>Boundless Informant</t>
  </si>
  <si>
    <t>CASE-0074</t>
  </si>
  <si>
    <t>Blood moon prophecy</t>
  </si>
  <si>
    <t>https://en.wikipedia.org/wiki/Blood_moon_prophecy</t>
  </si>
  <si>
    <t>https://en.wikipedia.org/wiki/John_Hagee</t>
  </si>
  <si>
    <t>John Hagee</t>
  </si>
  <si>
    <t>https://en.wikipedia.org/wiki/Mark_Biltz</t>
  </si>
  <si>
    <t>Mark Biltz</t>
  </si>
  <si>
    <t>https://en.wikipedia.org/wiki/Tetrad_(astronomy)</t>
  </si>
  <si>
    <t>tetrad</t>
  </si>
  <si>
    <t>https://en.wikipedia.org/wiki/Lunar_eclipse</t>
  </si>
  <si>
    <t>lunar eclipses</t>
  </si>
  <si>
    <t>https://en.wikipedia.org/wiki/Jewish_holidays</t>
  </si>
  <si>
    <t>Jewish holidays</t>
  </si>
  <si>
    <t>https://en.wikipedia.org/wiki/April_2014_lunar_eclipse</t>
  </si>
  <si>
    <t>April 2014 lunar eclipse</t>
  </si>
  <si>
    <t>https://en.wikipedia.org/wiki/Book_of_Joel</t>
  </si>
  <si>
    <t>Book of Joel</t>
  </si>
  <si>
    <t>https://en.wikipedia.org/wiki/Acts_2</t>
  </si>
  <si>
    <t>Acts 2</t>
  </si>
  <si>
    <t>https://en.wikipedia.org/wiki/Revelation_6</t>
  </si>
  <si>
    <t>Revelation 6</t>
  </si>
  <si>
    <t>https://en.wikipedia.org/wiki/September_2015_lunar_eclipse</t>
  </si>
  <si>
    <t>lunar eclipse on September 27â€“28, 2015</t>
  </si>
  <si>
    <t>https://en.wikipedia.org/wiki/Rayleigh_scattering</t>
  </si>
  <si>
    <t>Rayleigh scattering</t>
  </si>
  <si>
    <t>https://en.wikipedia.org/wiki/Earth%27s_atmosphere</t>
  </si>
  <si>
    <t>https://en.wikipedia.org/wiki/October_2014_lunar_eclipse</t>
  </si>
  <si>
    <t>2014 Oct 08 (Saros 127)</t>
  </si>
  <si>
    <t>https://en.wikipedia.org/wiki/April_2015_lunar_eclipse</t>
  </si>
  <si>
    <t>2015 Apr 04 (Saros 132)</t>
  </si>
  <si>
    <t>https://en.wikipedia.org/wiki/Blood_Moon_(eclipse)</t>
  </si>
  <si>
    <t>blood moon</t>
  </si>
  <si>
    <t>https://en.wikipedia.org/wiki/Saint_Peter</t>
  </si>
  <si>
    <t>Peter</t>
  </si>
  <si>
    <t>https://en.wikipedia.org/wiki/Pentecost</t>
  </si>
  <si>
    <t>Pentecost</t>
  </si>
  <si>
    <t>https://en.wikipedia.org/wiki/Acts_of_the_Apostles</t>
  </si>
  <si>
    <t>Acts</t>
  </si>
  <si>
    <t>CASE-0075</t>
  </si>
  <si>
    <t>Ancient Aliens</t>
  </si>
  <si>
    <t>https://en.wikipedia.org/wiki/Ancient_Aliens</t>
  </si>
  <si>
    <t>https://en.wikipedia.org/wiki/Ancient_astronauts</t>
  </si>
  <si>
    <t>Ancient astronauts</t>
  </si>
  <si>
    <t>https://en.wikipedia.org/wiki/Ancient_Aliens_(song)</t>
  </si>
  <si>
    <t>Ancient Aliens (song)</t>
  </si>
  <si>
    <t>https://en.wikipedia.org/wiki/Pseudohistory</t>
  </si>
  <si>
    <t>Pseudohistory</t>
  </si>
  <si>
    <t>Ufology</t>
  </si>
  <si>
    <t>Conspiracy theory</t>
  </si>
  <si>
    <t>https://en.wikipedia.org/wiki/Robert_Clotworthy</t>
  </si>
  <si>
    <t>Robert Clotworthy</t>
  </si>
  <si>
    <t>https://en.wikipedia.org/wiki/List_of_Ancient_Aliens_episodes</t>
  </si>
  <si>
    <t>list of episodes</t>
  </si>
  <si>
    <t>https://en.wikipedia.org/wiki/Kevin_Burns</t>
  </si>
  <si>
    <t>Kevin Burns</t>
  </si>
  <si>
    <t>https://en.wikipedia.org/wiki/Giorgio_A._Tsoukalos</t>
  </si>
  <si>
    <t>Giorgio A. Tsoukalos</t>
  </si>
  <si>
    <t>https://en.wikipedia.org/wiki/Multiple-camera_setup</t>
  </si>
  <si>
    <t>Multiple</t>
  </si>
  <si>
    <t>https://en.wikipedia.org/wiki/Prometheus_Entertainment</t>
  </si>
  <si>
    <t>Prometheus Entertainment</t>
  </si>
  <si>
    <t>https://en.wikipedia.org/wiki/History_Channel</t>
  </si>
  <si>
    <t>History Channel</t>
  </si>
  <si>
    <t>https://en.wikipedia.org/wiki/Pseudoscientific</t>
  </si>
  <si>
    <t>pseudoscientific</t>
  </si>
  <si>
    <t>https://en.wikipedia.org/wiki/Pseudohistoric</t>
  </si>
  <si>
    <t>pseudohistoric</t>
  </si>
  <si>
    <t>https://en.wikipedia.org/wiki/Atlantis</t>
  </si>
  <si>
    <t>Atlantis</t>
  </si>
  <si>
    <t>https://en.wikipedia.org/wiki/Potential_cultural_impact_of_extraterrestrial_contact</t>
  </si>
  <si>
    <t>extraterrestrial contact</t>
  </si>
  <si>
    <t>https://en.wikipedia.org/wiki/History_(American_TV_network)</t>
  </si>
  <si>
    <t>CASE-0076</t>
  </si>
  <si>
    <t>Geoengineering</t>
  </si>
  <si>
    <t>https://en.wikipedia.org/wiki/Geoengineering</t>
  </si>
  <si>
    <t>https://en.wikipedia.org/wiki/Geoengineering_(disambiguation)</t>
  </si>
  <si>
    <t>Geoengineering (disambiguation)</t>
  </si>
  <si>
    <t>https://en.wikipedia.org/wiki/Solar_radiation_modification</t>
  </si>
  <si>
    <t>Solar radiation modification</t>
  </si>
  <si>
    <t>https://en.wikipedia.org/wiki/Reforestation</t>
  </si>
  <si>
    <t>reforestation</t>
  </si>
  <si>
    <t>https://en.wikipedia.org/wiki/Marine_cloud_brightening</t>
  </si>
  <si>
    <t>marine cloud brightening</t>
  </si>
  <si>
    <t>https://en.wikipedia.org/wiki/Space_mirror</t>
  </si>
  <si>
    <t>space mirror</t>
  </si>
  <si>
    <t>https://en.wikipedia.org/wiki/Climate_change</t>
  </si>
  <si>
    <t>climate change</t>
  </si>
  <si>
    <t>https://en.wikipedia.org/wiki/Carbon_dioxide_removal</t>
  </si>
  <si>
    <t>carbon dioxide removal</t>
  </si>
  <si>
    <t>https://en.wikipedia.org/wiki/Carbon_dioxide</t>
  </si>
  <si>
    <t>carbon dioxide</t>
  </si>
  <si>
    <t>https://en.wikipedia.org/wiki/Climate_change_mitigation</t>
  </si>
  <si>
    <t>climate change mitigation</t>
  </si>
  <si>
    <t>https://en.wikipedia.org/wiki/Solar_irradiance</t>
  </si>
  <si>
    <t>sunlight (solar radiation)</t>
  </si>
  <si>
    <t>https://en.wikipedia.org/wiki/National_Academies_of_Sciences,_Engineering,_and_Medicine</t>
  </si>
  <si>
    <t>US National Academies of Sciences, Engineering, and Medicine</t>
  </si>
  <si>
    <t>https://en.wikipedia.org/wiki/Royal_Society</t>
  </si>
  <si>
    <t>Royal Society</t>
  </si>
  <si>
    <t>https://en.wikipedia.org/wiki/UNESCO</t>
  </si>
  <si>
    <t>UNESCO</t>
  </si>
  <si>
    <t>https://en.wikipedia.org/wiki/World_Climate_Research_Programme</t>
  </si>
  <si>
    <t>World Climate Research Programme</t>
  </si>
  <si>
    <t>https://en.wikipedia.org/wiki/Tree_planting</t>
  </si>
  <si>
    <t>Planting trees</t>
  </si>
  <si>
    <t>https://en.wikipedia.org/wiki/Nature-based_solutions</t>
  </si>
  <si>
    <t>nature-based</t>
  </si>
  <si>
    <t>https://en.wikipedia.org/wiki/Human_behavior</t>
  </si>
  <si>
    <t>human activities</t>
  </si>
  <si>
    <t>CASE-0077</t>
  </si>
  <si>
    <t>Crisis actor</t>
  </si>
  <si>
    <t>https://en.wikipedia.org/wiki/Crisis_actor</t>
  </si>
  <si>
    <t>https://en.wikipedia.org/wiki/Spirit_Phone</t>
  </si>
  <si>
    <t>Spirit Phone</t>
  </si>
  <si>
    <t>https://en.wikipedia.org/wiki/Crisis_Actors_(short_story)</t>
  </si>
  <si>
    <t>Crisis Actors (short story)</t>
  </si>
  <si>
    <t>https://en.wikipedia.org/wiki/Emergency_medical_technician</t>
  </si>
  <si>
    <t>Emergency medical technicians</t>
  </si>
  <si>
    <t>https://en.wikipedia.org/wiki/96th_Test_Wing#Units</t>
  </si>
  <si>
    <t>96th Medical Group</t>
  </si>
  <si>
    <t>https://en.wikipedia.org/wiki/Airman</t>
  </si>
  <si>
    <t>airman</t>
  </si>
  <si>
    <t>https://en.wikipedia.org/wiki/Eglin_Air_Force_Base</t>
  </si>
  <si>
    <t>Eglin Air Force Base</t>
  </si>
  <si>
    <t>https://en.wikipedia.org/wiki/Florida</t>
  </si>
  <si>
    <t>Florida</t>
  </si>
  <si>
    <t>https://en.wikipedia.org/wiki/Actor</t>
  </si>
  <si>
    <t>actor</t>
  </si>
  <si>
    <t>https://en.wikipedia.org/wiki/Safety_drill</t>
  </si>
  <si>
    <t>emergency drills</t>
  </si>
  <si>
    <t>https://en.wikipedia.org/wiki/First_responder</t>
  </si>
  <si>
    <t>first responders</t>
  </si>
  <si>
    <t>https://en.wikipedia.org/wiki/Police_officer</t>
  </si>
  <si>
    <t>police</t>
  </si>
  <si>
    <t>https://en.wikipedia.org/wiki/Firefighter</t>
  </si>
  <si>
    <t>firefighters</t>
  </si>
  <si>
    <t>conspiracy theorists</t>
  </si>
  <si>
    <t>https://en.wikipedia.org/wiki/Gun_control</t>
  </si>
  <si>
    <t>gun control</t>
  </si>
  <si>
    <t>https://en.wikipedia.org/wiki/Cosmetics</t>
  </si>
  <si>
    <t>makeup</t>
  </si>
  <si>
    <t>https://en.wikipedia.org/wiki/Moulage</t>
  </si>
  <si>
    <t>medical moulage</t>
  </si>
  <si>
    <t>https://en.wikipedia.org/wiki/Emergency_operations_center</t>
  </si>
  <si>
    <t>emergency operations center</t>
  </si>
  <si>
    <t>https://en.wikipedia.org/wiki/Mass_shootings_in_the_United_States</t>
  </si>
  <si>
    <t>mass shootings</t>
  </si>
  <si>
    <t>CASE-0078</t>
  </si>
  <si>
    <t>CASE-0079</t>
  </si>
  <si>
    <t>The Protocols of the Elders of Zion</t>
  </si>
  <si>
    <t>https://en.wikipedia.org/wiki/The_Protocols_of_the_Elders_of_Zion</t>
  </si>
  <si>
    <t>https://en.wikipedia.org/wiki/Protocols_of_Zion_(film)</t>
  </si>
  <si>
    <t>Protocols of Zion (film)</t>
  </si>
  <si>
    <t>https://en.wikipedia.org/wiki/International_Jewish_conspiracy</t>
  </si>
  <si>
    <t>Antisemitic conspiracy theory</t>
  </si>
  <si>
    <t>https://en.wikipedia.org/wiki/Znamya_(newspaper)</t>
  </si>
  <si>
    <t>Znamya</t>
  </si>
  <si>
    <t>https://en.wikipedia.org/wiki/Russian_Empire</t>
  </si>
  <si>
    <t>Russian Empire</t>
  </si>
  <si>
    <t>https://en.wikipedia.org/wiki/Serial_(literature)</t>
  </si>
  <si>
    <t>newspaper serialization</t>
  </si>
  <si>
    <t>https://en.wikipedia.org/wiki/Dewey_Decimal_Classification</t>
  </si>
  <si>
    <t>Dewey Decimal</t>
  </si>
  <si>
    <t>https://en.wikipedia.org/wiki/LCC_(identifier)</t>
  </si>
  <si>
    <t>LCÂ Class</t>
  </si>
  <si>
    <t>https://en.wikipedia.org/wiki/Antisemitic</t>
  </si>
  <si>
    <t>antisemitic</t>
  </si>
  <si>
    <t>https://en.wikipedia.org/wiki/Black_propaganda</t>
  </si>
  <si>
    <t>black propaganda</t>
  </si>
  <si>
    <t>https://en.wikipedia.org/wiki/The_Times</t>
  </si>
  <si>
    <t>The Times</t>
  </si>
  <si>
    <t>https://en.wikipedia.org/wiki/Frankfurter_Zeitung</t>
  </si>
  <si>
    <t>Frankfurter Zeitung</t>
  </si>
  <si>
    <t>https://en.wikipedia.org/wiki/Yellow_badge</t>
  </si>
  <si>
    <t>https://en.wikipedia.org/wiki/Jewish_history</t>
  </si>
  <si>
    <t>Jewish history</t>
  </si>
  <si>
    <t>https://en.wikipedia.org/wiki/Discrimination</t>
  </si>
  <si>
    <t>discrimination</t>
  </si>
  <si>
    <t>https://en.wikipedia.org/wiki/History_of_antisemitism</t>
  </si>
  <si>
    <t>https://en.wikipedia.org/wiki/Timeline_of_antisemitism</t>
  </si>
  <si>
    <t>https://en.wikipedia.org/wiki/List_of_writers_on_antisemitism</t>
  </si>
  <si>
    <t>CASE-0080</t>
  </si>
  <si>
    <t>Wardenclyffe Tower</t>
  </si>
  <si>
    <t>https://en.wikipedia.org/wiki/Wardenclyffe_Tower</t>
  </si>
  <si>
    <t>https://en.wikipedia.org/wiki/Wardenclyffe_Tower_(album)</t>
  </si>
  <si>
    <t>Wardenclyffe Tower (album)</t>
  </si>
  <si>
    <t>https://en.wikipedia.org/wiki/Tesla_Experimental_Station</t>
  </si>
  <si>
    <t>Tesla Experimental Station</t>
  </si>
  <si>
    <t>https://en.wikipedia.org/wiki/National_Register_of_Historic_Places</t>
  </si>
  <si>
    <t>U.S. National Register of Historic Places</t>
  </si>
  <si>
    <t>https://en.wikipedia.org/wiki/Shoreham,_New_York</t>
  </si>
  <si>
    <t>Shoreham</t>
  </si>
  <si>
    <t>https://en.wikipedia.org/wiki/Long_Island</t>
  </si>
  <si>
    <t>Long Island</t>
  </si>
  <si>
    <t>https://en.wikipedia.org/wiki/New_York_(state)</t>
  </si>
  <si>
    <t>New York</t>
  </si>
  <si>
    <t>https://en.wikipedia.org/wiki/Stanford_White</t>
  </si>
  <si>
    <t>Stanford White</t>
  </si>
  <si>
    <t>https://en.wikipedia.org/wiki/Nikola_Tesla</t>
  </si>
  <si>
    <t>Nikola Tesla</t>
  </si>
  <si>
    <t>https://en.wikipedia.org/wiki/Wireless</t>
  </si>
  <si>
    <t>wireless</t>
  </si>
  <si>
    <t>https://en.wikipedia.org/wiki/Telephony</t>
  </si>
  <si>
    <t>telephony</t>
  </si>
  <si>
    <t>https://en.wikipedia.org/wiki/Fax</t>
  </si>
  <si>
    <t>facsimile images</t>
  </si>
  <si>
    <t>https://en.wikipedia.org/wiki/Atlantic_Ocean</t>
  </si>
  <si>
    <t>Atlantic Ocean</t>
  </si>
  <si>
    <t>https://en.wikipedia.org/wiki/Wireless_power_transfer</t>
  </si>
  <si>
    <t>wireless power transfer</t>
  </si>
  <si>
    <t>https://en.wikipedia.org/wiki/Guglielmo_Marconi</t>
  </si>
  <si>
    <t>Guglielmo Marconi</t>
  </si>
  <si>
    <t>https://en.wikipedia.org/wiki/Telegraph</t>
  </si>
  <si>
    <t>telegraph</t>
  </si>
  <si>
    <t>https://en.wikipedia.org/wiki/J._P._Morgan</t>
  </si>
  <si>
    <t>J. P. Morgan</t>
  </si>
  <si>
    <t>https://en.wikipedia.org/wiki/Foreclosure</t>
  </si>
  <si>
    <t>foreclosure</t>
  </si>
  <si>
    <t>https://en.wikipedia.org/wiki/Environmental_remediation</t>
  </si>
  <si>
    <t>cleaned up</t>
  </si>
  <si>
    <t>CASE-0081</t>
  </si>
  <si>
    <t>https://en.wikipedia.org/wiki/Dulce_Base</t>
  </si>
  <si>
    <t>alien</t>
  </si>
  <si>
    <t>https://en.wikipedia.org/wiki/Underground_base</t>
  </si>
  <si>
    <t>underground facility</t>
  </si>
  <si>
    <t>https://en.wikipedia.org/wiki/Archuleta_Mesa</t>
  </si>
  <si>
    <t>Archuleta Mesa</t>
  </si>
  <si>
    <t>https://en.wikipedia.org/wiki/Dulce,_New_Mexico</t>
  </si>
  <si>
    <t>Dulce, New Mexico</t>
  </si>
  <si>
    <t>https://en.wikipedia.org/wiki/Albuquerque,_New_Mexico</t>
  </si>
  <si>
    <t>Albuquerque</t>
  </si>
  <si>
    <t>https://en.wikipedia.org/wiki/Paul_Bennewitz</t>
  </si>
  <si>
    <t>Paul Bennewitz</t>
  </si>
  <si>
    <t>https://en.wikipedia.org/wiki/Grey_alien</t>
  </si>
  <si>
    <t>grey aliens</t>
  </si>
  <si>
    <t>UFOlogist</t>
  </si>
  <si>
    <t>https://en.wikipedia.org/wiki/John_Lear</t>
  </si>
  <si>
    <t>John Lear</t>
  </si>
  <si>
    <t>https://en.wikipedia.org/wiki/Thomas_Allen_LeVesque</t>
  </si>
  <si>
    <t>Thomas Allen LeVesque</t>
  </si>
  <si>
    <t>https://en.wikipedia.org/wiki/Tabloid_journalism</t>
  </si>
  <si>
    <t>tabloid</t>
  </si>
  <si>
    <t>https://en.wikipedia.org/wiki/Weekly_World_News</t>
  </si>
  <si>
    <t>Weekly World News</t>
  </si>
  <si>
    <t>https://en.wikipedia.org/wiki/Shanghaiing</t>
  </si>
  <si>
    <t>shanghai</t>
  </si>
  <si>
    <t>https://en.wikipedia.org/wiki/Leonard_H._Stringfield</t>
  </si>
  <si>
    <t>Leonard H. Stringfield</t>
  </si>
  <si>
    <t>https://en.wikipedia.org/wiki/Delta_Force</t>
  </si>
  <si>
    <t>Delta Force</t>
  </si>
  <si>
    <t>CASE-0082</t>
  </si>
  <si>
    <t>Vatican Apostolic Archive</t>
  </si>
  <si>
    <t>https://en.wikipedia.org/wiki/Vatican_Apostolic_Archive</t>
  </si>
  <si>
    <t>https://en.wikipedia.org/wiki/Italian_language</t>
  </si>
  <si>
    <t>Italian</t>
  </si>
  <si>
    <t>https://en.wikipedia.org/wiki/Cortile_del_Belvedere</t>
  </si>
  <si>
    <t>Cortile del Belvedere</t>
  </si>
  <si>
    <t>https://en.wikipedia.org/wiki/Vatican_City</t>
  </si>
  <si>
    <t>Vatican City</t>
  </si>
  <si>
    <t>https://en.wikipedia.org/wiki/Giovanni_Cesare_Pagazzi</t>
  </si>
  <si>
    <t>Giovanni Cesare Pagazzi</t>
  </si>
  <si>
    <t>https://en.wikipedia.org/wiki/Sergio_Pagano</t>
  </si>
  <si>
    <t>Sergio Pagano</t>
  </si>
  <si>
    <t>https://en.wikipedia.org/wiki/Promulgated</t>
  </si>
  <si>
    <t>promulgated</t>
  </si>
  <si>
    <t>https://en.wikipedia.org/wiki/Holy_See</t>
  </si>
  <si>
    <t>Holy See</t>
  </si>
  <si>
    <t>https://en.wikipedia.org/wiki/Pope</t>
  </si>
  <si>
    <t>Pope</t>
  </si>
  <si>
    <t>https://en.wikipedia.org/wiki/State_paper</t>
  </si>
  <si>
    <t>state papers</t>
  </si>
  <si>
    <t>https://en.wikipedia.org/wiki/Pope_Paul_V</t>
  </si>
  <si>
    <t>Pope Paul V</t>
  </si>
  <si>
    <t>https://en.wikipedia.org/wiki/Vatican_Library</t>
  </si>
  <si>
    <t>Vatican Library</t>
  </si>
  <si>
    <t>https://en.wikipedia.org/wiki/Pope_Leo_XIII</t>
  </si>
  <si>
    <t>Pope Leo XIII</t>
  </si>
  <si>
    <t>https://en.wikipedia.org/wiki/Latin</t>
  </si>
  <si>
    <t>https://en.wikipedia.org/wiki/Roman_Curia</t>
  </si>
  <si>
    <t>Roman Curia</t>
  </si>
  <si>
    <t>https://en.wikipedia.org/wiki/VIP</t>
  </si>
  <si>
    <t>VIP</t>
  </si>
  <si>
    <t>https://en.wikipedia.org/wiki/Pope_Francis</t>
  </si>
  <si>
    <t>Pope Francis</t>
  </si>
  <si>
    <t>https://en.wikipedia.org/wiki/Motu_proprio</t>
  </si>
  <si>
    <t>motu proprio</t>
  </si>
  <si>
    <t>https://en.wikipedia.org/wiki/Christianity_in_the_1st_century</t>
  </si>
  <si>
    <t>1st century</t>
  </si>
  <si>
    <t>CASE-0083</t>
  </si>
  <si>
    <t>Sustainable Development Goals</t>
  </si>
  <si>
    <t>https://en.wikipedia.org/wiki/Sustainable_Development_Goals</t>
  </si>
  <si>
    <t>https://en.wikipedia.org/wiki/SDG_(disambiguation)</t>
  </si>
  <si>
    <t>SDG (disambiguation)</t>
  </si>
  <si>
    <t>https://en.wikipedia.org/wiki/Mission_statement</t>
  </si>
  <si>
    <t>Mission statement</t>
  </si>
  <si>
    <t>https://en.wikipedia.org/wiki/Charter_of_the_United_Nations</t>
  </si>
  <si>
    <t>Charter</t>
  </si>
  <si>
    <t>https://en.wikipedia.org/wiki/United_Nations_System</t>
  </si>
  <si>
    <t>UN System</t>
  </si>
  <si>
    <t>https://en.wikipedia.org/wiki/United_Nations_General_Assembly</t>
  </si>
  <si>
    <t>General Assembly</t>
  </si>
  <si>
    <t>https://en.wikipedia.org/wiki/United_Nations_Security_Council</t>
  </si>
  <si>
    <t>Security Council</t>
  </si>
  <si>
    <t>https://en.wikipedia.org/wiki/United_Nations_Economic_and_Social_Council</t>
  </si>
  <si>
    <t>Economic and Social Council</t>
  </si>
  <si>
    <t>https://en.wikipedia.org/wiki/International_Court_of_Justice</t>
  </si>
  <si>
    <t>International Court of Justice</t>
  </si>
  <si>
    <t>https://en.wikipedia.org/wiki/United_Nations_Secretariat</t>
  </si>
  <si>
    <t>Secretariat</t>
  </si>
  <si>
    <t>https://en.wikipedia.org/wiki/United_Nations_Trusteeship_Council</t>
  </si>
  <si>
    <t>Trusteeship Council</t>
  </si>
  <si>
    <t>https://en.wikipedia.org/wiki/Secretary-General_of_the_United_Nations</t>
  </si>
  <si>
    <t>Secretary-General</t>
  </si>
  <si>
    <t>https://en.wikipedia.org/wiki/Deputy_Secretary-General_of_the_United_Nations</t>
  </si>
  <si>
    <t>Deputy Secretary-General</t>
  </si>
  <si>
    <t>https://en.wikipedia.org/wiki/Under-Secretary-General_of_the_United_Nations</t>
  </si>
  <si>
    <t>Under-Secretary-General</t>
  </si>
  <si>
    <t>https://en.wikipedia.org/wiki/United_Nations_Secretariat#Organization</t>
  </si>
  <si>
    <t>Secretariat structure</t>
  </si>
  <si>
    <t>https://en.wikipedia.org/wiki/United_Nations_Development_Programme</t>
  </si>
  <si>
    <t>UNDP</t>
  </si>
  <si>
    <t>https://en.wikipedia.org/wiki/UNICEF</t>
  </si>
  <si>
    <t>UNICEF</t>
  </si>
  <si>
    <t>https://en.wikipedia.org/wiki/World_Food_Programme</t>
  </si>
  <si>
    <t>WFP</t>
  </si>
  <si>
    <t>https://en.wikipedia.org/wiki/United_Nations_Population_Fund</t>
  </si>
  <si>
    <t>UNFPA</t>
  </si>
  <si>
    <t>CASE-0084</t>
  </si>
  <si>
    <t>David Paulides</t>
  </si>
  <si>
    <t>https://en.wikipedia.org/wiki/David_Paulides</t>
  </si>
  <si>
    <t>https://en.wikipedia.org/wiki/Bigfoot</t>
  </si>
  <si>
    <t>https://en.wikipedia.org/wiki/Self-publishing</t>
  </si>
  <si>
    <t>self-published</t>
  </si>
  <si>
    <t>https://en.wikipedia.org/wiki/National_park</t>
  </si>
  <si>
    <t>national parks</t>
  </si>
  <si>
    <t>https://en.wikipedia.org/wiki/Greek_Americans</t>
  </si>
  <si>
    <t>Greek</t>
  </si>
  <si>
    <t>https://en.wikipedia.org/wiki/University_of_San_Francisco</t>
  </si>
  <si>
    <t>University of San Francisco</t>
  </si>
  <si>
    <t>https://en.wikipedia.org/wiki/San_Jose_Police_Department</t>
  </si>
  <si>
    <t>San Jose Police Department</t>
  </si>
  <si>
    <t>https://en.wikipedia.org/wiki/SWAT</t>
  </si>
  <si>
    <t>SWAT Team</t>
  </si>
  <si>
    <t>https://en.wikipedia.org/wiki/DNA</t>
  </si>
  <si>
    <t>DNA</t>
  </si>
  <si>
    <t>https://en.wikipedia.org/wiki/Hominini</t>
  </si>
  <si>
    <t>hominin</t>
  </si>
  <si>
    <t>https://en.wikipedia.org/wiki/Sharon_A._Hill</t>
  </si>
  <si>
    <t>Sharon Hill</t>
  </si>
  <si>
    <t>https://en.wikipedia.org/wiki/Committee_for_Skeptical_Inquiry</t>
  </si>
  <si>
    <t>Committee for Skeptical Inquiry</t>
  </si>
  <si>
    <t>https://en.wikipedia.org/wiki/The_Scientist_(magazine)</t>
  </si>
  <si>
    <t>The Scientist</t>
  </si>
  <si>
    <t>https://en.wikipedia.org/wiki/Park_ranger</t>
  </si>
  <si>
    <t>park ranger</t>
  </si>
  <si>
    <t>https://en.wikipedia.org/wiki/Comfort_zone</t>
  </si>
  <si>
    <t>comfort zone</t>
  </si>
  <si>
    <t>https://en.wikipedia.org/wiki/National_Park_Service</t>
  </si>
  <si>
    <t>National Park Service</t>
  </si>
  <si>
    <t>https://en.wikipedia.org/wiki/TikTok</t>
  </si>
  <si>
    <t>TikTok</t>
  </si>
  <si>
    <t>https://en.wikipedia.org/wiki/Data_scientist</t>
  </si>
  <si>
    <t>data scientist</t>
  </si>
  <si>
    <t>https://en.wikipedia.org/wiki/Podcast</t>
  </si>
  <si>
    <t>podcast</t>
  </si>
  <si>
    <t>https://en.wikipedia.org/wiki/SkeptiCamp</t>
  </si>
  <si>
    <t>SkeptiCamp</t>
  </si>
  <si>
    <t>CASE-0085</t>
  </si>
  <si>
    <t>List of executive actions by Joe Biden</t>
  </si>
  <si>
    <t>https://en.wikipedia.org/wiki/List_of_executive_actions_by_Joe_Biden</t>
  </si>
  <si>
    <t>https://en.wikipedia.org/wiki/Executive_Action</t>
  </si>
  <si>
    <t>Executive Action</t>
  </si>
  <si>
    <t>https://en.wikipedia.org/wiki/Joe_Biden</t>
  </si>
  <si>
    <t>Joe Biden</t>
  </si>
  <si>
    <t>https://en.wikipedia.org/wiki/Early_life_and_career_of_Joe_Biden</t>
  </si>
  <si>
    <t>Early life and career</t>
  </si>
  <si>
    <t>https://en.wikipedia.org/wiki/List_of_things_named_after_Joe_Biden</t>
  </si>
  <si>
    <t>Eponyms</t>
  </si>
  <si>
    <t>https://en.wikipedia.org/wiki/Family_of_Joe_Biden</t>
  </si>
  <si>
    <t>Family</t>
  </si>
  <si>
    <t>https://en.wikipedia.org/wiki/List_of_awards_and_honors_received_by_Joe_Biden</t>
  </si>
  <si>
    <t>Honors</t>
  </si>
  <si>
    <t>https://en.wikipedia.org/wiki/Public_image_of_Joe_Biden</t>
  </si>
  <si>
    <t>Public image</t>
  </si>
  <si>
    <t>https://en.wikipedia.org/wiki/Age_and_health_concerns_about_Joe_Biden</t>
  </si>
  <si>
    <t>Age and health concerns</t>
  </si>
  <si>
    <t>https://en.wikipedia.org/wiki/Saturday_Night_Live_parodies_of_Joe_Biden</t>
  </si>
  <si>
    <t>SNL parodies</t>
  </si>
  <si>
    <t>https://en.wikipedia.org/wiki/Joe_Biden_(The_Onion)</t>
  </si>
  <si>
    <t>The Onion parody</t>
  </si>
  <si>
    <t>https://en.wikipedia.org/wiki/Bibliography_of_Joe_Biden</t>
  </si>
  <si>
    <t>Bibliography</t>
  </si>
  <si>
    <t>https://en.wikipedia.org/wiki/US_Senate_career_of_Joe_Biden</t>
  </si>
  <si>
    <t>U.S. Senate career</t>
  </si>
  <si>
    <t>https://en.wikipedia.org/wiki/Senate_Judiciary_Committee</t>
  </si>
  <si>
    <t>Judiciary Committee</t>
  </si>
  <si>
    <t>https://en.wikipedia.org/wiki/Robert_Bork_Supreme_Court_nomination</t>
  </si>
  <si>
    <t>Bork hearings</t>
  </si>
  <si>
    <t>https://en.wikipedia.org/wiki/Clarence_Thomas_Supreme_Court_nomination</t>
  </si>
  <si>
    <t>Thomas hearings</t>
  </si>
  <si>
    <t>https://en.wikipedia.org/wiki/Violent_Crime_Control_and_Law_Enforcement_Act</t>
  </si>
  <si>
    <t>1994 Crime Bill</t>
  </si>
  <si>
    <t>https://en.wikipedia.org/wiki/Violence_Against_Women_Act</t>
  </si>
  <si>
    <t>Violence Against Women Act</t>
  </si>
  <si>
    <t>https://en.wikipedia.org/wiki/Senate_Foreign_Relations_Committee</t>
  </si>
  <si>
    <t>Foreign Relations Committee</t>
  </si>
  <si>
    <t>https://en.wikipedia.org/wiki/Electoral_history_of_Joe_Biden</t>
  </si>
  <si>
    <t>Elections</t>
  </si>
  <si>
    <t>CASE-0086</t>
  </si>
  <si>
    <t>https://en.wikipedia.org/wiki/Roswell_Daily_Record</t>
  </si>
  <si>
    <t>Roswell Daily Record</t>
  </si>
  <si>
    <t>https://en.wikipedia.org/wiki/Lincoln_County,_New_Mexico</t>
  </si>
  <si>
    <t>Lincoln County, New Mexico</t>
  </si>
  <si>
    <t>https://en.wikipedia.org/wiki/1947_flying_disc_craze</t>
  </si>
  <si>
    <t>1947 flying disc craze</t>
  </si>
  <si>
    <t>https://en.wikipedia.org/wiki/Kenneth_Arnold_UFO_sighting</t>
  </si>
  <si>
    <t>Kenneth Arnold</t>
  </si>
  <si>
    <t>https://en.wikipedia.org/wiki/Flight_105_UFO_sighting</t>
  </si>
  <si>
    <t>Flight 105</t>
  </si>
  <si>
    <t>https://en.wikipedia.org/wiki/Rhodes_UFO_photographs</t>
  </si>
  <si>
    <t>Rhodes photographs</t>
  </si>
  <si>
    <t>https://en.wikipedia.org/wiki/Twin_Falls_saucer_hoax</t>
  </si>
  <si>
    <t>Twin Falls hoax</t>
  </si>
  <si>
    <t>https://en.wikipedia.org/wiki/Maury_Island_incident</t>
  </si>
  <si>
    <t>Maury Island hoax</t>
  </si>
  <si>
    <t>https://en.wikipedia.org/wiki/Table_of_reports_during_the_1947_flying_disc_craze</t>
  </si>
  <si>
    <t>Table of reports</t>
  </si>
  <si>
    <t>https://en.wikipedia.org/wiki/Roswell_Army_Air_Field</t>
  </si>
  <si>
    <t>Roswell Army Air Field</t>
  </si>
  <si>
    <t>https://en.wikipedia.org/wiki/United_States_Army_Air_Forces</t>
  </si>
  <si>
    <t>United States Army Air Forces</t>
  </si>
  <si>
    <t>flying disc</t>
  </si>
  <si>
    <t>https://en.wikipedia.org/wiki/Military_balloon</t>
  </si>
  <si>
    <t>military balloon</t>
  </si>
  <si>
    <t>https://en.wikipedia.org/wiki/Alamogordo_Army_Air_Field</t>
  </si>
  <si>
    <t>Alamogordo Army Air Field</t>
  </si>
  <si>
    <t>https://en.wikipedia.org/wiki/Project_Mogul</t>
  </si>
  <si>
    <t>Project Mogul</t>
  </si>
  <si>
    <t>https://en.wikipedia.org/wiki/Soviet</t>
  </si>
  <si>
    <t>Soviet</t>
  </si>
  <si>
    <t>CASE-0087</t>
  </si>
  <si>
    <t>https://en.wikipedia.org/wiki/USS_Liberty</t>
  </si>
  <si>
    <t>https://en.wikipedia.org/wiki/List_of_ships_named_USS_Liberty</t>
  </si>
  <si>
    <t>List of ships named USS Liberty</t>
  </si>
  <si>
    <t>https://en.wikipedia.org/wiki/Chesapeake_Bay</t>
  </si>
  <si>
    <t>Chesapeake Bay</t>
  </si>
  <si>
    <t>https://en.wikipedia.org/wiki/Simmons_University</t>
  </si>
  <si>
    <t>Simmons College</t>
  </si>
  <si>
    <t>https://en.wikipedia.org/wiki/Boston</t>
  </si>
  <si>
    <t>Boston</t>
  </si>
  <si>
    <t>https://en.wikipedia.org/wiki/Pacific_Far_East_Line</t>
  </si>
  <si>
    <t>Pacific Far East Line</t>
  </si>
  <si>
    <t>https://en.wikipedia.org/wiki/Oregon_Shipbuilding_Corporation</t>
  </si>
  <si>
    <t>Oregon Shipbuilding Corp.</t>
  </si>
  <si>
    <t>https://en.wikipedia.org/wiki/Maritime_call_sign</t>
  </si>
  <si>
    <t>Callsign</t>
  </si>
  <si>
    <t>https://en.wikipedia.org/wiki/Norfolk,_Virginia</t>
  </si>
  <si>
    <t>Norfolk, Virginia</t>
  </si>
  <si>
    <t>https://en.wikipedia.org/wiki/5%22/38_caliber_gun</t>
  </si>
  <si>
    <t>5 in (127Â mm)/38 cal. gun</t>
  </si>
  <si>
    <t>https://en.wikipedia.org/wiki/3%22/50_caliber_gun</t>
  </si>
  <si>
    <t>3 in (76Â mm)/50 cal. gun</t>
  </si>
  <si>
    <t>https://en.wikipedia.org/wiki/Oerlikon_20_mm_cannon</t>
  </si>
  <si>
    <t>20 mm Oerlikon</t>
  </si>
  <si>
    <t>https://en.wikipedia.org/wiki/M2_Browning</t>
  </si>
  <si>
    <t>M2 Browning .50 caliber machine gun</t>
  </si>
  <si>
    <t>https://en.wikipedia.org/wiki/USS_Belmont_(AGTR-4)</t>
  </si>
  <si>
    <t>Belmont -class</t>
  </si>
  <si>
    <t>https://en.wikipedia.org/wiki/Technical_research_ship</t>
  </si>
  <si>
    <t>technical research ship</t>
  </si>
  <si>
    <t>https://en.wikipedia.org/wiki/Spying_ship</t>
  </si>
  <si>
    <t>spying ship</t>
  </si>
  <si>
    <t>https://en.wikipedia.org/wiki/USS_Liberty_incident</t>
  </si>
  <si>
    <t>coming under attack</t>
  </si>
  <si>
    <t>https://en.wikipedia.org/wiki/Israel_Defense_Forces</t>
  </si>
  <si>
    <t>Israel Defense Forces</t>
  </si>
  <si>
    <t>https://en.wikipedia.org/wiki/Six-Day_War</t>
  </si>
  <si>
    <t>Six-Day War</t>
  </si>
  <si>
    <t>CASE-0088</t>
  </si>
  <si>
    <t>1980 October Surprise theory</t>
  </si>
  <si>
    <t>https://en.wikipedia.org/wiki/1980_October_Surprise_theory</t>
  </si>
  <si>
    <t>https://en.wikipedia.org/wiki/October_surprise</t>
  </si>
  <si>
    <t>October surprise</t>
  </si>
  <si>
    <t>https://en.wikipedia.org/wiki/Ronald_Reagan</t>
  </si>
  <si>
    <t>Ronald Reagan</t>
  </si>
  <si>
    <t>https://en.wikipedia.org/wiki/Ronald_Reagan_1980_presidential_campaign</t>
  </si>
  <si>
    <t>presidential campaign</t>
  </si>
  <si>
    <t>https://en.wikipedia.org/wiki/Iran_hostage_crisis</t>
  </si>
  <si>
    <t>American hostages detained in Iran</t>
  </si>
  <si>
    <t>https://en.wikipedia.org/wiki/Embassy_of_the_United_States,_Tehran</t>
  </si>
  <si>
    <t>U.S. embassy in Tehran</t>
  </si>
  <si>
    <t>https://en.wikipedia.org/wiki/First_inauguration_of_Ronald_Reagan</t>
  </si>
  <si>
    <t>inaugurated as President</t>
  </si>
  <si>
    <t>https://en.wikipedia.org/wiki/United_States_Congress</t>
  </si>
  <si>
    <t>U.S. Congress</t>
  </si>
  <si>
    <t>https://en.wikipedia.org/wiki/Abulhassan_Banisadr</t>
  </si>
  <si>
    <t>Abulhassan Banisadr</t>
  </si>
  <si>
    <t>https://en.wikipedia.org/wiki/Ben_Barnes_(Texas_politician)</t>
  </si>
  <si>
    <t>Ben Barnes</t>
  </si>
  <si>
    <t>https://en.wikipedia.org/wiki/Office_of_Naval_Intelligence</t>
  </si>
  <si>
    <t>naval intelligence</t>
  </si>
  <si>
    <t>https://en.wikipedia.org/wiki/U.S._National_Security_Council</t>
  </si>
  <si>
    <t>U.S. National Security Council</t>
  </si>
  <si>
    <t>https://en.wikipedia.org/wiki/Gary_Sick</t>
  </si>
  <si>
    <t>Gary Sick</t>
  </si>
  <si>
    <t>https://en.wikipedia.org/wiki/Embassy_of_the_United_States_in_Tehran</t>
  </si>
  <si>
    <t>Embassy of the United States in Tehran</t>
  </si>
  <si>
    <t>https://en.wikipedia.org/wiki/Iran</t>
  </si>
  <si>
    <t>Iran</t>
  </si>
  <si>
    <t>https://en.wikipedia.org/wiki/Iranian_Revolution</t>
  </si>
  <si>
    <t>Iranian Revolution</t>
  </si>
  <si>
    <t>https://en.wikipedia.org/wiki/1980_United_States_presidential_election</t>
  </si>
  <si>
    <t>1980 presidential election</t>
  </si>
  <si>
    <t>https://en.wikipedia.org/wiki/Republican_Party_(United_States)</t>
  </si>
  <si>
    <t>Republican Party</t>
  </si>
  <si>
    <t>CASE-0089</t>
  </si>
  <si>
    <t>https://en.wikipedia.org/wiki/Phoenix_Lights</t>
  </si>
  <si>
    <t>https://en.wikipedia.org/wiki/Dark_Star_(film)</t>
  </si>
  <si>
    <t>Dark Star (film)</t>
  </si>
  <si>
    <t>https://en.wikipedia.org/wiki/USA_Today</t>
  </si>
  <si>
    <t>USA Today</t>
  </si>
  <si>
    <t>https://en.wikipedia.org/wiki/Unidentified_flying_object</t>
  </si>
  <si>
    <t>https://en.wikipedia.org/wiki/List_of_reported_UFO_sightings</t>
  </si>
  <si>
    <t>Notable sightings</t>
  </si>
  <si>
    <t>1947 wave</t>
  </si>
  <si>
    <t>https://en.wikipedia.org/wiki/1952_Washington,_D.C._UFO_incident</t>
  </si>
  <si>
    <t>1952 flap</t>
  </si>
  <si>
    <t>https://en.wikipedia.org/wiki/Barney_and_Betty_Hill_incident</t>
  </si>
  <si>
    <t>Barney and Betty Hill</t>
  </si>
  <si>
    <t>https://en.wikipedia.org/wiki/Belgian_UFO_wave</t>
  </si>
  <si>
    <t>Belgian wave</t>
  </si>
  <si>
    <t>https://en.wikipedia.org/wiki/Calvine_UFO_photograph</t>
  </si>
  <si>
    <t>Calvine photo</t>
  </si>
  <si>
    <t>https://en.wikipedia.org/wiki/Chiles-Whitted_UFO_encounter</t>
  </si>
  <si>
    <t>Chiles-Whitted</t>
  </si>
  <si>
    <t>https://en.wikipedia.org/wiki/Flatwoods_monster</t>
  </si>
  <si>
    <t>Flatwoods monster</t>
  </si>
  <si>
    <t>https://en.wikipedia.org/wiki/Gorman_dogfight</t>
  </si>
  <si>
    <t>Gorman dogfight</t>
  </si>
  <si>
    <t>Kenneth Arnold sighting</t>
  </si>
  <si>
    <t>https://en.wikipedia.org/wiki/Mantell_UFO_incident</t>
  </si>
  <si>
    <t>Mantell crash</t>
  </si>
  <si>
    <t>https://en.wikipedia.org/wiki/Mariana_UFO_film</t>
  </si>
  <si>
    <t>Mariana film</t>
  </si>
  <si>
    <t>https://en.wikipedia.org/wiki/McMinnville_UFO_photographs</t>
  </si>
  <si>
    <t>McMinnville photos</t>
  </si>
  <si>
    <t>https://en.wikipedia.org/wiki/Rendlesham_Forest_incident</t>
  </si>
  <si>
    <t>CASE-0090</t>
  </si>
  <si>
    <t>https://en.wikipedia.org/wiki/Club_of_Rome</t>
  </si>
  <si>
    <t>https://en.wikipedia.org/wiki/Aurelio_Peccei</t>
  </si>
  <si>
    <t>Aurelio Peccei</t>
  </si>
  <si>
    <t>https://en.wikipedia.org/wiki/Alexander_King_(scientist)</t>
  </si>
  <si>
    <t>Alexander King</t>
  </si>
  <si>
    <t>https://en.wikipedia.org/wiki/Hasan_%C3%96zbekhan</t>
  </si>
  <si>
    <t>Hasan Ã–zbekhan</t>
  </si>
  <si>
    <t>https://en.wikipedia.org/wiki/Alexander_Christakis</t>
  </si>
  <si>
    <t>Alexander Christakis</t>
  </si>
  <si>
    <t>https://en.wikipedia.org/wiki/Sandrine_Dixson-Decl%C3%A8ve</t>
  </si>
  <si>
    <t>Sandrine Dixson-DeclÃ¨ve</t>
  </si>
  <si>
    <t>https://en.wikipedia.org/wiki/Paul_Shrivastava</t>
  </si>
  <si>
    <t>Paul Shrivastava</t>
  </si>
  <si>
    <t>https://en.wikipedia.org/wiki/Non-profit_organisation</t>
  </si>
  <si>
    <t>Non-profit</t>
  </si>
  <si>
    <t>https://en.wikipedia.org/wiki/Non-governmental_organisation</t>
  </si>
  <si>
    <t>NGO</t>
  </si>
  <si>
    <t>https://en.wikipedia.org/wiki/Winterthur</t>
  </si>
  <si>
    <t>Winterthur</t>
  </si>
  <si>
    <t>https://en.wikipedia.org/wiki/Canton_Zurich</t>
  </si>
  <si>
    <t>Canton Zurich</t>
  </si>
  <si>
    <t>https://en.wikipedia.org/wiki/Global_warming</t>
  </si>
  <si>
    <t>Global warming</t>
  </si>
  <si>
    <t>https://en.wikipedia.org/wiki/Well-being</t>
  </si>
  <si>
    <t>well-being</t>
  </si>
  <si>
    <t>https://en.wikipedia.org/wiki/Humanitarian</t>
  </si>
  <si>
    <t>humanitarian</t>
  </si>
  <si>
    <t>https://en.wikipedia.org/wiki/Friedenspreis_des_Deutschen_Buchhandels</t>
  </si>
  <si>
    <t>Friedenspreis des Deutschen Buchhandels</t>
  </si>
  <si>
    <t>https://en.wikipedia.org/wiki/List_of_global_issues</t>
  </si>
  <si>
    <t>global issues</t>
  </si>
  <si>
    <t>https://en.wikipedia.org/wiki/Accademia_dei_Lincei</t>
  </si>
  <si>
    <t>Accademia dei Lincei</t>
  </si>
  <si>
    <t>https://en.wikipedia.org/wiki/Rome</t>
  </si>
  <si>
    <t>Rome</t>
  </si>
  <si>
    <t>https://en.wikipedia.org/wiki/The_Limits_to_Growth</t>
  </si>
  <si>
    <t>The Limits to Growth</t>
  </si>
  <si>
    <t>https://en.wikipedia.org/wiki/OECD</t>
  </si>
  <si>
    <t>OECD</t>
  </si>
  <si>
    <t>CASE-0091</t>
  </si>
  <si>
    <t>https://en.wikipedia.org/wiki/Tuskegee_Syphilis_Study</t>
  </si>
  <si>
    <t>https://en.wikipedia.org/wiki/Tuskegee_Experiments_(album)</t>
  </si>
  <si>
    <t>Tuskegee Experiments (album)</t>
  </si>
  <si>
    <t>https://en.wikipedia.org/wiki/Tuskegee,_Alabama</t>
  </si>
  <si>
    <t>Tuskegee, Alabama</t>
  </si>
  <si>
    <t>https://en.wikipedia.org/wiki/United_States_Public_Health_Service</t>
  </si>
  <si>
    <t>U.S. Public Health Service</t>
  </si>
  <si>
    <t>https://en.wikipedia.org/wiki/Centers_for_Disease_Control_and_Prevention</t>
  </si>
  <si>
    <t>Centers for Disease Control and Prevention</t>
  </si>
  <si>
    <t>https://en.wikipedia.org/wiki/African_American</t>
  </si>
  <si>
    <t>African American</t>
  </si>
  <si>
    <t>https://en.wikipedia.org/wiki/Syphilis</t>
  </si>
  <si>
    <t>syphilis</t>
  </si>
  <si>
    <t>https://en.wikipedia.org/wiki/Control_group</t>
  </si>
  <si>
    <t>control group</t>
  </si>
  <si>
    <t>https://en.wikipedia.org/wiki/Autopsy</t>
  </si>
  <si>
    <t>autopsy</t>
  </si>
  <si>
    <t>https://en.wikipedia.org/wiki/Penicillin</t>
  </si>
  <si>
    <t>penicillin</t>
  </si>
  <si>
    <t>https://en.wikipedia.org/wiki/Tuskegee_University</t>
  </si>
  <si>
    <t>Tuskegee University</t>
  </si>
  <si>
    <t>https://en.wikipedia.org/wiki/Historically_black_colleges_and_universities</t>
  </si>
  <si>
    <t>historically Black college</t>
  </si>
  <si>
    <t>https://en.wikipedia.org/wiki/Sharecropper</t>
  </si>
  <si>
    <t>sharecroppers</t>
  </si>
  <si>
    <t>https://en.wikipedia.org/wiki/Macon_County,_Alabama</t>
  </si>
  <si>
    <t>Macon County, Alabama</t>
  </si>
  <si>
    <t>https://en.wikipedia.org/wiki/Latent_syphilis</t>
  </si>
  <si>
    <t>latent syphilis</t>
  </si>
  <si>
    <t>https://en.wikipedia.org/wiki/Placebo</t>
  </si>
  <si>
    <t>placebos</t>
  </si>
  <si>
    <t>https://en.wikipedia.org/wiki/Diagnostic_procedures</t>
  </si>
  <si>
    <t>diagnostic procedures</t>
  </si>
  <si>
    <t>https://en.wikipedia.org/wiki/Lumbar_puncture</t>
  </si>
  <si>
    <t>lumbar punctures</t>
  </si>
  <si>
    <t>https://en.wikipedia.org/wiki/Congenital_syphilis</t>
  </si>
  <si>
    <t>congenital syphilis</t>
  </si>
  <si>
    <t>https://en.wikipedia.org/wiki/Medical_ethics</t>
  </si>
  <si>
    <t>ethical standards</t>
  </si>
  <si>
    <t>CASE-0092</t>
  </si>
  <si>
    <t>Project Artichoke</t>
  </si>
  <si>
    <t>https://en.wikipedia.org/wiki/Project_Artichoke</t>
  </si>
  <si>
    <t>https://en.wikipedia.org/wiki/Interrogation</t>
  </si>
  <si>
    <t>interrogation</t>
  </si>
  <si>
    <t>https://en.wikipedia.org/wiki/Office_of_Scientific_Intelligence</t>
  </si>
  <si>
    <t>Office of Scientific Intelligence</t>
  </si>
  <si>
    <t>https://en.wikipedia.org/wiki/Substance_dependence</t>
  </si>
  <si>
    <t>addiction</t>
  </si>
  <si>
    <t>https://en.wikipedia.org/wiki/Drug_withdrawal</t>
  </si>
  <si>
    <t>withdrawal</t>
  </si>
  <si>
    <t>https://en.wikipedia.org/wiki/Morphine</t>
  </si>
  <si>
    <t>morphine</t>
  </si>
  <si>
    <t>https://en.wikipedia.org/wiki/Lysergic_acid_diethylamide</t>
  </si>
  <si>
    <t>LSD</t>
  </si>
  <si>
    <t>https://en.wikipedia.org/wiki/Amnesia</t>
  </si>
  <si>
    <t>amnesia</t>
  </si>
  <si>
    <t>Army</t>
  </si>
  <si>
    <t>Navy</t>
  </si>
  <si>
    <t>https://en.wikipedia.org/wiki/United_States_Air_Force</t>
  </si>
  <si>
    <t>Air Force</t>
  </si>
  <si>
    <t>https://en.wikipedia.org/wiki/Self-preservation</t>
  </si>
  <si>
    <t>self-preservation</t>
  </si>
  <si>
    <t>https://en.wikipedia.org/wiki/Cocaine</t>
  </si>
  <si>
    <t>cocaine</t>
  </si>
  <si>
    <t>https://en.wikipedia.org/wiki/Marijuana</t>
  </si>
  <si>
    <t>marijuana</t>
  </si>
  <si>
    <t>https://en.wikipedia.org/wiki/Heroin</t>
  </si>
  <si>
    <t>heroin</t>
  </si>
  <si>
    <t>https://en.wikipedia.org/wiki/Peyote</t>
  </si>
  <si>
    <t>peyote</t>
  </si>
  <si>
    <t>CASE-0093</t>
  </si>
  <si>
    <t>https://en.wikipedia.org/wiki/Lavon_Affair</t>
  </si>
  <si>
    <t>https://en.wikipedia.org/wiki/Pinhas_Lavon</t>
  </si>
  <si>
    <t>Pinhas Lavon</t>
  </si>
  <si>
    <t>Covert</t>
  </si>
  <si>
    <t>https://en.wikipedia.org/wiki/Republic_of_Egypt_(1953)</t>
  </si>
  <si>
    <t>Egypt</t>
  </si>
  <si>
    <t>https://en.wikipedia.org/wiki/Military_Intelligence_Directorate_(Israel)</t>
  </si>
  <si>
    <t>Israeli Military Intelligence</t>
  </si>
  <si>
    <t>https://en.wikipedia.org/wiki/Israel%E2%80%93United_Kingdom_relations</t>
  </si>
  <si>
    <t>Israelâ€“United Kingdom relations</t>
  </si>
  <si>
    <t>https://en.wikipedia.org/wiki/Israel%E2%80%93United_States_relations</t>
  </si>
  <si>
    <t>Israelâ€“United States relations</t>
  </si>
  <si>
    <t>https://en.wikipedia.org/wiki/Egypt</t>
  </si>
  <si>
    <t>https://en.wikipedia.org/wiki/Egyptian_Jews</t>
  </si>
  <si>
    <t>Egyptian Jews</t>
  </si>
  <si>
    <t>https://en.wikipedia.org/wiki/Israeli_military_intelligence</t>
  </si>
  <si>
    <t>Israeli military intelligence</t>
  </si>
  <si>
    <t>https://en.wikipedia.org/wiki/Muslim_Brotherhood</t>
  </si>
  <si>
    <t>Muslim Brotherhood</t>
  </si>
  <si>
    <t>https://en.wikipedia.org/wiki/Communists</t>
  </si>
  <si>
    <t>communists</t>
  </si>
  <si>
    <t>https://en.wikipedia.org/wiki/Suez_Canal</t>
  </si>
  <si>
    <t>Suez Canal</t>
  </si>
  <si>
    <t>https://en.wikipedia.org/wiki/Moshe_Katsav</t>
  </si>
  <si>
    <t>Moshe Katsav</t>
  </si>
  <si>
    <t>https://en.wikipedia.org/wiki/Egyptian_nationalism</t>
  </si>
  <si>
    <t>Egyptian nationalism</t>
  </si>
  <si>
    <t>https://en.wikipedia.org/wiki/President_of_Egypt</t>
  </si>
  <si>
    <t>Egyptian president</t>
  </si>
  <si>
    <t>https://en.wikipedia.org/wiki/Gamal_Abdel_Nasser</t>
  </si>
  <si>
    <t>Gamal Abdel Nasser</t>
  </si>
  <si>
    <t>https://en.wikipedia.org/wiki/Binyamin_Gibli</t>
  </si>
  <si>
    <t>Binyamin Gibli</t>
  </si>
  <si>
    <t>CASE-0094</t>
  </si>
  <si>
    <t>Fractional-reserve banking</t>
  </si>
  <si>
    <t>https://en.wikipedia.org/wiki/Fractional-reserve_banking</t>
  </si>
  <si>
    <t>https://en.wikipedia.org/wiki/Financial_services</t>
  </si>
  <si>
    <t>financial services</t>
  </si>
  <si>
    <t>https://en.wikipedia.org/wiki/Bank</t>
  </si>
  <si>
    <t>Banking</t>
  </si>
  <si>
    <t>https://en.wikipedia.org/wiki/Bank_of_Amsterdam</t>
  </si>
  <si>
    <t>Bank of Amsterdam</t>
  </si>
  <si>
    <t>https://en.wikipedia.org/wiki/Full-reserve_banking</t>
  </si>
  <si>
    <t>full-reserve bank</t>
  </si>
  <si>
    <t>https://en.wikipedia.org/wiki/Advising_bank</t>
  </si>
  <si>
    <t>Advising</t>
  </si>
  <si>
    <t>https://en.wikipedia.org/wiki/Banq</t>
  </si>
  <si>
    <t>Banq</t>
  </si>
  <si>
    <t>https://en.wikipedia.org/wiki/Bulge_bracket</t>
  </si>
  <si>
    <t>Bulge bracket</t>
  </si>
  <si>
    <t>https://en.wikipedia.org/wiki/Central_bank</t>
  </si>
  <si>
    <t>Central</t>
  </si>
  <si>
    <t>https://en.wikipedia.org/wiki/Commercial_bank</t>
  </si>
  <si>
    <t>Commercial</t>
  </si>
  <si>
    <t>https://en.wikipedia.org/wiki/Community_development_bank</t>
  </si>
  <si>
    <t>Community development</t>
  </si>
  <si>
    <t>https://en.wikipedia.org/wiki/Cooperative_banking</t>
  </si>
  <si>
    <t>Cooperative</t>
  </si>
  <si>
    <t>https://en.wikipedia.org/wiki/Credit_union</t>
  </si>
  <si>
    <t>Credit union</t>
  </si>
  <si>
    <t>https://en.wikipedia.org/wiki/Custodian_bank</t>
  </si>
  <si>
    <t>Custodian</t>
  </si>
  <si>
    <t>https://en.wikipedia.org/wiki/Depository_bank</t>
  </si>
  <si>
    <t>Depository</t>
  </si>
  <si>
    <t>https://en.wikipedia.org/wiki/Development_finance_institution</t>
  </si>
  <si>
    <t>Development</t>
  </si>
  <si>
    <t>https://en.wikipedia.org/wiki/Direct_bank</t>
  </si>
  <si>
    <t>https://en.wikipedia.org/wiki/Export_credit_agency</t>
  </si>
  <si>
    <t>Export credit agency</t>
  </si>
  <si>
    <t>https://en.wikipedia.org/wiki/Investment_banking</t>
  </si>
  <si>
    <t>Investment</t>
  </si>
  <si>
    <t>https://en.wikipedia.org/wiki/Industrial_loan_company</t>
  </si>
  <si>
    <t>Industrial</t>
  </si>
  <si>
    <t>CASE-0095</t>
  </si>
  <si>
    <t>https://en.wikipedia.org/wiki/Suffolk</t>
  </si>
  <si>
    <t>Suffolk</t>
  </si>
  <si>
    <t>https://en.wikipedia.org/wiki/Rendlesham_Forest</t>
  </si>
  <si>
    <t>https://en.wikipedia.org/wiki/RAF_Woodbridge</t>
  </si>
  <si>
    <t>RAF Woodbridge</t>
  </si>
  <si>
    <t>United States Air Force</t>
  </si>
  <si>
    <t>https://en.wikipedia.org/wiki/Charles_I._Halt</t>
  </si>
  <si>
    <t>Charles I. Halt</t>
  </si>
  <si>
    <t>https://en.wikipedia.org/wiki/Roswell_UFO_incident</t>
  </si>
  <si>
    <t>Roswell UFO incident</t>
  </si>
  <si>
    <t>https://en.wikipedia.org/wiki/Ministry_of_Defence_(United_Kingdom)</t>
  </si>
  <si>
    <t>Ministry of Defence</t>
  </si>
  <si>
    <t>https://en.wikipedia.org/wiki/Fireball_(meteor)</t>
  </si>
  <si>
    <t>fireball</t>
  </si>
  <si>
    <t>https://en.wikipedia.org/wiki/Orfordness_Lighthouse</t>
  </si>
  <si>
    <t>Orfordness Lighthouse</t>
  </si>
  <si>
    <t>https://en.wikipedia.org/wiki/Meteoroid</t>
  </si>
  <si>
    <t>natural debris</t>
  </si>
  <si>
    <t>https://en.wikipedia.org/wiki/Forestry_Commission</t>
  </si>
  <si>
    <t>Forestry Commission</t>
  </si>
  <si>
    <t>https://en.wikipedia.org/wiki/Ipswich</t>
  </si>
  <si>
    <t>Ipswich</t>
  </si>
  <si>
    <t>https://en.wikipedia.org/wiki/RAF_Bentwaters</t>
  </si>
  <si>
    <t>RAF Bentwaters</t>
  </si>
  <si>
    <t>https://en.wikipedia.org/wiki/Gordon_E._Williams</t>
  </si>
  <si>
    <t>Gordon E. Williams</t>
  </si>
  <si>
    <t>https://en.wikipedia.org/wiki/Colonel_(United_States)</t>
  </si>
  <si>
    <t>Colonel</t>
  </si>
  <si>
    <t>https://en.wikipedia.org/wiki/Lieutenant_colonel_(United_States)</t>
  </si>
  <si>
    <t>Lieutenant Colonel</t>
  </si>
  <si>
    <t>https://en.wikipedia.org/wiki/Freedom_of_Information_Act_(United_States)</t>
  </si>
  <si>
    <t>U.S. Freedom of Information Act</t>
  </si>
  <si>
    <t>CASE-0096</t>
  </si>
  <si>
    <t>Seven seals</t>
  </si>
  <si>
    <t>https://en.wikipedia.org/wiki/Seven_seals</t>
  </si>
  <si>
    <t>https://en.wikipedia.org/wiki/Seven_seals_(disambiguation)</t>
  </si>
  <si>
    <t>Seven seals (disambiguation)</t>
  </si>
  <si>
    <t>https://en.wikipedia.org/wiki/Lamb_of_God</t>
  </si>
  <si>
    <t>Lamb</t>
  </si>
  <si>
    <t>https://en.wikipedia.org/wiki/Seal_(emblem)#Impression</t>
  </si>
  <si>
    <t>seals</t>
  </si>
  <si>
    <t>https://en.wikipedia.org/wiki/Greek_language</t>
  </si>
  <si>
    <t>Four Horsemen</t>
  </si>
  <si>
    <t>https://en.wikipedia.org/wiki/Martyrs</t>
  </si>
  <si>
    <t>martyrs</t>
  </si>
  <si>
    <t>plagues</t>
  </si>
  <si>
    <t>https://en.wikipedia.org/wiki/Storms</t>
  </si>
  <si>
    <t>storms</t>
  </si>
  <si>
    <t>https://en.wikipedia.org/wiki/Seven_trumpets</t>
  </si>
  <si>
    <t>seven angelic trumpeters</t>
  </si>
  <si>
    <t>https://en.wikipedia.org/wiki/Seven_bowls</t>
  </si>
  <si>
    <t>seven bowl</t>
  </si>
  <si>
    <t>https://en.wikipedia.org/wiki/Julius_Schnorr_von_Carolsfeld</t>
  </si>
  <si>
    <t>Julius Schnorr von Carolsfeld</t>
  </si>
  <si>
    <t>CASE-0097</t>
  </si>
  <si>
    <t>https://en.wikipedia.org/wiki/Four_Horsemen_of_the_Apocalypse_(disambiguation)</t>
  </si>
  <si>
    <t>Four Horsemen of the Apocalypse (disambiguation)</t>
  </si>
  <si>
    <t>https://en.wikipedia.org/wiki/Horsemen_of_Apocalypse</t>
  </si>
  <si>
    <t>Horsemen of Apocalypse</t>
  </si>
  <si>
    <t>https://en.wikipedia.org/wiki/Four_Horsemen_of_the_Apocalypse_(painting)</t>
  </si>
  <si>
    <t>https://en.wikipedia.org/wiki/Viktor_Vasnetsov</t>
  </si>
  <si>
    <t>Viktor Vasnetsov</t>
  </si>
  <si>
    <t>https://en.wikipedia.org/wiki/Personifications_of_death</t>
  </si>
  <si>
    <t>Death</t>
  </si>
  <si>
    <t>https://en.wikipedia.org/wiki/Famine</t>
  </si>
  <si>
    <t>Famine</t>
  </si>
  <si>
    <t>https://en.wikipedia.org/wiki/Conquest</t>
  </si>
  <si>
    <t>Conquest</t>
  </si>
  <si>
    <t>https://en.wikipedia.org/wiki/Marcin_Kitz</t>
  </si>
  <si>
    <t>Marcin Kitz</t>
  </si>
  <si>
    <t>https://en.wikipedia.org/wiki/Christian_cross</t>
  </si>
  <si>
    <t>Jesus</t>
  </si>
  <si>
    <t>https://en.wikipedia.org/wiki/Nativity_of_Jesus</t>
  </si>
  <si>
    <t>Nativity</t>
  </si>
  <si>
    <t>https://en.wikipedia.org/wiki/Baptism_of_Jesus</t>
  </si>
  <si>
    <t>Baptism</t>
  </si>
  <si>
    <t>https://en.wikipedia.org/wiki/Ministry_of_Jesus</t>
  </si>
  <si>
    <t>Ministry</t>
  </si>
  <si>
    <t>https://en.wikipedia.org/wiki/Crucifixion_of_Jesus</t>
  </si>
  <si>
    <t>Crucifixion</t>
  </si>
  <si>
    <t>https://en.wikipedia.org/wiki/Resurrection_of_Jesus</t>
  </si>
  <si>
    <t>Resurrection</t>
  </si>
  <si>
    <t>CASE-0098</t>
  </si>
  <si>
    <t>Black budget</t>
  </si>
  <si>
    <t>https://en.wikipedia.org/wiki/Black_budget</t>
  </si>
  <si>
    <t>https://en.wikipedia.org/wiki/Black_Budget_(New_Zealand)</t>
  </si>
  <si>
    <t>Black Budget (New Zealand)</t>
  </si>
  <si>
    <t>https://en.wikipedia.org/wiki/Government_budget</t>
  </si>
  <si>
    <t>government budget</t>
  </si>
  <si>
    <t>https://en.wikipedia.org/wiki/Military_science</t>
  </si>
  <si>
    <t>military research</t>
  </si>
  <si>
    <t>covert operations</t>
  </si>
  <si>
    <t>https://en.wikipedia.org/wiki/Military_budget_of_the_United_States</t>
  </si>
  <si>
    <t>military budget</t>
  </si>
  <si>
    <t>https://en.wikipedia.org/wiki/Boulevard_Mortier</t>
  </si>
  <si>
    <t>Boulevard Mortier</t>
  </si>
  <si>
    <t>https://en.wikipedia.org/wiki/Directorate-General_for_External_Security</t>
  </si>
  <si>
    <t>DGSE</t>
  </si>
  <si>
    <t>https://en.wikipedia.org/wiki/Congress_of_the_Philippines</t>
  </si>
  <si>
    <t>Congress of the Philippines</t>
  </si>
  <si>
    <t>https://en.wikipedia.org/wiki/Department_of_Budget_and_Management_(Philippines)</t>
  </si>
  <si>
    <t>Department of Budget and Management</t>
  </si>
  <si>
    <t>https://en.wikipedia.org/wiki/Department_of_Interior_and_Local_Government</t>
  </si>
  <si>
    <t>Department of Interior and Local Government</t>
  </si>
  <si>
    <t>https://en.wikipedia.org/wiki/Department_of_National_Defense_(Philippines)</t>
  </si>
  <si>
    <t>Department of National Defense</t>
  </si>
  <si>
    <t>https://en.wikipedia.org/wiki/Governance_Commission_for_GOCCs</t>
  </si>
  <si>
    <t>Governance Commission for GOCCs</t>
  </si>
  <si>
    <t>https://en.wikipedia.org/wiki/Commission_on_Audit_(Philippines)</t>
  </si>
  <si>
    <t>Commission on Audit</t>
  </si>
  <si>
    <t>https://en.wikipedia.org/wiki/Commission_on_Audit</t>
  </si>
  <si>
    <t>https://en.wikipedia.org/wiki/Office_of_the_President_of_the_Philippines</t>
  </si>
  <si>
    <t>Office of the President of the Philippines</t>
  </si>
  <si>
    <t>https://en.wikipedia.org/wiki/Office_of_the_Vice_President_of_the_Philippines</t>
  </si>
  <si>
    <t>Office of the Vice President of the Philippines</t>
  </si>
  <si>
    <t>https://en.wikipedia.org/wiki/Sara_Duterte</t>
  </si>
  <si>
    <t>Sara Duterte</t>
  </si>
  <si>
    <t>https://en.wikipedia.org/wiki/Impeachment_of_Sara_Duterte</t>
  </si>
  <si>
    <t>impeachment</t>
  </si>
  <si>
    <t>https://en.wikipedia.org/wiki/Federal_budget_of_Russia</t>
  </si>
  <si>
    <t>Russian federal budget</t>
  </si>
  <si>
    <t>CASE-0099</t>
  </si>
  <si>
    <t>https://en.wikipedia.org/wiki/Satanic_panic</t>
  </si>
  <si>
    <t>https://en.wikipedia.org/wiki/Religious_abuse</t>
  </si>
  <si>
    <t>Religious abuse</t>
  </si>
  <si>
    <t>https://en.wikipedia.org/wiki/Satanic_panic_(disambiguation)</t>
  </si>
  <si>
    <t>Satanic panic (disambiguation)</t>
  </si>
  <si>
    <t>https://en.wikipedia.org/wiki/Michelle_Remembers</t>
  </si>
  <si>
    <t>Michelle Remembers</t>
  </si>
  <si>
    <t>https://en.wikipedia.org/wiki/Lawrence_Pazder</t>
  </si>
  <si>
    <t>Lawrence Pazder</t>
  </si>
  <si>
    <t>https://en.wikipedia.org/wiki/Recovered-memory_therapy</t>
  </si>
  <si>
    <t>recovered-memory therapy</t>
  </si>
  <si>
    <t>https://en.wikipedia.org/wiki/Physical_abuse</t>
  </si>
  <si>
    <t>physical</t>
  </si>
  <si>
    <t>https://en.wikipedia.org/wiki/Child_sexual_abuse</t>
  </si>
  <si>
    <t>sexual abuse</t>
  </si>
  <si>
    <t>https://en.wikipedia.org/wiki/Occult</t>
  </si>
  <si>
    <t>occult</t>
  </si>
  <si>
    <t>conspiracy</t>
  </si>
  <si>
    <t>https://en.wikipedia.org/wiki/Elite</t>
  </si>
  <si>
    <t>elite</t>
  </si>
  <si>
    <t>https://en.wikipedia.org/wiki/Child_sacrifice</t>
  </si>
  <si>
    <t>https://en.wikipedia.org/wiki/Child_pornography</t>
  </si>
  <si>
    <t>pornography</t>
  </si>
  <si>
    <t>https://en.wikipedia.org/wiki/Child_prostitution</t>
  </si>
  <si>
    <t>prostitution</t>
  </si>
  <si>
    <t>https://en.wikipedia.org/wiki/Psychotherapy</t>
  </si>
  <si>
    <t>psychotherapy</t>
  </si>
  <si>
    <t>https://en.wikipedia.org/wiki/Secularized</t>
  </si>
  <si>
    <t>secularized</t>
  </si>
  <si>
    <t>CASE-0100</t>
  </si>
  <si>
    <t>2025 Bilderberg Conference</t>
  </si>
  <si>
    <t>https://en.wikipedia.org/wiki/2025_Bilderberg_Conference</t>
  </si>
  <si>
    <t>https://en.wikipedia.org/wiki/Stockholm</t>
  </si>
  <si>
    <t>Stockholm</t>
  </si>
  <si>
    <t>https://en.wikipedia.org/wiki/Grand_H%C3%B4tel_(Stockholm)</t>
  </si>
  <si>
    <t>Grand HÃ´tel</t>
  </si>
  <si>
    <t>https://en.wikipedia.org/wiki/2024_Bilderberg_Conference</t>
  </si>
  <si>
    <t>2024 Bilderberg Conference</t>
  </si>
  <si>
    <t>https://en.wikipedia.org/wiki/List_of_Bilderberg_meetings</t>
  </si>
  <si>
    <t>71st edition</t>
  </si>
  <si>
    <t>https://en.wikipedia.org/wiki/Bilderberg_Group</t>
  </si>
  <si>
    <t>https://en.wikipedia.org/wiki/1954_Bilderberg_Conference</t>
  </si>
  <si>
    <t>https://en.wikipedia.org/wiki/Bilderberg_meeting#Organizational_structure</t>
  </si>
  <si>
    <t>steering committee</t>
  </si>
  <si>
    <t>https://en.wikipedia.org/wiki/CEOs</t>
  </si>
  <si>
    <t>CEOs</t>
  </si>
  <si>
    <t>https://en.wikipedia.org/wiki/National_security</t>
  </si>
  <si>
    <t>national security experts</t>
  </si>
  <si>
    <t>https://en.wikipedia.org/wiki/Academic_staff</t>
  </si>
  <si>
    <t>academics</t>
  </si>
  <si>
    <t>https://en.wikipedia.org/wiki/Protest</t>
  </si>
  <si>
    <t>public demonstrations</t>
  </si>
  <si>
    <t>https://en.wikipedia.org/wiki/Norrmalm_Square</t>
  </si>
  <si>
    <t>Norrmalm Square</t>
  </si>
  <si>
    <t>https://en.wikipedia.org/wiki/Transatlantic_relations</t>
  </si>
  <si>
    <t>Transatlantic Relationship</t>
  </si>
  <si>
    <t>https://en.wikipedia.org/wiki/Economy_of_the_United_States</t>
  </si>
  <si>
    <t>US Economy</t>
  </si>
  <si>
    <t>https://en.wikipedia.org/wiki/AI</t>
  </si>
  <si>
    <t>AI</t>
  </si>
  <si>
    <t>https://en.wikipedia.org/wiki/Depopulation</t>
  </si>
  <si>
    <t>Depopulation</t>
  </si>
  <si>
    <t>CASE-0101</t>
  </si>
  <si>
    <t>New World Order conspiracy theory</t>
  </si>
  <si>
    <t>https://en.wikipedia.org/wiki/New_World_Order_conspiracy_theory</t>
  </si>
  <si>
    <t>https://en.wikipedia.org/wiki/New_world_order_(politics)</t>
  </si>
  <si>
    <t>New world order (politics)</t>
  </si>
  <si>
    <t>https://en.wikipedia.org/wiki/Great_Seal_of_the_United_States</t>
  </si>
  <si>
    <t>Great Seal of the United States</t>
  </si>
  <si>
    <t>https://en.wikipedia.org/wiki/Novus_ordo_seclorum</t>
  </si>
  <si>
    <t>novus ordo seclorum</t>
  </si>
  <si>
    <t>https://en.wikipedia.org/wiki/U.S._one-dollar_bill</t>
  </si>
  <si>
    <t>U.S. one-dollar bill</t>
  </si>
  <si>
    <t>https://en.wikipedia.org/wiki/Totalitarian</t>
  </si>
  <si>
    <t>totalitarian</t>
  </si>
  <si>
    <t>https://en.wikipedia.org/wiki/Shadow_government_(conspiracy_theory)</t>
  </si>
  <si>
    <t>secretive</t>
  </si>
  <si>
    <t>https://en.wikipedia.org/wiki/Globalism</t>
  </si>
  <si>
    <t>globalist</t>
  </si>
  <si>
    <t>https://en.wikipedia.org/wiki/World_domination</t>
  </si>
  <si>
    <t>rule the world</t>
  </si>
  <si>
    <t>https://en.wikipedia.org/wiki/Authoritarianism</t>
  </si>
  <si>
    <t>authoritarian</t>
  </si>
  <si>
    <t>https://en.wikipedia.org/wiki/Nation-states</t>
  </si>
  <si>
    <t>nation-states</t>
  </si>
  <si>
    <t>https://en.wikipedia.org/wiki/End_of_history</t>
  </si>
  <si>
    <t>culmination of history's progress</t>
  </si>
  <si>
    <t>https://en.wikipedia.org/wiki/Front_organization</t>
  </si>
  <si>
    <t>front organizations</t>
  </si>
  <si>
    <t>https://en.wikipedia.org/wiki/Crisis</t>
  </si>
  <si>
    <t>crises</t>
  </si>
  <si>
    <t>https://en.wikipedia.org/wiki/Countercultures</t>
  </si>
  <si>
    <t>countercultures</t>
  </si>
  <si>
    <t>https://en.wikipedia.org/wiki/Fundamentalist_Christianity</t>
  </si>
  <si>
    <t>fundamentalist Christianity</t>
  </si>
  <si>
    <t>CASE-0102</t>
  </si>
  <si>
    <t>Shadow government</t>
  </si>
  <si>
    <t>https://en.wikipedia.org/wiki/Shadow_government</t>
  </si>
  <si>
    <t>https://en.wikipedia.org/wiki/Shadow_cabinet</t>
  </si>
  <si>
    <t>Shadow cabinet</t>
  </si>
  <si>
    <t>https://en.wikipedia.org/wiki/Government-in-exile</t>
  </si>
  <si>
    <t>government-in-exile</t>
  </si>
  <si>
    <t>https://en.wikipedia.org/wiki/Shadow_government_(conspiracy)</t>
  </si>
  <si>
    <t>Shadow government (conspiracy)</t>
  </si>
  <si>
    <t>https://en.wikipedia.org/wiki/Cloud_Ten_Pictures</t>
  </si>
  <si>
    <t>Cloud Ten Pictures</t>
  </si>
  <si>
    <t>https://en.wikipedia.org/wiki/The_Else</t>
  </si>
  <si>
    <t>The Else</t>
  </si>
  <si>
    <t>https://en.wikipedia.org/wiki/Morning_Sedition</t>
  </si>
  <si>
    <t>Morning Sedition</t>
  </si>
  <si>
    <t>https://en.wikipedia.org/wiki/The_Shadow_of_Government</t>
  </si>
  <si>
    <t>The Shadow of Government</t>
  </si>
  <si>
    <t>https://en.wikipedia.org/wiki/Shadow_Government_Statistics</t>
  </si>
  <si>
    <t>Shadow Government Statistics</t>
  </si>
  <si>
    <t>https://en.wikipedia.org/wiki/Smoke-filled_room</t>
  </si>
  <si>
    <t>Smoke-filled room</t>
  </si>
  <si>
    <t>CASE-0103</t>
  </si>
  <si>
    <t>CASE-0104</t>
  </si>
  <si>
    <t>https://en.wikipedia.org/wiki/Project_Blue_Book</t>
  </si>
  <si>
    <t>https://en.wikipedia.org/wiki/Project_Blue_Book_(TV_series)</t>
  </si>
  <si>
    <t>Project Blue Book (TV series)</t>
  </si>
  <si>
    <t>https://en.wikipedia.org/wiki/Edward_J._Ruppelt</t>
  </si>
  <si>
    <t>Edward J. Ruppelt</t>
  </si>
  <si>
    <t>https://en.wikipedia.org/wiki/Hector_Quintanilla</t>
  </si>
  <si>
    <t>Hector Quintanilla</t>
  </si>
  <si>
    <t>CASE-0105</t>
  </si>
  <si>
    <t>Transhumanism</t>
  </si>
  <si>
    <t>https://en.wikipedia.org/wiki/Transhumanism</t>
  </si>
  <si>
    <t>https://en.wikipedia.org/wiki/Posthumanism</t>
  </si>
  <si>
    <t>Posthumanism</t>
  </si>
  <si>
    <t>https://en.wikipedia.org/wiki/Transhumance</t>
  </si>
  <si>
    <t>Transhumance</t>
  </si>
  <si>
    <t>https://en.wikipedia.org/wiki/Transgender</t>
  </si>
  <si>
    <t>Transgender</t>
  </si>
  <si>
    <t>https://en.wikipedia.org/wiki/Accelerating_change</t>
  </si>
  <si>
    <t>Accelerating change</t>
  </si>
  <si>
    <t>https://en.wikipedia.org/wiki/Eradication_of_suffering</t>
  </si>
  <si>
    <t>Eradication of suffering</t>
  </si>
  <si>
    <t>https://en.wikipedia.org/wiki/Human_enhancement</t>
  </si>
  <si>
    <t>Human enhancement</t>
  </si>
  <si>
    <t>https://en.wikipedia.org/wiki/Human_genetic_enhancement</t>
  </si>
  <si>
    <t>Genetic</t>
  </si>
  <si>
    <t>https://en.wikipedia.org/wiki/Moral_enhancement</t>
  </si>
  <si>
    <t>Moral</t>
  </si>
  <si>
    <t>https://en.wikipedia.org/wiki/Neuroenhancement</t>
  </si>
  <si>
    <t>Neuro-</t>
  </si>
  <si>
    <t>https://en.wikipedia.org/wiki/Cognitive_liberty</t>
  </si>
  <si>
    <t>Cognitive liberty</t>
  </si>
  <si>
    <t>https://en.wikipedia.org/wiki/New_eugenics</t>
  </si>
  <si>
    <t>New eugenics</t>
  </si>
  <si>
    <t>https://en.wikipedia.org/wiki/Eugenics</t>
  </si>
  <si>
    <t>Eugenics</t>
  </si>
  <si>
    <t>https://en.wikipedia.org/wiki/Human_nature</t>
  </si>
  <si>
    <t>Human nature</t>
  </si>
  <si>
    <t>https://en.wikipedia.org/wiki/Meliorism</t>
  </si>
  <si>
    <t>Meliorism</t>
  </si>
  <si>
    <t>https://en.wikipedia.org/wiki/Post-politics</t>
  </si>
  <si>
    <t>Post-politics</t>
  </si>
  <si>
    <t>https://en.wikipedia.org/wiki/Post-scarcity</t>
  </si>
  <si>
    <t>Post-scarcity</t>
  </si>
  <si>
    <t>https://en.wikipedia.org/wiki/List_of_transhumanists</t>
  </si>
  <si>
    <t>People</t>
  </si>
  <si>
    <t>https://en.wikipedia.org/wiki/William_H._Andrews_(biologist)</t>
  </si>
  <si>
    <t>Andrews</t>
  </si>
  <si>
    <t>CASE-0106</t>
  </si>
  <si>
    <t>Water fluoridation</t>
  </si>
  <si>
    <t>https://en.wikipedia.org/wiki/Water_fluoridation</t>
  </si>
  <si>
    <t>https://en.wikipedia.org/wiki/Drinking_water</t>
  </si>
  <si>
    <t>drinking water</t>
  </si>
  <si>
    <t>https://en.wikipedia.org/wiki/Fluoride</t>
  </si>
  <si>
    <t>fluoride</t>
  </si>
  <si>
    <t>https://en.wikipedia.org/wiki/Public_water_supply</t>
  </si>
  <si>
    <t>public water supplies</t>
  </si>
  <si>
    <t>https://en.wikipedia.org/wiki/Tooth_decay</t>
  </si>
  <si>
    <t>tooth decay</t>
  </si>
  <si>
    <t>https://en.wikipedia.org/wiki/Tooth_enamel</t>
  </si>
  <si>
    <t>tooth enamel</t>
  </si>
  <si>
    <t>https://en.wikipedia.org/wiki/Demineralization_(physiology)</t>
  </si>
  <si>
    <t>demineralization</t>
  </si>
  <si>
    <t>https://en.wikipedia.org/wiki/Remineralization</t>
  </si>
  <si>
    <t>remineralization</t>
  </si>
  <si>
    <t>https://en.wikipedia.org/wiki/Defluoridation</t>
  </si>
  <si>
    <t>Defluoridation</t>
  </si>
  <si>
    <t>https://en.wikipedia.org/wiki/Climate</t>
  </si>
  <si>
    <t>climate</t>
  </si>
  <si>
    <t>https://en.wikipedia.org/wiki/Bottled_water</t>
  </si>
  <si>
    <t>Bottled water</t>
  </si>
  <si>
    <t>https://en.wikipedia.org/wiki/Cochrane_(organisation)</t>
  </si>
  <si>
    <t>Cochrane</t>
  </si>
  <si>
    <t>https://en.wikipedia.org/wiki/Topical_fluoride</t>
  </si>
  <si>
    <t>topical fluorides</t>
  </si>
  <si>
    <t>https://en.wikipedia.org/wiki/Nano-hydroxyapatite</t>
  </si>
  <si>
    <t>nano-hydroxyapatite</t>
  </si>
  <si>
    <t>https://en.wikipedia.org/wiki/Ireland</t>
  </si>
  <si>
    <t>Ireland</t>
  </si>
  <si>
    <t>https://en.wikipedia.org/wiki/WHO</t>
  </si>
  <si>
    <t>https://en.wikipedia.org/wiki/FDI_World_Dental_Federation</t>
  </si>
  <si>
    <t>FDI World Dental Federation</t>
  </si>
  <si>
    <t>https://en.wikipedia.org/wiki/Dental_caries</t>
  </si>
  <si>
    <t>cavity</t>
  </si>
  <si>
    <t>CASE-0107</t>
  </si>
  <si>
    <t>2022 Wellington protest</t>
  </si>
  <si>
    <t>https://en.wikipedia.org/wiki/2022_Wellington_protest</t>
  </si>
  <si>
    <t>https://en.wikipedia.org/wiki/COVID-19_anti-lockdown_protests_in_New_Zealand</t>
  </si>
  <si>
    <t>COVID-19 anti-lockdown protests in New Zealand</t>
  </si>
  <si>
    <t>https://en.wikipedia.org/wiki/Parliament_House,_Wellington</t>
  </si>
  <si>
    <t>Parliament House</t>
  </si>
  <si>
    <t>https://en.wikipedia.org/wiki/Wellington,_New_Zealand</t>
  </si>
  <si>
    <t>Wellington</t>
  </si>
  <si>
    <t>https://en.wikipedia.org/wiki/Molesworth_Street,_Wellington</t>
  </si>
  <si>
    <t>Molesworth Street</t>
  </si>
  <si>
    <t>https://en.wikipedia.org/wiki/New_Zealand</t>
  </si>
  <si>
    <t>New Zealand</t>
  </si>
  <si>
    <t>https://en.wikipedia.org/wiki/COVID-19_pandemic_in_New_Zealand</t>
  </si>
  <si>
    <t>COVID-19 pandemic in New Zealand</t>
  </si>
  <si>
    <t>https://en.wikipedia.org/wiki/Vaccine_passports_during_the_COVID-19_pandemic#New_Zealand</t>
  </si>
  <si>
    <t>vaccine mandates in New Zealand</t>
  </si>
  <si>
    <t>https://en.wikipedia.org/wiki/Counterspin_Media</t>
  </si>
  <si>
    <t>Counterspin Media</t>
  </si>
  <si>
    <t>https://en.wikipedia.org/wiki/Government_of_New_Zealand</t>
  </si>
  <si>
    <t>Government of New Zealand</t>
  </si>
  <si>
    <t>https://en.wikipedia.org/wiki/New_Zealand_Police</t>
  </si>
  <si>
    <t>New Zealand Police</t>
  </si>
  <si>
    <t>https://en.wikipedia.org/wiki/New_Zealand_Parliamentary_Service</t>
  </si>
  <si>
    <t>New Zealand Parliamentary Service</t>
  </si>
  <si>
    <t>https://en.wikipedia.org/wiki/Wellington_City_Council</t>
  </si>
  <si>
    <t>Wellington City Council</t>
  </si>
  <si>
    <t>https://en.wikipedia.org/wiki/New_Zealand_Defence_Force</t>
  </si>
  <si>
    <t>New Zealand Defence Force</t>
  </si>
  <si>
    <t>https://en.wikipedia.org/wiki/Ng%C4%81ti_Toa</t>
  </si>
  <si>
    <t>NgÄti Toa</t>
  </si>
  <si>
    <t>https://en.wikipedia.org/wiki/Te_Ati_Awa</t>
  </si>
  <si>
    <t>Te Ati Awa</t>
  </si>
  <si>
    <t>https://en.wikipedia.org/wiki/Brian_Tamaki</t>
  </si>
  <si>
    <t>Brian Tamaki</t>
  </si>
  <si>
    <t>https://en.wikipedia.org/wiki/Leighton_Baker</t>
  </si>
  <si>
    <t>Leighton Baker</t>
  </si>
  <si>
    <t>https://en.wikipedia.org/wiki/Chantelle_Baker</t>
  </si>
  <si>
    <t>Chantelle Baker</t>
  </si>
  <si>
    <t>https://en.wikipedia.org/wiki/Matt_King_(politician)</t>
  </si>
  <si>
    <t>Matt King</t>
  </si>
  <si>
    <t>CASE-0108</t>
  </si>
  <si>
    <t>Prophecy of Seventy Weeks</t>
  </si>
  <si>
    <t>Book of Daniel</t>
  </si>
  <si>
    <t>https://en.wikipedia.org/wiki/Daniel_1</t>
  </si>
  <si>
    <t>Chapter 1: Induction into Babylon</t>
  </si>
  <si>
    <t>https://en.wikipedia.org/wiki/Daniel_2</t>
  </si>
  <si>
    <t>Chapter 2: Nebuchadnezzar's Dream</t>
  </si>
  <si>
    <t>https://en.wikipedia.org/wiki/Shadrach,_Meshach,_and_Abednego</t>
  </si>
  <si>
    <t>Chapter 3: The Fiery Furnace</t>
  </si>
  <si>
    <t>https://en.wikipedia.org/wiki/Daniel_4</t>
  </si>
  <si>
    <t>Chapter 4: Nebuchadnezzar's Madness</t>
  </si>
  <si>
    <t>https://en.wikipedia.org/wiki/Belshazzar%27s_feast</t>
  </si>
  <si>
    <t>Chapter 5: Belshazzar's Feast</t>
  </si>
  <si>
    <t>https://en.wikipedia.org/wiki/Daniel_in_the_lions%27_den</t>
  </si>
  <si>
    <t>Chapter 6: Daniel in the Lions' Den</t>
  </si>
  <si>
    <t>https://en.wikipedia.org/wiki/Daniel_7</t>
  </si>
  <si>
    <t>Chapter 7: The Four Beasts</t>
  </si>
  <si>
    <t>https://en.wikipedia.org/wiki/Daniel_8</t>
  </si>
  <si>
    <t>Chapter 8: The Ram, He-Goat and Horn</t>
  </si>
  <si>
    <t>https://en.wikipedia.org/wiki/Daniel%27s_final_vision</t>
  </si>
  <si>
    <t>Chapters 10â€“12: Daniel's final vision</t>
  </si>
  <si>
    <t>https://en.wikipedia.org/wiki/Additions_to_Daniel</t>
  </si>
  <si>
    <t>Additions to Daniel</t>
  </si>
  <si>
    <t>https://en.wikipedia.org/wiki/Prayer_of_Azariah_and_Song_of_the_Three_Holy_Children</t>
  </si>
  <si>
    <t>Song of the Three Holy Children</t>
  </si>
  <si>
    <t>https://en.wikipedia.org/wiki/Susanna_(Book_of_Daniel)</t>
  </si>
  <si>
    <t>Susanna and the Elders</t>
  </si>
  <si>
    <t>https://en.wikipedia.org/wiki/Bel_and_the_Dragon</t>
  </si>
  <si>
    <t>Bel and the Dragon</t>
  </si>
  <si>
    <t>https://en.wikipedia.org/wiki/Daniel_(biblical_figure)</t>
  </si>
  <si>
    <t>https://en.wikipedia.org/wiki/Kingdom_of_Judah#Destruction_and_dispersion</t>
  </si>
  <si>
    <t>Judeans</t>
  </si>
  <si>
    <t>https://en.wikipedia.org/wiki/Jerusalem</t>
  </si>
  <si>
    <t>Jerusalem</t>
  </si>
  <si>
    <t>prophecy</t>
  </si>
  <si>
    <t>https://en.wikipedia.org/wiki/Gabriel</t>
  </si>
  <si>
    <t>Gabriel</t>
  </si>
  <si>
    <t>CASE-0109</t>
  </si>
  <si>
    <t>Ezekiel 38</t>
  </si>
  <si>
    <t>https://en.wikipedia.org/wiki/Ezekiel_38</t>
  </si>
  <si>
    <t>https://en.wikipedia.org/wiki/Ezekiel_37</t>
  </si>
  <si>
    <t>chapter 37</t>
  </si>
  <si>
    <t>https://en.wikipedia.org/wiki/Ezekiel_39</t>
  </si>
  <si>
    <t>chapter 39</t>
  </si>
  <si>
    <t>https://en.wikipedia.org/wiki/Book_of_Ezekiel</t>
  </si>
  <si>
    <t>Book of Ezekiel</t>
  </si>
  <si>
    <t>https://en.wikipedia.org/wiki/Nevi%27im</t>
  </si>
  <si>
    <t>Nevi'im</t>
  </si>
  <si>
    <t>https://en.wikipedia.org/wiki/Old_Testament</t>
  </si>
  <si>
    <t>Old Testament</t>
  </si>
  <si>
    <t>Christian</t>
  </si>
  <si>
    <t>https://en.wikipedia.org/wiki/Biblical_prophet</t>
  </si>
  <si>
    <t>prophet</t>
  </si>
  <si>
    <t>https://en.wikipedia.org/wiki/Kohen</t>
  </si>
  <si>
    <t>priest</t>
  </si>
  <si>
    <t>https://en.wikipedia.org/wiki/Ezekiel</t>
  </si>
  <si>
    <t>Ezekiel</t>
  </si>
  <si>
    <t>https://en.wikipedia.org/wiki/Gog_and_Magog</t>
  </si>
  <si>
    <t>Gog, of the land of Magog</t>
  </si>
  <si>
    <t>https://en.wikipedia.org/wiki/Biblical_Hebrew</t>
  </si>
  <si>
    <t>https://en.wikipedia.org/wiki/Masoretic_Text</t>
  </si>
  <si>
    <t>Masoretic Text</t>
  </si>
  <si>
    <t>https://en.wikipedia.org/wiki/Codex_Cairensis</t>
  </si>
  <si>
    <t>Codex Cairensis</t>
  </si>
  <si>
    <t>https://en.wikipedia.org/wiki/Codex_Babylonicus_Petropolitanus</t>
  </si>
  <si>
    <t>the Petersburg Codex of the Prophets</t>
  </si>
  <si>
    <t>https://en.wikipedia.org/wiki/Aleppo_Codex</t>
  </si>
  <si>
    <t>Aleppo Codex</t>
  </si>
  <si>
    <t>CASE-0110</t>
  </si>
  <si>
    <t>https://en.wikipedia.org/wiki/Operation_CHAOS</t>
  </si>
  <si>
    <t>https://en.wikipedia.org/wiki/Operation_Chaos_(novel)</t>
  </si>
  <si>
    <t>Operation Chaos (novel)</t>
  </si>
  <si>
    <t>https://en.wikipedia.org/wiki/The_Rush_Limbaugh_Show#Operation_Chaos</t>
  </si>
  <si>
    <t>The Rush Limbaugh Show Â§Â Operation Chaos</t>
  </si>
  <si>
    <t>https://en.wikipedia.org/wiki/Espionage</t>
  </si>
  <si>
    <t>espionage</t>
  </si>
  <si>
    <t>https://en.wikipedia.org/wiki/Richard_Nixon</t>
  </si>
  <si>
    <t>Richard Nixon</t>
  </si>
  <si>
    <t>https://en.wikipedia.org/wiki/Director_of_Central_Intelligence</t>
  </si>
  <si>
    <t>Director of Central Intelligence</t>
  </si>
  <si>
    <t>https://en.wikipedia.org/wiki/Richard_Helms</t>
  </si>
  <si>
    <t>https://en.wikipedia.org/wiki/James_Jesus_Angleton</t>
  </si>
  <si>
    <t>James Jesus Angleton</t>
  </si>
  <si>
    <t>https://en.wikipedia.org/wiki/Executive_Order_12333</t>
  </si>
  <si>
    <t>Executive Order 12333 of 1981</t>
  </si>
  <si>
    <t>Cuban</t>
  </si>
  <si>
    <t>campaign against Cuba</t>
  </si>
  <si>
    <t>https://en.wikipedia.org/wiki/Lyndon_Johnson</t>
  </si>
  <si>
    <t>Lyndon Johnson</t>
  </si>
  <si>
    <t>https://en.wikipedia.org/wiki/Organizational_structure_of_the_Central_Intelligence_Agency#Directorate_of_Support</t>
  </si>
  <si>
    <t>CIA's Office of Security</t>
  </si>
  <si>
    <t>https://en.wikipedia.org/wiki/HTLINGUAL</t>
  </si>
  <si>
    <t>HTLINGUAL</t>
  </si>
  <si>
    <t>https://en.wikipedia.org/wiki/Project_MERRIMAC</t>
  </si>
  <si>
    <t>Project MERRIMAC</t>
  </si>
  <si>
    <t>https://en.wikipedia.org/wiki/Project_RESISTANCE</t>
  </si>
  <si>
    <t>Project RESISTANCE</t>
  </si>
  <si>
    <t>-</t>
  </si>
  <si>
    <t>How to Visit and Document the Toynbee Tiles Mystery Locations Like a Pro</t>
  </si>
  <si>
    <t>How to Build a Case File on the Toynbee Tiles Mystery Evidence Checklist</t>
  </si>
  <si>
    <t>How to Verify Competing Explanations for the Toynbee Tiles Mystery</t>
  </si>
  <si>
    <t>How to Research the Toynbee Tiles Mystery Sources Timeline and Clues</t>
  </si>
  <si>
    <t>How to Investigate the Toynbee Tiles Mystery Step by Step{slug=toynbee-tiles-mystery}</t>
  </si>
  <si>
    <t>{slug=toynbee-tiles-mystery}</t>
  </si>
  <si>
    <t>How to Investigate the Toynbee Tiles Mystery Step by Step</t>
  </si>
  <si>
    <t>How to Build a Mud Flood Tartaria Case File: Photos Dates and Debunking</t>
  </si>
  <si>
    <t>How to Test Mud Flood Tartaria Explanations with Geology Basics</t>
  </si>
  <si>
    <t>How to Investigate Mud Flood Tartaria Using Primary Documents and Maps</t>
  </si>
  <si>
    <t>How to Fact-Check Mud Flood Tartaria Before You Share</t>
  </si>
  <si>
    <t>How to Research Mud Flood Tartaria Claims{slug=mud-flood-tartaria}</t>
  </si>
  <si>
    <t>{slug=mud-flood-tartaria}</t>
  </si>
  <si>
    <t>How to Research Mud Flood Tartaria Claims</t>
  </si>
  <si>
    <t>How to Apply Phantom Time Hypothesis to Common Neuroscience Questions</t>
  </si>
  <si>
    <t>How to Use Phantom Time Hypothesis to Interpret Time-Perception Experiments</t>
  </si>
  <si>
    <t>How to Explain Phantom Time Hypothesis Step by Step</t>
  </si>
  <si>
    <t>How to Test Phantom Time Hypothesis: A Beginnerâ€™s Research Guide</t>
  </si>
  <si>
    <t>How to Understand Phantom Time Hypothesis in 10 Minutes{slug=phantom-time-hypothesis}</t>
  </si>
  <si>
    <t>{slug=phantom-time-hypothesis}</t>
  </si>
  <si>
    <t>How to Understand Phantom Time Hypothesis in 10 Minutes</t>
  </si>
  <si>
    <t>What Sources or Origins Trace to the Andrew Carlssin Time Traveler?</t>
  </si>
  <si>
    <t>What Do Skeptics Say About the Andrew Carlssin Time Traveler?</t>
  </si>
  <si>
    <t>What Timeline Does the Andrew Carlssin Time Traveler Story Rely On?</t>
  </si>
  <si>
    <t>What Evidence Exists for the Andrew Carlssin Time Traveler?</t>
  </si>
  <si>
    <t>What Is the Andrew Carlssin Time Traveler Claim?{slug=andrew-carlssin-time-traveler}</t>
  </si>
  <si>
    <t>{slug=andrew-carlssin-time-traveler}</t>
  </si>
  <si>
    <t>What Is the Andrew Carlssin Time Traveler Claim?</t>
  </si>
  <si>
    <t>Stevie Wonder: How to Learn What He Uses to â€œSeeâ€ the World</t>
  </si>
  <si>
    <t>Stevie Wonder: How to Fact-Check Sight Claims About Stevie Wonder</t>
  </si>
  <si>
    <t>Stevie Wonder: How to Research Whether Heâ€™s Legally Blind</t>
  </si>
  <si>
    <t>Stevie Wonder: How to Read the â€œCan Seeâ€ Meaning in Interviews</t>
  </si>
  <si>
    <t>Stevie Wonder: How to Understand His Claim of â€œCan See{slug=stevie-wonder-can-see}</t>
  </si>
  <si>
    <t>{slug=stevie-wonder-can-see}</t>
  </si>
  <si>
    <t>Stevie Wonder: How to Understand His Claim of â€œCan See</t>
  </si>
  <si>
    <t>Avril Lavigne Replaced: 7 Things to Know About the Change</t>
  </si>
  <si>
    <t>Avril Lavigne Replaced: 7 Latest Reports on the Replacement</t>
  </si>
  <si>
    <t>Avril Lavigne Replaced: 7 Key Details Behind the Swap</t>
  </si>
  <si>
    <t>Avril Lavigne Replaced: 7 People Rumored to Step Inâ€”And the Reasons</t>
  </si>
  <si>
    <t>Avril Lavigne Replaced: 7 Updates on Who Took Over and Why{slug=avril-lavigne-replaced}</t>
  </si>
  <si>
    <t>{slug=avril-lavigne-replaced}</t>
  </si>
  <si>
    <t>Avril Lavigne Replaced: 7 Updates on Who Took Over and Why</t>
  </si>
  <si>
    <t>How to Prove Finland Doesnâ€™t Exist Is False</t>
  </si>
  <si>
    <t>How to Check Finland Doesnâ€™t Exist</t>
  </si>
  <si>
    <t>How to Debunk Finland Doesnâ€™t Exist With Reliable Sources</t>
  </si>
  <si>
    <t>How to Verify Finland Doesnâ€™t Exist</t>
  </si>
  <si>
    <t>How to Fact-Check Finland Doesnâ€™t Exist{slug=finland-doesnt-exist}</t>
  </si>
  <si>
    <t>{slug=finland-doesnt-exist}</t>
  </si>
  <si>
    <t>How to Fact-Check Finland Doesnâ€™t Exist</t>
  </si>
  <si>
    <t>Chuck E Cheese Pizza Conspiracy: How to Run a Simple Evidence Checklist</t>
  </si>
  <si>
    <t>Chuck E Cheese Pizza Conspiracy: How to Separate Viral Myths from Restaurant Policy</t>
  </si>
  <si>
    <t>Chuck E Cheese Pizza Conspiracy: How to Verify Allegations Using Credible Sources</t>
  </si>
  <si>
    <t>Chuck E Cheese Pizza Conspiracy: How to Trace the Origin of the Claim</t>
  </si>
  <si>
    <t>Chuck E Cheese Pizza Conspiracy: How to Fact-Check the Rumors Fast{slug=chuck-e-cheese-pizza-conspiracy}</t>
  </si>
  <si>
    <t>{slug=chuck-e-cheese-pizza-conspiracy}</t>
  </si>
  <si>
    <t>Chuck E Cheese Pizza Conspiracy: How to Fact-Check the Rumors Fast</t>
  </si>
  <si>
    <t>Wayfair Conspiracy: How to Separate Legit Reporting from Conspiracy Narratives**</t>
  </si>
  <si>
    <t>Wayfair Conspiracy: How to Build a Timeline and Check Evidence</t>
  </si>
  <si>
    <t>Wayfair Conspiracy: How to Investigate Sources and Avoid Misinformation</t>
  </si>
  <si>
    <t>Wayfair Conspiracy: How to Fact-Check Viral â€œProofâ€ Quickly</t>
  </si>
  <si>
    <t>Wayfair Conspiracy: How to Evaluate Claims Step-by-Step (2026 Guide){slug=wayfair-conspiracy}</t>
  </si>
  <si>
    <t>{slug=wayfair-conspiracy}</t>
  </si>
  <si>
    <t>Wayfair Conspiracy: How to Evaluate Claims Step-by-Step (2026 Guide)</t>
  </si>
  <si>
    <t>Mattress Firm Conspiracy: How to Document a Problem and File an Effective Complaint</t>
  </si>
  <si>
    <t>Mattress Firm Conspiracy: How to Check Your Receipt Warranty Terms and Return Policy</t>
  </si>
  <si>
    <t>Mattress Firm Conspiracy: How to Research Complaints Records and Settlements</t>
  </si>
  <si>
    <t>Mattress Firm Conspiracy: How to Spot Marketing Tactics vs. Actual Violations</t>
  </si>
  <si>
    <t>Mattress Firm Conspiracy: How to Verify Claims and Find Real Evidence{slug=mattress-firm-conspiracy}</t>
  </si>
  <si>
    <t>{slug=mattress-firm-conspiracy}</t>
  </si>
  <si>
    <t>Mattress Firm Conspiracy: How to Verify Claims and Find Real Evidence</t>
  </si>
  <si>
    <t>10 Key Players and Motives in the **Princess Diana Conspiracy**</t>
  </si>
  <si>
    <t>10 Evidence Allegedly Ignored in the **Princess Diana Conspiracy</t>
  </si>
  <si>
    <t>10 Timeline Red Flags in the **Princess Diana Conspiracy</t>
  </si>
  <si>
    <t>10 Biggest Claims Fueling the **Princess Diana Conspiracy</t>
  </si>
  <si>
    <t>10 Theories Behind the **Princess Diana Conspiracy** Ranked by Plausibility{slug=princess-diana-conspiracy}</t>
  </si>
  <si>
    <t>{slug=princess-diana-conspiracy}</t>
  </si>
  <si>
    <t>10 Theories Behind the **Princess Diana Conspiracy** Ranked by Plausibility</t>
  </si>
  <si>
    <t>How to Analyze Timelines and Motives in Royal Family Conspiracy Allegations</t>
  </si>
  <si>
    <t>How to Build a Source Checklist for Royal Family Conspiracy Research</t>
  </si>
  <si>
    <t>How to Separate Evidence From Rumors in Royal Family Conspiracy Stories</t>
  </si>
  <si>
    <t>How to Fact-Check Royal Family Conspiracy Theories Step by Step</t>
  </si>
  <si>
    <t>How to Investigate Royal Family Conspiracy Claims Without Falling for Misinformation{slug=royal-family-conspiracy}</t>
  </si>
  <si>
    <t>{slug=royal-family-conspiracy}</t>
  </si>
  <si>
    <t>How to Investigate Royal Family Conspiracy Claims Without Falling for Misinformation</t>
  </si>
  <si>
    <t>Ghislaine Maxwell Trial: 5 Timeline Highlights From Charges to Verdict</t>
  </si>
  <si>
    <t>Ghislaine Maxwell Trial: 5 Details Behind the Sentencing and Aftermath</t>
  </si>
  <si>
    <t>Ghislaine Maxwell Trial: 5 Facts You Need to Know About the Verdict</t>
  </si>
  <si>
    <t>Ghislaine Maxwell Trial: 5 Turning Points in Testimony and Evidence</t>
  </si>
  <si>
    <t>Ghislaine Maxwell Trial: 5 Key Moments That Defined the Case{slug=ghislaine-maxwell-trial}</t>
  </si>
  <si>
    <t>{slug=ghislaine-maxwell-trial}</t>
  </si>
  <si>
    <t>Ghislaine Maxwell Trial: 5 Key Moments That Defined the Case</t>
  </si>
  <si>
    <t>How to Evaluate Claims About the Epstein Maxwell network with checklists for credibility and facts</t>
  </si>
  <si>
    <t>How to Follow the Epstein Maxwell network story with allegations court records and context</t>
  </si>
  <si>
    <t>How to Build a Map of the Epstein Maxwell network with names links and document threads</t>
  </si>
  <si>
    <t>How to Research the Epstein Maxwell network using reliable sources and relationship mapping</t>
  </si>
  <si>
    <t>How to Understand the Epstein Maxwell network{slug=epstein-maxwell-network}</t>
  </si>
  <si>
    <t>{slug=epstein-maxwell-network}</t>
  </si>
  <si>
    <t>How to Understand the Epstein Maxwell network</t>
  </si>
  <si>
    <t>Weinstein conspiracy: How to evaluate competing theories and avoid misinformation traps</t>
  </si>
  <si>
    <t>Weinstein conspiracy: How to build a timeline from credible documents and reports</t>
  </si>
  <si>
    <t>Weinstein conspiracy: How to spot propaganda misquotes and debunked narratives fast</t>
  </si>
  <si>
    <t>Weinstein conspiracy: How to verify allegations sources and evidence like a researcher</t>
  </si>
  <si>
    <t>Weinstein conspiracy: How to fact-check claims and timelines in 10 steps (2026){slug=weinstein-conspiracy}</t>
  </si>
  <si>
    <t>{slug=weinstein-conspiracy}</t>
  </si>
  <si>
    <t>Weinstein conspiracy: How to fact-check claims and timelines in 10 steps (2026)</t>
  </si>
  <si>
    <t>What Questions Do People Ask About the Diddy Trafficking Conspiracy?</t>
  </si>
  <si>
    <t>7 Sources and Reports on the Diddy Trafficking Conspiracy</t>
  </si>
  <si>
    <t>7 Evidence Points Cited in the Diddy Trafficking Conspiracy</t>
  </si>
  <si>
    <t>7 Timeline Moments Behind the Diddy Trafficking Conspiracy Allegations</t>
  </si>
  <si>
    <t>7 Key Claims Behind the Diddy Trafficking Conspiracy{slug=diddy-trafficking-conspiracy}</t>
  </si>
  <si>
    <t>{slug=diddy-trafficking-conspiracy}</t>
  </si>
  <si>
    <t>7 Key Claims Behind the Diddy Trafficking Conspiracy</t>
  </si>
  <si>
    <t>5 Red Flags and Patterns Cited in Hollywood pedophile ring Claims</t>
  </si>
  <si>
    <t>5 Names Cases and Timelines Mentioned in Hollywood pedophile ring Discussions</t>
  </si>
  <si>
    <t>5 Things to Know About the Hollywood pedophile ring Rumors and Evidence</t>
  </si>
  <si>
    <t>5 Investigations and Reports Linked to the Hollywood pedophile ring</t>
  </si>
  <si>
    <t>5 Claims About the Hollywood pedophile ring Allegations{slug=hollywood-pedophile-ring}</t>
  </si>
  <si>
    <t>{slug=hollywood-pedophile-ring}</t>
  </si>
  <si>
    <t>5 Claims About the Hollywood pedophile ring Allegations</t>
  </si>
  <si>
    <t>How to Protect Your Identity from Celebrity Cloning and AI Impersonation</t>
  </si>
  <si>
    <t>How Is Celebrity Cloning Made Step by Step and How Do You Guard Against It?</t>
  </si>
  <si>
    <t>How to Detect and Prevent Celebrity Cloning Deepfakes</t>
  </si>
  <si>
    <t>Celebrity Cloning Explained: Methods Workflows and How-To Checks</t>
  </si>
  <si>
    <t>How to Spot Celebrity Cloning Scams: A Practical Guide{slug=celebrity-cloning}</t>
  </si>
  <si>
    <t>{slug=celebrity-cloning}</t>
  </si>
  <si>
    <t>How to Spot Celebrity Cloning Scams: A Practical Guide</t>
  </si>
  <si>
    <t>What Questions Does the 27 Club Conspiracy Raise?</t>
  </si>
  <si>
    <t>27 Club Conspiracy: 5 Alleged Hidden Links</t>
  </si>
  <si>
    <t>5 â€œConnectedâ€ Details in the 27 Club Conspiracy</t>
  </si>
  <si>
    <t>27 Club Conspiracy: 5 Pattern Theories Explained</t>
  </si>
  <si>
    <t>5 Claims Behind the 27 Club Conspiracy{slug=27-club-conspiracy}</t>
  </si>
  <si>
    <t>{slug=27-club-conspiracy}</t>
  </si>
  <si>
    <t>5 Claims Behind the 27 Club Conspiracy</t>
  </si>
  <si>
    <t>What Should You Ask About the Music Industry Conspiracy?</t>
  </si>
  <si>
    <t>10 Insider-Style Theories in the Music Industry Conspiracy</t>
  </si>
  <si>
    <t>10 Alleged Cover-Ups in the Music Industry Conspiracy</t>
  </si>
  <si>
    <t>10 Claims Fueling the Music Industry Conspiracy</t>
  </si>
  <si>
    <t>10 Hidden Ties in the Music Industry Conspiracy{slug=music-industry-conspiracy}</t>
  </si>
  <si>
    <t>{slug=music-industry-conspiracy}</t>
  </si>
  <si>
    <t>10 Hidden Ties in the Music Industry Conspiracy</t>
  </si>
  <si>
    <t>How to Build a Fact Check Plan for Obelisk Symbolism Conspiracy Allegations</t>
  </si>
  <si>
    <t>How to Evaluate Obelisk Symbolism Conspiracy Symbol Interpretations Step-by-Step</t>
  </si>
  <si>
    <t>How to Research Obelisk Symbolism Conspiracy Sources and Primary Evidence</t>
  </si>
  <si>
    <t>How to Spot and Verify Obelisk Symbolism Conspiracy Narratives</t>
  </si>
  <si>
    <t>How to Investigate Obelisk Symbolism Conspiracy Claims with Evidence{slug=obelisk-symbolism-conspiracy}</t>
  </si>
  <si>
    <t>{slug=obelisk-symbolism-conspiracy}</t>
  </si>
  <si>
    <t>How to Investigate Obelisk Symbolism Conspiracy Claims with Evidence</t>
  </si>
  <si>
    <t>10 Evidence-Style Claims in an Owl Symbolism Conspiracy List</t>
  </si>
  <si>
    <t>10 Connections Claimed in the Owl Symbolism Conspiracy</t>
  </si>
  <si>
    <t>10 Alleged Meanings Behind Owl Symbolism Conspiracy Symbols</t>
  </si>
  <si>
    <t>10 Theories in the Owl Symbolism Conspiracy Playbook</t>
  </si>
  <si>
    <t>10 Owl Symbolism Conspiracy Signs People Claim Are Hidden Messages{slug=owl-symbolism-conspiracy}</t>
  </si>
  <si>
    <t>{slug=owl-symbolism-conspiracy}</t>
  </si>
  <si>
    <t>10 Owl Symbolism Conspiracy Signs People Claim Are Hidden Messages</t>
  </si>
  <si>
    <t>Black Cube Symbolism: Comparing Religious Cultural and Occult Views</t>
  </si>
  <si>
    <t>Black Cube Symbolism: How to Create a Personal Interpretation Practice Safely</t>
  </si>
  <si>
    <t>Black Cube Symbolism: Analyzing Common Meanings Without Misinformation</t>
  </si>
  <si>
    <t>Black Cube Symbolism: A Step-by-Step Guide to Researching Its Origins</t>
  </si>
  <si>
    <t>Black Cube Symbolism: Interpreting Its Meaning Across Different Traditions{slug=black-cube-symbolism}</t>
  </si>
  <si>
    <t>{slug=black-cube-symbolism}</t>
  </si>
  <si>
    <t>Black Cube Symbolism: Interpreting Its Meaning Across Different Traditions</t>
  </si>
  <si>
    <t>How to Build Your Own Case on the Saturn Worship Conspiracy: A Research Workflow</t>
  </si>
  <si>
    <t>How to Evaluate Alleged Saturn Worship Conspiracy Links: Detecting Misquotes and Fabricated Connections</t>
  </si>
  <si>
    <t>How to Trace the Origins of the Saturn Worship Conspiracy</t>
  </si>
  <si>
    <t>How to Fact-Check the Saturn Worship Conspiracy: A Step-by-Step Checklist</t>
  </si>
  <si>
    <t>How to Research the Saturn Worship Conspiracy: Claims Sources and Evidence{slug=saturn-worship-conspiracy}</t>
  </si>
  <si>
    <t>{slug=saturn-worship-conspiracy}</t>
  </si>
  <si>
    <t>How to Research the Saturn Worship Conspiracy: Claims Sources and Evidence</t>
  </si>
  <si>
    <t>How to Create Symbolic Architecture from Concept to Site</t>
  </si>
  <si>
    <t>How to Read Symbolic Architecture with Symbols Context and Cultural Signals</t>
  </si>
  <si>
    <t>How to Use Symbolic Architecture with Symbols in Practical Design</t>
  </si>
  <si>
    <t>How to Design Symbolic Architecture with Meaning Form and Materials</t>
  </si>
  <si>
    <t>How to Recognize Symbolic Architecture in Everyday Buildings{slug=symbolic-architecture}</t>
  </si>
  <si>
    <t>{slug=symbolic-architecture}</t>
  </si>
  <si>
    <t>How to Recognize Symbolic Architecture in Everyday Buildings</t>
  </si>
  <si>
    <t>Masonic Architecture DC: How to Create a Photo Checklist for Architectural Details in D.C.**</t>
  </si>
  <si>
    <t>Masonic Architecture DC: How to Plan a Self-Guided Walking Tour of Masonic Landmarks</t>
  </si>
  <si>
    <t>Masonic Architecture DC: How to Identify Masonic Architectural Symbols on Local Buildings</t>
  </si>
  <si>
    <t>Masonic Architecture DC: How to Research and Find Masonic Sites in Washington D.C</t>
  </si>
  <si>
    <t>Masonic Architecture DC: How to Tour Historic Masonic Buildings in Washington D.C{slug=masonic-architecture-dc}</t>
  </si>
  <si>
    <t>{slug=masonic-architecture-dc}</t>
  </si>
  <si>
    <t>Masonic Architecture DC: How to Tour Historic Masonic Buildings in Washington D.C</t>
  </si>
  <si>
    <t>How to Plan a Walk to See Pentagrams in Washington DC</t>
  </si>
  <si>
    <t>How to Locate the Source of a Pentagram in Washington DC</t>
  </si>
  <si>
    <t>How to Spot and Document a Pentagram in Washington DC</t>
  </si>
  <si>
    <t>How to Research Pentagram Sightings in Washington DC</t>
  </si>
  <si>
    <t>How to Find Pentagram Locations in Washington DC{slug=pentagram-washington-dc}</t>
  </si>
  <si>
    <t>{slug=pentagram-washington-dc}</t>
  </si>
  <si>
    <t>How to Find Pentagram Locations in Washington DC</t>
  </si>
  <si>
    <t>How to Spot the Eye of Providence in Religious and Historical Contexts</t>
  </si>
  <si>
    <t>How to Draw the Eye of Providence: A Quick Step-by-Step Guide</t>
  </si>
  <si>
    <t>How to Research the Eye of Providence on the Great Seal of the United States</t>
  </si>
  <si>
    <t>How to Understand the Eye of Providence Meaning Step by Step</t>
  </si>
  <si>
    <t>How to Identify the Eye of Providence in Art and Symbols{slug=eye-of-providence}</t>
  </si>
  <si>
    <t>{slug=eye-of-providence}</t>
  </si>
  <si>
    <t>How to Identify the Eye of Providence in Art and Symbols</t>
  </si>
  <si>
    <t>What do all the dollar bill symbols represent?</t>
  </si>
  <si>
    <t>What do the pyramid and numbers on dollar bills mean?</t>
  </si>
  <si>
    <t>What does the eye on a dollar bill symbolize?</t>
  </si>
  <si>
    <t>What do the seals on dollar bills represent?</t>
  </si>
  <si>
    <t>What do dollar bill symbols mean?{slug=dollar-bill-symbols}</t>
  </si>
  <si>
    <t>{slug=dollar-bill-symbols}</t>
  </si>
  <si>
    <t>What do dollar bill symbols mean?</t>
  </si>
  <si>
    <t>How to Find Stories Behind Denver Murals Meaning</t>
  </si>
  <si>
    <t>How to Read Denver Murals Meaning Like a Local</t>
  </si>
  <si>
    <t>How to Research Denver Murals Meaning Before You Visit</t>
  </si>
  <si>
    <t>How to Understand Denver Murals Meaning Step-by-Step Guide</t>
  </si>
  <si>
    <t>How to Decode Denver Murals Meaning{slug=denver-murals-meaning}</t>
  </si>
  <si>
    <t>{slug=denver-murals-meaning}</t>
  </si>
  <si>
    <t>How to Decode Denver Murals Meaning</t>
  </si>
  <si>
    <t>East Palestine Train Derailment: 3 Aftermath Developments to Watch in 2026</t>
  </si>
  <si>
    <t>East Palestine Train Derailment: 3 Environmental Concerns and What We Know</t>
  </si>
  <si>
    <t>East Palestine Train Derailment: 3 Immediate Impacts on Residents and Communities</t>
  </si>
  <si>
    <t>East Palestine Train Derailment: 3 Major Causes and Contributing Factors</t>
  </si>
  <si>
    <t>East Palestine Train Derailment: 3 Key Timeline Updates{slug=east-palestine-train-derailment}</t>
  </si>
  <si>
    <t>{slug=east-palestine-train-derailment}</t>
  </si>
  <si>
    <t>East Palestine Train Derailment: 3 Key Timeline Updates</t>
  </si>
  <si>
    <t>How to Build a Credible Timeline for a Balloon Shoot Down Conspiracy</t>
  </si>
  <si>
    <t>How to Spot Misinformation and Propaganda Fast in a Balloon Shoot Down Conspiracy</t>
  </si>
  <si>
    <t>How to Trace Sources and Evidence in a Balloon Shoot Down Conspiracy</t>
  </si>
  <si>
    <t>How to Fact-Check Viral Claims Step by Step About a Balloon Shoot Down Conspiracy</t>
  </si>
  <si>
    <t>How to Verify What Actually Happened About a Balloon Shoot Down Conspiracy{slug=balloon-shoot-down-conspiracy}</t>
  </si>
  <si>
    <t>{slug=balloon-shoot-down-conspiracy}</t>
  </si>
  <si>
    <t>How to Verify What Actually Happened About a Balloon Shoot Down Conspiracy</t>
  </si>
  <si>
    <t>Navalny Death Conspiracy: 5 Investigations and What They Found**</t>
  </si>
  <si>
    <t>Navalny Death Conspiracy: 5 Questions Still Donâ€™t Add Up</t>
  </si>
  <si>
    <t>Navalny Death Conspiracy: 5 Official Findings vs. Allegations</t>
  </si>
  <si>
    <t>Navalny Death Conspiracy: 5 Pieces of Evidence and Analysis</t>
  </si>
  <si>
    <t>Navalny Death Conspiracy: 5 Key Claims{slug=navalny-death-conspiracy}</t>
  </si>
  <si>
    <t>{slug=navalny-death-conspiracy}</t>
  </si>
  <si>
    <t>Navalny Death Conspiracy: 5 Key Claims</t>
  </si>
  <si>
    <t>How to Assess Credibility in the Prigozhin Death Conspiracy Case: A Practical Evidence Rubric</t>
  </si>
  <si>
    <t>How to Compare Competing Theories Behind the Prigozhin Death Conspiracy: Method + Worksheet</t>
  </si>
  <si>
    <t>How to Build a Timeline for the Prigozhin Death Conspiracy Using Public Reports</t>
  </si>
  <si>
    <t>How to Fact-Check the Prigozhin Death Conspiracy Narrative: Sources Timelines Evidence</t>
  </si>
  <si>
    <t>How to Evaluate Prigozhin Death Conspiracy Claims: A Step-by-Step Checklist{slug=prigozhin-death-conspiracy}</t>
  </si>
  <si>
    <t>{slug=prigozhin-death-conspiracy}</t>
  </si>
  <si>
    <t>How to Evaluate Prigozhin Death Conspiracy Claims: A Step-by-Step Checklist</t>
  </si>
  <si>
    <t>Wagner Group Conspiracy: 7 Credible Sources vs. Viral Narratives</t>
  </si>
  <si>
    <t>Wagner Group Conspiracy: 7 Actors Motives and Connections Alleged</t>
  </si>
  <si>
    <t>Wagner Group Conspiracy: 7 Turning Points in the Evidence and Reporting</t>
  </si>
  <si>
    <t>Wagner Group Conspiracy: What Are the 7 Questions Behind the Claims (and Whatâ€™s Known)?</t>
  </si>
  <si>
    <t>Wagner Group Conspiracy: 7 Key Allegations and What They Claim{slug=wagner-group-conspiracy}</t>
  </si>
  <si>
    <t>{slug=wagner-group-conspiracy}</t>
  </si>
  <si>
    <t>Wagner Group Conspiracy: 7 Key Allegations and What They Claim</t>
  </si>
  <si>
    <t>Ukraine Biolabs: 3 Major Controversies and Conflicting Accounts</t>
  </si>
  <si>
    <t>Ukraine Biolabs: 3 Types of Evidence Cited in Reports</t>
  </si>
  <si>
    <t>Ukraine Biolabs: 3 Organizations Named in the Debate</t>
  </si>
  <si>
    <t>Ukraine Biolabs: 3 Timelines to Understand the Claims</t>
  </si>
  <si>
    <t>Ukraine Biolabs: 3 Key Allegations and Whatâ€™s Been Claimed{slug=ukraine-biolabs}</t>
  </si>
  <si>
    <t>{slug=ukraine-biolabs}</t>
  </si>
  <si>
    <t>Ukraine Biolabs: 3 Key Allegations and Whatâ€™s Been Claimed</t>
  </si>
  <si>
    <t>What Unanswered Questions Remain on Seymour Hersh and Nordstream?</t>
  </si>
  <si>
    <t>Seymour Hersh on Nordstream: 7 Controversies Criticisms and Responses</t>
  </si>
  <si>
    <t>Seymour Hersh on Nordstream: 7 Sources Mentioned and How Credible They Are</t>
  </si>
  <si>
    <t>Seymour Hersh on Nordstream: 7 Allegations Timelines and Evidence</t>
  </si>
  <si>
    <t>Seymour Hersh on Nordstream: 7 Key Claims and What They Mean{slug=seymour-hersh-nordstream}</t>
  </si>
  <si>
    <t>{slug=seymour-hersh-nordstream}</t>
  </si>
  <si>
    <t>Seymour Hersh on Nordstream: 7 Key Claims and What They Mean</t>
  </si>
  <si>
    <t>Nordstream Pipeline Conspiracy: Build a Fact-Check Workflow for Online Allegations</t>
  </si>
  <si>
    <t>Nordstream Pipeline Conspiracy: Verify Who Benefited and Why Itâ€™s Speculative</t>
  </si>
  <si>
    <t>Nordstream Pipeline Conspiracy: Review Investigations Timeline and Forensics</t>
  </si>
  <si>
    <t>Nordstream Pipeline Conspiracy: How to Check Sources Step by Step</t>
  </si>
  <si>
    <t>Nordstream Pipeline Conspiracy: Separate Claims from Evidence{slug=nordstream-pipeline-conspiracy}</t>
  </si>
  <si>
    <t>{slug=nordstream-pipeline-conspiracy}</t>
  </si>
  <si>
    <t>Nordstream Pipeline Conspiracy: Separate Claims from Evidence</t>
  </si>
  <si>
    <t>VAERS Data Analysis Guide From Download to Key Charts and Findings</t>
  </si>
  <si>
    <t>VAERS Data Analysis for Signals Detecting Patterns Safely and Systematically</t>
  </si>
  <si>
    <t>VAERS Data Analysis Tutorial Cleaning Coding and Summarizing Adverse Events</t>
  </si>
  <si>
    <t>How to Perform VAERS Data Analysis Data Analysis Workflow</t>
  </si>
  <si>
    <t>VAERS Data Analysis Step-by-Step Guide for Beginners{slug=vaers-data-analysis}</t>
  </si>
  <si>
    <t>{slug=vaers-data-analysis}</t>
  </si>
  <si>
    <t>VAERS Data Analysis Step-by-Step Guide for Beginners</t>
  </si>
  <si>
    <t>Myocarditis Vaccine: How to Discuss Concerns With Your Doctor</t>
  </si>
  <si>
    <t>Myocarditis Vaccine: How to Know When to Seek Medical Care</t>
  </si>
  <si>
    <t>Myocarditis Vaccine: How to Monitor After Your Shot</t>
  </si>
  <si>
    <t>Myocarditis Vaccine: How to Recognize Symptoms and Act Fast</t>
  </si>
  <si>
    <t>Myocarditis Vaccine: How to Check Your Risk and Timing{slug=myocarditis-vaccine}</t>
  </si>
  <si>
    <t>{slug=myocarditis-vaccine}</t>
  </si>
  <si>
    <t>Myocarditis Vaccine: How to Check Your Risk and Timing</t>
  </si>
  <si>
    <t>How to Debunk Excess Deaths Conspiracy Claims with a Simple Checklist</t>
  </si>
  <si>
    <t>How to Run a Reproducible Check on Excess Deaths Conspiracy Evidence</t>
  </si>
  <si>
    <t>How to Identify Data Misuse in Excess Deaths Conspiracy Arguments</t>
  </si>
  <si>
    <t>How to Fact-Check Excess Deaths Conspiracy Narratives Using Sources</t>
  </si>
  <si>
    <t>How to Evaluate Excess Deaths Conspiracy Claims Step by Step{slug=excess-deaths-conspiracy}</t>
  </si>
  <si>
    <t>{slug=excess-deaths-conspiracy}</t>
  </si>
  <si>
    <t>How to Evaluate Excess Deaths Conspiracy Claims Step by Step</t>
  </si>
  <si>
    <t>PCR test conspiracy: How to separate science from manipulated PCR narratives</t>
  </si>
  <si>
    <t>PCR test conspiracy: How to verify data behind PCR testing allegations</t>
  </si>
  <si>
    <t>PCR test conspiracy: How to evaluate PCR cycle threshold arguments</t>
  </si>
  <si>
    <t>PCR test conspiracy: How to fact-check viral PCR misinformation</t>
  </si>
  <si>
    <t>PCR test conspiracy: How to spot misleading claims step by step{slug=pcr-test-conspiracy}</t>
  </si>
  <si>
    <t>{slug=pcr-test-conspiracy}</t>
  </si>
  <si>
    <t>PCR test conspiracy: How to spot misleading claims step by step</t>
  </si>
  <si>
    <t>Mask Mandate Conspiracy: How to Track Funding Power and Network Links</t>
  </si>
  <si>
    <t>Mask Mandate Conspiracy: How to Verify â€œEvidenceâ€ Without Falling for Hoaxes</t>
  </si>
  <si>
    <t>Mask Mandate Conspiracy: How to Build a Source-Checking Workflow</t>
  </si>
  <si>
    <t>Mask Mandate Conspiracy: How to Spot Coordinated Messaging Tactics</t>
  </si>
  <si>
    <t>Mask Mandate Conspiracy: How to Investigate Claims Step-by-Step{slug=mask-mandate-conspiracy}</t>
  </si>
  <si>
    <t>{slug=mask-mandate-conspiracy}</t>
  </si>
  <si>
    <t>Mask Mandate Conspiracy: How to Investigate Claims Step-by-Step</t>
  </si>
  <si>
    <t>COVID lockdown conspiracy: How to Build a Balanced Evidence Timeline</t>
  </si>
  <si>
    <t>COVID lockdown conspiracy: How to Compare Official Data vs. Viral Posts</t>
  </si>
  <si>
    <t>COVID lockdown conspiracy: How to Spot Misinformation and Logical Fallacies</t>
  </si>
  <si>
    <t>COVID lockdown conspiracy: How to Verify â€œEvidenceâ€ Sources Quickly</t>
  </si>
  <si>
    <t>COVID lockdown conspiracy: How to Fact-Check Claims Step by Step{slug=covid-lockdown-conspiracy}</t>
  </si>
  <si>
    <t>{slug=covid-lockdown-conspiracy}</t>
  </si>
  <si>
    <t>COVID lockdown conspiracy: How to Fact-Check Claims Step by Step</t>
  </si>
  <si>
    <t>5 Timeline Moments in January FBI Involvement Reporting**</t>
  </si>
  <si>
    <t>5 Known Facts in January FBI Involvement Investigations</t>
  </si>
  <si>
    <t>5 Major January FBI Involvement Leads and Outcomes</t>
  </si>
  <si>
    <t>Who Did What in January FBI Involvement Investigations?</t>
  </si>
  <si>
    <t>5 Key January FBI Involvement Actions Explained{slug=january-6-fbi-involvement}</t>
  </si>
  <si>
    <t>{slug=january-6-fbi-involvement}</t>
  </si>
  <si>
    <t>5 Key January FBI Involvement Actions Explained</t>
  </si>
  <si>
    <t>How to Compare Competing â€œJanuary 6â€ Conspiracy Explanations</t>
  </si>
  <si>
    <t>How to Assess Evidence Sources Behind â€œJanuary 6â€ Conspiracy Claims</t>
  </si>
  <si>
    <t>How to Build a Timeline for â€œJanuary 6â€ Conspiracy Allegations</t>
  </si>
  <si>
    <t>How to Fact-Check â€œJanuary 6â€ Conspiracy Narratives in 30 Minutes{slug=january-6-conspiracy}</t>
  </si>
  <si>
    <t>{slug=january-6-conspiracy}</t>
  </si>
  <si>
    <t>How to Fact-Check â€œJanuary 6â€ Conspiracy Narratives in 30 Minutes</t>
  </si>
  <si>
    <t>How to Evaluate â€œJanuary 6â€ Conspiracy Claims Step by Step</t>
  </si>
  <si>
    <t>Parkland Shooting Conspiracy: How to Build a Timeline and Assess Competing Theories</t>
  </si>
  <si>
    <t>Parkland Shooting Conspiracy: How to Research Allegations Responsibly</t>
  </si>
  <si>
    <t>Parkland Shooting Conspiracy: How to Verify Sources and Cross-Check Facts</t>
  </si>
  <si>
    <t>Parkland Shooting Conspiracy: How to Spot Misinformation and Manipulation</t>
  </si>
  <si>
    <t>Parkland Shooting Conspiracy: How to Evaluate Claims and Evidence{slug=parkland-shooting-conspiracy}</t>
  </si>
  <si>
    <t>{slug=parkland-shooting-conspiracy}</t>
  </si>
  <si>
    <t>Parkland Shooting Conspiracy: How to Evaluate Claims and Evidence</t>
  </si>
  <si>
    <t>How to Trace the Origins of the Pulse Nightclub Conspiracy Theory and Verify Sources</t>
  </si>
  <si>
    <t>How to Evaluate Competing Narratives Behind the Pulse Nightclub Conspiracy</t>
  </si>
  <si>
    <t>How to Build a Source-by-Source Timeline of the Pulse Nightclub Conspiracy Claims</t>
  </si>
  <si>
    <t>How to Fact-Check the Pulse Nightclub Conspiracy Without Falling for Misinformation</t>
  </si>
  <si>
    <t>How to Investigate the Pulse Nightclub Conspiracy: Claims Evidence and Red Flags{slug=pulse-nightclub-conspiracy}</t>
  </si>
  <si>
    <t>{slug=pulse-nightclub-conspiracy}</t>
  </si>
  <si>
    <t>How to Investigate the Pulse Nightclub Conspiracy: Claims Evidence and Red Flags</t>
  </si>
  <si>
    <t>How to Research Boston Marathon conspiracy Theories Using Primary Documents</t>
  </si>
  <si>
    <t>How to Spot Misinformation in Boston Marathon conspiracy Videos and Posts</t>
  </si>
  <si>
    <t>How to Build a Timeline from Boston Marathon conspiracy Allegations</t>
  </si>
  <si>
    <t>How to Verify Boston Marathon conspiracy Sources and Evidence</t>
  </si>
  <si>
    <t>How to Investigate Boston Marathon conspiracy Claims Fact-By-Fact{slug=boston-marathon-conspiracy}</t>
  </si>
  <si>
    <t>{slug=boston-marathon-conspiracy}</t>
  </si>
  <si>
    <t>How to Investigate Boston Marathon conspiracy Claims Fact-By-Fact</t>
  </si>
  <si>
    <t>7 Alternative Explanations for the Las Vegas Shooting Conspiracy</t>
  </si>
  <si>
    <t>7 â€œEvidenceâ€ Arguments in the Las Vegas Shooting Conspiracy</t>
  </si>
  <si>
    <t>7 Unanswered Questions in the Las Vegas Shooting Conspiracy</t>
  </si>
  <si>
    <t>7 Claims in the Las Vegas Shooting Conspiracy Narrative</t>
  </si>
  <si>
    <t>7 Theories Behind the Las Vegas Shooting Conspiracy{slug=las-vegas-shooting-conspiracy}</t>
  </si>
  <si>
    <t>{slug=las-vegas-shooting-conspiracy}</t>
  </si>
  <si>
    <t>7 Theories Behind the Las Vegas Shooting Conspiracy</t>
  </si>
  <si>
    <t>Remote Viewing Evidence: Validate Findings With Simple Statistics**</t>
  </si>
  <si>
    <t>Remote Viewing Evidence: How to Do Blind Trials Without Bias</t>
  </si>
  <si>
    <t>Remote Viewing Evidence: Collect Record and Analyze Results</t>
  </si>
  <si>
    <t>Remote Viewing Evidence: How to Run Practical Experiments</t>
  </si>
  <si>
    <t>Remote Viewing Evidence: Step-by-Step Evidence Testing{slug=remote-viewing-evidence}</t>
  </si>
  <si>
    <t>{slug=remote-viewing-evidence}</t>
  </si>
  <si>
    <t>Remote Viewing Evidence: Step-by-Step Evidence Testing</t>
  </si>
  <si>
    <t>How to Build a Claims-to-Evidence Checklist for Near Death Experience Conspiracy</t>
  </si>
  <si>
    <t>Near Death Experience Conspiracy: How to Spot Manipulation and Hoaxes</t>
  </si>
  <si>
    <t>How to Fact-Check Near Death Experience Conspiracy Theories</t>
  </si>
  <si>
    <t>Near Death Experience Conspiracy: How to Vet Evidence Sources and Red Flags</t>
  </si>
  <si>
    <t>How to Investigate Near Death Experience Conspiracy Claims Step by Step{slug=near-death-experience-conspiracy}</t>
  </si>
  <si>
    <t>{slug=near-death-experience-conspiracy}</t>
  </si>
  <si>
    <t>How to Investigate Near Death Experience Conspiracy Claims Step by Step</t>
  </si>
  <si>
    <t>Calcification Pineal Gland: How to Manage Symptoms and When to Seek Care</t>
  </si>
  <si>
    <t>Calcification Pineal Gland: How to Talk to Your Doctor About Imaging Findings</t>
  </si>
  <si>
    <t>Calcification Pineal Gland: How to Reduce Risk Factors Naturally</t>
  </si>
  <si>
    <t>Calcification Pineal Gland: Is It Normal and What Should You Do?</t>
  </si>
  <si>
    <t>Calcification Pineal Gland: How to Interpret Results and Next Steps{slug=calcification-pineal-gland}</t>
  </si>
  <si>
    <t>{slug=calcification-pineal-gland}</t>
  </si>
  <si>
    <t>Calcification Pineal Gland: How to Interpret Results and Next Steps</t>
  </si>
  <si>
    <t>How to Interpret Fluoride Studies on the Pineal Gland and Melatonin Data: A Simple Guide</t>
  </si>
  <si>
    <t>How to Reduce Fluoride-Related Pineal Gland Calcification Concerns: Action Plan &amp; Tips</t>
  </si>
  <si>
    <t>How Fluoride and the Pineal Gland May Affect Sleep and Melatonin: A How-To Guide</t>
  </si>
  <si>
    <t>How to Evaluate Whether Fluoride Impacts the Pineal Gland</t>
  </si>
  <si>
    <t>How Fluoride Affects the Pineal Gland and Melatonin Evidence: A Practical Guide{slug=fluoride-pineal-gland}</t>
  </si>
  <si>
    <t>{slug=fluoride-pineal-gland}</t>
  </si>
  <si>
    <t>How Fluoride Affects the Pineal Gland and Melatonin Evidence: A Practical Guide</t>
  </si>
  <si>
    <t>Pineal Gland Third Eye: How to Research Claims and Separate Science from Spirituality</t>
  </si>
  <si>
    <t>Pineal Gland Third Eye: How to Build a Meditation Routine Evidence-Based Approach</t>
  </si>
  <si>
    <t>Pineal Gland Third Eye: How to Explore Spiritual Traditions Without Hype</t>
  </si>
  <si>
    <t>Pineal Gland Third Eye: A Beginnerâ€™s How-To Guide for Safe Practices</t>
  </si>
  <si>
    <t>Pineal Gland Third Eye: How to Understand It and Spot Myths{slug=pineal-gland-third-eye}</t>
  </si>
  <si>
    <t>{slug=pineal-gland-third-eye}</t>
  </si>
  <si>
    <t>Pineal Gland Third Eye: How to Understand It and Spot Myths</t>
  </si>
  <si>
    <t>DMT Conspiracy: Separate Myths From Testable Explanations</t>
  </si>
  <si>
    <t>DMT Conspiracy: How to Build a Case With Whistleblowers and Sources</t>
  </si>
  <si>
    <t>DMT Conspiracy: How to Trace Origins of Cover-Up Stories</t>
  </si>
  <si>
    <t>DMT Conspiracy: How to Verify Claims and Supporting Evidence</t>
  </si>
  <si>
    <t>DMT Conspiracy: How to Investigate Alleged Secret Programs{slug=dmt-conspiracy}</t>
  </si>
  <si>
    <t>{slug=dmt-conspiracy}</t>
  </si>
  <si>
    <t>DMT Conspiracy: How to Investigate Alleged Secret Programs</t>
  </si>
  <si>
    <t>How to Track consciousness conspiracy Research Leads Using Open Sources</t>
  </si>
  <si>
    <t>How to Evaluate consciousness conspiracy Mind-Control Allegations Methodically</t>
  </si>
  <si>
    <t>How to Build a Timeline of consciousness conspiracy Evidence</t>
  </si>
  <si>
    <t>How to Fact-Check consciousness conspiracy Theories Without Getting Fooled</t>
  </si>
  <si>
    <t>How to Investigate consciousness conspiracy Claims Step by Step{slug=consciousness-conspiracy}</t>
  </si>
  <si>
    <t>{slug=consciousness-conspiracy}</t>
  </si>
  <si>
    <t>How to Investigate consciousness conspiracy Claims Step by Step</t>
  </si>
  <si>
    <t>How to Verify Simulation Theory Evidence Pitfalls to Avoid</t>
  </si>
  <si>
    <t>How to Build a Case for Simulation Theory Evidence Logical Framework</t>
  </si>
  <si>
    <t>How to Research Simulation Theory Evidence Using Credible Sources</t>
  </si>
  <si>
    <t>How to Evaluate Simulation Theory Evidence Methods and Checks</t>
  </si>
  <si>
    <t>How to Find Simulation Theory Evidence Step-by-Step{slug=simulation-theory-evidence}</t>
  </si>
  <si>
    <t>{slug=simulation-theory-evidence}</t>
  </si>
  <si>
    <t>How to Find Simulation Theory Evidence Step-by-Step</t>
  </si>
  <si>
    <t>How to Debunk a Multiverse Conspiracy Claim Using Logic and Data</t>
  </si>
  <si>
    <t>How to Build a Multiverse Conspiracy Argument Without Falling for Errors</t>
  </si>
  <si>
    <t>How to Fact-Check Multiverse Conspiracy Theories Using Sources</t>
  </si>
  <si>
    <t>How to Evaluate Multiverse Conspiracy Evidence Step by Step</t>
  </si>
  <si>
    <t>How to Spot a Multiverse Conspiracy in Online Claims{slug=multiverse-conspiracy}</t>
  </si>
  <si>
    <t>{slug=multiverse-conspiracy}</t>
  </si>
  <si>
    <t>How to Spot a Multiverse Conspiracy in Online Claims</t>
  </si>
  <si>
    <t>Philadelphia Experiment details: How to separate myths from verified history</t>
  </si>
  <si>
    <t>Philadelphia Experiment details: How to trace key figures and documents</t>
  </si>
  <si>
    <t>Philadelphia Experiment details: How to find evidence for and against</t>
  </si>
  <si>
    <t>Philadelphia Experiment details: How to fact-check the timeline</t>
  </si>
  <si>
    <t>Philadelphia Experiment details: How to research the claims and sources{slug=philadelphia-experiment-details}</t>
  </si>
  <si>
    <t>{slug=philadelphia-experiment-details}</t>
  </si>
  <si>
    <t>Philadelphia Experiment details: How to research the claims and sources</t>
  </si>
  <si>
    <t>John Titor Time Traveler Guide: How to Research Credibility Effectively</t>
  </si>
  <si>
    <t>John Titor Time Traveler Forecasts: How to Audit Predictions vs. Reality</t>
  </si>
  <si>
    <t>John Titor Time Traveler Hoax Check: How to Spot Red Flags Fast</t>
  </si>
  <si>
    <t>John Titor Time Traveler Messages: How to Trace the Timeline and Sources</t>
  </si>
  <si>
    <t>John Titor Time Traveler: How to Verify the Claims Step by Step{slug=john-titor-time-traveler}</t>
  </si>
  <si>
    <t>{slug=john-titor-time-traveler}</t>
  </si>
  <si>
    <t>John Titor Time Traveler: How to Verify the Claims Step by Step</t>
  </si>
  <si>
    <t>Why People Believe in the â€œTime Travel Conspiracyâ€â€”And Why Skeptics Push Back</t>
  </si>
  <si>
    <t>7 Dates Events and Predictions in the â€œTime Travel Conspiracy</t>
  </si>
  <si>
    <t>7 Most Popular â€œTime Travel Conspiracyâ€ Theoriesâ€”Whatâ€™s Actually Known</t>
  </si>
  <si>
    <t>7 Pieces of Evidence in the â€œTime Travel Conspiracyâ€ Explained</t>
  </si>
  <si>
    <t>7 Claims in the â€œTime Travel Conspiracyâ€ That Keep Circulating{slug=time-travel-conspiracy}</t>
  </si>
  <si>
    <t>{slug=time-travel-conspiracy}</t>
  </si>
  <si>
    <t>7 Claims in the â€œTime Travel Conspiracyâ€ That Keep Circulating</t>
  </si>
  <si>
    <t>How to Test an Anti-Gravity Technology Device Claim Safely: Design Measurements Verification</t>
  </si>
  <si>
    <t>How Does Anti-Gravity Technology Work Theories vs Reality</t>
  </si>
  <si>
    <t>How to Research Anti-Gravity Technology Patents Effectively From Keywords to Evidence</t>
  </si>
  <si>
    <t>How to Build a Simple Anti-Gravity Technology Experiment: Mylar Magnets and Controls</t>
  </si>
  <si>
    <t>How to Evaluate Anti-Gravity Technology Claims: A Step-by-Step Checklist{slug=anti-gravity-technology}</t>
  </si>
  <si>
    <t>{slug=anti-gravity-technology}</t>
  </si>
  <si>
    <t>How to Evaluate Anti-Gravity Technology Claims: A Step-by-Step Checklist</t>
  </si>
  <si>
    <t>How to Learn Zero Point Energy Science Safely: Experiments Resources Next Steps</t>
  </si>
  <si>
    <t>How to Evaluate Zero Point Energy for Usable Power: Practical How-To</t>
  </si>
  <si>
    <t>How to Build a Zero Point Energy Research Plan: Methods &amp; Metrics</t>
  </si>
  <si>
    <t>How to Test Zero Point Energy Claims: Step-by-Step Checklist</t>
  </si>
  <si>
    <t>How to Understand Zero Point Energy: Beginnerâ€™s Guide{slug=zero-point-energy}</t>
  </si>
  <si>
    <t>{slug=zero-point-energy}</t>
  </si>
  <si>
    <t>How to Understand Zero Point Energy: Beginnerâ€™s Guide</t>
  </si>
  <si>
    <t>Cold Fusion Cover Up Truth Test: How to Evaluate Scientific and Political Claims</t>
  </si>
  <si>
    <t>Cold Fusion Cover Up or Misunderstanding?</t>
  </si>
  <si>
    <t>Cold Fusion Cover Up Explained: How to Verify Experiments Step by Step</t>
  </si>
  <si>
    <t>Cold Fusion Cover Up Claims: How to Investigate Sources and Funding</t>
  </si>
  <si>
    <t>Cold Fusion Cover Up: How to Check Evidence Yourself{slug=cold-fusion-cover-up}</t>
  </si>
  <si>
    <t>{slug=cold-fusion-cover-up}</t>
  </si>
  <si>
    <t>Cold Fusion Cover Up: How to Check Evidence Yourself</t>
  </si>
  <si>
    <t>How to Build a Timeline Showing When and Why Aether Physics Was Suppressed</t>
  </si>
  <si>
    <t>How to Evaluate Evidence for Aether Physics Suppressed Accounts in Primary Sources</t>
  </si>
  <si>
    <t>How to Track Key Events Behind Aether Physics Suppressed Narratives</t>
  </si>
  <si>
    <t>How to Research Claims That Aether Physics Was Suppressed in Science</t>
  </si>
  <si>
    <t>How to Verify Whether Aether Physics Was Suppressed: Then vs. Now{slug=aether-physics-suppressed}</t>
  </si>
  <si>
    <t>{slug=aether-physics-suppressed}</t>
  </si>
  <si>
    <t>How to Verify Whether Aether Physics Was Suppressed: Then vs. Now</t>
  </si>
  <si>
    <t>Plasma Cosmology: A Practical How-to for Building Your First Model</t>
  </si>
  <si>
    <t>How to Study Plasma Cosmology with Real-World Examples</t>
  </si>
  <si>
    <t>Plasma Cosmology: Step-by-Step Guide to Key Ideas</t>
  </si>
  <si>
    <t>How to Understand Plasma Cosmology Models</t>
  </si>
  <si>
    <t>Plasma Cosmology: A Beginnerâ€™s How-To Guide{slug=plasma-cosmology}</t>
  </si>
  <si>
    <t>{slug=plasma-cosmology}</t>
  </si>
  <si>
    <t>Plasma Cosmology: A Beginnerâ€™s How-To Guide</t>
  </si>
  <si>
    <t>Electric Universe Theory: How to Build a Reading List and Fact-Check the Ideas</t>
  </si>
  <si>
    <t>Electric Universe Theory: How to Evaluate Star and Planet Myths Step-by-Step</t>
  </si>
  <si>
    <t>Electric Universe Theory: How to Map Key Predictions and Evidence Sources</t>
  </si>
  <si>
    <t>Electric Universe Theory: How to Compare Claims vs. Mainstream Astronomy</t>
  </si>
  <si>
    <t>Electric Universe Theory: Basics in 15 Minutes{slug=electric-universe-theory}</t>
  </si>
  <si>
    <t>{slug=electric-universe-theory}</t>
  </si>
  <si>
    <t>Electric Universe Theory: Basics in 15 Minutes</t>
  </si>
  <si>
    <t>Expanding Earth Theory: How to Understand Common Criticisms and Faults</t>
  </si>
  <si>
    <t>Expanding Earth Theory: A Practical Checklist for Testing the Ideaâ€™s Predictions</t>
  </si>
  <si>
    <t>Expanding Earth Theory: How to Compare Its Mechanisms With Plate Tectonics</t>
  </si>
  <si>
    <t>Expanding Earth Theory: How to Evaluate the â€œEvidenceâ€ and Predictions</t>
  </si>
  <si>
    <t>Expanding Earth Theory: A Step-by-Step Guide to Core Claims{slug=expanding-earth-theory}</t>
  </si>
  <si>
    <t>{slug=expanding-earth-theory}</t>
  </si>
  <si>
    <t>Expanding Earth Theory: A Step-by-Step Guide to Core Claims</t>
  </si>
  <si>
    <t>Hollow Earth Theory: How to Summarize Competing Versions Without Myths</t>
  </si>
  <si>
    <t>Hollow Earth Theory: How to Build a Simple Model and Test Assumptions</t>
  </si>
  <si>
    <t>Hollow Earth Theory: How to Evaluate the Evidence Step by Step</t>
  </si>
  <si>
    <t>Hollow Earth Theory: How to Trace Its Origins and Variations</t>
  </si>
  <si>
    <t>Hollow Earth Theory: How to Explain It Clearly in 10 Minutes{slug=hollow-earth-theory}</t>
  </si>
  <si>
    <t>{slug=hollow-earth-theory}</t>
  </si>
  <si>
    <t>Hollow Earth Theory: How to Explain It Clearly in 10 Minutes</t>
  </si>
  <si>
    <t>How to Investigate the Jonestown CIA Conspiracy Step by Step: From Timelines to Court Records</t>
  </si>
  <si>
    <t>How to Assess Credibility in the Jonestown CIA Conspiracy Debate: Methods and Red Flags</t>
  </si>
  <si>
    <t>How to Build an Evidence Map for the Jonestown CIA Conspiracy: Key Claims and Primary Sources</t>
  </si>
  <si>
    <t>How to Verify Jonestown CIA Conspiracy Evidence: Timelines Documents and Fact Checks</t>
  </si>
  <si>
    <t>How to Research the Jonestown CIA Conspiracy Claim: A Source-Based Checklist{slug=jonestown-cia-conspiracy}</t>
  </si>
  <si>
    <t>{slug=jonestown-cia-conspiracy}</t>
  </si>
  <si>
    <t>How to Research the Jonestown CIA Conspiracy Claim: A Source-Based Checklist</t>
  </si>
  <si>
    <t>How to Research the Brainwashing Korean War Controversy Step by Step</t>
  </si>
  <si>
    <t>How to Spot Techniques Behind Brainwashing Korean War Allegations</t>
  </si>
  <si>
    <t>How Brainwashing Korean War Re-Education Programs Were Reported</t>
  </si>
  <si>
    <t>How to Evaluate Brainwashing Korean War Claims and Evidence</t>
  </si>
  <si>
    <t>How Brainwashing Korean War Propaganda Worked{slug=brainwashing-korean-war}</t>
  </si>
  <si>
    <t>{slug=brainwashing-korean-war}</t>
  </si>
  <si>
    <t>How Brainwashing Korean War Propaganda Worked</t>
  </si>
  <si>
    <t>What Are the Risks and Ethics of Sensory Deprivation Experiments?</t>
  </si>
  <si>
    <t>What Do Sensory Deprivation Experiments Reveal About the Brain?</t>
  </si>
  <si>
    <t>What Are Sensory Deprivation Experiments Used For?</t>
  </si>
  <si>
    <t>What Happens in Sensory Deprivation Experiments?</t>
  </si>
  <si>
    <t>What Are Sensory Deprivation Experiments?{slug=sensory-deprivation-experiments}</t>
  </si>
  <si>
    <t>{slug=sensory-deprivation-experiments}</t>
  </si>
  <si>
    <t>What Are Sensory Deprivation Experiments?</t>
  </si>
  <si>
    <t>Whatâ€™s the Difference Between Psychic Driving and Safe Driving Skills?</t>
  </si>
  <si>
    <t>Whatâ€™s the Science Behind Psychic Driving and Perception?</t>
  </si>
  <si>
    <t>What Are the Signs of Psychic Driving in Real Life?</t>
  </si>
  <si>
    <t>What Does Psychic Driving Mean for Your Driving Behavior?</t>
  </si>
  <si>
    <t>What Is Psychic Driving and Does It Work?{slug=psychic-driving}</t>
  </si>
  <si>
    <t>{slug=psychic-driving}</t>
  </si>
  <si>
    <t>What Is Psychic Driving and Does It Work?</t>
  </si>
  <si>
    <t>Ewen Cameron Experiments: Summarizing Impacts Criticism and Legacy</t>
  </si>
  <si>
    <t>Ewen Cameron Experiments: How to Evaluate Primary Sources and Testimonies</t>
  </si>
  <si>
    <t>Ewen Cameron Experiments: A Practical Guide to Context Institutions and Timeline</t>
  </si>
  <si>
    <t>How to Research Ewen Cameron Experiments: Methods Claims and Evidence</t>
  </si>
  <si>
    <t>Ewen Cameron Experiments: A Step-by-Step Guide to the Historical Record{slug=ewen-cameron-experiments}</t>
  </si>
  <si>
    <t>{slug=ewen-cameron-experiments}</t>
  </si>
  <si>
    <t>Ewen Cameron Experiments: A Step-by-Step Guide to the Historical Record</t>
  </si>
  <si>
    <t>How to Summarize Sidney Gottliebâ€™s Biography: His Impact and Legacy</t>
  </si>
  <si>
    <t>How to Verify Facts for a Sidney Gottlieb Biography: Cross-Checking Records and Accounts</t>
  </si>
  <si>
    <t>How to Structure a Sidney Gottlieb Biography: From Early Life to Government Work</t>
  </si>
  <si>
    <t>How to Research a Sidney Gottlieb Biography: Sources and Major Contributions</t>
  </si>
  <si>
    <t>How to Write a Sidney Gottlieb Biography: Key Life Events and Career Timeline{slug=sidney-gottlieb-biography}</t>
  </si>
  <si>
    <t>{slug=sidney-gottlieb-biography}</t>
  </si>
  <si>
    <t>How to Write a Sidney Gottlieb Biography: Key Life Events and Career Timeline</t>
  </si>
  <si>
    <t>Operation Midnight Climax Details 5 Controversies and Unanswered Questions</t>
  </si>
  <si>
    <t>Operation Midnight Climax Details 5 Outcomes and Lasting Impacts</t>
  </si>
  <si>
    <t>Operation Midnight Climax Details 5 Notable Participants and Roles</t>
  </si>
  <si>
    <t>Operation Midnight Climax Details 5 Major Events in Timeline Order</t>
  </si>
  <si>
    <t>Operation Midnight Climax Details 5 Key Facts You Need to Know{slug=operation-midnight-climax-details}</t>
  </si>
  <si>
    <t>{slug=operation-midnight-climax-details}</t>
  </si>
  <si>
    <t>Operation Midnight Climax Details 5 Key Facts You Need to Know</t>
  </si>
  <si>
    <t>What Impact Did MKULTRA Subprojects Have on Modern Ethics?</t>
  </si>
  <si>
    <t>What Locations and Agencies Hosted MKULTRA Subprojects?</t>
  </si>
  <si>
    <t>What Are the Known MKULTRA Subprojects and Experiments?</t>
  </si>
  <si>
    <t>What MKULTRA Subprojects Were Carried Out by the CIA?</t>
  </si>
  <si>
    <t>What Were the MKULTRA Subprojects?{slug=mkultra-subprojects}</t>
  </si>
  <si>
    <t>{slug=mkultra-subprojects}</t>
  </si>
  <si>
    <t>What Were the MKULTRA Subprojects?</t>
  </si>
  <si>
    <t>Jose Delgado Brain Control: What His Findings Are and Arenâ€™t Replicated?</t>
  </si>
  <si>
    <t>How to Evaluate Jose Delgado Brain Control Claims and Credibility?</t>
  </si>
  <si>
    <t>How Jose Delgadoâ€™s Neurophysiology Enabled Real-Time Brain Control</t>
  </si>
  <si>
    <t>How to Explain Jose Delgado Brain Control Experiments Step by Step?</t>
  </si>
  <si>
    <t>Jose Delgado Brain Control: How His Stimoceiver Worked{slug=jose-delgado-brain-control}</t>
  </si>
  <si>
    <t>{slug=jose-delgado-brain-control}</t>
  </si>
  <si>
    <t>Jose Delgado Brain Control: How His Stimoceiver Worked</t>
  </si>
  <si>
    <t>How to Evaluate Lilly Wave Mind Control for Legal Scientific and Ethical Validity</t>
  </si>
  <si>
    <t>How to Check Lilly Wave Mind Control Allegations: Tools Sources and Red Flags</t>
  </si>
  <si>
    <t>How to Research Lilly Wave Mind Control Step by Step: Whatâ€™s Real vs. Rumor</t>
  </si>
  <si>
    <t>How to Investigate Lilly Wave Mind Control With Credible Evidence</t>
  </si>
  <si>
    <t>How to Assess Lilly Wave Mind Control Claims and Verify Sources (2026){slug=lilly-wave-mind-control}</t>
  </si>
  <si>
    <t>{slug=lilly-wave-mind-control}</t>
  </si>
  <si>
    <t>How to Assess Lilly Wave Mind Control Claims and Verify Sources (2026)</t>
  </si>
  <si>
    <t>Voice Skull Technology: Beginner How-To for Signal Path &amp; Safety</t>
  </si>
  <si>
    <t>Voice Skull Technology: How to Map Speech Signals to Brain Interfaces</t>
  </si>
  <si>
    <t>Build a Voice Skull Prototype: Step-by-Step Setup Guide</t>
  </si>
  <si>
    <t>Voice Skull Technology: A Practical How-To Guide (2026)</t>
  </si>
  <si>
    <t>Voice Skull Technology: How It Works Step by Step{slug=voice-to-skull-technology}</t>
  </si>
  <si>
    <t>{slug=voice-to-skull-technology}</t>
  </si>
  <si>
    <t>Voice Skull Technology: How It Works Step by Step</t>
  </si>
  <si>
    <t>How to Investigate Electronic Mind Control Claims: Researching Online Evidence Method</t>
  </si>
  <si>
    <t>How to Protect Yourself From Electronic Mind Control Rumors: Safety Steps</t>
  </si>
  <si>
    <t>How to Spot Electronic Mind Control Manipulation Tactics: What to Look For</t>
  </si>
  <si>
    <t>How to Evaluate Electronic Mind Control Evidence With a Practical Checklist</t>
  </si>
  <si>
    <t>How Electronic Mind Control Works: Understanding the Claims Step by Step{slug=electronic-mind-control}</t>
  </si>
  <si>
    <t>{slug=electronic-mind-control}</t>
  </si>
  <si>
    <t>How Electronic Mind Control Works: Understanding the Claims Step by Step</t>
  </si>
  <si>
    <t>Backmasking Conspiracy: A Practical How-To for Auditing Claims in Music Tracks</t>
  </si>
  <si>
    <t>Is the Backmasking Conspiracy Real?</t>
  </si>
  <si>
    <t>Backmasking Conspiracy Guide: How to Spot Common Tricks and False Patterns</t>
  </si>
  <si>
    <t>Backmasking Conspiracy Step-by-Step: How to Test â€œHidden Messagesâ€ in Audio</t>
  </si>
  <si>
    <t>Backmasking Conspiracy: How to Verify Claimed Hidden Lyrics in Songs{slug=backmasking-conspiracy}</t>
  </si>
  <si>
    <t>{slug=backmasking-conspiracy}</t>
  </si>
  <si>
    <t>Backmasking Conspiracy: How to Verify Claimed Hidden Lyrics in Songs</t>
  </si>
  <si>
    <t>Subliminal Messaging: A Practical How To for Reading Research and Setting Expectations</t>
  </si>
  <si>
    <t>Subliminal Messaging: How to Test Claims Track Results and Avoid Placebo</t>
  </si>
  <si>
    <t>Subliminal Messaging: How to Build Visual Scripts That â€œInstructâ€ the Brain</t>
  </si>
  <si>
    <t>Subliminal Messaging: Step by Step Guide to Creating Effective Audio</t>
  </si>
  <si>
    <t>Subliminal Messaging: How It Works and How to Try It Safely{slug=subliminal-messaging}</t>
  </si>
  <si>
    <t>{slug=subliminal-messaging}</t>
  </si>
  <si>
    <t>Subliminal Messaging: How It Works and How to Try It Safely</t>
  </si>
  <si>
    <t>Hypnosis Mind Control Myths: Separating Fact From Fiction</t>
  </si>
  <si>
    <t>Hypnosis Mind Control: How to Run a Consent-Based Session</t>
  </si>
  <si>
    <t>Can You Do Hypnosis Mind Control?</t>
  </si>
  <si>
    <t>Hypnosis Mind Control: Step-by-Step Guide to Safe Ethical Practice</t>
  </si>
  <si>
    <t>Hypnosis Mind Control: What It Can and Canâ€™t Do (How It Works){slug=hypnosis-mind-control}</t>
  </si>
  <si>
    <t>{slug=hypnosis-mind-control}</t>
  </si>
  <si>
    <t>Hypnosis Mind Control: What It Can and Canâ€™t Do (How It Works)</t>
  </si>
  <si>
    <t>Manchurian Candidate real: How to find sources confirming or debunking it</t>
  </si>
  <si>
    <t>Manchurian Candidate real: How to fact-check the history in 10 minutes{slug=manchurian-candidate-real}</t>
  </si>
  <si>
    <t>{slug=manchurian-candidate-real}</t>
  </si>
  <si>
    <t>Manchurian Candidate real: How to fact-check the history in 10 minutes</t>
  </si>
  <si>
    <t>Manchurian Candidate real: How to check real-life inspirations behind the plot</t>
  </si>
  <si>
    <t>Manchurian Candidate real: How to research the true story claims step by step</t>
  </si>
  <si>
    <t>Manchurian Candidate real: How to verify if itâ€™s based on true events</t>
  </si>
  <si>
    <t>How to Audit Your Facebook Settings to Minimize Emotional Manipulation</t>
  </si>
  <si>
    <t>How to Break the Engagement Cycle Behind Facebook Emotional Manipulation</t>
  </si>
  <si>
    <t>How to Protect Yourself From Facebook Emotional Manipulation Step by Step</t>
  </si>
  <si>
    <t>How to Reduce Facebook Emotional Manipulation in Your Feed</t>
  </si>
  <si>
    <t>How Does Facebook Emotional Manipulation Work and How Can You Spot It?{slug=facebook-emotional-manipulation}</t>
  </si>
  <si>
    <t>{slug=facebook-emotional-manipulation}</t>
  </si>
  <si>
    <t>How Does Facebook Emotional Manipulation Work and How Can You Spot It?</t>
  </si>
  <si>
    <t>7 Outcomes and Settlements Linked to Wells Fargo Fake Accounts</t>
  </si>
  <si>
    <t>7 Evidence Claims Behind Wells Fargo Fake Accounts</t>
  </si>
  <si>
    <t>7 Timeline Moments in Wells Fargo Fake Accounts Story</t>
  </si>
  <si>
    <t>7 Things to Know About Wells Fargo Fake Accounts Reports</t>
  </si>
  <si>
    <t>7 Key Allegations in Wells Fargo Fake Accounts Cases{slug=wells-fargo-fake-accounts}</t>
  </si>
  <si>
    <t>{slug=wells-fargo-fake-accounts}</t>
  </si>
  <si>
    <t>7 Key Allegations in Wells Fargo Fake Accounts Cases</t>
  </si>
  <si>
    <t>How to Build a Timeline of the Enron Conspiracy from Court Documents</t>
  </si>
  <si>
    <t>How to Map Key Players in the Enron Conspiracy Behind the Scandal</t>
  </si>
  <si>
    <t>How to Verify Enron Conspiracy Allegations Without Misinformation</t>
  </si>
  <si>
    <t>How to Trace Enron Conspiracy Evidence Using Public Records</t>
  </si>
  <si>
    <t>How to Research Enron Conspiracy Claims Step by Step{slug=enron-conspiracy}</t>
  </si>
  <si>
    <t>{slug=enron-conspiracy}</t>
  </si>
  <si>
    <t>How to Research Enron Conspiracy Claims Step by Step</t>
  </si>
  <si>
    <t>How to Prevent Theranos Fraud Controls and Red Flags Guide**</t>
  </si>
  <si>
    <t>How to Investigate Theranos Fraud Claims Evidence Checklist</t>
  </si>
  <si>
    <t>How Theranos Fraud Misled Investors Warning Signs Guide</t>
  </si>
  <si>
    <t>How to Spot Theranos Fraud Signals Checklist</t>
  </si>
  <si>
    <t>How Theranos Fraud Worked Step-by-Step Breakdown{slug=theranos-fraud}</t>
  </si>
  <si>
    <t>{slug=theranos-fraud}</t>
  </si>
  <si>
    <t>How Theranos Fraud Worked Step-by-Step Breakdown</t>
  </si>
  <si>
    <t>How to Read the Volkswagen emissions scandal case and defeat device explained</t>
  </si>
  <si>
    <t>How to Check your carâ€™s risk after the Volkswagen emissions scandal</t>
  </si>
  <si>
    <t>How to Identify affected vehicles in the Volkswagen emissions scandal</t>
  </si>
  <si>
    <t>How to Trace the Volkswagen emissions scandal timeline and key facts</t>
  </si>
  <si>
    <t>How to Understand the Volkswagen emissions scandal in 2026{slug=volkswagen-emissions-scandal}</t>
  </si>
  <si>
    <t>{slug=volkswagen-emissions-scandal}</t>
  </si>
  <si>
    <t>How to Understand the Volkswagen emissions scandal in 2026</t>
  </si>
  <si>
    <t>5 Boeing Responses Critics Say Enabled the Boeing MAX Cover Up</t>
  </si>
  <si>
    <t>5 Regulatory Actions Connected to the Boeing MAX Cover Up Allegations</t>
  </si>
  <si>
    <t>5 Documents and Testimonies Cited in the Boeing MAX Cover Up Debate</t>
  </si>
  <si>
    <t>5 Investigations and Findings Behind the Boeing MAX Cover Up Claim</t>
  </si>
  <si>
    <t>5 Key Allegations in the Boeing MAX Cover Up Timeline{slug=boeing-737-max-cover-up}</t>
  </si>
  <si>
    <t>{slug=boeing-737-max-cover-up}</t>
  </si>
  <si>
    <t>5 Key Allegations in the Boeing MAX Cover Up Timeline</t>
  </si>
  <si>
    <t>What Questions Do People Ask About Johnson and Johnson Talc?</t>
  </si>
  <si>
    <t>5 Current Updates on Johnson and Johnson Talc Claims</t>
  </si>
  <si>
    <t>5 Safety Concerns Raised About Johnson and Johnson Talc</t>
  </si>
  <si>
    <t>5 Things to Know About Johnson and Johnson Talc Lawsuits</t>
  </si>
  <si>
    <t>5 Key Facts About Johnson and Johnson Talc{slug=johnson-and-johnson-talc}</t>
  </si>
  <si>
    <t>{slug=johnson-and-johnson-talc}</t>
  </si>
  <si>
    <t>5 Key Facts About Johnson and Johnson Talc</t>
  </si>
  <si>
    <t>3M PFAS Cover Up: 5 Documented Events Fueling Controversy</t>
  </si>
  <si>
    <t>3M PFAS Cover Up: 5 Investigative Findings That Sparked Lawsuits</t>
  </si>
  <si>
    <t>3M PFAS Cover Up: 5 Claims About What Was Known and When</t>
  </si>
  <si>
    <t>3M PFAS Cover Up: 5 Reports That Raised Red Flags</t>
  </si>
  <si>
    <t>3M PFAS Cover Up: 5 Key Allegations and Timelines{slug=3m-pfas-cover-up}</t>
  </si>
  <si>
    <t>{slug=3m-pfas-cover-up}</t>
  </si>
  <si>
    <t>3M PFAS Cover Up: 5 Key Allegations and Timelines</t>
  </si>
  <si>
    <t>Dupont Teflon Cover Up: How to Evaluate Allegations Step-by-Step (Claims vs. Proof)</t>
  </si>
  <si>
    <t>Dupont Teflon Cover Up: How to Find Primary Documents and Court Records</t>
  </si>
  <si>
    <t>Dupont Teflon Cover Up: How to Research Who Knew What and When</t>
  </si>
  <si>
    <t>Dupont Teflon Cover Up: How to Verify Claims About PTFE/PFOA Reporting</t>
  </si>
  <si>
    <t>Dupont Teflon Cover Up: How to Check the Evidence Fast{slug=dupont-teflon-cover-up}</t>
  </si>
  <si>
    <t>{slug=dupont-teflon-cover-up}</t>
  </si>
  <si>
    <t>Dupont Teflon Cover Up: How to Check the Evidence Fast</t>
  </si>
  <si>
    <t>How to follow the Bayer and Monsanto merger: regulations approvals and results</t>
  </si>
  <si>
    <t>How to analyze the Bayer and Monsanto merger impact on farmers and prices</t>
  </si>
  <si>
    <t>How to track the Bayer and Monsanto merger outcomes: what to look for</t>
  </si>
  <si>
    <t>How to understand the Bayer and Monsanto merger: key decisions explained</t>
  </si>
  <si>
    <t>How the Bayer and Monsanto merger unfolded: a step-by-step timeline{slug=bayer-monsanto-merger}</t>
  </si>
  <si>
    <t>{slug=bayer-monsanto-merger}</t>
  </si>
  <si>
    <t>How the Bayer and Monsanto merger unfolded: a step-by-step timeline</t>
  </si>
  <si>
    <t>How to Track the Money Behind Water-Pricing and Lobbying Claims in the Nestle Water Conspiracy</t>
  </si>
  <si>
    <t>How to Compare Reports Documents and Misquotes in the Nestle Water Conspiracy</t>
  </si>
  <si>
    <t>How to Fact-Check Viral Allegations Step by Step in the Nestle Water Conspiracy</t>
  </si>
  <si>
    <t>How to Investigate Water Rights and Permit Data in the Nestle Water Conspiracy</t>
  </si>
  <si>
    <t>How to Verify Claims and Find Reliable Sources for the Nestle Water Conspiracy{slug=nestle-water-conspiracy}</t>
  </si>
  <si>
    <t>{slug=nestle-water-conspiracy}</t>
  </si>
  <si>
    <t>How to Verify Claims and Find Reliable Sources for the Nestle Water Conspiracy</t>
  </si>
  <si>
    <t>5 Reported Incidents Linked to Coca Cola Hit Squads</t>
  </si>
  <si>
    <t>3 Historical Claims About Coca Cola Hit Squads</t>
  </si>
  <si>
    <t>5 Allegations Context and Evidence About Coca Cola Hit Squads</t>
  </si>
  <si>
    <t>3 Questions About Coca Cola Hit Squads</t>
  </si>
  <si>
    <t>5 Things to Know About Coca Cola Hit Squads{slug=coca-cola-hit-squads}</t>
  </si>
  <si>
    <t>{slug=coca-cola-hit-squads}</t>
  </si>
  <si>
    <t>5 Things to Know About Coca Cola Hit Squads</t>
  </si>
  <si>
    <t>How to Evaluate Online Evidence for the Seth Rich Conspiracy Without Spreading Misinformation</t>
  </si>
  <si>
    <t>How to Compare Competing Explanations of the Seth Rich Conspiracy Research Method</t>
  </si>
  <si>
    <t>How to Verify Sources on Seth Rich Conspiracy Using Primary Documents</t>
  </si>
  <si>
    <t>How to Build a Timeline of Seth Rich Conspiracy Allegations Evidence Checklist</t>
  </si>
  <si>
    <t>How to Research Seth Rich Conspiracy Claims Step by Step{slug=seth-rich-conspiracy}</t>
  </si>
  <si>
    <t>{slug=seth-rich-conspiracy}</t>
  </si>
  <si>
    <t>How to Research Seth Rich Conspiracy Claims Step by Step</t>
  </si>
  <si>
    <t>DNC Hack Conspiracy: Auditing Malware and Indicators of Compromise</t>
  </si>
  <si>
    <t>DNC Hack Conspiracy: Conducting OSINT on Hack Attribution Claims</t>
  </si>
  <si>
    <t>DNC Hack Conspiracy: Rebuilding a Timeline From Public Logs</t>
  </si>
  <si>
    <t>DNC Hack Conspiracy: Verifying Claims With Primary Sources</t>
  </si>
  <si>
    <t>DNC Hack Conspiracy: Forensic Tracing of Evidence{slug=dnc-hack-conspiracy}</t>
  </si>
  <si>
    <t>{slug=dnc-hack-conspiracy}</t>
  </si>
  <si>
    <t>DNC Hack Conspiracy: Forensic Tracing of Evidence</t>
  </si>
  <si>
    <t>Wikileaks Podesta Emails: 3 Takeaways for Understanding Their Impact**</t>
  </si>
  <si>
    <t>Wikileaks Podesta Emails: 3 Timeline Milestones You Should Know</t>
  </si>
  <si>
    <t>Wikileaks Podesta Emails: 3 Most Notable Documents and What They Show</t>
  </si>
  <si>
    <t>Wikileaks Podesta Emails: 3 Major Themes That Emerged</t>
  </si>
  <si>
    <t>Wikileaks Podesta Emails: 3 Key Revelations From the Leaks{slug=wikileaks-podesta-emails}</t>
  </si>
  <si>
    <t>{slug=wikileaks-podesta-emails}</t>
  </si>
  <si>
    <t>Wikileaks Podesta Emails: 3 Key Revelations From the Leaks</t>
  </si>
  <si>
    <t>Stratfor Emails Conspiracy: How to Separate Misinformation From Documented Findings (2026 Guide)**</t>
  </si>
  <si>
    <t>Stratfor Emails Conspiracy: How to Trace Alleged Evidence to Original Documents</t>
  </si>
  <si>
    <t>Stratfor Emails Conspiracy: How to Fact-Check Viral Screenshots and Summaries</t>
  </si>
  <si>
    <t>Stratfor Emails Conspiracy: How to Investigate Leaks Timelines and Authorship</t>
  </si>
  <si>
    <t>Stratfor Emails Conspiracy: How to Verify Claims Using Primary Sources{slug=stratfor-emails-conspiracy}</t>
  </si>
  <si>
    <t>{slug=stratfor-emails-conspiracy}</t>
  </si>
  <si>
    <t>Stratfor Emails Conspiracy: How to Verify Claims Using Primary Sources</t>
  </si>
  <si>
    <t>Limited Hangout in Practice: How to Track Document and Respond</t>
  </si>
  <si>
    <t>Limited Hangout Detection Guide: How to Verify â€œPartial Truthâ€ Tactics</t>
  </si>
  <si>
    <t>Limited Hangout Explained: A How-To Guide to Confirm Whatâ€™s Hidden</t>
  </si>
  <si>
    <t>Limited Hangout Playbook: How to Investigate Claims Step by Step</t>
  </si>
  <si>
    <t>Limited Hangout: How to Spot It in News and Politics{slug=limited-hangout}</t>
  </si>
  <si>
    <t>{slug=limited-hangout}</t>
  </si>
  <si>
    <t>Limited Hangout: How to Spot It in News and Politics</t>
  </si>
  <si>
    <t>From Theory to Practice: Detect Controlled Opposition Narratives</t>
  </si>
  <si>
    <t>How Controlled Opposition Works and What Tactics to Watch For</t>
  </si>
  <si>
    <t>Controlled Opposition Explained: How to Identify It for Media Literacy</t>
  </si>
  <si>
    <t>What Controlled Opposition Means and How to Identify It</t>
  </si>
  <si>
    <t>Controlled Opposition: Spot It in Politics{slug=controlled-opposition}</t>
  </si>
  <si>
    <t>{slug=controlled-opposition}</t>
  </si>
  <si>
    <t>Controlled Opposition: Spot It in Politics</t>
  </si>
  <si>
    <t>How to Trace a Media Blackout Conspiracy Narrative Across Platforms</t>
  </si>
  <si>
    <t>How to Verify Media Blackout Conspiracy Allegations Using Source Analysis</t>
  </si>
  <si>
    <t>How to Build Evidence for a Media Blackout Conspiracy in 7 Steps{slug=media-blackout-conspiracy}</t>
  </si>
  <si>
    <t>{slug=media-blackout-conspiracy}</t>
  </si>
  <si>
    <t>How to Build Evidence for a Media Blackout Conspiracy in 7 Steps</t>
  </si>
  <si>
    <t>How to Check for a Media Blackout Conspiracy Signal in News Coverage</t>
  </si>
  <si>
    <t>How to Investigate a Media Blackout Conspiracy Claim</t>
  </si>
  <si>
    <t>Sinclair Broadcasting Script: How to Extract Key Lines and Summarize Them</t>
  </si>
  <si>
    <t>How to Document and Verify a Sinclair Broadcasting Script</t>
  </si>
  <si>
    <t>Sinclair Broadcasting Script: Step-by-Step Guide to Locating Sources</t>
  </si>
  <si>
    <t>How to Use a Sinclair Broadcasting Script for Review and Analysis</t>
  </si>
  <si>
    <t>Sinclair Broadcasting Script: How to Find the Exact Transcript{slug=sinclair-broadcasting-script}</t>
  </si>
  <si>
    <t>{slug=sinclair-broadcasting-script}</t>
  </si>
  <si>
    <t>Sinclair Broadcasting Script: How to Find the Exact Transcript</t>
  </si>
  <si>
    <t>How to Build a Checklist to Refute Yellow Journalism Conspiracy Narratives</t>
  </si>
  <si>
    <t>How to Detect Misinformation Patterns Behind Yellow Journalism Conspiracy Narratives</t>
  </si>
  <si>
    <t>How to Verify Suspected Yellow Journalism Conspiracy Before Sharing It</t>
  </si>
  <si>
    <t>How to Investigate Yellow Journalism Conspiracy Claims Step by Step</t>
  </si>
  <si>
    <t>How to Spot Yellow Journalism Conspiracy Claims{slug=yellow-journalism-conspiracy}</t>
  </si>
  <si>
    <t>{slug=yellow-journalism-conspiracy}</t>
  </si>
  <si>
    <t>How to Spot Yellow Journalism Conspiracy Claims</t>
  </si>
  <si>
    <t>How to Test Your Own *Manufacturing Consent* Susceptibility</t>
  </si>
  <si>
    <t>How to Apply *Manufacturing Consent* to Verify Public Narratives</t>
  </si>
  <si>
    <t>How to Build a *Manufacturing Consent* Media Checklist</t>
  </si>
  <si>
    <t>How to Spot *Manufacturing Consent* Tactics in Politics</t>
  </si>
  <si>
    <t>How to Read *Manufacturing Consent* in News Coverage{slug=manufacturing-consent}</t>
  </si>
  <si>
    <t>{slug=manufacturing-consent}</t>
  </si>
  <si>
    <t>How to Read *Manufacturing Consent* in News Coverage</t>
  </si>
  <si>
    <t>Propaganda Model Chomsky: How to Check Sources Framing and Access</t>
  </si>
  <si>
    <t>Propaganda Model Chomsky Framework: A Practical How-To for Media Literacy</t>
  </si>
  <si>
    <t>Using the Propaganda Model Chomsky: Step-by-Step How to Analyze News Coverage</t>
  </si>
  <si>
    <t>Propaganda Model Chomsky Explained: How to Evaluate Corporate Media Narratives</t>
  </si>
  <si>
    <t>Propaganda Model Chomsky: How to Spot Media Bias{slug=propaganda-model-chomsky}</t>
  </si>
  <si>
    <t>{slug=propaganda-model-chomsky}</t>
  </si>
  <si>
    <t>Propaganda Model Chomsky: How to Spot Media Bias</t>
  </si>
  <si>
    <t>How to Reach the Pentagon Hollywood Office Fast Best Routes and Contact Methods</t>
  </si>
  <si>
    <t>How to Locate the Pentagon Hollywood Office Online Quick Walkthrough</t>
  </si>
  <si>
    <t>How to Get to the Pentagon Hollywood Office Directions and Parking Tips</t>
  </si>
  <si>
    <t>How to Contact the Pentagon Hollywood Office Step-by-Step Guide</t>
  </si>
  <si>
    <t>How to Find the Pentagon Hollywood Office Address Phone &amp; Hours{slug=pentagon-hollywood-office}</t>
  </si>
  <si>
    <t>{slug=pentagon-hollywood-office}</t>
  </si>
  <si>
    <t>How to Find the Pentagon Hollywood Office Address Phone &amp; Hours</t>
  </si>
  <si>
    <t>How to Build a Timeline of CIA Hollywood Influence Evidence</t>
  </si>
  <si>
    <t>How to Investigate CIA Hollywood Influence on Plot and Casting Decisions</t>
  </si>
  <si>
    <t>How to Trace CIA Hollywood Influence in Film and TV Credits</t>
  </si>
  <si>
    <t>How to Verify CIA Hollywood Influence Allegations</t>
  </si>
  <si>
    <t>How to Research CIA Hollywood Influence Claims{slug=cia-hollywood-influence}</t>
  </si>
  <si>
    <t>{slug=cia-hollywood-influence}</t>
  </si>
  <si>
    <t>How to Research CIA Hollywood Influence Claims</t>
  </si>
  <si>
    <t>How to Build a Reliable Reading List on Operation Mockingbird Modern</t>
  </si>
  <si>
    <t>How to Trace the Origins and Modern References of Operation Mockingbird Modern</t>
  </si>
  <si>
    <t>How to Fact-Check Claims About Operation Mockingbird Modern</t>
  </si>
  <si>
    <t>A Step-by-Step Guide to Understanding Operation Mockingbird Modern Today</t>
  </si>
  <si>
    <t>How to Research Operation Mockingbird Modern Without Misinformation{slug=operation-mockingbird-modern}</t>
  </si>
  <si>
    <t>{slug=operation-mockingbird-modern}</t>
  </si>
  <si>
    <t>How to Research Operation Mockingbird Modern Without Misinformation</t>
  </si>
  <si>
    <t>How to Build a Responsible Case Study on the Frankfurt School Conspiracy</t>
  </si>
  <si>
    <t>How to Spot Manipulation in Frankfurt School Conspiracy Content</t>
  </si>
  <si>
    <t>How to Verify Frankfurt School Conspiracy Narratives Using Sources and Timelines</t>
  </si>
  <si>
    <t>How to Research Frankfurt School Conspiracy Evidenceâ€”Without Getting Fooled</t>
  </si>
  <si>
    <t>How to Evaluate Frankfurt School Conspiracy Claims{slug=frankfurt-school-conspiracy}</t>
  </si>
  <si>
    <t>{slug=frankfurt-school-conspiracy}</t>
  </si>
  <si>
    <t>How to Evaluate Frankfurt School Conspiracy Claims</t>
  </si>
  <si>
    <t>Cultural Marxism Conspiracy Debunked: 5 Point-by-Point Checks</t>
  </si>
  <si>
    <t>Cultural Marxism Conspiracy: 5 Ways Experts Explain the Narrative</t>
  </si>
  <si>
    <t>Cultural Marxism Conspiracy: 5 Sources Cited (and Whatâ€™s Missing)</t>
  </si>
  <si>
    <t>Cultural Marxism Conspiracy: 5 Origins and How the Narrative Spread</t>
  </si>
  <si>
    <t>Cultural Marxism Conspiracy: 5 Key Claims{slug=cultural-marxism-conspiracy}</t>
  </si>
  <si>
    <t>{slug=cultural-marxism-conspiracy}</t>
  </si>
  <si>
    <t>Cultural Marxism Conspiracy: 5 Key Claims</t>
  </si>
  <si>
    <t>Replacement Theory: How to Research the Facts and Verify Common Narratives</t>
  </si>
  <si>
    <t>Replacement Theory: How to Counter Misinformation in Conversations</t>
  </si>
  <si>
    <t>Replacement Theory: How to Evaluate Sources Data and Propaganda Techniques</t>
  </si>
  <si>
    <t>Replacement Theory: How to Understand Its Origins Arguments and Language</t>
  </si>
  <si>
    <t>Replacement Theory: How to Spot Claims and Track Evidence{slug=replacement-theory}</t>
  </si>
  <si>
    <t>{slug=replacement-theory}</t>
  </si>
  <si>
    <t>Replacement Theory: How to Spot Claims and Track Evidence</t>
  </si>
  <si>
    <t>How to Build a Responsible Timeline for an Immigration Conspiracy Investigation</t>
  </si>
  <si>
    <t>How to Spot and Document Immigration Conspiracy Narratives in News and Social Media</t>
  </si>
  <si>
    <t>How to Research an Immigration Conspiracy Using Public Records and Primary Sources</t>
  </si>
  <si>
    <t>How to Verify Immigration Conspiracy Evidence Without Falling for Hoaxes</t>
  </si>
  <si>
    <t>How to Investigate an Immigration Conspiracy Claim Step by Step{slug=immigration-conspiracy}</t>
  </si>
  <si>
    <t>{slug=immigration-conspiracy}</t>
  </si>
  <si>
    <t>How to Investigate an Immigration Conspiracy Claim Step by Step</t>
  </si>
  <si>
    <t>TPP Conspiracy How to Spot Misinformation and Misquotes Fast</t>
  </si>
  <si>
    <t>TPP Conspiracy How to Break Down Key Allegations Step by Step</t>
  </si>
  <si>
    <t>TPP Conspiracy How to Verify Whoâ€™s Funding and Spreading the Narrative</t>
  </si>
  <si>
    <t>TPP Conspiracy How to Research Primary Sources and Evidence</t>
  </si>
  <si>
    <t>TPP Conspiracy How to Fact-Check the Claims Quickly{slug=tpp-conspiracy}</t>
  </si>
  <si>
    <t>{slug=tpp-conspiracy}</t>
  </si>
  <si>
    <t>TPP Conspiracy How to Fact-Check the Claims Quickly</t>
  </si>
  <si>
    <t>NAFTA Conspiracy: Investigate Who Benefited and When</t>
  </si>
  <si>
    <t>NAFTA Conspiracy: Build a Source Checklist and Avoid Misinformation</t>
  </si>
  <si>
    <t>NAFTA Conspiracy: Trace Policy Decisions From Text to Real-World Outcomes</t>
  </si>
  <si>
    <t>NAFTA Conspiracy: Verify Corruption Allegations Step by Step</t>
  </si>
  <si>
    <t>NAFTA Conspiracy: Research Claims and Find Credible Evidence{slug=nafta-conspiracy}</t>
  </si>
  <si>
    <t>{slug=nafta-conspiracy}</t>
  </si>
  <si>
    <t>NAFTA Conspiracy: Research Claims and Find Credible Evidence</t>
  </si>
  <si>
    <t>Amero Currency Conspiracy: How to Map the Timeline and Find Primary Sources</t>
  </si>
  <si>
    <t>Amero Currency Conspiracy: How to Check Who Benefits From the Rumors</t>
  </si>
  <si>
    <t>Amero Currency Conspiracy: How to Research the Real Facts Behind the Theory</t>
  </si>
  <si>
    <t>Amero Currency Conspiracy: How to Spot Misinformation and Red Flags</t>
  </si>
  <si>
    <t>Amero Currency Conspiracy: How to Verify Claims Step-by-Step{slug=amero-currency-conspiracy}</t>
  </si>
  <si>
    <t>{slug=amero-currency-conspiracy}</t>
  </si>
  <si>
    <t>Amero Currency Conspiracy: How to Verify Claims Step-by-Step</t>
  </si>
  <si>
    <t>How to Spot Misinformation in the â€œNorth American Unionâ€ Conspiracy Narrative</t>
  </si>
  <si>
    <t>How to Evaluate Evidence Behind the â€œNorth American Unionâ€ Conspiracy</t>
  </si>
  <si>
    <t>How to Trace the Origins of the â€œNorth American Unionâ€ Conspiracy</t>
  </si>
  <si>
    <t>How to Fact-Check the â€œNorth American Unionâ€ Conspiracy Explained</t>
  </si>
  <si>
    <t>How to Investigate â€œNorth American Unionâ€ Conspiracy Claims{slug=north-american-union-conspiracy}</t>
  </si>
  <si>
    <t>{slug=north-american-union-conspiracy}</t>
  </si>
  <si>
    <t>How to Investigate â€œNorth American Unionâ€ Conspiracy Claims</t>
  </si>
  <si>
    <t>Sovereignty Conspiracy: A Practical Checklist for Assessing Real Threats vs. Spin**</t>
  </si>
  <si>
    <t>Sovereignty Conspiracy: How to Verify Viral Proof Using Primary Sources</t>
  </si>
  <si>
    <t>Sovereignty Conspiracy: How to Spot Manipulative Messaging Tactics</t>
  </si>
  <si>
    <t>Sovereignty Conspiracy: How to Trace Funding and Actors</t>
  </si>
  <si>
    <t>Sovereignty Conspiracy: How to Evaluate Claims and Find Evidence{slug=sovereignty-conspiracy}</t>
  </si>
  <si>
    <t>{slug=sovereignty-conspiracy}</t>
  </si>
  <si>
    <t>Sovereignty Conspiracy: How to Evaluate Claims and Find Evidence</t>
  </si>
  <si>
    <t>How to Build a Pandemic Treaty Conspiracy Timeline Using Public Documents</t>
  </si>
  <si>
    <t>How to Fact-Check Pandemic Treaty Conspiracy Talking Points Fast</t>
  </si>
  <si>
    <t>How to Spot Misleading Sources in a Pandemic Treaty Conspiracy Narrative</t>
  </si>
  <si>
    <t>How to Verify Whether a Pandemic Treaty Conspiracy Has Evidence Behind It</t>
  </si>
  <si>
    <t>How to Evaluate Pandemic Treaty Conspiracy Claims Step-by-Step{slug=pandemic-treaty-conspiracy}</t>
  </si>
  <si>
    <t>{slug=pandemic-treaty-conspiracy}</t>
  </si>
  <si>
    <t>How to Evaluate Pandemic Treaty Conspiracy Claims Step-by-Step</t>
  </si>
  <si>
    <t>How to Build a Timeline of the WHO Power Grab Conspiracy Allegations</t>
  </si>
  <si>
    <t>How to Spot Logical Fallacies in the WHO Power Grab Conspiracy Narrative</t>
  </si>
  <si>
    <t>How to Analyze Sources Behind the WHO Power Grab Conspiracy Online</t>
  </si>
  <si>
    <t>How to Investigate the WHO Power Grab Conspiracy Evidence vs. Misinformation</t>
  </si>
  <si>
    <t>How to Fact-Check the WHO Power Grab Conspiracy Claim Step-by-Step{slug=who-power-grab-conspiracy}</t>
  </si>
  <si>
    <t>{slug=who-power-grab-conspiracy}</t>
  </si>
  <si>
    <t>How to Fact-Check the WHO Power Grab Conspiracy Claim Step-by-Step</t>
  </si>
  <si>
    <t>How to Debunk UN Agenda Conspiracy Using Documents Dates and Primary Sources</t>
  </si>
  <si>
    <t>How to Evaluate Evidence for UN Agenda Conspiracy: Source-by-Source Method</t>
  </si>
  <si>
    <t>How to Research UN Agenda Conspiracy Without Falling for Hoaxes</t>
  </si>
  <si>
    <t>How to Spot UN Agenda Conspiracy Playbook: A Practical Checklist</t>
  </si>
  <si>
    <t>How to Fact-Check UN Agenda Conspiracy Claims in 10 Steps (2026){slug=un-agenda-conspiracy}</t>
  </si>
  <si>
    <t>{slug=un-agenda-conspiracy}</t>
  </si>
  <si>
    <t>How to Fact-Check UN Agenda Conspiracy Claims in 10 Steps (2026)</t>
  </si>
  <si>
    <t>How to Spot Coordination Patterns Behind an Administrative State Conspiracy</t>
  </si>
  <si>
    <t>How to Build a Timeline for an Administrative State Conspiracy Investigation</t>
  </si>
  <si>
    <t>How to Verify Evidence for Administrative State Conspiracy Allegations</t>
  </si>
  <si>
    <t>How to Investigate an Administrative State Conspiracy Without Bias</t>
  </si>
  <si>
    <t>How to Evaluate Administrative State Conspiracy Claims: A Checklist{slug=administrative-state-conspiracy}</t>
  </si>
  <si>
    <t>{slug=administrative-state-conspiracy}</t>
  </si>
  <si>
    <t>How to Evaluate Administrative State Conspiracy Claims: A Checklist</t>
  </si>
  <si>
    <t>Deep State Evidence: How to Assess Credibility Using Primary Sources</t>
  </si>
  <si>
    <t>Deep State Evidence: How to Trace Documents Funding and Networks Step-by-Step</t>
  </si>
  <si>
    <t>Deep State Evidence: How to Build a Claim-by-Claim Evidence Checklist</t>
  </si>
  <si>
    <t>Deep State Evidence: How to Research Allegations Without Falling for Hoaxes</t>
  </si>
  <si>
    <t>Deep State Evidence: How to Verify Claims and Sources (2026 Guide){slug=deep-state-evidence}</t>
  </si>
  <si>
    <t>{slug=deep-state-evidence}</t>
  </si>
  <si>
    <t>Deep State Evidence: How to Verify Claims and Sources (2026 Guide)</t>
  </si>
  <si>
    <t>Political Dynasty Conspiracy**: How to Create a Source Checklist to Avoid Debunked Narratives</t>
  </si>
  <si>
    <t>Political Dynasty Conspiracy**: How to Map Media Networks and Funding Links to Families</t>
  </si>
  <si>
    <t>Political Dynasty Conspiracy**: How to Verify Claims Using Public Documents and Court Files</t>
  </si>
  <si>
    <t>Political Dynasty Conspiracy**: How to Build a Timeline of Donors Contracts and Appointments</t>
  </si>
  <si>
    <t>Political Dynasty Conspiracy**: How to Trace Family Influence Through Local Records{slug=political-dynasty-conspiracy}</t>
  </si>
  <si>
    <t>{slug=political-dynasty-conspiracy}</t>
  </si>
  <si>
    <t>Political Dynasty Conspiracy**: How to Trace Family Influence Through Local Records</t>
  </si>
  <si>
    <t>5 Reasons Assassination Politics Accelerates Electoral and Security Crises</t>
  </si>
  <si>
    <t>5 Lessons from Assassination Politics for Modern Governance</t>
  </si>
  <si>
    <t>5 Mechanisms Behind Assassination Politics and Political Instability</t>
  </si>
  <si>
    <t>5 Historical Examples of Assassination Politics Changing Governments</t>
  </si>
  <si>
    <t>5 Ways Assassination Politics Reshapes Power and Policy{slug=assassination-politics}</t>
  </si>
  <si>
    <t>{slug=assassination-politics}</t>
  </si>
  <si>
    <t>5 Ways Assassination Politics Reshapes Power and Policy</t>
  </si>
  <si>
    <t>War Profiteering: How to Assess Claims of Excess Wartime Profits**</t>
  </si>
  <si>
    <t>War Profiteering in History: How to Identify Notable Cases</t>
  </si>
  <si>
    <t>War Profiteering: How Laws Sanctions and Oversight Prevent It</t>
  </si>
  <si>
    <t>War Profiteering: How to Recognize and Report It</t>
  </si>
  <si>
    <t>War Profiteering: How It Works and How to Spot It{slug=war-profiteering}</t>
  </si>
  <si>
    <t>{slug=war-profiteering}</t>
  </si>
  <si>
    <t>War Profiteering: How It Works and How to Spot It</t>
  </si>
  <si>
    <t>How to Map the Military Industrial Complex: Key Players and Incentives</t>
  </si>
  <si>
    <t>How to Evaluate Claims About the Military Industrial Complex</t>
  </si>
  <si>
    <t>How to Spot Military Industrial Complex Dynamics in US Politics</t>
  </si>
  <si>
    <t>How to Trace the Military Industrial Complex: Contracts and Influence</t>
  </si>
  <si>
    <t>How to Understand the Military Industrial Complex in 10 Minutes{slug=military-industrial-complex}</t>
  </si>
  <si>
    <t>{slug=military-industrial-complex}</t>
  </si>
  <si>
    <t>How to Understand the Military Industrial Complex in 10 Minutes</t>
  </si>
  <si>
    <t>How to Audit for Regulatory Capture Using Clear Indicators</t>
  </si>
  <si>
    <t>How to Reduce Regulatory Capture Risks in Industry Regulation</t>
  </si>
  <si>
    <t>How Regulatory Capture Happens Step by Step</t>
  </si>
  <si>
    <t>How to Prevent Regulatory Capture in Regulatory Agencies</t>
  </si>
  <si>
    <t>How to Spot Regulatory Capture Early{slug=regulatory-capture}</t>
  </si>
  <si>
    <t>{slug=regulatory-capture}</t>
  </si>
  <si>
    <t>How to Spot Regulatory Capture Early</t>
  </si>
  <si>
    <t>Revolving Door Politics: A Practical Checklist for Identifying Risky Transitions</t>
  </si>
  <si>
    <t>Revolving Door Politics: How to Evaluate Former Officialsâ€™ New Roles</t>
  </si>
  <si>
    <t>Revolving Door Politics: How to Research Conflicts of Interest</t>
  </si>
  <si>
    <t>Revolving Door Politics 101: A Step-by-Step Guide to Tracing Influence</t>
  </si>
  <si>
    <t>Revolving Door Politics: How to Spot It{slug=revolving-door-politics}</t>
  </si>
  <si>
    <t>{slug=revolving-door-politics}</t>
  </si>
  <si>
    <t>Revolving Door Politics: How to Spot It</t>
  </si>
  <si>
    <t>How to Build a Fact-Based Case on a Lobbying Conspiracy: Documents Timelines and Tools</t>
  </si>
  <si>
    <t>How to Spot Red Flags in a Lobbying Conspiracy Narrative: Practical Investigation Plan</t>
  </si>
  <si>
    <t>How to Research Whoâ€™s Involved in a Lobbying Conspiracy: Data Sources and Workflow</t>
  </si>
  <si>
    <t>How to Verify Lobbying Conspiracy Allegations: Evidence Checklist and Methods</t>
  </si>
  <si>
    <t>How to Investigate a Lobbying Conspiracy: Step-by-Step Guide (2026){slug=lobbying-conspiracy}</t>
  </si>
  <si>
    <t>{slug=lobbying-conspiracy}</t>
  </si>
  <si>
    <t>How to Investigate a Lobbying Conspiracy: Step-by-Step Guide (2026)</t>
  </si>
  <si>
    <t>5 Key Misconceptions in the Citizens United Conspiracy Narrative</t>
  </si>
  <si>
    <t>5 Debunks and Fact-Checks of the Citizens United Conspiracy</t>
  </si>
  <si>
    <t>5 Ways Citizens United Conspiracy Claims Spread</t>
  </si>
  <si>
    <t>5 Citizens United Conspiracy Evidence Arguments</t>
  </si>
  <si>
    <t>5 Citizens United Conspiracy Claims{slug=citizens-united-conspiracy}</t>
  </si>
  <si>
    <t>{slug=citizens-united-conspiracy}</t>
  </si>
  <si>
    <t>5 Citizens United Conspiracy Claims</t>
  </si>
  <si>
    <t>How to Evaluate a Gerrymandering Conspiracy Methods Sources and Checks</t>
  </si>
  <si>
    <t>How to Trace Alleged Gerrymandering Conspiracy Steps Through Public Data</t>
  </si>
  <si>
    <t>How to Build Evidence for a Gerrymandering Conspiracy Claim Step by Step</t>
  </si>
  <si>
    <t>How to Spot a Gerrymandering Conspiracy Using Maps and Metrics</t>
  </si>
  <si>
    <t>How to Investigate a Gerrymandering Conspiracy in Your District{slug=gerrymandering-conspiracy}</t>
  </si>
  <si>
    <t>{slug=gerrymandering-conspiracy}</t>
  </si>
  <si>
    <t>How to Investigate a Gerrymandering Conspiracy in Your District</t>
  </si>
  <si>
    <t>How to Check Media and Voting Data for Two Party System Conspiracy Patterns</t>
  </si>
  <si>
    <t>How to Trace Funding Lobbying and Networks Behind Two Party System Conspiracy</t>
  </si>
  <si>
    <t>How to Build a Timeline for Two Party System Conspiracy Allegations</t>
  </si>
  <si>
    <t>How to Verify Two Party System Conspiracy Evidence vs. Misinformation</t>
  </si>
  <si>
    <t>How to Investigate Two Party System Conspiracy Claims Step-by-Step{slug=two-party-system-conspiracy}</t>
  </si>
  <si>
    <t>{slug=two-party-system-conspiracy}</t>
  </si>
  <si>
    <t>How to Investigate Two Party System Conspiracy Claims Step-by-Step</t>
  </si>
  <si>
    <t>How to Build a Proof-Based Case Against or for an Electoral College Conspiracy</t>
  </si>
  <si>
    <t>How to Trace Electoral College Conspiracy Allegations to Primary Sources</t>
  </si>
  <si>
    <t>How to Spot Misinformation in Electoral College Conspiracy Posts</t>
  </si>
  <si>
    <t>How to Fact-Check Electoral College Conspiracy Claims in 10 Steps{slug=electoral-college-conspiracy}</t>
  </si>
  <si>
    <t>{slug=electoral-college-conspiracy}</t>
  </si>
  <si>
    <t>How to Fact-Check Electoral College Conspiracy Claims in 10 Steps</t>
  </si>
  <si>
    <t>How to Evaluate Electoral College Conspiracy Claims With Evidence</t>
  </si>
  <si>
    <t>How to Document Voter Fraud Evidence Responsibly: A Practical Checklist</t>
  </si>
  <si>
    <t>How to Analyze Voter Fraud Evidence Claims: Methods and Red Flags</t>
  </si>
  <si>
    <t>How to Find Credible Voter Fraud Evidence: Reports Courts and Data</t>
  </si>
  <si>
    <t>How to Verify Voter Fraud Evidence: Sources and Checks</t>
  </si>
  <si>
    <t>How to Evaluate Voter Fraud Evidence: A Step-by-Step Guide{slug=voter-fraud-evidence}</t>
  </si>
  <si>
    <t>{slug=voter-fraud-evidence}</t>
  </si>
  <si>
    <t>How to Evaluate Voter Fraud Evidence: A Step-by-Step Guide</t>
  </si>
  <si>
    <t>Camp Lejeune Water Contamination: How to Get Help and Resources Today**</t>
  </si>
  <si>
    <t>Camp Lejeune Water Contamination: How to Request Medical Documentation</t>
  </si>
  <si>
    <t>Camp Lejeune Water Contamination: How to Find Test Results and Records</t>
  </si>
  <si>
    <t>Camp Lejeune Water Contamination: Step-by-Step Guide to Filing a Claim</t>
  </si>
  <si>
    <t>Camp Lejeune Water Contamination: How to Check Your Exposure and Eligibility{slug=camp-lejeune-water-contamination}</t>
  </si>
  <si>
    <t>{slug=camp-lejeune-water-contamination}</t>
  </si>
  <si>
    <t>Camp Lejeune Water Contamination: How to Check Your Exposure and Eligibility</t>
  </si>
  <si>
    <t>How to Assess Accountability Claims in the Flint Water Crisis Conspiracy</t>
  </si>
  <si>
    <t>How to Trace Sources Behind Flint Water Crisis Conspiracy Theories</t>
  </si>
  <si>
    <t>How to Spot Misinformation in Flint Water Crisis Conspiracy Narratives</t>
  </si>
  <si>
    <t>How to Fact-Check Flint Water Crisis Conspiracy Evidence</t>
  </si>
  <si>
    <t>How to Evaluate Flint Water Crisis Conspiracy Claims Step-by-Step{slug=flint-water-crisis-conspiracy}</t>
  </si>
  <si>
    <t>{slug=flint-water-crisis-conspiracy}</t>
  </si>
  <si>
    <t>How to Evaluate Flint Water Crisis Conspiracy Claims Step-by-Step</t>
  </si>
  <si>
    <t>How to Assess Whether There Was a DDT cover-up: A Methodical Guide</t>
  </si>
  <si>
    <t>How to Build a DDT cover-up Case File with Sources Dates and Fact Checks</t>
  </si>
  <si>
    <t>How to Verify DDT cover-up Allegations with Documented Timelines</t>
  </si>
  <si>
    <t>How to Research DDT cover-up Claims Using Primary Sources</t>
  </si>
  <si>
    <t>How to Investigate the DDT cover-up with a Step-by-Step Evidence Timeline{slug=ddt-cover-up}</t>
  </si>
  <si>
    <t>{slug=ddt-cover-up}</t>
  </si>
  <si>
    <t>How to Investigate the DDT cover-up with a Step-by-Step Evidence Timeline</t>
  </si>
  <si>
    <t>How to Build a Source-Backed Case on the Agent Orange cover up: Methods and Pitfalls</t>
  </si>
  <si>
    <t>How to Assess Responsibility in the Agent Orange cover up: Agency Actions and Documentation</t>
  </si>
  <si>
    <t>How to Track the Agent Orange cover up Narrative: A Step-by-Step Evidence Checklist</t>
  </si>
  <si>
    <t>How to Verify Whether an Agent Orange cover up Happened</t>
  </si>
  <si>
    <t>How to Investigate the Agent Orange cover up Claims: Evidence and Timeline{slug=agent-orange-cover-up}</t>
  </si>
  <si>
    <t>{slug=agent-orange-cover-up}</t>
  </si>
  <si>
    <t>How to Investigate the Agent Orange cover up Claims: Evidence and Timeline</t>
  </si>
  <si>
    <t>How to Spot Misinformation in Depleted Uranium Cover-Up Reports: A Skeptical Checklist</t>
  </si>
  <si>
    <t>How to Evaluate Health and Environmental Data for Depleted Uranium Cover-Ups</t>
  </si>
  <si>
    <t>How to Verify Depleted Uranium Cover-Up Allegations Using Primary Sources</t>
  </si>
  <si>
    <t>How to Investigate a Depleted Uranium Cover-Up: A Step-by-Step Method</t>
  </si>
  <si>
    <t>How to Check Depleted Uranium Cover-Up Claims: Evidence vs. Spin{slug=depleted-uranium-cover-up}</t>
  </si>
  <si>
    <t>{slug=depleted-uranium-cover-up}</t>
  </si>
  <si>
    <t>How to Check Depleted Uranium Cover-Up Claims: Evidence vs. Spin</t>
  </si>
  <si>
    <t>How to Build a Balanced Case for or Against a Chernobyl Conspiracy</t>
  </si>
  <si>
    <t>How to Trace the Origins of a Chernobyl Conspiracy Theory</t>
  </si>
  <si>
    <t>How to Spot Misinformation in Chernobyl Conspiracy Narratives</t>
  </si>
  <si>
    <t>How to Fact-Check Chernobyl Conspiracy Sources in 10 Steps{slug=chernobyl-conspiracy}</t>
  </si>
  <si>
    <t>{slug=chernobyl-conspiracy}</t>
  </si>
  <si>
    <t>How to Fact-Check Chernobyl Conspiracy Sources in 10 Steps</t>
  </si>
  <si>
    <t>How to Evaluate Chernobyl Conspiracy Claims: Evidence Checklist</t>
  </si>
  <si>
    <t>7 Timeline Moments Cited in the Fukushima Cover Up Allegations</t>
  </si>
  <si>
    <t>7 Key Findings and Official Responses to Fukushima Cover Up Allegations</t>
  </si>
  <si>
    <t>Who Was Involved in the Fukushima Cover Up?</t>
  </si>
  <si>
    <t>7 Evidence Points in the Fukushima Cover Up Debate</t>
  </si>
  <si>
    <t>7 Claims Behind the Fukushima Cover Up Narrative{slug=fukushima-cover-up}</t>
  </si>
  <si>
    <t>{slug=fukushima-cover-up}</t>
  </si>
  <si>
    <t>7 Claims Behind the Fukushima Cover Up Narrative</t>
  </si>
  <si>
    <t>7 Ways Critics Say BP Oil Spill Cover Up Shaped the Public Story**</t>
  </si>
  <si>
    <t>7 Lawsuits and Reports Mentioning BP Oil Spill Cover Up</t>
  </si>
  <si>
    <t>7 Investigations Into BP Oil Spill Cover Up Timeline and Findings</t>
  </si>
  <si>
    <t>7 Key Documents Cited in BP Oil Spill Cover Up Claims</t>
  </si>
  <si>
    <t>7 Allegations of BP Oil Spill Cover Up and What Evidence Exists{slug=bp-oil-spill-cover-up}</t>
  </si>
  <si>
    <t>{slug=bp-oil-spill-cover-up}</t>
  </si>
  <si>
    <t>7 Allegations of BP Oil Spill Cover Up and What Evidence Exists</t>
  </si>
  <si>
    <t>5 Ways Policy Economics and Opinion Suppress Nuclear Energy</t>
  </si>
  <si>
    <t>Who/What Suppresses Nuclear Energyâ€”and How</t>
  </si>
  <si>
    <t>5 Evidence-Based Causes of Nuclear Energy Suppressed</t>
  </si>
  <si>
    <t>5 Forces Behind Nuclear Energy Suppressed</t>
  </si>
  <si>
    <t>5 Reasons Nuclear Energy Is Suppressed{slug=nuclear-energy-suppressed}</t>
  </si>
  <si>
    <t>{slug=nuclear-energy-suppressed}</t>
  </si>
  <si>
    <t>5 Reasons Nuclear Energy Is Suppressed</t>
  </si>
  <si>
    <t>Electric Vehicle Conspiracy: How to Build a Balanced Timeline of Allegations**</t>
  </si>
  <si>
    <t>Electric Vehicle Conspiracy: How to Spot Misinformation in EV â€œProofâ€ Posts</t>
  </si>
  <si>
    <t>Electric Vehicle Conspiracy: How to Trace Evidence Data and Funding</t>
  </si>
  <si>
    <t>Electric Vehicle Conspiracy: How to Fact-Check Sources and Motives</t>
  </si>
  <si>
    <t>Electric Vehicle Conspiracy: How to Verify Claims Like a Detective{slug=electric-vehicle-conspiracy}</t>
  </si>
  <si>
    <t>{slug=electric-vehicle-conspiracy}</t>
  </si>
  <si>
    <t>Electric Vehicle Conspiracy: How to Verify Claims Like a Detective</t>
  </si>
  <si>
    <t>Green New Deal Conspiracy: How to Debunk Common Myths in 15 Minutes{slug=green-new-deal-conspiracy}</t>
  </si>
  <si>
    <t>{slug=green-new-deal-conspiracy}</t>
  </si>
  <si>
    <t>Green New Deal Conspiracy: How to Debunk Common Myths in 15 Minutes</t>
  </si>
  <si>
    <t>Green New Deal Conspiracy: How to Trace Funding Authors and Data</t>
  </si>
  <si>
    <t>Green New Deal Conspiracy: How to Verify Sources and Evidence Fast</t>
  </si>
  <si>
    <t>Green New Deal Conspiracy: How to Spot Misinformation</t>
  </si>
  <si>
    <t>Green New Deal Conspiracy: How to Fact-Check the Claims Step by Step</t>
  </si>
  <si>
    <t>Carbon Tax Conspiracy: How to Assess the Proof and What to Ignore in 30 Minutes**{slug=carbon-tax-conspiracy}</t>
  </si>
  <si>
    <t>{slug=carbon-tax-conspiracy}</t>
  </si>
  <si>
    <t>Carbon Tax Conspiracy: How to Assess the Proof and What to Ignore in 30 Minutes**</t>
  </si>
  <si>
    <t>Carbon Tax Conspiracy: How to Trace Evidence Data and Funding</t>
  </si>
  <si>
    <t>Carbon Tax Conspiracy: How to Debunk Common Allegations</t>
  </si>
  <si>
    <t>Carbon Tax Conspiracy: How to Spot Misinformation and Verify Sources</t>
  </si>
  <si>
    <t>Carbon Tax Conspiracy: How to Fact-Check the Claims Step by Step</t>
  </si>
  <si>
    <t>How to Debunk IPCC Conspiracy Arguments: Methodical Guide</t>
  </si>
  <si>
    <t>How to Fact-Check IPCC Conspiracy Narratives Using Primary Documents</t>
  </si>
  <si>
    <t>How to Verify IPCC Conspiracy Sources: Practical Checklist</t>
  </si>
  <si>
    <t>How to Investigate IPCC Conspiracy Evidence Without Misinformation</t>
  </si>
  <si>
    <t>How to Check IPCC Conspiracy Claims Step by Step{slug=ipcc-conspiracy}</t>
  </si>
  <si>
    <t>{slug=ipcc-conspiracy}</t>
  </si>
  <si>
    <t>How to Check IPCC Conspiracy Claims Step by Step</t>
  </si>
  <si>
    <t>How to Build a Case for Oil Company Climate Deception: Evidence Checklist</t>
  </si>
  <si>
    <t>How to Verify Oil Company Climate Deception Claims with FOIA and Archives</t>
  </si>
  <si>
    <t>How to Spot and Report Oil Company Climate Deception in Public Statements</t>
  </si>
  <si>
    <t>How to Document Oil Company Climate Deception: A Step-by-Step Timeline</t>
  </si>
  <si>
    <t>How to Investigate Oil Company Climate Deception Using Primary Sources{slug=oil-company-climate-deception}</t>
  </si>
  <si>
    <t>{slug=oil-company-climate-deception}</t>
  </si>
  <si>
    <t>How to Investigate Oil Company Climate Deception Using Primary Sources</t>
  </si>
  <si>
    <t>How to Assess the Impact of Climategate Emails: Misquotes Errors and Outcomes</t>
  </si>
  <si>
    <t>How to Track the Origin of Climategate Emails: Leaks Archives and Timeline</t>
  </si>
  <si>
    <t>How to Fact-Check Climategate Emails: Sources Context and Credibility</t>
  </si>
  <si>
    <t>How to Read Climategate Emails: Whatâ€™s Inside and What It Means</t>
  </si>
  <si>
    <t>How to Verify Climategate Emails: Key Claims vs. Evidence{slug=climategate-emails}</t>
  </si>
  <si>
    <t>{slug=climategate-emails}</t>
  </si>
  <si>
    <t>How to Verify Climategate Emails: Key Claims vs. Evidence</t>
  </si>
  <si>
    <t>How to Build a Strong Case Against Climate Change Hoax Narratives</t>
  </si>
  <si>
    <t>How to Spot Misinformation in Climate Change Hoax Videos</t>
  </si>
  <si>
    <t>How to Verify Climate Change Hoax Data Sources Step by Step</t>
  </si>
  <si>
    <t>How to Debunk Climate Change Hoax Arguments with Evidence</t>
  </si>
  <si>
    <t>How to Fact-Check Climate Change Hoax Claims{slug=climate-change-hoax}</t>
  </si>
  <si>
    <t>{slug=climate-change-hoax}</t>
  </si>
  <si>
    <t>How to Fact-Check Climate Change Hoax Claims</t>
  </si>
  <si>
    <t>Black Nobility and Culture: How to Evaluate Claims and Context</t>
  </si>
  <si>
    <t>Black Nobility Through Time: How to Build a Timeline From Sources</t>
  </si>
  <si>
    <t>Black Nobility: How to Identify Who Is Included</t>
  </si>
  <si>
    <t>Black Nobility: How to Trace Historical Examples</t>
  </si>
  <si>
    <t>Black Nobility: How to Research Its Origins and Meaning{slug=black-nobility}</t>
  </si>
  <si>
    <t>{slug=black-nobility}</t>
  </si>
  <si>
    <t>Black Nobility: How to Research Its Origins and Meaning</t>
  </si>
  <si>
    <t>13 Bloodlines Workshop How to Organize Findings and Confirm Connections</t>
  </si>
  <si>
    <t>13 Bloodlines Checklist How to Validate Sources and Build Your Report</t>
  </si>
  <si>
    <t>13 Bloodlines Guide How to Map Your Lineage Step-by-Step</t>
  </si>
  <si>
    <t>13 Bloodlines Explained How to Use the List to Research Your Family Tree</t>
  </si>
  <si>
    <t>13 Bloodlines How to Identify Them and Track Your Ancestry{slug=13-bloodlines}</t>
  </si>
  <si>
    <t>{slug=13-bloodlines}</t>
  </si>
  <si>
    <t>13 Bloodlines How to Identify Them and Track Your Ancestry</t>
  </si>
  <si>
    <t>Decoding the Committee: How to Validate History Context and Meaning</t>
  </si>
  <si>
    <t>Committee: A Step-by-Step Guide to Checking Credible Evidence</t>
  </si>
  <si>
    <t>How to Investigate the Committee Narrative: Origins Sources and Facts</t>
  </si>
  <si>
    <t>Committee Explained: How to Research It Without Falling for Conspiracy Myths</t>
  </si>
  <si>
    <t>Committee: How to Verify the Claim and Trace Its Origins{slug=committee-of-300}</t>
  </si>
  <si>
    <t>{slug=committee-of-300}</t>
  </si>
  <si>
    <t>Committee: How to Verify the Claim and Trace Its Origins</t>
  </si>
  <si>
    <t>How to Debunk or Verify Cecil Rhodes Conspiracy Narratives</t>
  </si>
  <si>
    <t>How to Compare Sources on the Cecil Rhodes Conspiracy Effectively</t>
  </si>
  <si>
    <t>How to Evaluate Evidence for the Cecil Rhodes Conspiracy Step by Step</t>
  </si>
  <si>
    <t>How to Trace Origins of the Cecil Rhodes Conspiracy Myth</t>
  </si>
  <si>
    <t>How to Fact-Check Cecil Rhodes Conspiracy Claims{slug=cecil-rhodes-conspiracy}</t>
  </si>
  <si>
    <t>{slug=cecil-rhodes-conspiracy}</t>
  </si>
  <si>
    <t>How to Fact-Check Cecil Rhodes Conspiracy Claims</t>
  </si>
  <si>
    <t>10 Round Table Groups Compared Meetings Focus Areas and Expectations</t>
  </si>
  <si>
    <t>10 Round Table Groups Costs Benefits and Membership Requirements</t>
  </si>
  <si>
    <t>10 Best Round Table Groups for Business Connections and Community Service</t>
  </si>
  <si>
    <t>10 Round Table Groups and Clubs: What They Do and How to Join</t>
  </si>
  <si>
    <t>10 Round Table Groups Worth Considering for Networking in 2026{slug=round-table-groups}</t>
  </si>
  <si>
    <t>{slug=round-table-groups}</t>
  </si>
  <si>
    <t>10 Round Table Groups Worth Considering for Networking in 2026</t>
  </si>
  <si>
    <t>How to Build a Timeline for the Fabian Society Conspiracy Allegations</t>
  </si>
  <si>
    <t>How to Evaluate Fabian Society Conspiracy Evidence Without Falling for Hoaxes</t>
  </si>
  <si>
    <t>How to Trace the Origins of the Fabian Society Conspiracy Narrative</t>
  </si>
  <si>
    <t>How to Fact-Check the Fabian Society Conspiracy From Sources and Dates</t>
  </si>
  <si>
    <t>How to Investigate the Fabian Society Conspiracy Step-by-Step{slug=fabian-society-conspiracy}</t>
  </si>
  <si>
    <t>{slug=fabian-society-conspiracy}</t>
  </si>
  <si>
    <t>How to Investigate the Fabian Society Conspiracy Step-by-Step</t>
  </si>
  <si>
    <t>How to Assess â€œLucis Trust UNâ€ Conspiracy Evidence: A Practical Checklist</t>
  </si>
  <si>
    <t>How to Map Alleged â€œLucis Trust UNâ€ Conspiracy Connections Using Public Records</t>
  </si>
  <si>
    <t>How to Verify Sources for the â€œLucis Trust UNâ€ Conspiracy Allegations</t>
  </si>
  <si>
    <t>How to Research the â€œLucis Trust UNâ€ Conspiracy Story Without Falling for Myths</t>
  </si>
  <si>
    <t>How to Fact-Check the â€œLucis Trust UNâ€ Conspiracy Claims Step-by-Step{slug=lucis-trust-un-conspiracy}</t>
  </si>
  <si>
    <t>{slug=lucis-trust-un-conspiracy}</t>
  </si>
  <si>
    <t>How to Fact-Check the â€œLucis Trust UNâ€ Conspiracy Claims Step-by-Step</t>
  </si>
  <si>
    <t>How to Research Theosophical Society Conspiracy Accusations Using Primary Sources</t>
  </si>
  <si>
    <t>How to Spot Common Evidence Patterns in Theosophical Society Conspiracy Claims</t>
  </si>
  <si>
    <t>How to Fact-Check a Theosophical Society Conspiracy Story Step by Step</t>
  </si>
  <si>
    <t>How to Trace the Origins of Theosophical Society Conspiracy Allegations</t>
  </si>
  <si>
    <t>How to Evaluate Theosophical Society Conspiracy Claims{slug=theosophical-society-conspiracy}</t>
  </si>
  <si>
    <t>{slug=theosophical-society-conspiracy}</t>
  </si>
  <si>
    <t>How to Evaluate Theosophical Society Conspiracy Claims</t>
  </si>
  <si>
    <t>How to Track Claims Evidence and Influences in Jack Parsons Occult</t>
  </si>
  <si>
    <t>Beginner Guide to the Ideas Behind Jack Parsons Occult Work</t>
  </si>
  <si>
    <t>How to Research Jack Parsons Occult Sources and Methods</t>
  </si>
  <si>
    <t>How to Study Jack Parsons Occult Ritual Practices Safely (2026 Edition)</t>
  </si>
  <si>
    <t>Jack Parsons Occult: Step-by-Step Guide to His Worldview{slug=jack-parsons-occult}</t>
  </si>
  <si>
    <t>{slug=jack-parsons-occult}</t>
  </si>
  <si>
    <t>Jack Parsons Occult: Step-by-Step Guide to His Worldview</t>
  </si>
  <si>
    <t>How to Build a Fact-Checked Aleister Crowley Conspiracy Profile</t>
  </si>
  <si>
    <t>How to Evaluate Aleister Crowley Conspiracy Claims Step by Step</t>
  </si>
  <si>
    <t>How to Trace Aleister Crowley Conspiracy Origins: Timeline and Evidence</t>
  </si>
  <si>
    <t>How to Investigate Alleged Aleister Crowley Conspiracy Theories Without Misinformation</t>
  </si>
  <si>
    <t>How to Research Aleister Crowley Conspiracy: Sources and Claims{slug=aleister-crowley-conspiracy}</t>
  </si>
  <si>
    <t>{slug=aleister-crowley-conspiracy}</t>
  </si>
  <si>
    <t>How to Research Aleister Crowley Conspiracy: Sources and Claims</t>
  </si>
  <si>
    <t>Ordo Templi Orientis: How to Study Basics Ritual and Ethics</t>
  </si>
  <si>
    <t>Ordo Templi Orientis: How to Choose a Lodge and Begin Training</t>
  </si>
  <si>
    <t>Ordo Templi Orientis: How to Find Official Resources and Links</t>
  </si>
  <si>
    <t>Ordo Templi Orientis: What Does Its Meaning and History Mean?</t>
  </si>
  <si>
    <t>Ordo Templi Orientis: How to Get Started and Join{slug=ordo-templi-orientis}</t>
  </si>
  <si>
    <t>{slug=ordo-templi-orientis}</t>
  </si>
  <si>
    <t>Ordo Templi Orientis: How to Get Started and Join</t>
  </si>
  <si>
    <t>Golden Dawn Occult**: Step-by-Step Plan for Building a Daily Practice and Journal</t>
  </si>
  <si>
    <t>Golden Dawn Occult**: How to Perform a Simple Consecration Ritual (Beginner Level)</t>
  </si>
  <si>
    <t>Golden Dawn Occult**: Practical How-To for Studying Correspondences and Planetary Work</t>
  </si>
  <si>
    <t>Golden Dawn Occult**: How to Get Started with Beginner Grades and Symbols</t>
  </si>
  <si>
    <t>Golden Dawn Occult**: Step-by-Step Guide to Basic Ritual Structure{slug=golden-dawn-occult}</t>
  </si>
  <si>
    <t>{slug=golden-dawn-occult}</t>
  </si>
  <si>
    <t>Golden Dawn Occult**: Step-by-Step Guide to Basic Ritual Structure</t>
  </si>
  <si>
    <t>Vril Society: Spot Misinformation and Red Flags in Modern Vril Claims</t>
  </si>
  <si>
    <t>Vril Society: Build a Credible Timeline From Primary and Secondary Evidence</t>
  </si>
  <si>
    <t>Vril Society: How to Read Key Sources and Verify Claims Fast</t>
  </si>
  <si>
    <t>Vril Society: Is It a Real Organization or Conspiracy Myth?</t>
  </si>
  <si>
    <t>Vril Society: Trace Its Origins and Myths Step by Step{slug=vril-society}</t>
  </si>
  <si>
    <t>{slug=vril-society}</t>
  </si>
  <si>
    <t>Vril Society: Trace Its Origins and Myths Step by Step</t>
  </si>
  <si>
    <t>Thule Society: How to Understand Its Beliefs and Historical Context**</t>
  </si>
  <si>
    <t>Thule Society: How to Trace Its History Through Primary Sources</t>
  </si>
  <si>
    <t>Thule Society: How to Identify Key Figures and Their Ideology</t>
  </si>
  <si>
    <t>Thule Society: How to Research Nazi-Era Connections</t>
  </si>
  <si>
    <t>Thule Society: How It Originated and Who Influenced It{slug=thule-society}</t>
  </si>
  <si>
    <t>{slug=thule-society}</t>
  </si>
  <si>
    <t>Thule Society: How It Originated and Who Influenced It</t>
  </si>
  <si>
    <t>How to Debunk Shriners Conspiracy Narratives With a Research Checklist</t>
  </si>
  <si>
    <t>How to Verify Shriners Conspiracy Allegations With Public Records</t>
  </si>
  <si>
    <t>How to Research Shriners Conspiracy Theories Without Falling for Hoaxes</t>
  </si>
  <si>
    <t>How to Fact-Check Shriners Conspiracy Rumors</t>
  </si>
  <si>
    <t>How to Investigate Shriners Conspiracy Claims{slug=shriners-conspiracy}</t>
  </si>
  <si>
    <t>{slug=shriners-conspiracy}</t>
  </si>
  <si>
    <t>How to Investigate Shriners Conspiracy Claims</t>
  </si>
  <si>
    <t>How to Participate in the Order of the Eastern Star: Membership Guide</t>
  </si>
  <si>
    <t>How to Attend Your First Eastern Star Meeting</t>
  </si>
  <si>
    <t>How to Become an Eastern Star Member: Step-by-Step</t>
  </si>
  <si>
    <t>How the Order of the Eastern Star Works: Beginnerâ€™s Guide</t>
  </si>
  <si>
    <t>How to Join the Order of the Eastern Star{slug=order-of-the-eastern-star}</t>
  </si>
  <si>
    <t>{slug=order-of-the-eastern-star}</t>
  </si>
  <si>
    <t>How to Join the Order of the Eastern Star</t>
  </si>
  <si>
    <t>How to Start a Safe Beginner-Friendly Study of Rosicrucians</t>
  </si>
  <si>
    <t>How to Identify Rosicrucians Organizations and Their Claims</t>
  </si>
  <si>
    <t>How to Learn Rosicrucians Core Teachings and Terms</t>
  </si>
  <si>
    <t>How to Research Rosicrucians Without Misinformation</t>
  </si>
  <si>
    <t>How to Understand Rosicrucians Beliefs History and Origins{slug=rosicrucians}</t>
  </si>
  <si>
    <t>{slug=rosicrucians}</t>
  </si>
  <si>
    <t>How to Understand Rosicrucians Beliefs History and Origins</t>
  </si>
  <si>
    <t>How to Investigate the Priory of Sion Controversy: From Documents to Conclusions</t>
  </si>
  <si>
    <t>How to Evaluate Priory of Sion Myths vs. Historical Evidence</t>
  </si>
  <si>
    <t>How to Trace the Origins of Priory of Sion: A Research Checklist</t>
  </si>
  <si>
    <t>How to Fact-Check Priory of Sion Claims: Sources &amp; Methods</t>
  </si>
  <si>
    <t>How to Research Priory of Sion: A Step-by-Step Guide{slug=priory-of-sion}</t>
  </si>
  <si>
    <t>{slug=priory-of-sion}</t>
  </si>
  <si>
    <t>How to Research Priory of Sion: A Step-by-Step Guide</t>
  </si>
  <si>
    <t>How to Build a Timeline for Opus Dei Conspiracy Allegations</t>
  </si>
  <si>
    <t>How to Separate Rumors from Facts in the Opus Dei Conspiracy Stories</t>
  </si>
  <si>
    <t>How to Evaluate Sources on the Opus Dei Conspiracy Without Bias</t>
  </si>
  <si>
    <t>How to Investigate Opus Dei Conspiracy Evidence Step by Step</t>
  </si>
  <si>
    <t>How to Fact-Check Opus Dei Conspiracy Claims{slug=opus-dei-conspiracy}</t>
  </si>
  <si>
    <t>{slug=opus-dei-conspiracy}</t>
  </si>
  <si>
    <t>How to Fact-Check Opus Dei Conspiracy Claims</t>
  </si>
  <si>
    <t>How to Track Modern Activities of Knights of Malta in Malta</t>
  </si>
  <si>
    <t>How to Research Knights of Malta: A Step-by-Step Starter Guide</t>
  </si>
  <si>
    <t>How to Visit Knights of Malta Sites and Museums Safely</t>
  </si>
  <si>
    <t>How to Understand Knights of Malta Roles Ranks and Mission</t>
  </si>
  <si>
    <t>How to Learn the History of Knights of Malta in Malta{slug=knights-of-malta}</t>
  </si>
  <si>
    <t>{slug=knights-of-malta}</t>
  </si>
  <si>
    <t>How to Learn the History of Knights of Malta in Malta</t>
  </si>
  <si>
    <t>Smithsonian Giant Cover Up: How to Build a Timeline and Fact-Check It</t>
  </si>
  <si>
    <t>Smithsonian Giant Cover Up: How to Separate Evidence from Conspiracy Posts</t>
  </si>
  <si>
    <t>Smithsonian Giant Cover Up: A Beginnerâ€™s How-To for Following the Trail</t>
  </si>
  <si>
    <t>Smithsonian Giant Cover Up: How to Verify Rumors Using Primary Sources</t>
  </si>
  <si>
    <t>Smithsonian Giant Cover Up: How to Trace the Claims Step by Step{slug=smithsonian-giant-cover-up}</t>
  </si>
  <si>
    <t>{slug=smithsonian-giant-cover-up}</t>
  </si>
  <si>
    <t>Smithsonian Giant Cover Up: How to Trace the Claims Step by Step</t>
  </si>
  <si>
    <t>Library of Alexandria Conspiracy: How to Compare Theories to Primary Records</t>
  </si>
  <si>
    <t>Library of Alexandria Conspiracy: How to Research Evidence Step-by-Step</t>
  </si>
  <si>
    <t>Library of Alexandria Conspiracy: How to Spot Modern Hoaxes and Myths</t>
  </si>
  <si>
    <t>Library of Alexandria Conspiracy: How to Trace Sources and Authorship</t>
  </si>
  <si>
    <t>Library of Alexandria Conspiracy: How to Verify Claims vs. History{slug=library-of-alexandria-conspiracy}</t>
  </si>
  <si>
    <t>{slug=library-of-alexandria-conspiracy}</t>
  </si>
  <si>
    <t>Library of Alexandria Conspiracy: How to Verify Claims vs. History</t>
  </si>
  <si>
    <t>How to Locate Lost Civilization Evidence Online: Museums Journals and Dataset Repositories</t>
  </si>
  <si>
    <t>Lost Civilization Evidence: Build a Reliable Timeline from Excavation Reports</t>
  </si>
  <si>
    <t>How to Assess Lost Civilization Evidence Using Artifacts Dates and Peer-Reviewed Research</t>
  </si>
  <si>
    <t>Lost Civilization Evidence: Step-by-Step Guide to Verifying Archaeology Claims</t>
  </si>
  <si>
    <t>How to Find Lost Civilization Evidence: 10 Credible Sources to Start With{slug=lost-civilization-evidence}</t>
  </si>
  <si>
    <t>{slug=lost-civilization-evidence}</t>
  </si>
  <si>
    <t>How to Find Lost Civilization Evidence: 10 Credible Sources to Start With</t>
  </si>
  <si>
    <t>How to Assess Whether Younger Dryas Impact Theory Is Supported by Science</t>
  </si>
  <si>
    <t>How to Understand Younger Dryas Impact Theory: A Step-by-Step Guide</t>
  </si>
  <si>
    <t>How to Check Younger Dryas Impact Theory Claims: Dating Impacts and Ice Cores</t>
  </si>
  <si>
    <t>How to Research Younger Dryas Impact Theory: Data Sources and Key Findings</t>
  </si>
  <si>
    <t>How to Evaluate Younger Dryas Impact Theory: Evidence and Claims{slug=younger-dryas-impact-theory}</t>
  </si>
  <si>
    <t>{slug=younger-dryas-impact-theory}</t>
  </si>
  <si>
    <t>How to Evaluate Younger Dryas Impact Theory: Evidence and Claims</t>
  </si>
  <si>
    <t>Gobekli Tepe Civilization Reset: How to Build an Evidence Checklist**</t>
  </si>
  <si>
    <t>Gobekli Tepe Civilization Reset: A Beginnerâ€™s Guide to Testing Ancient Claims</t>
  </si>
  <si>
    <t>Gobekli Tepe Civilization Reset: How to Evaluate Competing Theories</t>
  </si>
  <si>
    <t>Gobekli Tepe Civilization Reset: How to Fact-Check Claims About an Earlier Civilization</t>
  </si>
  <si>
    <t>Gobekli Tepe Civilization Reset: A Step-by-Step Guide to Rethinking the Timeline{slug=gobekli-tepe-civilization-reset}</t>
  </si>
  <si>
    <t>{slug=gobekli-tepe-civilization-reset}</t>
  </si>
  <si>
    <t>Gobekli Tepe Civilization Reset: A Step-by-Step Guide to Rethinking the Timeline</t>
  </si>
  <si>
    <t>Sphinx Water Erosion: How to Plan a Conservation-Ready Erosion Response</t>
  </si>
  <si>
    <t>Sphinx Water Erosion: How to Use Simple Monitoring to Track Change</t>
  </si>
  <si>
    <t>Sphinx Water Erosion: How to Protect Limestone From Water Runoff</t>
  </si>
  <si>
    <t>Sphinx Water Erosion: How to Assess Damage Patterns Safely</t>
  </si>
  <si>
    <t>Sphinx Water Erosion: How to Identify Signs and Causes of Water Erosion{slug=sphinx-water-erosion}</t>
  </si>
  <si>
    <t>{slug=sphinx-water-erosion}</t>
  </si>
  <si>
    <t>Sphinx Water Erosion: How to Identify Signs and Causes of Water Erosion</t>
  </si>
  <si>
    <t>How to Test Roanoke Colony Conspiracy Explanations Using Historical Method</t>
  </si>
  <si>
    <t>How to Compare Sources and Myths in the Roanoke Colony Conspiracy</t>
  </si>
  <si>
    <t>How to Build a Timeline for Roanoke Colony Conspiracy Claims</t>
  </si>
  <si>
    <t>How to Evaluate Evidence Behind Roanoke Colony Conspiracy Claims</t>
  </si>
  <si>
    <t>How to Investigate Roanoke Colony Conspiracy Theories Step by Step{slug=roanoke-colony-conspiracy}</t>
  </si>
  <si>
    <t>{slug=roanoke-colony-conspiracy}</t>
  </si>
  <si>
    <t>How to Investigate Roanoke Colony Conspiracy Theories Step by Step</t>
  </si>
  <si>
    <t>Oak Island Mystery: What Are 7 Legends Lore and the Truth Debates?</t>
  </si>
  <si>
    <t>Oak Island Mystery: 7 Major Digging Finds and What They Mean</t>
  </si>
  <si>
    <t>Oak Island Mystery: 7 Bizarre Clues Still Unexplained</t>
  </si>
  <si>
    <t>Oak Island Mystery: What Are 7 Theories Behind the â€œTreasureâ€?</t>
  </si>
  <si>
    <t>Oak Island Mystery: 7 Key Discoveries That Changed Everything{slug=oak-island-mystery}</t>
  </si>
  <si>
    <t>{slug=oak-island-mystery}</t>
  </si>
  <si>
    <t>Oak Island Mystery: 7 Key Discoveries That Changed Everything</t>
  </si>
  <si>
    <t>How to Evaluate Voynich Manuscript Theories: Methods Evidence and Red Flags</t>
  </si>
  <si>
    <t>How to Analyze the Voynich Manuscriptâ€™s Text and Patterns: A Step-by-Step Guide</t>
  </si>
  <si>
    <t>How to Track Voynich Manuscript Decoding Attempts: What Experts Have Tried</t>
  </si>
  <si>
    <t>How to Interpret the Voynich Manuscriptâ€™s Symbols: A Beginnerâ€™s Guide to Its Mysteries</t>
  </si>
  <si>
    <t>How to Research the Voynich Manuscript: Origins History and Claims{slug=voynich-manuscript}</t>
  </si>
  <si>
    <t>{slug=voynich-manuscript}</t>
  </si>
  <si>
    <t>How to Research the Voynich Manuscript: Origins History and Claims</t>
  </si>
  <si>
    <t>Shroud of Turin Conspiracy: How to Analyze Scientific vs. Religious Evidence</t>
  </si>
  <si>
    <t>Shroud of Turin Conspiracy: How to Compare Relic Origin Theories</t>
  </si>
  <si>
    <t>Shroud of Turin Conspiracy: How to Check Carbon-14 and Timeline Arguments</t>
  </si>
  <si>
    <t>Shroud of Turin Conspiracy: How to Evaluate Authentication Claims</t>
  </si>
  <si>
    <t>Shroud of Turin Conspiracy: How to Review Key Theories Step-by-Step{slug=shroud-of-turin-conspiracy}</t>
  </si>
  <si>
    <t>{slug=shroud-of-turin-conspiracy}</t>
  </si>
  <si>
    <t>Shroud of Turin Conspiracy: How to Review Key Theories Step-by-Step</t>
  </si>
  <si>
    <t>Spear of Destiny: How to Build a Myth-to-Source Timeline from Key Texts**</t>
  </si>
  <si>
    <t>Spear of Destiny: How to Identify Common Depictions in History Books and Media</t>
  </si>
  <si>
    <t>Spear of Destiny: Step-by-Step Guide to Tracing the Holy Lance References</t>
  </si>
  <si>
    <t>Spear of Destiny: How to Research Its Origins Myths and Key Claims</t>
  </si>
  <si>
    <t>Spear of Destiny: Beginnerâ€™s Guide to the Legends{slug=spear-of-destiny}</t>
  </si>
  <si>
    <t>{slug=spear-of-destiny}</t>
  </si>
  <si>
    <t>Spear of Destiny: Beginnerâ€™s Guide to the Legends</t>
  </si>
  <si>
    <t>Ark and Covenant Location: Use Modern Clues to Evaluate Where It Could Be</t>
  </si>
  <si>
    <t>Ark and Covenant Location: Find Primary Sources on Possible Locations</t>
  </si>
  <si>
    <t>Ark and Covenant Location: Compare Competing Theories and Evidence</t>
  </si>
  <si>
    <t>Ark and Covenant Location: Trace Historical Claims Step by Step</t>
  </si>
  <si>
    <t>Ark and Covenant Location: Research the Most Likely Sites{slug=ark-of-the-covenant-location}</t>
  </si>
  <si>
    <t>{slug=ark-of-the-covenant-location}</t>
  </si>
  <si>
    <t>Ark and Covenant Location: Research the Most Likely Sites</t>
  </si>
  <si>
    <t>Holy Grail conspiracy: How to Verify Who Started the Rumor and Why</t>
  </si>
  <si>
    <t>Holy Grail conspiracy: How to Build a Fact-Check Checklist Before Believing</t>
  </si>
  <si>
    <t>Holy Grail conspiracy: How to Spot Weak Arguments and Conspiracy Tactics</t>
  </si>
  <si>
    <t>Holy Grail conspiracy: How to Trace Evidence Sources and Timelines</t>
  </si>
  <si>
    <t>Holy Grail conspiracy: How to Evaluate the Claims Step by Step{slug=holy-grail-conspiracy}</t>
  </si>
  <si>
    <t>{slug=holy-grail-conspiracy}</t>
  </si>
  <si>
    <t>Holy Grail conspiracy: How to Evaluate the Claims Step by Step</t>
  </si>
  <si>
    <t>How to Separate Historical Evidence From Myths About Knights Templar Treasure</t>
  </si>
  <si>
    <t>How to Plan a Safe Legal Investigation of Knights Templar Treasure Legends</t>
  </si>
  <si>
    <t>How to Verify Maps and Locations for Knights Templar Treasure</t>
  </si>
  <si>
    <t>How to Find Claims and Legends About Knights Templar Treasure</t>
  </si>
  <si>
    <t>How to Research Knights Templar Treasure Exists{slug=knights-templar-treasure}</t>
  </si>
  <si>
    <t>{slug=knights-templar-treasure}</t>
  </si>
  <si>
    <t>How to Research Knights Templar Treasure Exists</t>
  </si>
  <si>
    <t>How â€œNero burned Romeâ€ Was Exploited by Propaganda: A Guided Walkthrough</t>
  </si>
  <si>
    <t>How to Trace â€œNero burned Romeâ€ Using Primary Sources</t>
  </si>
  <si>
    <t>How â€œNero burned Romeâ€ Changed Rome: A Practical Guide to the Event</t>
  </si>
  <si>
    <t>How to Understand â€œNero burned Romeâ€: Causes Evidence and Timeline</t>
  </si>
  <si>
    <t>How â€œNero burned Romeâ€ Happened: A Step-by-Step History Guide{slug=nero-burned-rome}</t>
  </si>
  <si>
    <t>{slug=nero-burned-rome}</t>
  </si>
  <si>
    <t>How â€œNero burned Romeâ€ Happened: A Step-by-Step History Guide</t>
  </si>
  <si>
    <t>How to Compare Archduke Ferdinand Conspiracy Theories Across Historians</t>
  </si>
  <si>
    <t>How to Spot Bias and Misinformation in Archduke Ferdinand Conspiracy Reports</t>
  </si>
  <si>
    <t>How to Build a Timeline of the Archduke Ferdinand Conspiracy Allegations</t>
  </si>
  <si>
    <t>How to Verify Archduke Ferdinand Conspiracy Theories Using Primary Records</t>
  </si>
  <si>
    <t>How to Research the Archduke Ferdinand Conspiracy Claims Evidence and Sources{slug=archduke-ferdinand-conspiracy}</t>
  </si>
  <si>
    <t>{slug=archduke-ferdinand-conspiracy}</t>
  </si>
  <si>
    <t>How to Research the Archduke Ferdinand Conspiracy Claims Evidence and Sources</t>
  </si>
  <si>
    <t>How to Build a Credibility Score for Lincoln Assassination Conspiracy Theories</t>
  </si>
  <si>
    <t>How to Investigate the Lincoln Assassination Conspiracy Sources That Matter</t>
  </si>
  <si>
    <t>How to Fact-Check the Lincoln Assassination Conspiracy Timeline</t>
  </si>
  <si>
    <t>How to Research Lincoln Assassination Conspiracy Key People &amp; Evidence</t>
  </si>
  <si>
    <t>How to Evaluate Lincoln Assassination Conspiracy Claims{slug=lincoln-assassination-conspiracy}</t>
  </si>
  <si>
    <t>{slug=lincoln-assassination-conspiracy}</t>
  </si>
  <si>
    <t>How to Evaluate Lincoln Assassination Conspiracy Claims</t>
  </si>
  <si>
    <t>Reichstag Fire False Flag: How to Fact-Check False Flag Narratives Using Historiansâ€™ Sources**</t>
  </si>
  <si>
    <t>Reichstag Fire False Flag: Evaluating Nazi and Communist Motive Theories</t>
  </si>
  <si>
    <t>Reichstag Fire False Flag: How to Build a Timeline and Check for Contradictions</t>
  </si>
  <si>
    <t>Reichstag Fire False Flag: Step-by-Step Guide to Assess Competing Evidence</t>
  </si>
  <si>
    <t>Reichstag Fire False Flag: How to Verify Claims with Primary Sources{slug=reichstag-fire-false-flag}</t>
  </si>
  <si>
    <t>{slug=reichstag-fire-false-flag}</t>
  </si>
  <si>
    <t>Reichstag Fire False Flag: How to Verify Claims with Primary Sources</t>
  </si>
  <si>
    <t>How to Assess Pearl and Harbor Foreknowledge Credibility: Documents Context and Impact</t>
  </si>
  <si>
    <t>How to Build a Pearl and Harbor Foreknowledge Timeline: What Was Known and When</t>
  </si>
  <si>
    <t>How to Fact-Check Pearl and Harbor Foreknowledge: Credible Sources vs Myths</t>
  </si>
  <si>
    <t>How to Research Pearl and Harbor Foreknowledge: From Warnings to Intelligence Reports</t>
  </si>
  <si>
    <t>How to Evaluate Pearl and Harbor Foreknowledge: Key Claims Evidence and Timeline{slug=pearl-harbor-foreknowledge}</t>
  </si>
  <si>
    <t>{slug=pearl-harbor-foreknowledge}</t>
  </si>
  <si>
    <t>How to Evaluate Pearl and Harbor Foreknowledge: Key Claims Evidence and Timeline</t>
  </si>
  <si>
    <t>Lusitania Conspiracy Spotting Misinformation in Popular Narratives**</t>
  </si>
  <si>
    <t>Lusitania Conspiracy Comparing Competing Theories</t>
  </si>
  <si>
    <t>Lusitania Conspiracy Tracing the Timeline of the Sinking</t>
  </si>
  <si>
    <t>Lusitania Conspiracy Verifying Historical Sources</t>
  </si>
  <si>
    <t>Lusitania Conspiracy Researching Claims and Evidence{slug=lusitania-conspiracy}</t>
  </si>
  <si>
    <t>{slug=lusitania-conspiracy}</t>
  </si>
  <si>
    <t>Lusitania Conspiracy Researching Claims and Evidence</t>
  </si>
  <si>
    <t>Synthetic Media Manipulation: Guardrails and Workflows to Reduce Fake Media Risk</t>
  </si>
  <si>
    <t>Synthetic Media Manipulation: How to Build a Detection Workflow</t>
  </si>
  <si>
    <t>Synthetic Media Manipulation: How to Verify Media Authenticity Using Proven Checks</t>
  </si>
  <si>
    <t>Synthetic Media Manipulation: Step-by-Step Methods to Create and Detect AI Alterations</t>
  </si>
  <si>
    <t>Synthetic Media Manipulation: A Practical Guide to Spotting Deepfakes{slug=synthetic-media-manipulation}</t>
  </si>
  <si>
    <t>{slug=synthetic-media-manipulation}</t>
  </si>
  <si>
    <t>Synthetic Media Manipulation: A Practical Guide to Spotting Deepfakes</t>
  </si>
  <si>
    <t>Meaning of **AI deepfake elections** for election integrity in 2026</t>
  </si>
  <si>
    <t>Laws or policies for **AI deepfake elections</t>
  </si>
  <si>
    <t>Countermeasures for stopping **AI deepfake elections** misinformation</t>
  </si>
  <si>
    <t>Evidence AI **deepfake elections** can influence voting</t>
  </si>
  <si>
    <t>Risks of **AI deepfake elections{slug=ai-deepfake-elections}</t>
  </si>
  <si>
    <t>{slug=ai-deepfake-elections}</t>
  </si>
  <si>
    <t>Risks of **AI deepfake elections</t>
  </si>
  <si>
    <t>How to Assess Predictive Policing Impact: Accuracy Effectiveness Outcomes**</t>
  </si>
  <si>
    <t>How to Use Predictive Policing Responsibly: Bias Testing &amp; Safeguards</t>
  </si>
  <si>
    <t>How to Build a Predictive Policing Workflow: Data Rules Deployment</t>
  </si>
  <si>
    <t>How to Evaluate Predictive Policing Models: Methods &amp; Metrics</t>
  </si>
  <si>
    <t>How Predictive Policing Works: Step-by-Step Guide (2026){slug=predictive-policing}</t>
  </si>
  <si>
    <t>{slug=predictive-policing}</t>
  </si>
  <si>
    <t>How Predictive Policing Works: Step-by-Step Guide (2026)</t>
  </si>
  <si>
    <t>Metadata Surveillance Toolkit: How to Reduce Exposure and Track Controls</t>
  </si>
  <si>
    <t>How to Prepare for Metadata Surveillance: Practical Steps and Risks</t>
  </si>
  <si>
    <t>Metadata Surveillance: How It Works and What to Do About It</t>
  </si>
  <si>
    <t>Metadata Surveillance Explained: How to Spot and Interpret It</t>
  </si>
  <si>
    <t>Metadata Surveillance: A How-To Guide to Understanding It{slug=metadata-surveillance}</t>
  </si>
  <si>
    <t>{slug=metadata-surveillance}</t>
  </si>
  <si>
    <t>Metadata Surveillance: A How-To Guide to Understanding It</t>
  </si>
  <si>
    <t>Location Tracking Conspiracy: How to Reduce and Confirm Location Tracking</t>
  </si>
  <si>
    <t>Location Tracking Conspiracy: How to Verify Network and Wiâ€‘Fi Location Logging</t>
  </si>
  <si>
    <t>Location Tracking Conspiracy: How to Detect Tracking via Android or iOS Settings</t>
  </si>
  <si>
    <t>Location Tracking Conspiracy: How to Audit Appsâ€™ Location Access</t>
  </si>
  <si>
    <t>Location Tracking Conspiracy: How to Check Whoâ€™s Tracking Your Phone{slug=location-tracking-conspiracy}</t>
  </si>
  <si>
    <t>{slug=location-tracking-conspiracy}</t>
  </si>
  <si>
    <t>Location Tracking Conspiracy: How to Check Whoâ€™s Tracking Your Phone</t>
  </si>
  <si>
    <t>How to Manage Siri Privacy Settings to Avoid Recording Conversations</t>
  </si>
  <si>
    <t>How to Detect Siri Recording Conversations and Stop It Fast</t>
  </si>
  <si>
    <t>How to Prevent Siri From Recording Conversations</t>
  </si>
  <si>
    <t>How to Turn Off Siri Recording Conversations on iPhone (2026)</t>
  </si>
  <si>
    <t>How to Check If Siri Is Recording Conversations{slug=siri-recording-conversations}</t>
  </si>
  <si>
    <t>{slug=siri-recording-conversations}</t>
  </si>
  <si>
    <t>How to Check If Siri Is Recording Conversations</t>
  </si>
  <si>
    <t>Alexa Always Listening: How to Fix Unexpected Listening and Alerts</t>
  </si>
  <si>
    <t>Alexa Always Listening: How to Review Delete and Control Voice History</t>
  </si>
  <si>
    <t>Alexa Always Listening: How to Turn Off Microphone Listening on Echo Devices</t>
  </si>
  <si>
    <t>How the Wake Word Works and What Alexa Always Listening Records</t>
  </si>
  <si>
    <t>Alexa Always Listening: How to Check and Change Privacy Settings{slug=alexa-always-listening}</t>
  </si>
  <si>
    <t>{slug=alexa-always-listening}</t>
  </si>
  <si>
    <t>Alexa Always Listening: How to Check and Change Privacy Settings</t>
  </si>
  <si>
    <t>Smart TV Spying: How to Limit Network Permissions and Stop Back-End Tracking</t>
  </si>
  <si>
    <t>Smart TV Spying: How to Secure Your Privacy Settings in 10 Minutes{slug=smart-tv-spying}</t>
  </si>
  <si>
    <t>{slug=smart-tv-spying}</t>
  </si>
  <si>
    <t>Smart TV Spying: How to Secure Your Privacy Settings in 10 Minutes</t>
  </si>
  <si>
    <t>Smart TV Spying: Step-by-Step to Turn Off Ads and Profiling</t>
  </si>
  <si>
    <t>Smart TV Spying: How to Block Tracking and Data Collection</t>
  </si>
  <si>
    <t>Smart TV Spying: How to Check What Your TV Tracks</t>
  </si>
  <si>
    <t>How to Set Up Logging and Monitoring to Detect a Huawei Backdoor</t>
  </si>
  <si>
    <t>How to Audit Firmware and Traffic for Possible Huawei Backdoor Behavior</t>
  </si>
  <si>
    <t>How to Perform a Huawei Backdoor Risk Assessment for Enterprises</t>
  </si>
  <si>
    <t>How to Check Huawei Devices for Backdoor Indicators</t>
  </si>
  <si>
    <t>How to Investigate Huawei Backdoor Claims on Your Network{slug=huawei-backdoor}</t>
  </si>
  <si>
    <t>{slug=huawei-backdoor}</t>
  </si>
  <si>
    <t>How to Investigate Huawei Backdoor Claims on Your Network</t>
  </si>
  <si>
    <t>China TikTok Spying**: 7 Privacy and Data-Access Questions Answered</t>
  </si>
  <si>
    <t>China TikTok Spying**: 7 Myths vs. Facts You Need to Know</t>
  </si>
  <si>
    <t>China TikTok Spying**: 7 Government Responses So Far</t>
  </si>
  <si>
    <t>China TikTok Spying**: 7 Pieces of Evidence Claimed by Critics</t>
  </si>
  <si>
    <t>China TikTok Spying**: 7 Key Allegations Explained{slug=china-tiktok-spying}</t>
  </si>
  <si>
    <t>{slug=china-tiktok-spying}</t>
  </si>
  <si>
    <t>China TikTok Spying**: 7 Key Allegations Explained</t>
  </si>
  <si>
    <t>Pegasus Spyware: 10 Key Facts About NSO Groupâ€™s Controversial Tool**</t>
  </si>
  <si>
    <t>Pegasus Spyware: 10 Signs You Might Be Targeted and What to Do Next</t>
  </si>
  <si>
    <t>Pegasus Spyware: 10 Reported Targets and the Real-World Impact</t>
  </si>
  <si>
    <t>Pegasus Spyware: 10 Things to Know About Infection and Detection{slug=pegasus-spyware}</t>
  </si>
  <si>
    <t>{slug=pegasus-spyware}</t>
  </si>
  <si>
    <t>Pegasus Spyware: 10 Things to Know About Infection and Detection</t>
  </si>
  <si>
    <t>Pegasus Spyware: How It Works and Why Itâ€™s So Dangerous</t>
  </si>
  <si>
    <t>Ring Doorbell Police Access: How to Export and Provide Video Securely**</t>
  </si>
  <si>
    <t>Ring Doorbell Police Access: How to Configure Account Sharing for Officers</t>
  </si>
  <si>
    <t>Ring Doorbell Police Access: How to Prepare Footage for a Warrant</t>
  </si>
  <si>
    <t>Ring Doorbell Police Access: How to Request Video Copies and Logs</t>
  </si>
  <si>
    <t>Ring Doorbell Police Access: How to Share Footage With Law Enforcement{slug=ring-doorbell-police-access}</t>
  </si>
  <si>
    <t>{slug=ring-doorbell-police-access}</t>
  </si>
  <si>
    <t>Ring Doorbell Police Access: How to Share Footage With Law Enforcement</t>
  </si>
  <si>
    <t>What Are the Risks of Clearview AI Facial Recognition?</t>
  </si>
  <si>
    <t>What Controversies Surround Clearview AI Facial Recognition?</t>
  </si>
  <si>
    <t>What Are the Legal Issues With Clearview AI Facial Recognition?</t>
  </si>
  <si>
    <t>What Does Clearview AI Facial Recognition Do?</t>
  </si>
  <si>
    <t>What Is Clearview AI Facial Recognition?{slug=clearview-ai-facial-recognition}</t>
  </si>
  <si>
    <t>{slug=clearview-ai-facial-recognition}</t>
  </si>
  <si>
    <t>What Is Clearview AI Facial Recognition?</t>
  </si>
  <si>
    <t>Palantir Surveillance and Data: 3 Critical Questions</t>
  </si>
  <si>
    <t>Palantir Surveillance in 2026: 3 Things to Understand</t>
  </si>
  <si>
    <t>3 Controversies Behind Palantir Surveillance Reporting</t>
  </si>
  <si>
    <t>Palantir Surveillance Use Cases Explained</t>
  </si>
  <si>
    <t>3 Key Ways Palantir Surveillance Shows Up in Public-Private Tech{slug=palantir-surveillance}</t>
  </si>
  <si>
    <t>{slug=palantir-surveillance}</t>
  </si>
  <si>
    <t>3 Key Ways Palantir Surveillance Shows Up in Public-Private Tech</t>
  </si>
  <si>
    <t>YouTube Algorithm Manipulation How to Build a Consistent Growth Pipeline Guide</t>
  </si>
  <si>
    <t>YouTube Algorithm Manipulation Tactics How to Improve Click-Through Rates</t>
  </si>
  <si>
    <t>YouTube Algorithm Manipulation Tune Upload Timing and Audience Retention</t>
  </si>
  <si>
    <t>YouTube Algorithm Manipulation Guide Optimize Titles Thumbnails and Watch Time</t>
  </si>
  <si>
    <t>YouTube Algorithm Manipulation 10 Practical Steps to Boost Reach{slug=youtube-algorithm-manipulation}</t>
  </si>
  <si>
    <t>{slug=youtube-algorithm-manipulation}</t>
  </si>
  <si>
    <t>YouTube Algorithm Manipulation 10 Practical Steps to Boost Reach</t>
  </si>
  <si>
    <t>Google Censorship: How to Document Evidence of Search Ranking or Visibility Changes**</t>
  </si>
  <si>
    <t>Google Censorship: How to Verify Content Removal Using Cached Pages and Archives</t>
  </si>
  <si>
    <t>Google Censorship: How to Use Advanced Search Queries to Find Missing Results</t>
  </si>
  <si>
    <t>Google Censorship: How to Test Regional and Personalized Search Differences</t>
  </si>
  <si>
    <t>Google Censorship: How to Check If Search Results Are Being Filtered{slug=google-censorship}</t>
  </si>
  <si>
    <t>{slug=google-censorship}</t>
  </si>
  <si>
    <t>Google Censorship: How to Check If Search Results Are Being Filtered</t>
  </si>
  <si>
    <t>What Questions Were Answered by the Facebook Cambridge Analytica Fallout?</t>
  </si>
  <si>
    <t>5 Lessons from the Facebook Cambridge Analytica Data Breach</t>
  </si>
  <si>
    <t>5 Ways Facebook Cambridge Analytica Changed Privacy and Regulation</t>
  </si>
  <si>
    <t>5 Key Moments in the Facebook Cambridge Analytica Story</t>
  </si>
  <si>
    <t>5 Things to Know About Facebook Cambridge Analyticaâ€™s Data Scandal{slug=facebook-cambridge-analytica}</t>
  </si>
  <si>
    <t>{slug=facebook-cambridge-analytica}</t>
  </si>
  <si>
    <t>5 Things to Know About Facebook Cambridge Analyticaâ€™s Data Scandal</t>
  </si>
  <si>
    <t>5 Major Takeaways from the Twitter Files</t>
  </si>
  <si>
    <t>5 Claims Scrutinized in the Twitter Files</t>
  </si>
  <si>
    <t>5 Timeline Moments Behind the Twitter Files</t>
  </si>
  <si>
    <t>5 Key Revelations in the Twitter Files</t>
  </si>
  <si>
    <t>5 Things to Know About the Twitter Files{slug=twitter-files}</t>
  </si>
  <si>
    <t>{slug=twitter-files}</t>
  </si>
  <si>
    <t>5 Things to Know About the Twitter Files</t>
  </si>
  <si>
    <t>How to Map the Section 230 Conspiracy From Regulation to Platform Actions</t>
  </si>
  <si>
    <t>How to Verify Section 230 Conspiracy Allegations Without Spreading Misinformation</t>
  </si>
  <si>
    <t>How to Track Section 230 Conspiracy Claims Using Platform Records</t>
  </si>
  <si>
    <t>How to Build Evidence for a Section 230 Conspiracy Case</t>
  </si>
  <si>
    <t>How to Investigate a Section 230 Conspiracy Step by Step (2026 Guide){slug=section-230-conspiracy}</t>
  </si>
  <si>
    <t>{slug=section-230-conspiracy}</t>
  </si>
  <si>
    <t>How to Investigate a Section 230 Conspiracy Step by Step (2026 Guide)</t>
  </si>
  <si>
    <t>How to Document Social Media Censorship With Evidence Screenshots and Logs</t>
  </si>
  <si>
    <t>How to Respond to Social Media Censorship With Appeals Backups and Safety</t>
  </si>
  <si>
    <t>How Social Media Censorship Happens Step by Step for Users</t>
  </si>
  <si>
    <t>How to Identify Social Media Censorship Signals in Posts and Policies</t>
  </si>
  <si>
    <t>How Social Media Censorship Works and How to Spot It in 2026{slug=social-media-censorship}</t>
  </si>
  <si>
    <t>{slug=social-media-censorship}</t>
  </si>
  <si>
    <t>How Social Media Censorship Works and How to Spot It in 2026</t>
  </si>
  <si>
    <t>10 Reasons People Debate the Pascagoula Abduction Credibility</t>
  </si>
  <si>
    <t>Pascagoula Abduction Explained: 10 Answers to Common Questions</t>
  </si>
  <si>
    <t>10 Witness Facts in the Pascagoula Abduction Case</t>
  </si>
  <si>
    <t>Pascagoula Abduction: 10 Key Details and Timeline</t>
  </si>
  <si>
    <t>10 Things to Know About the Pascagoula Abduction{slug=pascagoula-abduction}</t>
  </si>
  <si>
    <t>{slug=pascagoula-abduction}</t>
  </si>
  <si>
    <t>10 Things to Know About the Pascagoula Abduction</t>
  </si>
  <si>
    <t>Valensole UFO Encounter How to Find Original Sources and Follow the Trail</t>
  </si>
  <si>
    <t>Valensole UFO Encounter How to Assess Credibility of Sightings and Photos</t>
  </si>
  <si>
    <t>Valensole UFO Encounter How to Build a Timeline Using Reports and Maps</t>
  </si>
  <si>
    <t>Valensole UFO Encounter How to Verify Witness Claims and Local Records</t>
  </si>
  <si>
    <t>Valensole UFO Encounter How to Research the 1960s Sighting Step by Step{slug=valensole-ufo-encounter}</t>
  </si>
  <si>
    <t>{slug=valensole-ufo-encounter}</t>
  </si>
  <si>
    <t>Valensole UFO Encounter How to Research the 1960s Sighting Step by Step</t>
  </si>
  <si>
    <t>Colares UFO Brazil: What Actually Happened?</t>
  </si>
  <si>
    <t>Colares UFO Brazil: 10 Dates and Events That Defined the Mystery</t>
  </si>
  <si>
    <t>Colares UFO Brazil: 10 Witness Accounts from the Night of Contact</t>
  </si>
  <si>
    <t>Colares UFO Brazil: 10 Reported Sightings and Encounters</t>
  </si>
  <si>
    <t>Colares UFO Brazil: 10 Key Details of the 1977 Incident{slug=colares-ufo-brazil}</t>
  </si>
  <si>
    <t>{slug=colares-ufo-brazil}</t>
  </si>
  <si>
    <t>Colares UFO Brazil: 10 Key Details of the 1977 Incident</t>
  </si>
  <si>
    <t>Japan Airlines Flight 1628 Cancellation Check: How to Confirm and Claim What You Need</t>
  </si>
  <si>
    <t>Japan Airlines Flight 1628 Gate Updates: How to Get the Right Terminal in Real Time</t>
  </si>
  <si>
    <t>Japan Airlines Flight 1628 Departure &amp; Arrival Times: How to Verify Changes</t>
  </si>
  <si>
    <t>Japan Airlines Flight 1628 Delays: How to Find Reasons and Rebooking Options</t>
  </si>
  <si>
    <t>Japan Airlines Flight 1628 Status: How to Check Live Updates{slug=japan-airlines-flight-1628}</t>
  </si>
  <si>
    <t>{slug=japan-airlines-flight-1628}</t>
  </si>
  <si>
    <t>Japan Airlines Flight 1628 Status: How to Check Live Updates</t>
  </si>
  <si>
    <t>Belgian UFO Wave: How to Evaluate Explanations for Each Alleged Event</t>
  </si>
  <si>
    <t>Belgian UFO Wave: How to Compare Official Reports vs. UFO Narratives</t>
  </si>
  <si>
    <t>Belgian UFO Wave: How to Build a Case-by-Case Investigation Checklist</t>
  </si>
  <si>
    <t>Belgian UFO Wave: How to Research Witness Claims and Evidence</t>
  </si>
  <si>
    <t>Belgian UFO Wave: How to Trace the Timeline and Key Sightings{slug=belgian-ufo-wave}</t>
  </si>
  <si>
    <t>{slug=belgian-ufo-wave}</t>
  </si>
  <si>
    <t>Belgian UFO Wave: How to Trace the Timeline and Key Sightings</t>
  </si>
  <si>
    <t>Whatâ€™s the Explanation for the Varginha UFO Brazil Story?</t>
  </si>
  <si>
    <t>Varginha UFO Brazil: 3 Theories on What It Might Have Been</t>
  </si>
  <si>
    <t>Varginha UFO Brazil: 3 Most Cited Details in the Allegation</t>
  </si>
  <si>
    <t>Varginha UFO Brazil: 3 Key Events From the Reported Night</t>
  </si>
  <si>
    <t>Varginha UFO Brazil: 3 Eyewitness Claims That Started the Craze{slug=varginha-ufo-brazil}</t>
  </si>
  <si>
    <t>{slug=varginha-ufo-brazil}</t>
  </si>
  <si>
    <t>Varginha UFO Brazil: 3 Eyewitness Claims That Started the Craze</t>
  </si>
  <si>
    <t>How to Build a Timeline for the Zimbabwe School UFO Case (1994)</t>
  </si>
  <si>
    <t>How to Investigate the Zimbabwe School UFO Incident (1994) Step by Step</t>
  </si>
  <si>
    <t>How to Find Witness Accounts for the Zimbabwe School UFO (1994)</t>
  </si>
  <si>
    <t>How to Verify Zimbabwe School UFO Claims (1994)</t>
  </si>
  <si>
    <t>How to Research the Zimbabwe School UFO Report (1994){slug=zimbabwe-school-ufo-1994}</t>
  </si>
  <si>
    <t>{slug=zimbabwe-school-ufo-1994}</t>
  </si>
  <si>
    <t>How to Research the Zimbabwe School UFO Report (1994)</t>
  </si>
  <si>
    <t>Westall UFO 1966 How to Understand the Case Using Historical Context</t>
  </si>
  <si>
    <t>Westall UFO 1966 How to Compare Witness Accounts with Official Records</t>
  </si>
  <si>
    <t>Westall UFO 1966 How to Find Primary Sources and Reports</t>
  </si>
  <si>
    <t>Westall UFO 1966 How to Verify Eyewitness Claims and Timelines</t>
  </si>
  <si>
    <t>Westall UFO 1966 How to Research the Evidence Step-by-Step{slug=westall-ufo-1966}</t>
  </si>
  <si>
    <t>{slug=westall-ufo-1966}</t>
  </si>
  <si>
    <t>Westall UFO 1966 How to Research the Evidence Step-by-Step</t>
  </si>
  <si>
    <t>Shag Harbour UFO: How to Build a Credibility Checklist for the Case</t>
  </si>
  <si>
    <t>Shag Harbour UFO: How to Debunk Common Theories Step by Step</t>
  </si>
  <si>
    <t>Shag Harbour UFO: How to Find the Best Documents and Reports</t>
  </si>
  <si>
    <t>Shag Harbour UFO: How to Evaluate Witness Claims and Evidence</t>
  </si>
  <si>
    <t>Shag Harbour UFO: How to Research the 1967 Incident Fast{slug=shag-harbour-ufo}</t>
  </si>
  <si>
    <t>{slug=shag-harbour-ufo}</t>
  </si>
  <si>
    <t>Shag Harbour UFO: How to Research the 1967 Incident Fast</t>
  </si>
  <si>
    <t>How to Prepare a Kecksburg UFO Incident Report: Key Details to Include</t>
  </si>
  <si>
    <t>How to Compare UFO and Conventional Explanations for the Kecksburg UFO Incident</t>
  </si>
  <si>
    <t>How to Build a Credible Timeline of the Kecksburg UFO Incident</t>
  </si>
  <si>
    <t>How to Verify Kecksburg UFO Incident Claims: Fact-Check Checklist</t>
  </si>
  <si>
    <t>How to Research the Kecksburg UFO Incident: Timeline Eyewitnesses and Sources{slug=kecksburg-ufo-incident}</t>
  </si>
  <si>
    <t>{slug=kecksburg-ufo-incident}</t>
  </si>
  <si>
    <t>How to Research the Kecksburg UFO Incident: Timeline Eyewitnesses and Sources</t>
  </si>
  <si>
    <t>How to Create a Simple Replica of the Betty Hill Star Map Accounts</t>
  </si>
  <si>
    <t>How to Assess the Betty Hill Star Map Evidence</t>
  </si>
  <si>
    <t>How to Trace the Betty Hill Star Map â€œConstellationsâ€ Yourself</t>
  </si>
  <si>
    <t>How to Interpret the Betty Hill Star Map Claims</t>
  </si>
  <si>
    <t>How to Understand the Betty Hill Star Map{slug=betty-hill-star-map}</t>
  </si>
  <si>
    <t>{slug=betty-hill-star-map}</t>
  </si>
  <si>
    <t>How to Understand the Betty Hill Star Map</t>
  </si>
  <si>
    <t>How to Analyze the Roswell Autopsy Film Frame by Frame for Authenticity</t>
  </si>
  <si>
    <t>How to Debunk the Roswell Autopsy Film With Timeline and Expert Reviews</t>
  </si>
  <si>
    <t>How to Fact-Check the Roswell Autopsy Film Using Provenance and Evidence</t>
  </si>
  <si>
    <t>How to Trace the Origin of the Roswell Autopsy Film Step by Step</t>
  </si>
  <si>
    <t>How to Verify the Roswell Autopsy Film Claim (Sources + Checks){slug=roswell-autopsy-film}</t>
  </si>
  <si>
    <t>{slug=roswell-autopsy-film}</t>
  </si>
  <si>
    <t>How to Verify the Roswell Autopsy Film Claim (Sources + Checks)</t>
  </si>
  <si>
    <t>Are Men in Black Events Real?</t>
  </si>
  <si>
    <t>Men in Black Real: How to Research Any Alleged Secret Program</t>
  </si>
  <si>
    <t>Men in Black Real or Fiction?</t>
  </si>
  <si>
    <t>Is Men in Black Real?</t>
  </si>
  <si>
    <t>Men in Black Real?{slug=men-in-black-real}</t>
  </si>
  <si>
    <t>{slug=men-in-black-real}</t>
  </si>
  <si>
    <t>Men in Black Real?</t>
  </si>
  <si>
    <t>What Evidence Explains Crop Circles?</t>
  </si>
  <si>
    <t>What Is the History of Crop Circles?</t>
  </si>
  <si>
    <t>What Do Crop Circles Mean If Anything?</t>
  </si>
  <si>
    <t>What Causes Crop Circles to Appear?</t>
  </si>
  <si>
    <t>What Are Crop Circles and Who Makes Them?{slug=crop-circles}</t>
  </si>
  <si>
    <t>{slug=crop-circles}</t>
  </si>
  <si>
    <t>What Are Crop Circles and Who Makes Them?</t>
  </si>
  <si>
    <t>Nazca Lines Aliens: How to Compare Archaeology vs. UFO Theories**</t>
  </si>
  <si>
    <t>Nazca Lines Aliens: How to Fact-Check the Alien Explanation</t>
  </si>
  <si>
    <t>Nazca Lines Aliens: How to Research the Origins Without Falling for Hype</t>
  </si>
  <si>
    <t>Nazca Lines Aliens: How to Verify Claims Step-by-Step</t>
  </si>
  <si>
    <t>Nazca Lines Aliens: How to Spot the Evidence vs. Myths{slug=nazca-lines-aliens}</t>
  </si>
  <si>
    <t>{slug=nazca-lines-aliens}</t>
  </si>
  <si>
    <t>Nazca Lines Aliens: How to Spot the Evidence vs. Myths</t>
  </si>
  <si>
    <t>What Evidence Explains the Bermuda Triangleâ€™s Mystery?</t>
  </si>
  <si>
    <t>Which Myths About the Bermuda Triangle Are True?</t>
  </si>
  <si>
    <t>What Causes Disappearances in the Bermuda Triangle?</t>
  </si>
  <si>
    <t>What Is in the Bermuda Triangle?</t>
  </si>
  <si>
    <t>What Is the Bermuda Triangle?{slug=bermuda-triangle}</t>
  </si>
  <si>
    <t>{slug=bermuda-triangle}</t>
  </si>
  <si>
    <t>What Is the Bermuda Triangle?</t>
  </si>
  <si>
    <t>Dyatlov Pass Conspiracy: How to Assess Forensic Details Without Falling for Myths</t>
  </si>
  <si>
    <t>Dyatlov Pass Conspiracy: How to Compare Competing Explanations Methodically</t>
  </si>
  <si>
    <t>Dyatlov Pass Conspiracy: How to Build a Timeline from Primary Sources</t>
  </si>
  <si>
    <t>Dyatlov Pass Conspiracy: How to Fact-Check Theories Fast</t>
  </si>
  <si>
    <t>Dyatlov Pass Conspiracy: How to Evaluate Claims and Evidence Step by Step{slug=dyatlov-pass-conspiracy}</t>
  </si>
  <si>
    <t>{slug=dyatlov-pass-conspiracy}</t>
  </si>
  <si>
    <t>Dyatlov Pass Conspiracy: How to Evaluate Claims and Evidence Step by Step</t>
  </si>
  <si>
    <t>Skinwalker Ranch: 7 Credibility Red Flags and Supporting Evidence Assessed</t>
  </si>
  <si>
    <t>Skinwalker Ranch: 7 Experiments and Methods Used to Investigate the Activity</t>
  </si>
  <si>
    <t>Skinwalker Ranch: 7 Timeline Moments That Fueled the Craze</t>
  </si>
  <si>
    <t>Skinwalker Ranch: 7 Key Figures Behind the Claims and Their Connections</t>
  </si>
  <si>
    <t>Skinwalker Ranch: 7 Reported Paranormal Incidentsâ€”Whatâ€™s Documented vs. Claimed?{slug=skinwalker-ranch}</t>
  </si>
  <si>
    <t>{slug=skinwalker-ranch}</t>
  </si>
  <si>
    <t>Skinwalker Ranch: 7 Reported Paranormal Incidentsâ€”Whatâ€™s Documented vs. Claimed?</t>
  </si>
  <si>
    <t>Travis Walton Abduction: How to Research the Case Sources and Motives</t>
  </si>
  <si>
    <t>Travis Walton Abduction: How to Compare Witness Accounts and Credibility</t>
  </si>
  <si>
    <t>Travis Walton Abduction: How to Build a Timeline of What Happened</t>
  </si>
  <si>
    <t>Travis Walton Abduction: How to Verify the Key Claims and Evidence</t>
  </si>
  <si>
    <t>Travis Walton Abduction: How to Investigate the 1975 Case Step by Step{slug=travis-walton-abduction}</t>
  </si>
  <si>
    <t>{slug=travis-walton-abduction}</t>
  </si>
  <si>
    <t>Travis Walton Abduction: How to Investigate the 1975 Case Step by Step</t>
  </si>
  <si>
    <t>Bob Lazar Area 51 How to Compare Key Details With Public Records</t>
  </si>
  <si>
    <t>Bob Lazar Area 51 How to Build a Fact-Check Checklist for His Story</t>
  </si>
  <si>
    <t>Bob Lazar Area 51 How to Evaluate Credibility and Source Evidence</t>
  </si>
  <si>
    <t>Bob Lazar Area 51 How to Trace the Timeline of His Allegations</t>
  </si>
  <si>
    <t>Bob Lazar Area 51 How to Verify His Claims Step by Step{slug=bob-lazar-area-51}</t>
  </si>
  <si>
    <t>{slug=bob-lazar-area-51}</t>
  </si>
  <si>
    <t>Bob Lazar Area 51 How to Verify His Claims Step by Step</t>
  </si>
  <si>
    <t>How to Read 1 Thessalonians for Rapture Timing and Comfort</t>
  </si>
  <si>
    <t>1 Thessalonians Rapture Explained How to Apply the Text</t>
  </si>
  <si>
    <t>How to Study 1 Thessalonians and the Rapture Practical Breakdown</t>
  </si>
  <si>
    <t>1 Thessalonians Rapture: A Guide to Key Verses</t>
  </si>
  <si>
    <t>How to Understand 1 Thessalonians on the Rapture Step-by-Step{slug=1-thessalonians-rapture}</t>
  </si>
  <si>
    <t>{slug=1-thessalonians-rapture}</t>
  </si>
  <si>
    <t>How to Understand 1 Thessalonians on the Rapture Step-by-Step</t>
  </si>
  <si>
    <t>How to Teach Acts Last Days Using Scriptural Context</t>
  </si>
  <si>
    <t>Step-by-Step Studying Acts Last Days for Meaning</t>
  </si>
  <si>
    <t>How to Apply Acts Last Days to End-Times Beliefs</t>
  </si>
  <si>
    <t>How to Interpret Acts Last Days</t>
  </si>
  <si>
    <t>How to Understand Acts Last Days in Bible Study{slug=acts-2-last-days}</t>
  </si>
  <si>
    <t>{slug=acts-2-last-days}</t>
  </si>
  <si>
    <t>How to Understand Acts Last Days in Bible Study</t>
  </si>
  <si>
    <t>Malachi 4 Elijah Explained A How-to Guide for Making Sense of the Text</t>
  </si>
  <si>
    <t>How to Read Malachi 4 About Elijah: Practical Guide for Beginners</t>
  </si>
  <si>
    <t>How to Study Malachi 4 Elijah and Understand Its End-Times Meaning</t>
  </si>
  <si>
    <t>How to Interpret Malachi 4 Elijah in 5 Clear Steps</t>
  </si>
  <si>
    <t>How Malachi 4 Elijah Connects to John the Baptist: A Step-by-Step Guide{slug=malachi-4-elijah}</t>
  </si>
  <si>
    <t>{slug=malachi-4-elijah}</t>
  </si>
  <si>
    <t>How Malachi 4 Elijah Connects to John the Baptist: A Step-by-Step Guide</t>
  </si>
  <si>
    <t>Habakkuk End Times: How to Build an End-Times Lesson from Habakkuk**</t>
  </si>
  <si>
    <t>Habakkuk End Times Practical Steps to Study Key Verses and Meanings</t>
  </si>
  <si>
    <t>Habakkuk End Times: How to Connect Habakkukâ€™s Themes to End-Time Prophecy</t>
  </si>
  <si>
    <t>Habakkuk End Times A How-To Guide for Reading the Vision Correctly</t>
  </si>
  <si>
    <t>Habakkuk End Times Step-by-Step Interpretation of Its Prophecy{slug=habakkuk-end-times}</t>
  </si>
  <si>
    <t>{slug=habakkuk-end-times}</t>
  </si>
  <si>
    <t>Habakkuk End Times Step-by-Step Interpretation of Its Prophecy</t>
  </si>
  <si>
    <t>Whatâ€™s the Link Between the Amos Earthquake Prophecy and Real Earthquakes or End-Times Claims?</t>
  </si>
  <si>
    <t>What Do Different Interpretations Say About the Amos Earthquake Prophecy?</t>
  </si>
  <si>
    <t>What Passages Support the Amos Earthquake Prophecy?</t>
  </si>
  <si>
    <t>What Does the Amos Earthquake Prophecy Mean in a Biblical Context?</t>
  </si>
  <si>
    <t>What Is the Amos Earthquake Prophecy?{slug=amos-earthquake-prophecy}</t>
  </si>
  <si>
    <t>{slug=amos-earthquake-prophecy}</t>
  </si>
  <si>
    <t>What Is the Amos Earthquake Prophecy?</t>
  </si>
  <si>
    <t>Hosea Prophecy Fulfilled Practical Guide to Tracing Fulfillment Passages</t>
  </si>
  <si>
    <t>How to Verify Hosea Prophecy Fulfilled: Find the Context and Quotations</t>
  </si>
  <si>
    <t>How to Cross-Reference â€œOut of Egyptâ€ in Hosea Prophecy Fulfilled</t>
  </si>
  <si>
    <t>Hosea Prophecy Fulfilled Step-by-Step Guide to Matching NT Passages</t>
  </si>
  <si>
    <t>How to Identify Hosea Prophecy Fulfilled in the New Testament{slug=hosea-prophecy-fulfilled}</t>
  </si>
  <si>
    <t>{slug=hosea-prophecy-fulfilled}</t>
  </si>
  <si>
    <t>How to Identify Hosea Prophecy Fulfilled in the New Testament</t>
  </si>
  <si>
    <t>How to Activate Chronicles 7:14 Promise in Your Life (Prayer &amp; Humility Steps)</t>
  </si>
  <si>
    <t>How Chronicles 7:14 Works as a Prophecy: A Practical How-To Guide</t>
  </si>
  <si>
    <t>How to Follow the Steps in Chronicles 7:14 (Repent Pray Seek God)</t>
  </si>
  <si>
    <t>How to Apply Chronicles 7:14 Prophecy for Healing and Restoration</t>
  </si>
  <si>
    <t>How to Understand Chronicles 7:14 Prophecy (Repentance &amp; Prayer Guide){slug=2-chronicles-7-14-prophecy}</t>
  </si>
  <si>
    <t>{slug=2-chronicles-7-14-prophecy}</t>
  </si>
  <si>
    <t>How to Understand Chronicles 7:14 Prophecy (Repentance &amp; Prayer Guide)</t>
  </si>
  <si>
    <t>How to Understand Who Jeremiah 29:11 Was Written to in Context and Why It Matters</t>
  </si>
  <si>
    <t>How to Apply Jeremiah 29:11 Correctly With Context First</t>
  </si>
  <si>
    <t>How to Interpret Jeremiah 29:11 by Examining What Came Before and After in Context</t>
  </si>
  <si>
    <t>How to Read Jeremiah 29:11 Through Its Historical Context</t>
  </si>
  <si>
    <t>How to Understand Jeremiah 29:11 in Its Context Before You Apply It{slug=jeremiah-29-11-context}</t>
  </si>
  <si>
    <t>{slug=jeremiah-29-11-context}</t>
  </si>
  <si>
    <t>How to Understand Jeremiah 29:11 in Its Context Before You Apply It</t>
  </si>
  <si>
    <t>How to Apply the Immanuel Prophecy (â€œGod with Usâ€) to Daily Faith</t>
  </si>
  <si>
    <t>How to Trace the Immanuel Prophecy Across the Bible for Deeper Insight</t>
  </si>
  <si>
    <t>How to Interpret the Immanuel Prophecy: Key Context Meaning and Application</t>
  </si>
  <si>
    <t>How to Study the Immanuel Prophecy and Connect It to Jesus</t>
  </si>
  <si>
    <t>How to Understand Immanuel Prophecy (Isaiah 7:14) Step by Step{slug=immanuel-prophecy}</t>
  </si>
  <si>
    <t>{slug=immanuel-prophecy}</t>
  </si>
  <si>
    <t>How to Understand Immanuel Prophecy (Isaiah 7:14) Step by Step</t>
  </si>
  <si>
    <t>How to Teach Isaiah 7:14 Virgin Prophecy: A Simple Bible Study Method</t>
  </si>
  <si>
    <t>How to Verify Isaiah 7:14 Virgin Prophecy Links to Messiah (Research Checklist)</t>
  </si>
  <si>
    <t>How to Interpret Isaiah 7:14 Virgin Prophecy for Bible Study (Beginner Guide)</t>
  </si>
  <si>
    <t>How to Study Isaiah 7:14 Virgin Prophecy: Context Hebrew and Meaning</t>
  </si>
  <si>
    <t>How to Understand Isaiah 7:14 Virgin Prophecy (Step-by-Step Guide){slug=isaiah-7-14-virgin-prophecy}</t>
  </si>
  <si>
    <t>{slug=isaiah-7-14-virgin-prophecy}</t>
  </si>
  <si>
    <t>How to Understand Isaiah 7:14 Virgin Prophecy (Step-by-Step Guide)</t>
  </si>
  <si>
    <t>What Is the Goal of Textual Criticism of the Bible?</t>
  </si>
  <si>
    <t>What Is a Textual Apparatus in Textual Criticism of the Bible?</t>
  </si>
  <si>
    <t>What Do Bible Textual Variants Tell Us in Textual Criticism?</t>
  </si>
  <si>
    <t>What Methods Do Textual Critics Use for Textual Criticism of the Bible?</t>
  </si>
  <si>
    <t>What Is Textual Criticism of the Bible?{slug=textual-criticism-bible}</t>
  </si>
  <si>
    <t>{slug=textual-criticism-bible}</t>
  </si>
  <si>
    <t>What Is Textual Criticism of the Bible?</t>
  </si>
  <si>
    <t>Septuagint vs Masoretic: 10 Facts About Their History and Use</t>
  </si>
  <si>
    <t>Septuagint vs Masoretic: 10 Passages That Show the Biggest Changes</t>
  </si>
  <si>
    <t>Septuagint vs Masoretic: 10 Ways They Differ in Translation and Meaning</t>
  </si>
  <si>
    <t>Septuagint vs Masoretic: 10 Textual Variations You Should Know</t>
  </si>
  <si>
    <t>Septuagint vs Masoretic: 10 Key Differences Explained{slug=septuagint-vs-masoretic}</t>
  </si>
  <si>
    <t>{slug=septuagint-vs-masoretic}</t>
  </si>
  <si>
    <t>Septuagint vs Masoretic: 10 Key Differences Explained</t>
  </si>
  <si>
    <t>How to Evaluate Sources Behind the King James Bible Conspiracy</t>
  </si>
  <si>
    <t>How to Investigate the Origins of the King James Bible Conspiracy</t>
  </si>
  <si>
    <t>How to Verify Evidence and Rebuttals to the King James Bible Conspiracy</t>
  </si>
  <si>
    <t>How to Research King James Bible Conspiracy Step by Step</t>
  </si>
  <si>
    <t>How to Fact-Check King James Bible Conspiracy Claims{slug=king-james-bible-conspiracy}</t>
  </si>
  <si>
    <t>{slug=king-james-bible-conspiracy}</t>
  </si>
  <si>
    <t>How to Fact-Check King James Bible Conspiracy Claims</t>
  </si>
  <si>
    <t>Bible Changed Conspiracy: How to Build a Fact-Check Checklist for Bible-Change Claims</t>
  </si>
  <si>
    <t>Bible Changed Conspiracy: How to Trace Translation and Edition Changes Safely</t>
  </si>
  <si>
    <t>Bible Changed Conspiracy: Which Bible Version Do People Mean?</t>
  </si>
  <si>
    <t>Bible Changed Conspiracy: How to Compare Manuscripts Without Falling for Hoaxes</t>
  </si>
  <si>
    <t>Bible Changed Conspiracy: How to Verify Claim Sources Step by Step{slug=bible-changed-conspiracy}</t>
  </si>
  <si>
    <t>{slug=bible-changed-conspiracy}</t>
  </si>
  <si>
    <t>Bible Changed Conspiracy: How to Verify Claim Sources Step by Step</t>
  </si>
  <si>
    <t>How to Research the Council of Nicaea Conspiracy: Build a Timeline and Check Primary Records</t>
  </si>
  <si>
    <t>How to Spot a Council of Nicaea Conspiracy Hoax: Red Flags and Verification Steps</t>
  </si>
  <si>
    <t>How to Trace the Council of Nicaea Conspiracy from Modern Blogs to Primary Texts</t>
  </si>
  <si>
    <t>How to Fact-Check the Council of Nicaea Conspiracy: Sources to Verify</t>
  </si>
  <si>
    <t>How to Investigate the Council of Nicaea Conspiracy: Evidence vs. Myths{slug=council-of-nicaea-conspiracy}</t>
  </si>
  <si>
    <t>{slug=council-of-nicaea-conspiracy}</t>
  </si>
  <si>
    <t>How to Investigate the Council of Nicaea Conspiracy: Evidence vs. Myths</t>
  </si>
  <si>
    <t>How to Study Lost Books of the Bible Without Getting Misled (Guide for Beginners)</t>
  </si>
  <si>
    <t>How to Evaluate Claims About Lost Books of the Bible (Method and Checklist)</t>
  </si>
  <si>
    <t>How to Use Manuscripts and Canon History to Track Lost Books of the Bible</t>
  </si>
  <si>
    <t>How to Identify Lost Books of the Bible from Historical Sources</t>
  </si>
  <si>
    <t>How to Research Lost Books of the Bible{slug=lost-books-of-the-bible}</t>
  </si>
  <si>
    <t>{slug=lost-books-of-the-bible}</t>
  </si>
  <si>
    <t>How to Research Lost Books of the Bible</t>
  </si>
  <si>
    <t>What Are the Major Translations of the Nag Hammadi Texts?</t>
  </si>
  <si>
    <t>What Do the Nag Hammadi Texts Reveal About Early Christianity?</t>
  </si>
  <si>
    <t>What Is the Historical Significance of the Nag Hammadi Texts?</t>
  </si>
  <si>
    <t>What Do the Nag Hammadi Texts Contain?</t>
  </si>
  <si>
    <t>What Are the Nag Hammadi Texts?{slug=nag-hammadi-texts}</t>
  </si>
  <si>
    <t>{slug=nag-hammadi-texts}</t>
  </si>
  <si>
    <t>What Are the Nag Hammadi Texts?</t>
  </si>
  <si>
    <t>Dead Sea Scrolls cover up: How to verify online evidence with credible references</t>
  </si>
  <si>
    <t>Dead Sea Scrolls cover up: How to separate scholarship from conspiracy claims</t>
  </si>
  <si>
    <t>Dead Sea Scrolls cover up: How to investigate â€œsuppressionâ€ allegations fast</t>
  </si>
  <si>
    <t>Dead Sea Scrolls cover up: How to find primary sources and avoid myths</t>
  </si>
  <si>
    <t>Dead Sea Scrolls cover up: How to fact-check claims in 10 steps{slug=dead-sea-scrolls-cover-up}</t>
  </si>
  <si>
    <t>{slug=dead-sea-scrolls-cover-up}</t>
  </si>
  <si>
    <t>Dead Sea Scrolls cover up: How to fact-check claims in 10 steps</t>
  </si>
  <si>
    <t>5 Evidence Points Used in the Book of Enoch Conspiracy</t>
  </si>
  <si>
    <t>5 Reasons People Believe the Book of Enoch Conspiracy</t>
  </si>
  <si>
    <t>5 Myths vs. Facts About the Book of Enoch Conspiracy</t>
  </si>
  <si>
    <t>5 Allegations Behind the Book of Enoch Conspiracy</t>
  </si>
  <si>
    <t>5 Claims in the Book of Enoch Conspiracy Explained{slug=book-of-enoch-conspiracy}</t>
  </si>
  <si>
    <t>{slug=book-of-enoch-conspiracy}</t>
  </si>
  <si>
    <t>5 Claims in the Book of Enoch Conspiracy Explained</t>
  </si>
  <si>
    <t>Genesis conspiracy: How to compare popular theories with original text context</t>
  </si>
  <si>
    <t>Genesis conspiracy: How to build a timeline of Nephilim interpretations</t>
  </si>
  <si>
    <t>Genesis conspiracy: How to trace hidden meanings back to scripture</t>
  </si>
  <si>
    <t>Genesis conspiracy: How to fact-check Nephilim theories like a pro</t>
  </si>
  <si>
    <t>Genesis conspiracy: How to evaluate â€œSons of Godâ€ claims step by step{slug=genesis-6-conspiracy}</t>
  </si>
  <si>
    <t>{slug=genesis-6-conspiracy}</t>
  </si>
  <si>
    <t>Genesis conspiracy: How to evaluate â€œSons of Godâ€ claims step by step</t>
  </si>
  <si>
    <t>How to Build a Timeline for Nimrod One World Government Allegations</t>
  </si>
  <si>
    <t>How to Map the Nimrod One World Government Narrative Step by Step</t>
  </si>
  <si>
    <t>How to Fact-Check Nimrod One World Government Sources</t>
  </si>
  <si>
    <t>How to Evaluate Evidence for Nimrod One World Government Theories</t>
  </si>
  <si>
    <t>How to Research Nimrod Claims About One World Government{slug=nimrod-one-world-government}</t>
  </si>
  <si>
    <t>{slug=nimrod-one-world-government}</t>
  </si>
  <si>
    <t>How to Research Nimrod Claims About One World Government</t>
  </si>
  <si>
    <t>Tower Babel Conspiracy: How to Build a Credible Timeline from Claims</t>
  </si>
  <si>
    <t>Tower Babel Conspiracy: How to Spot Misinformation and Hoaxes</t>
  </si>
  <si>
    <t>Tower Babel Conspiracy: How to Check Sources and Find Evidence</t>
  </si>
  <si>
    <t>Tower Babel Conspiracy: How to Research Competing Theories Fast</t>
  </si>
  <si>
    <t>Tower Babel Conspiracy: How to Verify the Claim Step by Step{slug=tower-of-babel-conspiracy}</t>
  </si>
  <si>
    <t>{slug=tower-of-babel-conspiracy}</t>
  </si>
  <si>
    <t>Tower Babel Conspiracy: How to Verify the Claim Step by Step</t>
  </si>
  <si>
    <t>How to Research the Methuselah Prophecy Name Using Reliable Sources</t>
  </si>
  <si>
    <t>How to Confirm the Correct Methuselah Prophecy Name</t>
  </si>
  <si>
    <t>How to Look Up the Methuselah Prophecy Name Step by Step</t>
  </si>
  <si>
    <t>How to Identify the Methuselah Prophecy Name with a Biblical Reference</t>
  </si>
  <si>
    <t>How to Find the True Methuselah Prophecy Name{slug=methuselah-prophecy-name}</t>
  </si>
  <si>
    <t>{slug=methuselah-prophecy-name}</t>
  </si>
  <si>
    <t>How to Find the True Methuselah Prophecy Name</t>
  </si>
  <si>
    <t>How to Apply Enoch Taken Prophecy Insights for Bible Study</t>
  </si>
  <si>
    <t>How to Study Enoch Taken Prophecy Using Key Texts and Notes</t>
  </si>
  <si>
    <t>How to Interpret Enoch Taken Prophecy Without Misreading Sources</t>
  </si>
  <si>
    <t>How to Research Enoch Taken Prophecy Origins and Meaning</t>
  </si>
  <si>
    <t>How to Understand Enoch Taken Prophecy Step by Step{slug=enoch-taken-prophecy}</t>
  </si>
  <si>
    <t>{slug=enoch-taken-prophecy}</t>
  </si>
  <si>
    <t>How to Understand Enoch Taken Prophecy Step by Step</t>
  </si>
  <si>
    <t>Prove John the Baptist Elijah with Scripture: How-To Bible Study Plan</t>
  </si>
  <si>
    <t>John Baptist Elijah Explained: How to Study Elijah Prophecies</t>
  </si>
  <si>
    <t>John Baptist to Elijah: Practical Guide to the Biblical Connection</t>
  </si>
  <si>
    <t>John Baptist Elijah: How to Read the Scripture That Links Them</t>
  </si>
  <si>
    <t>John the Baptist and Elijah: Same Prophecy?{slug=john-the-baptist-elijah}</t>
  </si>
  <si>
    <t>{slug=john-the-baptist-elijah}</t>
  </si>
  <si>
    <t>John the Baptist and Elijah: Same Prophecy?</t>
  </si>
  <si>
    <t>What does Elijah must come first imply for end-times expectations?</t>
  </si>
  <si>
    <t>What does Elijah must come first reveal about John the Baptist?</t>
  </si>
  <si>
    <t>What prophecy is fulfilled when Elijah must come first?</t>
  </si>
  <si>
    <t>What is the origin of â€œElijah must come firstâ€?</t>
  </si>
  <si>
    <t>What does â€œElijah must come firstâ€ mean in the Bible?{slug=elijah-must-come-first}</t>
  </si>
  <si>
    <t>{slug=elijah-must-come-first}</t>
  </si>
  <si>
    <t>What does â€œElijah must come firstâ€ mean in the Bible?</t>
  </si>
  <si>
    <t>What Should Christians Do With the Ten Virgins Parable?</t>
  </si>
  <si>
    <t>What Does â€œWhen the Bridegroom Delayedâ€ Reveal in the Ten Virgins Parable?</t>
  </si>
  <si>
    <t>What Do the Five Wise and Five Foolish Virgins Represent in the Ten Virgins Parable?</t>
  </si>
  <si>
    <t>What Can the Ten Virgins Parable Teach Us About Waiting and Readiness?</t>
  </si>
  <si>
    <t>What Is the Parable of the Ten Virgins?{slug=parable-ten-virgins}</t>
  </si>
  <si>
    <t>{slug=parable-ten-virgins}</t>
  </si>
  <si>
    <t>What Is the Parable of the Ten Virgins?</t>
  </si>
  <si>
    <t>What Is the Relationship Between the Wedding Supper of the Lamb and the New Creation?</t>
  </si>
  <si>
    <t>What Does â€œBlessed Are Those Invitedâ€ Mean in the Wedding Supper of the Lamb?</t>
  </si>
  <si>
    <t>What Is the Wedding Supper of the Lamb in Biblical Context?</t>
  </si>
  <si>
    <t>What Does the Wedding Supper of the Lamb Mean for Christians?</t>
  </si>
  <si>
    <t>What Is the Wedding Supper of the Lamb?{slug=wedding-supper-of-the-lamb}</t>
  </si>
  <si>
    <t>{slug=wedding-supper-of-the-lamb}</t>
  </si>
  <si>
    <t>What Is the Wedding Supper of the Lamb?</t>
  </si>
  <si>
    <t>What Does â€œAccording to Their Deedsâ€ Mean at the White Throne Judgment?</t>
  </si>
  <si>
    <t>What Is the Significance of the White Throne Judgment for Christians?</t>
  </si>
  <si>
    <t>What Does the Book of Life Mean in the White Throne Judgment?</t>
  </si>
  <si>
    <t>What Happens at the White Throne Judgment?</t>
  </si>
  <si>
    <t>What Is the White Throne Judgment in Revelation 20?{slug=white-throne-judgment}</t>
  </si>
  <si>
    <t>{slug=white-throne-judgment}</t>
  </si>
  <si>
    <t>What Is the White Throne Judgment in Revelation 20?</t>
  </si>
  <si>
    <t>Sheep and Goat Judgment Practical Guide: How to Live the Principles</t>
  </si>
  <si>
    <t>How to Study Sheep and Goat Judgment (Matthew 25) for Yourself</t>
  </si>
  <si>
    <t>Sheep and Goat Judgment Checklist: How to Apply Matthew 25 in Daily Life{slug=sheep-goat-judgment}</t>
  </si>
  <si>
    <t>{slug=sheep-goat-judgment}</t>
  </si>
  <si>
    <t>Sheep and Goat Judgment Checklist: How to Apply Matthew 25 in Daily Life</t>
  </si>
  <si>
    <t>Sheep and Goat Judgment Explained: A How-To Guide to Its Meaning</t>
  </si>
  <si>
    <t>Sheep and Goat Judgment Step by Step: How to Understand Matthew 25</t>
  </si>
  <si>
    <t>What Is the Lake of Fire?</t>
  </si>
  <si>
    <t>Lake of Fireâ€”A Practical Bible Study Guide: How to Interpret Key Passages</t>
  </si>
  <si>
    <t>Lake of Fire and Salvation: How to Study What It Represents</t>
  </si>
  <si>
    <t>Lake of Fire Explained: How to Locate Every Mention in Scripture</t>
  </si>
  <si>
    <t>Lake of Fire: How to Understand Its Meaning in the Bible{slug=lake-of-fire}</t>
  </si>
  <si>
    <t>{slug=lake-of-fire}</t>
  </si>
  <si>
    <t>Lake of Fire: How to Understand Its Meaning in the Bible</t>
  </si>
  <si>
    <t>What Are Different Interpretations of the New Jerusalem?</t>
  </si>
  <si>
    <t>What Will Life Be Like in the New Jerusalem?</t>
  </si>
  <si>
    <t>What Does â€œNew Jerusalemâ€ Mean in Revelation?</t>
  </si>
  <si>
    <t>What Does the New Jerusalem Symbolize?</t>
  </si>
  <si>
    <t>What Is the New Jerusalem in Revelation?{slug=new-jerusalem}</t>
  </si>
  <si>
    <t>{slug=new-jerusalem}</t>
  </si>
  <si>
    <t>What Is the New Jerusalem in Revelation?</t>
  </si>
  <si>
    <t>144000 Revelation: How to Apply the 144000 Message to Your Faith</t>
  </si>
  <si>
    <t>144000 Revelation: How to Build a Simple Bible Study Plan for the 144000</t>
  </si>
  <si>
    <t>144000 Revelation: How Do Different Interpretations Compare?</t>
  </si>
  <si>
    <t>144000 Revelation: How to Study Revelation 7 Step by Step{slug=144000-revelation}</t>
  </si>
  <si>
    <t>{slug=144000-revelation}</t>
  </si>
  <si>
    <t>144000 Revelation: How to Study Revelation 7 Step by Step</t>
  </si>
  <si>
    <t>144000 Revelation: Who Are the 144000?</t>
  </si>
  <si>
    <t>How to Understand False Prophet Revelation as a Warning?</t>
  </si>
  <si>
    <t>How Revelation Describes the False Prophet?</t>
  </si>
  <si>
    <t>How to Spot the False Prophet Theme in Revelation?</t>
  </si>
  <si>
    <t>How to Interpret Revelationâ€™s False Prophet Passages?</t>
  </si>
  <si>
    <t>How to Identify the False Prophet in Revelation?{slug=false-prophet-revelation}</t>
  </si>
  <si>
    <t>{slug=false-prophet-revelation}</t>
  </si>
  <si>
    <t>How to Identify the False Prophet in Revelation?</t>
  </si>
  <si>
    <t>What Is the Whore of Babylon Symbol Saying About Corruption and Idolatry?</t>
  </si>
  <si>
    <t>What Historical Context Shaped the Whore of Babylon Imagery?</t>
  </si>
  <si>
    <t>What Do Christian Traditions Believe About the Whore of Babylon?</t>
  </si>
  <si>
    <t>What Does Whore of Babylon Refer to in Revelation?</t>
  </si>
  <si>
    <t>What Does Whore of Babylon Mean in the Bible?{slug=whore-of-babylon}</t>
  </si>
  <si>
    <t>{slug=whore-of-babylon}</t>
  </si>
  <si>
    <t>What Does Whore of Babylon Mean in the Bible?</t>
  </si>
  <si>
    <t>How to Evaluate Competing Views on Mystery Babylon America</t>
  </si>
  <si>
    <t>How to Trace History Supporting Mystery Babylon America Interpretations</t>
  </si>
  <si>
    <t>How to Build a Bible-Based Case for Mystery Babylon America</t>
  </si>
  <si>
    <t>How to Verify Evidence Linking Mystery Babylon America to America</t>
  </si>
  <si>
    <t>How to Research Mystery Babylon America Claims{slug=mystery-babylon-america}</t>
  </si>
  <si>
    <t>{slug=mystery-babylon-america}</t>
  </si>
  <si>
    <t>How to Research Mystery Babylon America Claims</t>
  </si>
  <si>
    <t>How to Explain Babylon the Great in 10 Minutes{slug=babylon-the-great}</t>
  </si>
  <si>
    <t>{slug=babylon-the-great}</t>
  </si>
  <si>
    <t>How to Explain Babylon the Great in 10 Minutes</t>
  </si>
  <si>
    <t>How to Interpret Babylon the Great Without Common Mistakes</t>
  </si>
  <si>
    <t>How to Identify Babylon the Great Using Biblical Clues</t>
  </si>
  <si>
    <t>How to Study Babylon the Great Step by Step in the Bible</t>
  </si>
  <si>
    <t>How to Understand Babylon the Great in Revelation</t>
  </si>
  <si>
    <t>How to Apply Revelationâ€™s beast system lessons today</t>
  </si>
  <si>
    <t>How to Study Revelation and Identify the beast systemâ€™s purpose</t>
  </si>
  <si>
    <t>How to Spot Revelationâ€™s beast systemâ€™s mark and meaning</t>
  </si>
  <si>
    <t>How to Interpret Revelationâ€™s beast system: A Practical Guide</t>
  </si>
  <si>
    <t>How to Understand Revelationâ€™s beast system in 5 Steps{slug=revelation-13-beast-system}</t>
  </si>
  <si>
    <t>{slug=revelation-13-beast-system}</t>
  </si>
  <si>
    <t>How to Understand Revelationâ€™s beast system in 5 Steps</t>
  </si>
  <si>
    <t>How to Read Danielâ€™s Sealed Book Without Common Misinterpretations</t>
  </si>
  <si>
    <t>How to Connect Daniel 12â€™s Sealed Book to End-Times Prophecy</t>
  </si>
  <si>
    <t>How to Interpret Danielâ€™s Sealed Book in Daniel 12 Step by Step{slug=daniel-12-sealed-book}</t>
  </si>
  <si>
    <t>{slug=daniel-12-sealed-book}</t>
  </si>
  <si>
    <t>How to Interpret Danielâ€™s Sealed Book in Daniel 12 Step by Step</t>
  </si>
  <si>
    <t>How to Study Daniel 12â€™s Sealed Book in Context</t>
  </si>
  <si>
    <t>How to Understand Danielâ€™s Sealed Book in Daniel 12</t>
  </si>
  <si>
    <t>How to Study Psalm 22 Crucifixion Prophecy with a Simple Bible-Reading Plan</t>
  </si>
  <si>
    <t>How to Find Psalm 22 Crucifixion Prophecy Details (Suffering Mockery Piercing)</t>
  </si>
  <si>
    <t>How to Teach Psalm 22 Crucifixion Prophecy with Clear Bible Connections</t>
  </si>
  <si>
    <t>How to Present Psalm 22 Crucifixion Prophecy Step by Step</t>
  </si>
  <si>
    <t>How to Show Psalm 22 Crucifixion Prophecy in 10 Key Verses{slug=psalm-22-crucifixion-prophecy}</t>
  </si>
  <si>
    <t>{slug=psalm-22-crucifixion-prophecy}</t>
  </si>
  <si>
    <t>How to Show Psalm 22 Crucifixion Prophecy in 10 Key Verses</t>
  </si>
  <si>
    <t>How to Study Isaiah 53 Suffering Servant for Bible Interpretation and Meaning</t>
  </si>
  <si>
    <t>How to Compare Jewish and Christian Views of the Isaiah 53 Suffering Servant</t>
  </si>
  <si>
    <t>How to Apply Isaiah 53 Suffering Servant to Suffering and Redemption</t>
  </si>
  <si>
    <t>How to Identify the Isaiah 53 Suffering Servant in Context Step-by-Step</t>
  </si>
  <si>
    <t>How to Understand Isaiah 53 Suffering Servant Without Misreading It{slug=isaiah-53-suffering-servant}</t>
  </si>
  <si>
    <t>{slug=isaiah-53-suffering-servant}</t>
  </si>
  <si>
    <t>How to Understand Isaiah 53 Suffering Servant Without Misreading It</t>
  </si>
  <si>
    <t>Micah 5 Bethlehem Prophecy: How to Compare Different Christian Interpretations</t>
  </si>
  <si>
    <t>Micah 5 Bethlehem Prophecy: How to Study the â€œRuler from Bethlehemâ€ Claim Step by Step</t>
  </si>
  <si>
    <t>Micah 5 Bethlehem Prophecy: How to Connect It to the Nativity Story</t>
  </si>
  <si>
    <t>Micah 5 Bethlehem Prophecy: How to Interpret the Verse and Who It Refers To</t>
  </si>
  <si>
    <t>Micah 5 Bethlehem Prophecy: How to Identify the Text Context and Meaning{slug=micah-5-bethlehem-prophecy}</t>
  </si>
  <si>
    <t>{slug=micah-5-bethlehem-prophecy}</t>
  </si>
  <si>
    <t>Micah 5 Bethlehem Prophecy: How to Identify the Text Context and Meaning</t>
  </si>
  <si>
    <t>How to Prepare for the Joel Locust Army Prophecy: What to Do Now (and What to Avoid)</t>
  </si>
  <si>
    <t>How to Interpret Joel Locust Army Prophecy: Key Themes and Practical Takeaways</t>
  </si>
  <si>
    <t>How to Verify Joel Locust Army Prophecy: Evidence vs. Assumptions</t>
  </si>
  <si>
    <t>How to Research Joel Locust Army Prophecy: Sources Timeline and Context</t>
  </si>
  <si>
    <t>How to Understand Joel Locust Army Prophecy: Origin Meaning and Claims{slug=joel-locust-army-prophecy}</t>
  </si>
  <si>
    <t>{slug=joel-locust-army-prophecy}</t>
  </si>
  <si>
    <t>How to Understand Joel Locust Army Prophecy: Origin Meaning and Claims</t>
  </si>
  <si>
    <t>Obadiahâ€™s Edom Prophecy: A Practical How-to for Studying Meaning and Relevance</t>
  </si>
  <si>
    <t>Obadiah and Edom Prophecy Guide: How to Read Summarize and Connect to Fulfillment</t>
  </si>
  <si>
    <t>Obadiah and Edom Prophecy Explained: How to Apply Its Warnings Today</t>
  </si>
  <si>
    <t>Obadiah and Edom Prophecy: Step-by-Step How to Interpret the Fall of Edom</t>
  </si>
  <si>
    <t>Obadiah and Edom Prophecy: A How-to Guide for Understanding Its Message{slug=obadiah-edom-prophecy}</t>
  </si>
  <si>
    <t>{slug=obadiah-edom-prophecy}</t>
  </si>
  <si>
    <t>Obadiah and Edom Prophecy: A How-to Guide for Understanding Its Message</t>
  </si>
  <si>
    <t>How to Explain Zechariah 14 Prophecy Clearly: A Simple Study Method</t>
  </si>
  <si>
    <t>How to Read Zechariah 14 Prophecy in Context and Avoid Missteps</t>
  </si>
  <si>
    <t>How to Study Zechariah 14 Prophecy: Key Themes and Fulfillment</t>
  </si>
  <si>
    <t>How to Interpret Zechariah 14 Prophecy for Modern Readers</t>
  </si>
  <si>
    <t>How to Understand the Zechariah 14 Prophecy Step by Step{slug=zechariah-14-prophecy}</t>
  </si>
  <si>
    <t>{slug=zechariah-14-prophecy}</t>
  </si>
  <si>
    <t>How to Understand the Zechariah 14 Prophecy Step by Step</t>
  </si>
  <si>
    <t>What Can We Learn From the Ezekiel Dry Bones Prophecy Today?</t>
  </si>
  <si>
    <t>What Does the Ezekiel Dry Bones Prophecy Teach About Resurrection and Hope?</t>
  </si>
  <si>
    <t>What Do Christians Believe the Ezekiel Dry Bones Prophecy Represents?</t>
  </si>
  <si>
    <t>What Is the Context Behind the Ezekiel Dry Bones Prophecy?</t>
  </si>
  <si>
    <t>What Does Ezekiel Dry Bones Prophecy Mean?{slug=ezekiel-dry-bones-prophecy}</t>
  </si>
  <si>
    <t>{slug=ezekiel-dry-bones-prophecy}</t>
  </si>
  <si>
    <t>What Does Ezekiel Dry Bones Prophecy Mean?</t>
  </si>
  <si>
    <t>Whatâ€™s the Origin of Blood Covenant Prophecy?</t>
  </si>
  <si>
    <t>What Do Christians Believe About Blood Covenant Prophecy?</t>
  </si>
  <si>
    <t>What Prophecies Are Linked to Blood Covenant Theology?</t>
  </si>
  <si>
    <t>What Does Blood Covenant Prophecy Mean Religiously?</t>
  </si>
  <si>
    <t>What Is Blood Covenant Prophecy in the Bible?{slug=blood-covenant-prophecy}</t>
  </si>
  <si>
    <t>{slug=blood-covenant-prophecy}</t>
  </si>
  <si>
    <t>What Is Blood Covenant Prophecy in the Bible?</t>
  </si>
  <si>
    <t>How to Follow the Shemitah cycle in Daily Life Key Steps</t>
  </si>
  <si>
    <t>Shemitah cycle Guide What to Do Before During and After</t>
  </si>
  <si>
    <t>How to Prepare for the Shemitah cycle A Practical Checklist</t>
  </si>
  <si>
    <t>Shemitah cycle How-To Dates Rules and Planning</t>
  </si>
  <si>
    <t>How the Shemitah cycle Works Step-by-Step Guide{slug=shemitah-cycle}</t>
  </si>
  <si>
    <t>{slug=shemitah-cycle}</t>
  </si>
  <si>
    <t>How the Shemitah cycle Works Step-by-Step Guide</t>
  </si>
  <si>
    <t>How to Apply the Jubilee Year Prophecy Practically Today</t>
  </si>
  <si>
    <t>How to Research the Jubilee Year Prophecy Using Scripture Steps</t>
  </si>
  <si>
    <t>How to Connect the Jubilee Year Prophecy to End-Time Thinking</t>
  </si>
  <si>
    <t>How to Interpret the Jubilee Year Prophecy Without Making It Up</t>
  </si>
  <si>
    <t>How to Understand the Jubilee Year Prophecy in the Bible{slug=jubilee-year-prophecy}</t>
  </si>
  <si>
    <t>{slug=jubilee-year-prophecy}</t>
  </si>
  <si>
    <t>How to Understand the Jubilee Year Prophecy in the Bible</t>
  </si>
  <si>
    <t>How to Apply the Fig Tree Generation Prophecy to Personal Bible Study</t>
  </si>
  <si>
    <t>How to Study the Fig Tree Generation Prophecy: Key Passages Meanings and Timeline</t>
  </si>
  <si>
    <t>How to Interpret the Fig Tree Generation Prophecy Without Speculation</t>
  </si>
  <si>
    <t>How to Research the Fig Tree Generation Prophecy in the Bible</t>
  </si>
  <si>
    <t>How to Understand the Fig Tree Generation Prophecy in Context{slug=fig-tree-generation-prophecy}</t>
  </si>
  <si>
    <t>{slug=fig-tree-generation-prophecy}</t>
  </si>
  <si>
    <t>How to Understand the Fig Tree Generation Prophecy in Context</t>
  </si>
  <si>
    <t>What Are the Different Interpretations of the Seventy Weeks of Daniel?</t>
  </si>
  <si>
    <t>What Does Danielâ€™s Seventy Weeks Predict and When?</t>
  </si>
  <si>
    <t>What Is the Timeline of the Seventy Weeks of Daniel?</t>
  </si>
  <si>
    <t>What Do the Seventy Weeks of Daniel Mean for the Messiah?</t>
  </si>
  <si>
    <t>What Are the Seventy Weeks of Daniel (Daniel 9:24â€“27)?{slug=seventy-weeks-of-daniel}</t>
  </si>
  <si>
    <t>{slug=seventy-weeks-of-daniel}</t>
  </si>
  <si>
    <t>What Are the Seventy Weeks of Daniel (Daniel 9:24â€“27)?</t>
  </si>
  <si>
    <t>How to Evaluate the Daniel Statue Prophecy Evidence Step by Step</t>
  </si>
  <si>
    <t>How to Check Daniel Statue Prophecy Links Translations and Dates</t>
  </si>
  <si>
    <t>How to Trace the Daniel Statue Prophecy to Its First Mention Online</t>
  </si>
  <si>
    <t>How to Verify Whether the Daniel Statue Prophecy Is Misinterpreted</t>
  </si>
  <si>
    <t>How to Research the Daniel Statue Prophecy Claim Origins and Source{slug=daniel-statue-prophecy}</t>
  </si>
  <si>
    <t>{slug=daniel-statue-prophecy}</t>
  </si>
  <si>
    <t>How to Research the Daniel Statue Prophecy Claim Origins and Source</t>
  </si>
  <si>
    <t>Dark Pools Conspiracy: Tracking Myths vs. Regulations in Five Practical Steps</t>
  </si>
  <si>
    <t>Dark Pools Conspiracy: How to Evaluate Allegations Without Falling for False Signals</t>
  </si>
  <si>
    <t>Dark Pools Conspiracy: Building a Case Using Public Market and Trade Records</t>
  </si>
  <si>
    <t>Dark Pools Conspiracy: A Step-by-Step Guide to Researching Dark Pool Data</t>
  </si>
  <si>
    <t>Dark Pools Conspiracy: Spotting Manipulation Claims and Verifying Evidence{slug=dark-pools-conspiracy}</t>
  </si>
  <si>
    <t>{slug=dark-pools-conspiracy}</t>
  </si>
  <si>
    <t>Dark Pools Conspiracy: Spotting Manipulation Claims and Verifying Evidence</t>
  </si>
  <si>
    <t>How to Build a GameStop conspiracy Evidence Timeline: From Tweets to Market Events</t>
  </si>
  <si>
    <t>How to Fact-Check GameStop conspiracy Posts: Spotting Misleading Claims Fast</t>
  </si>
  <si>
    <t>How to Research the GameStop conspiracy Narrative: Sources Timelines and Tests</t>
  </si>
  <si>
    <t>How to Verify GameStop conspiracy Allegations Using Public Filings and Data</t>
  </si>
  <si>
    <t>How to Investigate GameStop conspiracy Claims: A Step-by-Step Checklist{slug=gamestop-conspiracy}</t>
  </si>
  <si>
    <t>{slug=gamestop-conspiracy}</t>
  </si>
  <si>
    <t>How to Investigate GameStop conspiracy Claims: A Step-by-Step Checklist</t>
  </si>
  <si>
    <t>How to Spot Manipulation Tactics in Wall Street Bailout Conspiracy Posts</t>
  </si>
  <si>
    <t>How to Compare Pro vs Anti Wall Street Bailout Conspiracy Arguments Quickly</t>
  </si>
  <si>
    <t>How to Build a Timeline for the Wall Street Bailout Conspiracy Narrative</t>
  </si>
  <si>
    <t>How to Fact-Check a Wall Street Bailout Conspiracy Evidence Checklist</t>
  </si>
  <si>
    <t>How to Evaluate Wall Street Bailout Conspiracy Claims Step by Step{slug=wall-street-bailout-conspiracy}</t>
  </si>
  <si>
    <t>{slug=wall-street-bailout-conspiracy}</t>
  </si>
  <si>
    <t>How to Evaluate Wall Street Bailout Conspiracy Claims Step by Step</t>
  </si>
  <si>
    <t>Quantitative Easing Conspiracy: Build a Balanced Caseâ€”Pro and Con</t>
  </si>
  <si>
    <t>Quantitative Easing Conspiracy: Test the Hidden Agenda Narrative</t>
  </si>
  <si>
    <t>Quantitative Easing Conspiracy: Evaluate Sources and Links Fast</t>
  </si>
  <si>
    <t>Quantitative Easing Conspiracy: How to Fact-Check What They Say</t>
  </si>
  <si>
    <t>Quantitative Easing Conspiracy: Spot the Claims and Evidence{slug=quantitative-easing-conspiracy}</t>
  </si>
  <si>
    <t>{slug=quantitative-easing-conspiracy}</t>
  </si>
  <si>
    <t>Quantitative Easing Conspiracy: Spot the Claims and Evidence</t>
  </si>
  <si>
    <t>How to Study the Exchange Stabilization Fund Like an Analyst: A Quick Setup Guide</t>
  </si>
  <si>
    <t>How to Follow the Exchange Stabilization Fund: Key Signals Data Sources and Timing</t>
  </si>
  <si>
    <t>How to Understand the Exchange Stabilization Fund: Who Runs It and What It Does</t>
  </si>
  <si>
    <t>How to Explain the Exchange Stabilization Fund: A Step-by-Step Guide to Its Purpose</t>
  </si>
  <si>
    <t>How the Exchange Stabilization Fund Works: How to Track Its Actions{slug=exchange-stabilization-fund}</t>
  </si>
  <si>
    <t>{slug=exchange-stabilization-fund}</t>
  </si>
  <si>
    <t>How the Exchange Stabilization Fund Works: How to Track Its Actions</t>
  </si>
  <si>
    <t>How to Build a Market Timeline Around the PPT Plunge Protection Team</t>
  </si>
  <si>
    <t>How to Evaluate PPT Plunge Protection Team Evidence: Practical Steps</t>
  </si>
  <si>
    <t>How to Understand PPT Plunge Protection Team Claims: A Guide</t>
  </si>
  <si>
    <t>How to Track the PPT Plunge Protection Team: Step-by-Step</t>
  </si>
  <si>
    <t>How the PPT Plunge Protection Team Works: A How-To Guide{slug=ppt-plunge-protection-team}</t>
  </si>
  <si>
    <t>{slug=ppt-plunge-protection-team}</t>
  </si>
  <si>
    <t>How the PPT Plunge Protection Team Works: A How-To Guide</t>
  </si>
  <si>
    <t>What Is the Nixon Gold Standard Price Range and Value?</t>
  </si>
  <si>
    <t>What Should You Look for When Buying the Nixon Gold Standard?</t>
  </si>
  <si>
    <t>What Features Define the Nixon Gold Standard?</t>
  </si>
  <si>
    <t>What Does the Nixon Gold Standard Mean for This Watch Line?</t>
  </si>
  <si>
    <t>What Is the Nixon Gold Standard?{slug=nixon-gold-standard}</t>
  </si>
  <si>
    <t>{slug=nixon-gold-standard}</t>
  </si>
  <si>
    <t>What Is the Nixon Gold Standard?</t>
  </si>
  <si>
    <t>How to Map the Petrodollar Conspiracyâ€™s Geopolitical Influence Step by Step</t>
  </si>
  <si>
    <t>How to Build a Timeline of the Petrodollar Conspiracy Using Public Data</t>
  </si>
  <si>
    <t>How to Fact-Check Petrodollar Conspiracy Claims</t>
  </si>
  <si>
    <t>How to Trace the Petrodollar Conspiracy From Oil Sales to Dollar Flows</t>
  </si>
  <si>
    <t>How to Investigate the Petrodollar Conspiracy in 2026{slug=petrodollar-conspiracy}</t>
  </si>
  <si>
    <t>{slug=petrodollar-conspiracy}</t>
  </si>
  <si>
    <t>How to Investigate the Petrodollar Conspiracy in 2026</t>
  </si>
  <si>
    <t>How to Build a Timeline for a Cryptocurrency Conspiracy Allegation With Tools</t>
  </si>
  <si>
    <t>How to Evaluate Cryptocurrency Conspiracy Theories Using Source Credibility Tests</t>
  </si>
  <si>
    <t>How to Trace Cryptocurrency Conspiracy Funding Flows Step by Step</t>
  </si>
  <si>
    <t>How to Spot Cryptocurrency Conspiracy Claims and Verify Whoâ€™s Behind Them</t>
  </si>
  <si>
    <t>How to Investigate Cryptocurrency Conspiracy Evidence Checklist{slug=cryptocurrency-conspiracy}</t>
  </si>
  <si>
    <t>{slug=cryptocurrency-conspiracy}</t>
  </si>
  <si>
    <t>How to Investigate Cryptocurrency Conspiracy Evidence Checklist</t>
  </si>
  <si>
    <t>Bitcoin Created by CIAâ€”How to Check the Timeline and Proof</t>
  </si>
  <si>
    <t>Did the CIA Create Bitcoin?</t>
  </si>
  <si>
    <t>Bitcoin Created by CIAâ€”How to Spot Misinformation and Verify Evidence</t>
  </si>
  <si>
    <t>Bitcoin Created by CIAâ€”How to Fact-Check the Claim (Step-by-Step){slug=bitcoin-created-by-cia}</t>
  </si>
  <si>
    <t>{slug=bitcoin-created-by-cia}</t>
  </si>
  <si>
    <t>Bitcoin Created by CIAâ€”How to Fact-Check the Claim (Step-by-Step)</t>
  </si>
  <si>
    <t>Vanguard Blackrock Conspiracy: How to Check Whether â€œCoordinationâ€ Claims Hold Up</t>
  </si>
  <si>
    <t>Vanguard Blackrock Conspiracy: How to Build a Credible Timeline From Public Sources</t>
  </si>
  <si>
    <t>Vanguard Blackrock Conspiracy: How to Research Market Manipulation Allegations Safely</t>
  </si>
  <si>
    <t>Vanguard Blackrock Conspiracy: How to Trace Ownership Links Without Falling for Hoaxes</t>
  </si>
  <si>
    <t>Vanguard Blackrock Conspiracy: How to Verify the Claims Step-by-Step{slug=vanguard-blackrock-conspiracy}</t>
  </si>
  <si>
    <t>{slug=vanguard-blackrock-conspiracy}</t>
  </si>
  <si>
    <t>Vanguard Blackrock Conspiracy: How to Verify the Claims Step-by-Step</t>
  </si>
  <si>
    <t>What to Ask About the ESG Conspiracy in 2026?</t>
  </si>
  <si>
    <t>10 Tactics Critics Say Drive the ESG Conspiracy Whatâ€™s Proven vs. Speculation</t>
  </si>
  <si>
    <t>10 ESG Conspiracy Theories Explained With Counterarguments</t>
  </si>
  <si>
    <t>10 Allegations in the ESG Conspiracy Narrative and How to Fact-Check</t>
  </si>
  <si>
    <t>10 Claims in the ESG Conspiracy and What Evidence Shows{slug=esg-conspiracy}</t>
  </si>
  <si>
    <t>{slug=esg-conspiracy}</t>
  </si>
  <si>
    <t>10 Claims in the ESG Conspiracy and What Evidence Shows</t>
  </si>
  <si>
    <t>Offshore Tax Havens: What Are the Legal and Tax Consequences for Residents?</t>
  </si>
  <si>
    <t>Offshore Tax Havens: Whatâ€™s the Difference Between Tax Avoidance and Tax Evasion?</t>
  </si>
  <si>
    <t>Offshore Tax Havens: What Are the Risks?</t>
  </si>
  <si>
    <t>Offshore Tax Havens: What Countries Are Commonly Used?</t>
  </si>
  <si>
    <t>Offshore Tax Havens: What Are They and How Do They Work?{slug=offshore-tax-havens}</t>
  </si>
  <si>
    <t>{slug=offshore-tax-havens}</t>
  </si>
  <si>
    <t>Offshore Tax Havens: What Are They and How Do They Work?</t>
  </si>
  <si>
    <t>What Do the Pandora Papers Suggest About Tax Avoidance?</t>
  </si>
  <si>
    <t>What Are the Pandora Papers and Why Do They Matter?</t>
  </si>
  <si>
    <t>What Impact Did the Pandora Papers Have?</t>
  </si>
  <si>
    <t>What Did the Pandora Papers Uncover About Offshore Wealth?</t>
  </si>
  <si>
    <t>What Are the Pandora Papers and What Did They Reveal?{slug=pandora-papers}</t>
  </si>
  <si>
    <t>{slug=pandora-papers}</t>
  </si>
  <si>
    <t>What Are the Pandora Papers and What Did They Reveal?</t>
  </si>
  <si>
    <t>Paradise Papers: 7 Follow-Up Updates and What Changed After the Leak</t>
  </si>
  <si>
    <t>Paradise Papers: 7 Legal and Political Implications Explained</t>
  </si>
  <si>
    <t>Paradise Papers: What to Know About the 2017 Offshore Revelations</t>
  </si>
  <si>
    <t>Paradise Papers: 7 Major Companies and Individuals Named</t>
  </si>
  <si>
    <t>Paradise Papers: 7 Key Findings From the Offshore Leak{slug=paradise-papers}</t>
  </si>
  <si>
    <t>{slug=paradise-papers}</t>
  </si>
  <si>
    <t>Paradise Papers: 7 Key Findings From the Offshore Leak</t>
  </si>
  <si>
    <t>What Happened After the Panama Papers Went Public?</t>
  </si>
  <si>
    <t>Who Were Linked to the Panama Papers?</t>
  </si>
  <si>
    <t>What Are the Biggest Implications of the Panama Papers?</t>
  </si>
  <si>
    <t>What Did the Panama Papers Reveal?</t>
  </si>
  <si>
    <t>What Are the Panama Papers?{slug=panama-papers}</t>
  </si>
  <si>
    <t>{slug=panama-papers}</t>
  </si>
  <si>
    <t>What Are the Panama Papers?</t>
  </si>
  <si>
    <t>Forex Rigging Scandal: Industry Impact Legal Consequences and What Changed After</t>
  </si>
  <si>
    <t>Forex Rigging Scandal: The Evidence Fallout and Latest Regulatory Updates</t>
  </si>
  <si>
    <t>Forex Rigging Scandal: Key Players Methods Used and Enforcement Results</t>
  </si>
  <si>
    <t>Forex Rigging Scandal: Timeline of Allegations Investigations and Outcomes</t>
  </si>
  <si>
    <t>Forex Rigging Scandal: What Happened and Who Was Named{slug=forex-rigging-scandal}</t>
  </si>
  <si>
    <t>{slug=forex-rigging-scandal}</t>
  </si>
  <si>
    <t>Forex Rigging Scandal: What Happened and Who Was Named</t>
  </si>
  <si>
    <t>How to Learn from the LIBOR Scandal: Compliance Steps for Rate Benchmarks</t>
  </si>
  <si>
    <t>How to Build a Report on the LIBOR Scandal: Sources and Fact-Checking Checklist</t>
  </si>
  <si>
    <t>How to Explain LIBOR Scandal: Causes Mechanisms and Outcomes</t>
  </si>
  <si>
    <t>How to Research LIBOR Scandal: Key Players Evidence Dates</t>
  </si>
  <si>
    <t>How to Understand LIBOR Scandal: Step-by-Step Timeline{slug=libor-scandal}</t>
  </si>
  <si>
    <t>{slug=libor-scandal}</t>
  </si>
  <si>
    <t>How to Understand LIBOR Scandal: Step-by-Step Timeline</t>
  </si>
  <si>
    <t>How to Assess Who Could Be Manipulating the Silver Market: Checklist</t>
  </si>
  <si>
    <t>How to Track Silver Price Manipulation Using Public Market Data</t>
  </si>
  <si>
    <t>How to Research Silver Market Manipulation Allegations: Sources and Verification</t>
  </si>
  <si>
    <t>How to Spot Silver Market Manipulation: Data and Red Flags</t>
  </si>
  <si>
    <t>How to Investigate Silver Market Manipulation: Signs and Evidence{slug=silver-market-manipulation}</t>
  </si>
  <si>
    <t>{slug=silver-market-manipulation}</t>
  </si>
  <si>
    <t>How to Investigate Silver Market Manipulation: Signs and Evidence</t>
  </si>
  <si>
    <t>How to Research Who Could Manipulate Gold Prices and Why (Steps Included)</t>
  </si>
  <si>
    <t>How to Build a Checklist for Gold Price Manipulation Evidence</t>
  </si>
  <si>
    <t>How to Analyze Gold Trading and Gold Price Manipulation Signals</t>
  </si>
  <si>
    <t>How to Spot Gold Price Manipulation Using the Right Data</t>
  </si>
  <si>
    <t>How to Investigate Gold Price Manipulation Claims (2026 Guide){slug=gold-price-manipulation}</t>
  </si>
  <si>
    <t>{slug=gold-price-manipulation}</t>
  </si>
  <si>
    <t>How to Investigate Gold Price Manipulation Claims (2026 Guide)</t>
  </si>
  <si>
    <t>Treatment Options and Symptom Management for Morgellons Disease</t>
  </si>
  <si>
    <t>How to Document Skin Changes Safely at Home for Morgellons Disease</t>
  </si>
  <si>
    <t>How to Prepare for a Doctor Visit and Lab Tests for Morgellons Disease</t>
  </si>
  <si>
    <t>How to Get a Proper Diagnosis for Morgellons Disease Step by Step</t>
  </si>
  <si>
    <t>Morgellons Disease Symptoms Identification and Evidence Tracking{slug=morgellons-disease}</t>
  </si>
  <si>
    <t>{slug=morgellons-disease}</t>
  </si>
  <si>
    <t>Morgellons Disease Symptoms Identification and Evidence Tracking</t>
  </si>
  <si>
    <t>How to Manage Suspected Mycoplasma fermentans: Treatment Options and Timeline</t>
  </si>
  <si>
    <t>How to Interpret Mycoplasma fermentans Test Results: PCR vs Culture and Follow-Up</t>
  </si>
  <si>
    <t>How to Get Tested for Mycoplasma fermentans: Diagnostics and What to Ask Your Doctor</t>
  </si>
  <si>
    <t>How to Recognize Mycoplasma fermentans Risk: Self-Checklist</t>
  </si>
  <si>
    <t>How to Understand Mycoplasma fermentans: Symptoms and Next Steps{slug=mycoplasma-fermentans}</t>
  </si>
  <si>
    <t>{slug=mycoplasma-fermentans}</t>
  </si>
  <si>
    <t>How to Understand Mycoplasma fermentans: Symptoms and Next Steps</t>
  </si>
  <si>
    <t>How to Find and Interpret Records on the Plum Island Bioweapon Controversy</t>
  </si>
  <si>
    <t>How to Fact-Check the Plum Island Bioweapon Story in 30 Minutes{slug=plum-island-bioweapon}</t>
  </si>
  <si>
    <t>{slug=plum-island-bioweapon}</t>
  </si>
  <si>
    <t>How to Fact-Check the Plum Island Bioweapon Story in 30 Minutes</t>
  </si>
  <si>
    <t>How to Map the Plum Island Bioweapon Timeline</t>
  </si>
  <si>
    <t>How to Verify Plum Island Bioweapon Conspiracies Using Primary Sources</t>
  </si>
  <si>
    <t>How to Research Plum Island Bioweapon Claims</t>
  </si>
  <si>
    <t>How to Trace the Origins of Lyme Disease Bioweapon Conspiracy Posts</t>
  </si>
  <si>
    <t>How to Assess Sources and Experts for Lyme Disease Bioweapon</t>
  </si>
  <si>
    <t>How to Build Evidence on Lyme Disease Bioweapon Allegations</t>
  </si>
  <si>
    <t>How to Fact-Check Lyme Disease Bioweapon Theory Safely</t>
  </si>
  <si>
    <t>How to Investigate Lyme Disease Bioweapon Claims Step by Step{slug=lyme-disease-bioweapon}</t>
  </si>
  <si>
    <t>{slug=lyme-disease-bioweapon}</t>
  </si>
  <si>
    <t>How to Investigate Lyme Disease Bioweapon Claims Step by Step</t>
  </si>
  <si>
    <t>How to Build a Source List for the Hydroxychloroquine Conspiracy</t>
  </si>
  <si>
    <t>How to Spot Misinformation in the Hydroxychloroquine Conspiracy</t>
  </si>
  <si>
    <t>How to Evaluate Evidence in the Hydroxychloroquine Conspiracy</t>
  </si>
  <si>
    <t>How to Fact-Check Hydroxychloroquine Conspiracy Claims</t>
  </si>
  <si>
    <t>How to Trace the Hydroxychloroquine Conspiracy Timeline Step by Step{slug=hydroxychloroquine-conspiracy}</t>
  </si>
  <si>
    <t>{slug=hydroxychloroquine-conspiracy}</t>
  </si>
  <si>
    <t>How to Trace the Hydroxychloroquine Conspiracy Timeline Step by Step</t>
  </si>
  <si>
    <t>What Could â€œIvermectin Suppressedâ€ Mean in Practice?</t>
  </si>
  <si>
    <t>5 Claims of Ivermectin Suppressed vs Whatâ€™s Documented</t>
  </si>
  <si>
    <t>5 Evidence Points Behind Ivermectin Suppressed Allegations</t>
  </si>
  <si>
    <t>5 Ways Ivermectin Suppressed Is Misunderstood</t>
  </si>
  <si>
    <t>5 Reasons Ivermectin Suppressed Claims Spread{slug=ivermectin-suppressed}</t>
  </si>
  <si>
    <t>{slug=ivermectin-suppressed}</t>
  </si>
  <si>
    <t>5 Reasons Ivermectin Suppressed Claims Spread</t>
  </si>
  <si>
    <t>Purdue Pharma: 10 Recent Updates You Should Know (2026)**</t>
  </si>
  <si>
    <t>Purdue Pharma: 10 Business Decisions That Raised Public Risk</t>
  </si>
  <si>
    <t>Purdue Pharma: 10 Regulatory Milestones and Investigations</t>
  </si>
  <si>
    <t>Purdue Pharma: 10 Lawsuits and Legal Outcomes Explained</t>
  </si>
  <si>
    <t>Purdue Pharma: 10 Key Facts Behind the Opioid Crisis{slug=purdue-pharma}</t>
  </si>
  <si>
    <t>{slug=purdue-pharma}</t>
  </si>
  <si>
    <t>Purdue Pharma: 10 Key Facts Behind the Opioid Crisis</t>
  </si>
  <si>
    <t>How to Conduct an Opioid Crisis Conspiracy Case Review Using Documents Experts and Cross-Checks</t>
  </si>
  <si>
    <t>How to Spot Propaganda in Opioid Crisis Conspiracy Narratives Evidence vs. Anecdotes</t>
  </si>
  <si>
    <t>How to Build a Timeline for an Opioid Crisis Conspiracy Without Spreading Myths</t>
  </si>
  <si>
    <t>How to Verify an Opioid Crisis Conspiracy Using FOIA Court Records and Data Checks</t>
  </si>
  <si>
    <t>How to Investigate an Opioid Crisis Conspiracy: Claims Sources and Red Flags{slug=opioid-crisis-conspiracy}</t>
  </si>
  <si>
    <t>{slug=opioid-crisis-conspiracy}</t>
  </si>
  <si>
    <t>How to Investigate an Opioid Crisis Conspiracy: Claims Sources and Red Flags</t>
  </si>
  <si>
    <t>Tobacco Science Playbook: How to Build an Evidence Checklist for Policy and Product Claims**</t>
  </si>
  <si>
    <t>Tobacco Science Playbook: How to Translate Findings into Practical Risk Insights</t>
  </si>
  <si>
    <t>Tobacco Science Playbook: How to Run a Basic Literature Review</t>
  </si>
  <si>
    <t>Tobacco Science Playbook: How to Map Evidence for Harm Reduction</t>
  </si>
  <si>
    <t>Tobacco Science Playbook: How to Read and Evaluate Research Studies{slug=tobacco-science-playbook}</t>
  </si>
  <si>
    <t>{slug=tobacco-science-playbook}</t>
  </si>
  <si>
    <t>Tobacco Science Playbook: How to Read and Evaluate Research Studies</t>
  </si>
  <si>
    <t>5 Investigations and Documentaries Examining the Sugar Industry Cover Up</t>
  </si>
  <si>
    <t>5 Health Impacts at the Center of the Sugar Industry Cover Up Story</t>
  </si>
  <si>
    <t>5 Key Figures Linked to the Sugar Industry Cover Up Debate</t>
  </si>
  <si>
    <t>5 Documents Cited in the Sugar Industry Cover Up Claims</t>
  </si>
  <si>
    <t>5 Allegations Behind the Sugar Industry Cover Up{slug=sugar-industry-cover-up}</t>
  </si>
  <si>
    <t>{slug=sugar-industry-cover-up}</t>
  </si>
  <si>
    <t>5 Allegations Behind the Sugar Industry Cover Up</t>
  </si>
  <si>
    <t>Seed Oil Conspiracy: Compare Omega-6 Inflammation and Health Outcomes</t>
  </si>
  <si>
    <t>Seed Oil Conspiracy: How to Build Your Evidence-Based Verdict</t>
  </si>
  <si>
    <t>Seed Oil Conspiracy: How to Spot Misleading Studies and Cherry-Picking</t>
  </si>
  <si>
    <t>Seed Oil Conspiracy: How to Evaluate the Science Step by Step</t>
  </si>
  <si>
    <t>Seed Oil Conspiracy: Fact-Check the Claim in 30 Minutes{slug=seed-oil-conspiracy}</t>
  </si>
  <si>
    <t>{slug=seed-oil-conspiracy}</t>
  </si>
  <si>
    <t>Seed Oil Conspiracy: Fact-Check the Claim in 30 Minutes</t>
  </si>
  <si>
    <t>MSG Conspiracy: How to Separate Real Health Risks From Myths</t>
  </si>
  <si>
    <t>MSG Conspiracy: How to Build an Evidence-Based Opinion</t>
  </si>
  <si>
    <t>MSG Conspiracy: How to Vet Studies and Sources Like a Pro</t>
  </si>
  <si>
    <t>MSG Conspiracy: How to Spot Misinformation and Red Flags</t>
  </si>
  <si>
    <t>MSG Conspiracy: How to Fact-Check Claims Step by Step{slug=msg-conspiracy}</t>
  </si>
  <si>
    <t>{slug=msg-conspiracy}</t>
  </si>
  <si>
    <t>MSG Conspiracy: How to Fact-Check Claims Step by Step</t>
  </si>
  <si>
    <t>How to Talk About SSRI and School Shootings Using Reliable Sources</t>
  </si>
  <si>
    <t>How to Assess SSRI School Shooting Risk Statements Without Misinformation</t>
  </si>
  <si>
    <t>How to Check Whether SSRI School Shootings Links Are Evidence-Based</t>
  </si>
  <si>
    <t>How to Research SSRI and School Shootings Using Studies Data and Bias</t>
  </si>
  <si>
    <t>How to Evaluate SSRI Claims Linking School Shootings{slug=ssri-school-shootings}</t>
  </si>
  <si>
    <t>{slug=ssri-school-shootings}</t>
  </si>
  <si>
    <t>How to Evaluate SSRI Claims Linking School Shootings</t>
  </si>
  <si>
    <t>Psychiatry Conspiracy**: How to Build a Balanced Evidence Timeline</t>
  </si>
  <si>
    <t>Psychiatry Conspiracy**: How to Spot Common Manipulation Tactics in Allegations</t>
  </si>
  <si>
    <t>Psychiatry Conspiracy**: How to Research Sources Without Falling for Misinformation</t>
  </si>
  <si>
    <t>Psychiatry Conspiracy**: How to Fact-Check Viral Accusations</t>
  </si>
  <si>
    <t>Psychiatry Conspiracy**: How to Evaluate Claims Step-by-Step{slug=psychiatry-conspiracy}</t>
  </si>
  <si>
    <t>{slug=psychiatry-conspiracy}</t>
  </si>
  <si>
    <t>Psychiatry Conspiracy**: How to Evaluate Claims Step-by-Step</t>
  </si>
  <si>
    <t>Mammography Screening Conspiracy: How to Build a Rebuttal Using Credible Breast-Screening Data</t>
  </si>
  <si>
    <t>Mammography Screening Conspiracy: How to Evaluate Sources Statistics and Bias</t>
  </si>
  <si>
    <t>Mammography Screening Conspiracy: How to Separate Science From Rumors</t>
  </si>
  <si>
    <t>Mammography Screening Conspiracy Explained: How to Identify Misleading Evidence</t>
  </si>
  <si>
    <t>Mammography Screening Conspiracy: How to Fact-Check the Claims Step by Step (2026){slug=mammography-screening-conspiracy}</t>
  </si>
  <si>
    <t>{slug=mammography-screening-conspiracy}</t>
  </si>
  <si>
    <t>Mammography Screening Conspiracy: How to Fact-Check the Claims Step by Step (2026)</t>
  </si>
  <si>
    <t>5 Myths vs. Facts in the Statin Conspiracy Story</t>
  </si>
  <si>
    <t>5 Ways the Statin Conspiracy Narrative Spreads Online</t>
  </si>
  <si>
    <t>5 Questions to Ask About Statin Conspiracy Evidence</t>
  </si>
  <si>
    <t>5 Sources Cited in the Statin Conspiracy Debate</t>
  </si>
  <si>
    <t>5 Claims Behind the Statin Conspiracy{slug=statin-conspiracy}</t>
  </si>
  <si>
    <t>{slug=statin-conspiracy}</t>
  </si>
  <si>
    <t>5 Claims Behind the Statin Conspiracy</t>
  </si>
  <si>
    <t>How to Decontaminate Equipment and Surfaces After Suspected SV Contamination</t>
  </si>
  <si>
    <t>A Practical Checklist for Testing and Controlling SV Contamination</t>
  </si>
  <si>
    <t>How to Prevent SV Contamination in Biotech Workflows</t>
  </si>
  <si>
    <t>Step-by-Step Guide to Detecting SV Contamination in Cell Cultures</t>
  </si>
  <si>
    <t>How to Check SV Contamination in Lab Samples{slug=sv40-contamination}</t>
  </si>
  <si>
    <t>{slug=sv40-contamination}</t>
  </si>
  <si>
    <t>How to Check SV Contamination in Lab Samples</t>
  </si>
  <si>
    <t>How to Weigh Thimerosal Mercury Vaccine Safety Concerns With Reliable Evidence</t>
  </si>
  <si>
    <t>How to Compare Thimerosal Mercury and Thimerosal-Free Vaccine Options</t>
  </si>
  <si>
    <t>How to Discuss Thimerosal Mercury Vaccines With Your Doctor</t>
  </si>
  <si>
    <t>How to Read Vaccine Labels for Thimerosal Mercury Ingredients</t>
  </si>
  <si>
    <t>How to Check Whether Thimerosal Mercury Vaccines Are Used in Your Region{slug=thimerosal-mercury-vaccines}</t>
  </si>
  <si>
    <t>{slug=thimerosal-mercury-vaccines}</t>
  </si>
  <si>
    <t>How to Check Whether Thimerosal Mercury Vaccines Are Used in Your Region</t>
  </si>
  <si>
    <t>Wakefield Study Fraud: A Practical Checklist for Verifying Medical Study Integrity</t>
  </si>
  <si>
    <t>Wakefield Study Fraud: How to Track Original Data Corrections and Retractions</t>
  </si>
  <si>
    <t>Wakefield Study Fraud: How to Evaluate Sources and Contradictory Findings</t>
  </si>
  <si>
    <t>Wakefield Study Fraud: A Step-by-Step Guide to Checking Evidence</t>
  </si>
  <si>
    <t>Wakefield Study Fraud: How to Spot Red Flags in Claims{slug=wakefield-study-fraud}</t>
  </si>
  <si>
    <t>{slug=wakefield-study-fraud}</t>
  </si>
  <si>
    <t>Wakefield Study Fraud: How to Spot Red Flags in Claims</t>
  </si>
  <si>
    <t>How to Find High-Quality Sources on the Vaccine Autism Link</t>
  </si>
  <si>
    <t>How to Separate Myths From Science on the Vaccine Autism Link</t>
  </si>
  <si>
    <t>How to Read Vaccine Autism Link Research Without Misleading Stats</t>
  </si>
  <si>
    <t>How to Evaluate Claims About the Vaccine Autism Link Study by Study</t>
  </si>
  <si>
    <t>How to Check the Vaccine Autism Link With Reliable Evidence{slug=vaccine-autism-link}</t>
  </si>
  <si>
    <t>{slug=vaccine-autism-link}</t>
  </si>
  <si>
    <t>How to Check the Vaccine Autism Link With Reliable Evidence</t>
  </si>
  <si>
    <t>USS Maine Conspiracy: How to Compare Motives Means and Opportunities**</t>
  </si>
  <si>
    <t>USS Maine Conspiracy: How to Check for Disinformation in Old Reports</t>
  </si>
  <si>
    <t>USS Maine Conspiracy: How to Build a Timeline of the Sinking</t>
  </si>
  <si>
    <t>USS Maine Conspiracy: How to Trace Claims Sources and Evidence</t>
  </si>
  <si>
    <t>USS Maine Conspiracy: How to Evaluate Competing Theories Step by Step{slug=uss-maine-conspiracy}</t>
  </si>
  <si>
    <t>{slug=uss-maine-conspiracy}</t>
  </si>
  <si>
    <t>USS Maine Conspiracy: How to Evaluate Competing Theories Step by Step</t>
  </si>
  <si>
    <t>Tuskegee Airmen vs Experiment: How to Compare Myths vs Verified History</t>
  </si>
  <si>
    <t>Tuskegee Airmen vs Experiment: How to Research Credible Sources Fast</t>
  </si>
  <si>
    <t>Tuskegee Airmen vs Experiment: How to Trace the Evidence Step by Step</t>
  </si>
  <si>
    <t>Tuskegee Airmen vs Experiment: How to Verify What Really Happened</t>
  </si>
  <si>
    <t>Tuskegee Airmen vs Experiment: How to Fact-Check the Claim{slug=tuskegee-airmen-vs-experiment}</t>
  </si>
  <si>
    <t>{slug=tuskegee-airmen-vs-experiment}</t>
  </si>
  <si>
    <t>Tuskegee Airmen vs Experiment: How to Fact-Check the Claim</t>
  </si>
  <si>
    <t>How to Write a Clear Guide to Operation Sea Spray Key Events and Impacts</t>
  </si>
  <si>
    <t>How to Summarize Operation Sea Spray in 10 Minutes Using Primary Records{slug=operation-sea-spray}</t>
  </si>
  <si>
    <t>{slug=operation-sea-spray}</t>
  </si>
  <si>
    <t>How to Summarize Operation Sea Spray in 10 Minutes Using Primary Records</t>
  </si>
  <si>
    <t>How to Build a Sources List for Operation Sea Spray History</t>
  </si>
  <si>
    <t>How to Identify Key Facts of Operation Sea Spray What When Where Why</t>
  </si>
  <si>
    <t>How to Research Operation Sea Spray Timeline Sites and Purpose</t>
  </si>
  <si>
    <t>How to Analyze Operation Big Buzz Impact: Outcomes and Takeaways</t>
  </si>
  <si>
    <t>How to Create a Step-by-Step Summary of Operation Big Buzz Events</t>
  </si>
  <si>
    <t>How to Verify Operation Big Buzz Claims Using Primary Documents</t>
  </si>
  <si>
    <t>How to Build a Source List for Operation Big Buzz Coverage</t>
  </si>
  <si>
    <t>How to Research Operation Big Buzz Timeline Purpose and Key Players{slug=operation-big-buzz}</t>
  </si>
  <si>
    <t>{slug=operation-big-buzz}</t>
  </si>
  <si>
    <t>How to Research Operation Big Buzz Timeline Purpose and Key Players</t>
  </si>
  <si>
    <t>What Is Project SHAD Today?</t>
  </si>
  <si>
    <t>What Were the Health Impacts of Project SHAD?</t>
  </si>
  <si>
    <t>What Was Project SHADâ€™s Purpose?</t>
  </si>
  <si>
    <t>How Did Project SHAD Work?</t>
  </si>
  <si>
    <t>What Was Project SHAD?{slug=project-shad}</t>
  </si>
  <si>
    <t>{slug=project-shad}</t>
  </si>
  <si>
    <t>What Was Project SHAD?</t>
  </si>
  <si>
    <t>How to Create a Plain-English Summary of Executive Order 11110</t>
  </si>
  <si>
    <t>How to Verify Claims About Executive Order 11110 Using Primary Sources</t>
  </si>
  <si>
    <t>How to Break Down Key Provisions of Executive Order 11110 Step by Step</t>
  </si>
  <si>
    <t>How to Identify the Date and Issuing President of Executive Order 11110</t>
  </si>
  <si>
    <t>How to Find the Full Text of Executive Order 11110{slug=executive-order-11110}</t>
  </si>
  <si>
    <t>{slug=executive-order-11110}</t>
  </si>
  <si>
    <t>How to Find the Full Text of Executive Order 11110</t>
  </si>
  <si>
    <t>How to Use Pike Committee Primary Documents: A Research Checklist</t>
  </si>
  <si>
    <t>How to Analyze the Pike Committeeâ€™s Impact: Methods Sources and Takeaways</t>
  </si>
  <si>
    <t>How to Explain the Pike Committee to Others: A Step-by-Step Historical Breakdown</t>
  </si>
  <si>
    <t>How to Research the Pike Committee: Key Reports People and Outcomes</t>
  </si>
  <si>
    <t>How to Understand the Pike Committee: Purpose Timeline and Findings{slug=pike-committee}</t>
  </si>
  <si>
    <t>{slug=pike-committee}</t>
  </si>
  <si>
    <t>How to Understand the Pike Committee: Purpose Timeline and Findings</t>
  </si>
  <si>
    <t>How to Turn Historical Evidence Into a Clear Summary of Church Committee Findings</t>
  </si>
  <si>
    <t>How to Compare Church Committee Findings Across Reports</t>
  </si>
  <si>
    <t>How to Build a Timeline of Church Committee Findings</t>
  </si>
  <si>
    <t>How to Research Church Committee Findings</t>
  </si>
  <si>
    <t>How to Summarize Church Committee Findings{slug=church-committee-findings}</t>
  </si>
  <si>
    <t>{slug=church-committee-findings}</t>
  </si>
  <si>
    <t>How to Summarize Church Committee Findings</t>
  </si>
  <si>
    <t>How to Build a Timeline for MKULTRA Canada Using FOIA and Library Research</t>
  </si>
  <si>
    <t>How to Verify MKULTRA Canada â€œMind-Controlâ€ Stories Using Primary Records</t>
  </si>
  <si>
    <t>How to Find MKULTRA Canada Links to People Places and Documents</t>
  </si>
  <si>
    <t>How to Research MKULTRA Canada Involvement Step by Step</t>
  </si>
  <si>
    <t>How to Trace MKULTRA Canada Claims: Sources Archives and Methods{slug=mkultra-canada}</t>
  </si>
  <si>
    <t>{slug=mkultra-canada}</t>
  </si>
  <si>
    <t>How to Trace MKULTRA Canada Claims: Sources Archives and Methods</t>
  </si>
  <si>
    <t>How to Verify Claims About Operation Ore Using Cross-Referenced Evidence</t>
  </si>
  <si>
    <t>How to Build a Step-by-Step Case Study of Operation Ore</t>
  </si>
  <si>
    <t>How to Locate Operation Ore Documents: Archives Maps and Sources</t>
  </si>
  <si>
    <t>How to Find Who Led Operation Ore and What It Achieved</t>
  </si>
  <si>
    <t>How to Research Operation Ore: Timeline Purpose and Results{slug=operation-ore}</t>
  </si>
  <si>
    <t>{slug=operation-ore}</t>
  </si>
  <si>
    <t>How to Research Operation Ore: Timeline Purpose and Results</t>
  </si>
  <si>
    <t>How to Understand the Danny Casolaro Octopus Narrative A Beginnerâ€™s Guide</t>
  </si>
  <si>
    <t>How to Source Credible Evidence on the Danny Casolaro Octopus Claims</t>
  </si>
  <si>
    <t>How to Build a Timeline of the Danny Casolaro Octopus Investigation</t>
  </si>
  <si>
    <t>How to Verify Claims About the Danny Casolaro Octopus: Research Checklist</t>
  </si>
  <si>
    <t>How to Research the Danny Casolaro Octopus Case Step by Step{slug=danny-casolaro-octopus}</t>
  </si>
  <si>
    <t>{slug=danny-casolaro-octopus}</t>
  </si>
  <si>
    <t>How to Research the Danny Casolaro Octopus Case Step by Step</t>
  </si>
  <si>
    <t>How to Assess the PROMIS Software Conspiracy Claims Using Primary Documents</t>
  </si>
  <si>
    <t>How to Research the PROMIS Software Conspiracy: A Practical Checklist</t>
  </si>
  <si>
    <t>How to Verify PROMIS Software Conspiracy Evidence Without Falling for Myths</t>
  </si>
  <si>
    <t>How to Fact-Check the PROMIS Software Conspiracy: Sources &amp; Steps</t>
  </si>
  <si>
    <t>How to Investigate the PROMIS Software Conspiracy Claim (2026 Guide){slug=promis-software-conspiracy}</t>
  </si>
  <si>
    <t>{slug=promis-software-conspiracy}</t>
  </si>
  <si>
    <t>How to Investigate the PROMIS Software Conspiracy Claim (2026 Guide)</t>
  </si>
  <si>
    <t>How to Build a Timeline of Carnivore FBI Surveillance</t>
  </si>
  <si>
    <t>How to Find Proof and Documentation on Carnivore FBI Surveillance</t>
  </si>
  <si>
    <t>How to Trace the History of Carnivore FBI Surveillance</t>
  </si>
  <si>
    <t>How to Investigate Carnivore FBI Surveillance Claims</t>
  </si>
  <si>
    <t>How to Research Carnivore FBI Surveillance{slug=carnivore-fbi-surveillance}</t>
  </si>
  <si>
    <t>{slug=carnivore-fbi-surveillance}</t>
  </si>
  <si>
    <t>How to Research Carnivore FBI Surveillance</t>
  </si>
  <si>
    <t>Total Information Awareness: How to Prepare for Surveillance-By-Design Debates</t>
  </si>
  <si>
    <t>Total Information Awareness: How to Evaluate Claims Costs and Oversight</t>
  </si>
  <si>
    <t>Total Information Awareness: How to Spot Privacy Risks in â€œTotalâ€ Data Systems</t>
  </si>
  <si>
    <t>Total Information Awareness: How to Analyze the DARPA Proposal</t>
  </si>
  <si>
    <t>Total Information Awareness: How It Works and What It Would Collect{slug=total-information-awareness}</t>
  </si>
  <si>
    <t>{slug=total-information-awareness}</t>
  </si>
  <si>
    <t>Total Information Awareness: How It Works and What It Would Collect</t>
  </si>
  <si>
    <t>What Is In-Q-Telâ€™s Investment Process in CIA-Connected Venture Capital?</t>
  </si>
  <si>
    <t>What Makes In-Q-Tel Different From Typical CIA Venture Capital Models?</t>
  </si>
  <si>
    <t>What Companies Does In-Q-Tel Fund Through CIA-Linked Venture Capital?</t>
  </si>
  <si>
    <t>What Is In-Q-Tel CIA Venture Capital and How Does It Work?</t>
  </si>
  <si>
    <t>What Is In-Q-Telâ€™s Role in CIA Venture Capital?{slug=in-q-tel-cia-venture-capital}</t>
  </si>
  <si>
    <t>{slug=in-q-tel-cia-venture-capital}</t>
  </si>
  <si>
    <t>What Is In-Q-Telâ€™s Role in CIA Venture Capital?</t>
  </si>
  <si>
    <t>5 Reasons DARPA LifeLog Facebook Mentions Keep Reappearing**</t>
  </si>
  <si>
    <t>What to Verify About DARPA LifeLog Claims on Facebook</t>
  </si>
  <si>
    <t>5 Notable Posts Linking DARPA LifeLog and Facebook</t>
  </si>
  <si>
    <t>5 Facebook Mentions of DARPA LifeLog You Should Know About</t>
  </si>
  <si>
    <t>5 Ways DARPA LifeLog Facebook Shows Up in Online Discussion{slug=darpa-lifelog-facebook}</t>
  </si>
  <si>
    <t>{slug=darpa-lifelog-facebook}</t>
  </si>
  <si>
    <t>5 Ways DARPA LifeLog Facebook Shows Up in Online Discussion</t>
  </si>
  <si>
    <t>Operation Acoustic Kitty: How to Interpret the Term Using Credible References</t>
  </si>
  <si>
    <t>Operation Acoustic Kitty: How to Build a Timeline and Key Details</t>
  </si>
  <si>
    <t>Operation Acoustic Kitty: How to Research Sources and Separate Fact from Myth</t>
  </si>
  <si>
    <t>Operation Acoustic Kitty: A Step-by-Step Guide to Understanding Its Meaning</t>
  </si>
  <si>
    <t>Operation Acoustic Kitty: How to Identify the Real Story and Context{slug=operation-acoustic-kitty}</t>
  </si>
  <si>
    <t>{slug=operation-acoustic-kitty}</t>
  </si>
  <si>
    <t>Operation Acoustic Kitty: How to Identify the Real Story and Context</t>
  </si>
  <si>
    <t>What Can We Learn from Stuxnetâ€™s Design and Propagation?</t>
  </si>
  <si>
    <t>What Was Stuxnetâ€™s Impact on Global Cybersecurity?</t>
  </si>
  <si>
    <t>What Made Stuxnet So Advanced Compared to Other Malware?</t>
  </si>
  <si>
    <t>What Did Stuxnet Do to Industrial Control Systems?</t>
  </si>
  <si>
    <t>What Is Stuxnet and Why Did It Matter?{slug=stuxnet}</t>
  </si>
  <si>
    <t>{slug=stuxnet}</t>
  </si>
  <si>
    <t>What Is Stuxnet and Why Did It Matter?</t>
  </si>
  <si>
    <t>Whatâ€™s the Origin of the NSA Room 641A Term?</t>
  </si>
  <si>
    <t>What Evidence Is Cited for NSA Room 641A?</t>
  </si>
  <si>
    <t>What Happened in NSA Room 641A According to Reports?</t>
  </si>
  <si>
    <t>What Do Claims About NSA Room 641A Refer To?</t>
  </si>
  <si>
    <t>What Is NSA Room 641A Allegedly?{slug=nsa-room-641a}</t>
  </si>
  <si>
    <t>{slug=nsa-room-641a}</t>
  </si>
  <si>
    <t>What Is NSA Room 641A Allegedly?</t>
  </si>
  <si>
    <t>10 Outcomes and Reforms After the IRS Targeting Scandal</t>
  </si>
  <si>
    <t>10 Major Allegations in the IRS Targeting Scandal</t>
  </si>
  <si>
    <t>10 People and Agencies Involved in the IRS Targeting Scandal</t>
  </si>
  <si>
    <t>10 Events in the IRS Targeting Scandal Timeline</t>
  </si>
  <si>
    <t>10 Key Facts About the IRS Targeting Scandal{slug=irs-targeting-scandal}</t>
  </si>
  <si>
    <t>{slug=irs-targeting-scandal}</t>
  </si>
  <si>
    <t>10 Key Facts About the IRS Targeting Scandal</t>
  </si>
  <si>
    <t>Benghazi Conspiracy: How to Build an Evidence-Based Case</t>
  </si>
  <si>
    <t>Benghazi Conspiracy: How to Spot Misinformation and Spin Tactics</t>
  </si>
  <si>
    <t>Benghazi Conspiracy: How to Fact-Check the Timeline and Evidence</t>
  </si>
  <si>
    <t>Benghazi Conspiracy: How to Investigate Allegations Step by Step</t>
  </si>
  <si>
    <t>Benghazi Conspiracy: How to Evaluate Claims and Sources{slug=benghazi-conspiracy}</t>
  </si>
  <si>
    <t>{slug=benghazi-conspiracy}</t>
  </si>
  <si>
    <t>Benghazi Conspiracy: How to Evaluate Claims and Sources</t>
  </si>
  <si>
    <t>Operation Fast and Furious: How to Explain Purpose Failures and Accountability</t>
  </si>
  <si>
    <t>Operation Fast and Furious: How to Review Reports Testimony and Outcomes</t>
  </si>
  <si>
    <t>Operation Fast and Furious: How to Map the Timeline and Trace Consequences</t>
  </si>
  <si>
    <t>Operation Fast and Furious: A Step-by-Step Guide to Key Events</t>
  </si>
  <si>
    <t>Operation Fast and Furious: How It Started What Changed and What to Track{slug=operation-fast-and-furious}</t>
  </si>
  <si>
    <t>{slug=operation-fast-and-furious}</t>
  </si>
  <si>
    <t>Operation Fast and Furious: How It Started What Changed and What to Track</t>
  </si>
  <si>
    <t>Rex for Beginners: How to Build a Quick Research Checklist</t>
  </si>
  <si>
    <t>Rex Breakdown: How to Evaluate Claims Sources and Credibility</t>
  </si>
  <si>
    <t>Rex Timeline: How to Map Key Events and Terms Step-by-Step</t>
  </si>
  <si>
    <t>Rex Explained: How to Research the Planâ€™s History and Purpose</t>
  </si>
  <si>
    <t>Rex: How to Understand U.S. Continuity and Rapid Response Origins{slug=rex-84}</t>
  </si>
  <si>
    <t>{slug=rex-84}</t>
  </si>
  <si>
    <t>Rex: How to Understand U.S. Continuity and Rapid Response Origins</t>
  </si>
  <si>
    <t>Operation Timber Sycamore â€” How to Build a Clear Background Briefing on the Operation</t>
  </si>
  <si>
    <t>How to Explain Operation Timber Sycamore: Purpose Methods and Results</t>
  </si>
  <si>
    <t>Operation Timber Sycamore â€” A Step-by-Step Guide to the Cold War Air-Operations Story</t>
  </si>
  <si>
    <t>How to Research Operation Timber Sycamore: Who Ran It When and Why</t>
  </si>
  <si>
    <t>Operation Timber Sycamore â€” How to Understand Its Timeline Goals and Impact{slug=operation-timber-sycamore}</t>
  </si>
  <si>
    <t>{slug=operation-timber-sycamore}</t>
  </si>
  <si>
    <t>Operation Timber Sycamore â€” How to Understand Its Timeline Goals and Impact</t>
  </si>
  <si>
    <t>CIA Assassination Attempts Castro: How to Build a Fact-Based Historical Brief</t>
  </si>
  <si>
    <t>CIA Assassination Attempts Castro: How to Evaluate Credibility of Claims and Sources</t>
  </si>
  <si>
    <t>CIA Assassination Attempts Castro: How to Map Key Plots and Failures</t>
  </si>
  <si>
    <t>CIA Assassination Attempts Castro: How to Research Declassified Case Files</t>
  </si>
  <si>
    <t>CIA Assassination Attempts Castro: How to Trace the Operations Timeline{slug=cia-assassination-attempts-castro}</t>
  </si>
  <si>
    <t>{slug=cia-assassination-attempts-castro}</t>
  </si>
  <si>
    <t>CIA Assassination Attempts Castro: How to Trace the Operations Timeline</t>
  </si>
  <si>
    <t>Project Stargate Remote Viewing Explained: How to Conduct Sessions Like a Study</t>
  </si>
  <si>
    <t>Project Stargate Remote Viewing Techniques Protocols and Exercises for Learning</t>
  </si>
  <si>
    <t>Project Stargate Remote Viewing: A Practical How-To for Building Accuracy</t>
  </si>
  <si>
    <t>How to Use Project Stargate Remote Viewing Methods for Beginners</t>
  </si>
  <si>
    <t>Project Stargate Remote Viewing: Step by Step Guide{slug=project-stargate-remote-viewing}</t>
  </si>
  <si>
    <t>{slug=project-stargate-remote-viewing}</t>
  </si>
  <si>
    <t>Project Stargate Remote Viewing: Step by Step Guide</t>
  </si>
  <si>
    <t>What Impact Did the Pentagon Papers Have on U.S. Policy and Public Trust?</t>
  </si>
  <si>
    <t>What Happened After the Pentagon Papers Were Published?</t>
  </si>
  <si>
    <t>What Made the Pentagon Papers So Significant?</t>
  </si>
  <si>
    <t>What Led to the Pentagon Papers Being Leaked?</t>
  </si>
  <si>
    <t>What Were the Pentagon Papers?{slug=pentagon-papers}</t>
  </si>
  <si>
    <t>{slug=pentagon-papers}</t>
  </si>
  <si>
    <t>What Were the Pentagon Papers?</t>
  </si>
  <si>
    <t>Watergate Deeper Conspiracy: How to Evaluate Competing Coverâ€‘Up Theories</t>
  </si>
  <si>
    <t>Watergate Deeper Conspiracy: How to Map Suspects Across Agencies</t>
  </si>
  <si>
    <t>Watergate Deeper Conspiracy: How to Compare Transcripts and Missing Evidence</t>
  </si>
  <si>
    <t>Watergate Deeper Conspiracy: How to Build a Timeline from Leaks</t>
  </si>
  <si>
    <t>Watergate Deeper Conspiracy: How to Trace Funding Links{slug=watergate-deeper-conspiracy}</t>
  </si>
  <si>
    <t>{slug=watergate-deeper-conspiracy}</t>
  </si>
  <si>
    <t>Watergate Deeper Conspiracy: How to Trace Funding Links</t>
  </si>
  <si>
    <t>How to Assess Claims of a Larger Bay of Pigs Conspiracy: Facts Context and Sources</t>
  </si>
  <si>
    <t>How to Map the Bay of Pigs Conspiracy: Who Was Involved and How the Plot Worked</t>
  </si>
  <si>
    <t>How to Evaluate Bay of Pigs Conspiracy Allegations: Evidence vs. Myths</t>
  </si>
  <si>
    <t>How to Trace the Bay of Pigs Conspiracy Timeline: What Happened and Why It Matters</t>
  </si>
  <si>
    <t>How to Understand the Bay of Pigs Conspiracy: Key Players and Claims (2026 Guide){slug=bay-of-pigs-conspiracy}</t>
  </si>
  <si>
    <t>{slug=bay-of-pigs-conspiracy}</t>
  </si>
  <si>
    <t>How to Understand the Bay of Pigs Conspiracy: Key Players and Claims (2026 Guide)</t>
  </si>
  <si>
    <t>Whatâ€™s the Timeline for Operation Midnight Climax?</t>
  </si>
  <si>
    <t>What Does Operation Midnight Climax Refer To?</t>
  </si>
  <si>
    <t>What Happened During Operation Midnight Climax?</t>
  </si>
  <si>
    <t>What Is the History of Operation Midnight Climax?</t>
  </si>
  <si>
    <t>What Was Operation Midnight Climax?{slug=operation-midnight-climax}</t>
  </si>
  <si>
    <t>{slug=operation-midnight-climax}</t>
  </si>
  <si>
    <t>What Was Operation Midnight Climax?</t>
  </si>
  <si>
    <t>How to Debunk the Paul McCartney Death Conspiracy Step by Step</t>
  </si>
  <si>
    <t>How to Research the Evidence Behind the Paul McCartney Death Conspiracy</t>
  </si>
  <si>
    <t>How to Spot Misinformation in the Paul McCartney Death Conspiracy</t>
  </si>
  <si>
    <t>How to Verify Claims in the Paul McCartney Death Conspiracy Timeline</t>
  </si>
  <si>
    <t>How to Fact-Check the Paul McCartney Death Conspiracy (2026 Guide){slug=paul-mccartney-death-conspiracy}</t>
  </si>
  <si>
    <t>{slug=paul-mccartney-death-conspiracy}</t>
  </si>
  <si>
    <t>How to Fact-Check the Paul McCartney Death Conspiracy (2026 Guide)</t>
  </si>
  <si>
    <t>How to Write a Clear Profile of Their Legacy in U.S. Intelligence: Dulles Brothers</t>
  </si>
  <si>
    <t>How to Find Primary Sources and Archives on Their Careers: Dulles Brothers</t>
  </si>
  <si>
    <t>How to Compare Their Intelligence and Foreign Policy Impacts: Dulles Brothers</t>
  </si>
  <si>
    <t>How to Build a Timeline of Their U.S. Government Roles: Dulles Brothers</t>
  </si>
  <si>
    <t>How to Research Allen and John Foster Dulles: Dulles Brothers Guide{slug=dulles-brothers}</t>
  </si>
  <si>
    <t>{slug=dulles-brothers}</t>
  </si>
  <si>
    <t>How to Research Allen and John Foster Dulles: Dulles Brothers Guide</t>
  </si>
  <si>
    <t>Cattle Mutilation: 3 Common Myths and the Facts Behind Them**</t>
  </si>
  <si>
    <t>Cattle Mutilation: 3 Warning Signs for Ranchers to Watch</t>
  </si>
  <si>
    <t>Cattle Mutilation: Evidence Claims vs. What Experts Say</t>
  </si>
  <si>
    <t>Cattle Mutilation: 3 Landmark Case Summaries</t>
  </si>
  <si>
    <t>Cattle Mutilation: 3 Notable Theories Explained{slug=cattle-mutilation}</t>
  </si>
  <si>
    <t>{slug=cattle-mutilation}</t>
  </si>
  <si>
    <t>Cattle Mutilation: 3 Notable Theories Explained</t>
  </si>
  <si>
    <t>How to Separate Myths From Facts in UFO Crash Retrieval Research</t>
  </si>
  <si>
    <t>How to Build a Case File for UFO Crash Retrieval From Sources and Data</t>
  </si>
  <si>
    <t>How to Research UFO Crash Retrieval Allegations Using Public Records</t>
  </si>
  <si>
    <t>How to Verify UFO Crash Retrieval Reports: Evidence Checklists and Timelines</t>
  </si>
  <si>
    <t>How to Investigate UFO Crash Retrieval Claims: A Step-by-Step Guide{slug=ufo-crash-retrieval}</t>
  </si>
  <si>
    <t>{slug=ufo-crash-retrieval}</t>
  </si>
  <si>
    <t>How to Investigate UFO Crash Retrieval Claims: A Step-by-Step Guide</t>
  </si>
  <si>
    <t>Directed Energy Weapons: Uses Limits and Impacts 101 Guide</t>
  </si>
  <si>
    <t>Directed Energy Weapons: How to Evaluate Range Power and Effectiveness</t>
  </si>
  <si>
    <t>Directed Energy Weapons: How to Understand Targeting and Tracking</t>
  </si>
  <si>
    <t>Directed Energy Weapons: A Practical How-To Guide to Types and Functions</t>
  </si>
  <si>
    <t>Directed Energy Weapons: How They Work (Lasers to High-Power Microwaves){slug=directed-energy-weapons}</t>
  </si>
  <si>
    <t>{slug=directed-energy-weapons}</t>
  </si>
  <si>
    <t>Directed Energy Weapons: How They Work (Lasers to High-Power Microwaves)</t>
  </si>
  <si>
    <t>Bilderberg Attendees: How to Cross-Reference Mentions Across Reports and Leaks</t>
  </si>
  <si>
    <t>Bilderberg Attendees: How to Build a Verified Attendee Database from Public Sources</t>
  </si>
  <si>
    <t>Bilderberg Attendees: How to Research Countries Affiliations and Positions</t>
  </si>
  <si>
    <t>Bilderberg Attendees: How to Track Confirmed List Updates by Year (2026)</t>
  </si>
  <si>
    <t>Bilderberg Attendees: How to Identify Participants and Their Roles{slug=bilderberg-attendees}</t>
  </si>
  <si>
    <t>{slug=bilderberg-attendees}</t>
  </si>
  <si>
    <t>Bilderberg Attendees: How to Identify Participants and Their Roles</t>
  </si>
  <si>
    <t>How to Build a Timeline of Bohemian Grove and Nixon Links and Meetings</t>
  </si>
  <si>
    <t>How to Assess Bohemian Grove and Nixon Evidence Without Conspiracy Bias</t>
  </si>
  <si>
    <t>How to Track Bohemian Grove and Nixon Mentions in Archives and Media</t>
  </si>
  <si>
    <t>How to Verify Bohemian Grove and Nixon Attendance Claims</t>
  </si>
  <si>
    <t>How to Research Bohemian Grove and Nixon Connections Step-by-Step{slug=bohemian-grove-nixon}</t>
  </si>
  <si>
    <t>{slug=bohemian-grove-nixon}</t>
  </si>
  <si>
    <t>How to Research Bohemian Grove and Nixon Connections Step-by-Step</t>
  </si>
  <si>
    <t>How to Track Social Credit System Rules and Updates</t>
  </si>
  <si>
    <t>How the Social Credit System Impacts Daily Life</t>
  </si>
  <si>
    <t>How to Check Your Social Credit System Scores</t>
  </si>
  <si>
    <t>How to Understand Chinaâ€™s Social Credit System Quickly</t>
  </si>
  <si>
    <t>How the Social Credit System Works: Step by Step{slug=social-credit-system}</t>
  </si>
  <si>
    <t>{slug=social-credit-system}</t>
  </si>
  <si>
    <t>How the Social Credit System Works: Step by Step</t>
  </si>
  <si>
    <t>Aspartame Conspiracy: How to Evaluate Conflicts of Interest in Sweetener Studies</t>
  </si>
  <si>
    <t>Aspartame Conspiracy: How to Separate Research Misquotes from Real Findings</t>
  </si>
  <si>
    <t>Aspartame Conspiracy: How to Build a Timeline of Allegations and Evidence</t>
  </si>
  <si>
    <t>Aspartame Conspiracy: How to Fact-Check Health Scares and Sources Quickly</t>
  </si>
  <si>
    <t>Aspartame Conspiracy: How to Investigate the Claims Step by Step (2026){slug=aspartame-conspiracy}</t>
  </si>
  <si>
    <t>{slug=aspartame-conspiracy}</t>
  </si>
  <si>
    <t>Aspartame Conspiracy: How to Investigate the Claims Step by Step (2026)</t>
  </si>
  <si>
    <t>Weather Warfare Systems: How Forecasting Drones and Cloud Physics Get Misused**</t>
  </si>
  <si>
    <t>Weather Warfare at a Glance: How to Research Reports Safely and Fact-Check Fast</t>
  </si>
  <si>
    <t>Weather Warfare Tactics: How Weather Modification Programs Are Alleged to Operate</t>
  </si>
  <si>
    <t>Weather Warfare 101: How Climate Modification Claims Work</t>
  </si>
  <si>
    <t>Weather Warfare: How Cloud Seeding Works and What It Canâ€™t Do{slug=weather-warfare}</t>
  </si>
  <si>
    <t>{slug=weather-warfare}</t>
  </si>
  <si>
    <t>Weather Warfare: How Cloud Seeding Works and What It Canâ€™t Do</t>
  </si>
  <si>
    <t>TWA 800: 10 Safety Changes Triggered After the 1996 Disaster**</t>
  </si>
  <si>
    <t>TWA 800: 10 Debates and Questions Investigators Addressed</t>
  </si>
  <si>
    <t>TWA 800: 10 Critical Moments Leading Up to the Explosion</t>
  </si>
  <si>
    <t>TWA 800: 10 Facts Behind the 1996 Crash</t>
  </si>
  <si>
    <t>TWA 800: 10 Key Findings from the Official Investigation{slug=twa-800}</t>
  </si>
  <si>
    <t>{slug=twa-800}</t>
  </si>
  <si>
    <t>TWA 800: 10 Key Findings from the Official Investigation</t>
  </si>
  <si>
    <t>MH370 Conspiracy: How to Investigate Alleged Cover-Ups Using Primary Records**</t>
  </si>
  <si>
    <t>MH370 Conspiracy: How to Spot Debunked â€œEvidenceâ€ and Manipulated Sources</t>
  </si>
  <si>
    <t>MH370 Conspiracy: How to Build a Timeline from Public Data</t>
  </si>
  <si>
    <t>MH370 Conspiracy: How to Fact-Check Claims and Find Credible Evidence</t>
  </si>
  <si>
    <t>MH370 Conspiracy: How to Evaluate Competing Theories Step-by-Step{slug=mh370-conspiracy}</t>
  </si>
  <si>
    <t>{slug=mh370-conspiracy}</t>
  </si>
  <si>
    <t>MH370 Conspiracy: How to Evaluate Competing Theories Step-by-Step</t>
  </si>
  <si>
    <t>Bohemian Grove Owl: How to Build a Timeline from Online Accounts</t>
  </si>
  <si>
    <t>Bohemian Grove Owl: How to Investigate the Legend Using Credible Methods</t>
  </si>
  <si>
    <t>Bohemian Grove Owl: How to Find Primary Sources and Test Reliability</t>
  </si>
  <si>
    <t>Bohemian Grove Owl: How to Fact-Check Reports and Sightings</t>
  </si>
  <si>
    <t>Bohemian Grove Owl: How to Research the Myth and Claims{slug=bohemian-grove-owl}</t>
  </si>
  <si>
    <t>{slug=bohemian-grove-owl}</t>
  </si>
  <si>
    <t>Bohemian Grove Owl: How to Research the Myth and Claims</t>
  </si>
  <si>
    <t>Why Are Pentagon Missing Trillions?</t>
  </si>
  <si>
    <t>Pentagon Missing Trillions: Possible Sources of the Discrepancy</t>
  </si>
  <si>
    <t>Pentagon Missing Trillions: Key Reports and Findings</t>
  </si>
  <si>
    <t>What Pentagon Missing Trillions to Verify</t>
  </si>
  <si>
    <t>Pentagon Missing Trillions Explained{slug=pentagon-missing-trillions}</t>
  </si>
  <si>
    <t>{slug=pentagon-missing-trillions}</t>
  </si>
  <si>
    <t>Pentagon Missing Trillions Explained</t>
  </si>
  <si>
    <t>Secret Societies List: 7 Famous Groups Youâ€™ve Heard Of</t>
  </si>
  <si>
    <t>Secret Societies List: 7 Notable Secret Organizations</t>
  </si>
  <si>
    <t>Secret Societies List: 7 Secretive Societies Explained</t>
  </si>
  <si>
    <t>Secret Societies List: 7 Historical Organizations</t>
  </si>
  <si>
    <t>Secret Societies List: 7 Well-Known Groups{slug=secret-societies-list}</t>
  </si>
  <si>
    <t>{slug=secret-societies-list}</t>
  </si>
  <si>
    <t>Secret Societies List: 7 Well-Known Groups</t>
  </si>
  <si>
    <t>Alien Abduction: How to Plan a Safe Systematic Investigation</t>
  </si>
  <si>
    <t>Alien Abduction: How to Research Sightings Using Credible Sources</t>
  </si>
  <si>
    <t>Alien Abduction: How to Spot Hoaxes and Misidentification</t>
  </si>
  <si>
    <t>Alien Abduction: How to Document Witness Accounts and Evidence</t>
  </si>
  <si>
    <t>Alien Abduction: How to Verify Claims and Track Leads{slug=alien-abduction}</t>
  </si>
  <si>
    <t>{slug=alien-abduction}</t>
  </si>
  <si>
    <t>Alien Abduction: How to Verify Claims and Track Leads</t>
  </si>
  <si>
    <t>Havana Syndrome: How to Prepare for Investigations and Follow-Up Care**</t>
  </si>
  <si>
    <t>Havana Syndrome: A Practical Guide to Troubleshooting Triggers and Exposure Risks</t>
  </si>
  <si>
    <t>Havana Syndrome: How to Communicate With Doctors and Which Tests to Ask For</t>
  </si>
  <si>
    <t>Havana Syndrome: How to Document Symptoms and Seek Medical Evaluation</t>
  </si>
  <si>
    <t>Havana Syndrome: What to Do If You Suspect Symptoms{slug=havana-syndrome}</t>
  </si>
  <si>
    <t>{slug=havana-syndrome}</t>
  </si>
  <si>
    <t>Havana Syndrome: What to Do If You Suspect Symptoms</t>
  </si>
  <si>
    <t>USS Pueblo: How to Summarize the Aftermath and Crew Fate**</t>
  </si>
  <si>
    <t>USS Pueblo: How to Analyze the Signals Intelligence Mission</t>
  </si>
  <si>
    <t>USS Pueblo: How to Build a Timeline of Events and Decisions</t>
  </si>
  <si>
    <t>USS Pueblo: How to Understand Korean War-Era Significance</t>
  </si>
  <si>
    <t>USS Pueblo: How to Research the 1968 Capture Incident{slug=uss-pueblo}</t>
  </si>
  <si>
    <t>{slug=uss-pueblo}</t>
  </si>
  <si>
    <t>USS Pueblo: How to Research the 1968 Capture Incident</t>
  </si>
  <si>
    <t>Gain of Function Research: A Step-by-Step Checklist for Ethics and Safety</t>
  </si>
  <si>
    <t>Gain of Function Research: How to Read the Science and Policy Claims</t>
  </si>
  <si>
    <t>Gain of Function Research: How to Evaluate Risks vs. Benefits</t>
  </si>
  <si>
    <t>Gain of Function Research: How to Understand the Debate</t>
  </si>
  <si>
    <t>Gain of Function Research: How It Works and What to Consider{slug=gain-of-function-research}</t>
  </si>
  <si>
    <t>{slug=gain-of-function-research}</t>
  </si>
  <si>
    <t>Gain of Function Research: How It Works and What to Consider</t>
  </si>
  <si>
    <t>Event 201: How-To Checklist for Lessons Learned and Action Items**</t>
  </si>
  <si>
    <t>Event 201: How to Translate the Exercise into Practical Public Health Preparedness</t>
  </si>
  <si>
    <t>Event 201: How to Run a Similar Tabletop Simulation in Your Organization</t>
  </si>
  <si>
    <t>Event 201: Step-by-Step Guide to Applying Findings to Your Emergency Response</t>
  </si>
  <si>
    <t>Event 201: How to Use a Tabletop Exercise for Pandemic Readiness Planning{slug=event-201}</t>
  </si>
  <si>
    <t>{slug=event-201}</t>
  </si>
  <si>
    <t>Event 201: How to Use a Tabletop Exercise for Pandemic Readiness Planning</t>
  </si>
  <si>
    <t>How to Apply Trumpet Judgments from Revelation to Your Bible Reading</t>
  </si>
  <si>
    <t>How to Identify the Trumpet Judgments and Trace What They Mean</t>
  </si>
  <si>
    <t>How to Study Trumpet Judgments (Revelation 8â€“9) Like a Bible Teacher</t>
  </si>
  <si>
    <t>A Step-by-Step Guide to Trumpet Judgments: Meaning Order and Events</t>
  </si>
  <si>
    <t>How to Understand the Trumpet Judgments in Revelation{slug=trumpet-judgments}</t>
  </si>
  <si>
    <t>{slug=trumpet-judgments}</t>
  </si>
  <si>
    <t>How to Understand the Trumpet Judgments in Revelation</t>
  </si>
  <si>
    <t>How to Get a Judgment Sealed: Eligibility Criteria and Filing Checklist</t>
  </si>
  <si>
    <t>How to Seal Judgments in Court: Forms Deadlines and Tips</t>
  </si>
  <si>
    <t>How to Unseal or Access Sealed Judgments: What You Need to Know</t>
  </si>
  <si>
    <t>How to File for Sealing Judgments: Requirements and Process</t>
  </si>
  <si>
    <t>How to Seal Judgments: Step-by-Step Guide{slug=seal-judgments}</t>
  </si>
  <si>
    <t>{slug=seal-judgments}</t>
  </si>
  <si>
    <t>How to Seal Judgments: Step-by-Step Guide</t>
  </si>
  <si>
    <t>Millennial Reign: How to Evaluate Millennial Claims with Data Not Vibes**</t>
  </si>
  <si>
    <t>Millennial Reign: Build a Simple Millennial Power Dashboard (2026 Edition)</t>
  </si>
  <si>
    <t>Millennial Reign: Are Millennials Leadingâ€”or Taking Credit?</t>
  </si>
  <si>
    <t>Millennial Reign: How to Track Millennial Influence in Politics Culture and Markets</t>
  </si>
  <si>
    <t>Millennial Reign: Whoâ€™s Really â€œIn Controlâ€ in 2026?{slug=millennial-reign}</t>
  </si>
  <si>
    <t>{slug=millennial-reign}</t>
  </si>
  <si>
    <t>Millennial Reign: Whoâ€™s Really â€œIn Controlâ€ in 2026?</t>
  </si>
  <si>
    <t>How to Compare Historical Views on the Gog Magog War</t>
  </si>
  <si>
    <t>How to Prepare a Study Plan for the Gog Magog War</t>
  </si>
  <si>
    <t>How to Interpret the Gog Magog War Prophecy Step by Step</t>
  </si>
  <si>
    <t>How to Research the Meaning of the Gog Magog War</t>
  </si>
  <si>
    <t>How to Understand the Gog Magog War in the Bible{slug=gog-magog-war}</t>
  </si>
  <si>
    <t>{slug=gog-magog-war}</t>
  </si>
  <si>
    <t>How to Understand the Gog Magog War in the Bible</t>
  </si>
  <si>
    <t>Two State Solution Prophecy: A How-To Guide for Separating Fact From Interpretation</t>
  </si>
  <si>
    <t>Two State Solution Prophecy: How to Understand the Narrative Behind It</t>
  </si>
  <si>
    <t>Two State Solution Prophecy: How to Research Claims and Find Reliable Sources</t>
  </si>
  <si>
    <t>Two State Solution Prophecy: A Step-by-Step Guide to Checking Credibility</t>
  </si>
  <si>
    <t>Two State Solution Prophecy: How to Verify Its Origins and Meaning{slug=two-state-solution-prophecy}</t>
  </si>
  <si>
    <t>{slug=two-state-solution-prophecy}</t>
  </si>
  <si>
    <t>Two State Solution Prophecy: How to Verify Its Origins and Meaning</t>
  </si>
  <si>
    <t>What Biblical Links Exist for the Ten Kings Prophecy?</t>
  </si>
  <si>
    <t>What Countries Might the Ten Kings Prophecy Refer To?</t>
  </si>
  <si>
    <t>What Is the Origin of the Ten Kings Prophecy?</t>
  </si>
  <si>
    <t>What Does the Ten Kings Prophecy Mean?</t>
  </si>
  <si>
    <t>What Is the Ten Kings Prophecy?{slug=ten-kings-prophecy}</t>
  </si>
  <si>
    <t>{slug=ten-kings-prophecy}</t>
  </si>
  <si>
    <t>What Is the Ten Kings Prophecy?</t>
  </si>
  <si>
    <t>AI Antichrist: How to Respond Wisely Without Fear or Conspiracy</t>
  </si>
  <si>
    <t>AI Antichrist: How to Research Sources and Verify Video Claims Fast</t>
  </si>
  <si>
    <t>AI Antichrist: How to Form a Personal Scriptural Framework for the Debate</t>
  </si>
  <si>
    <t>AI Antichrist: How to Spot Misleading Bible Interpretations Online</t>
  </si>
  <si>
    <t>AI Antichrist: How to Evaluate End-Times Prophecy Claims{slug=ai-antichrist}</t>
  </si>
  <si>
    <t>{slug=ai-antichrist}</t>
  </si>
  <si>
    <t>AI Antichrist: How to Evaluate End-Times Prophecy Claims</t>
  </si>
  <si>
    <t>What Would Happen to National Sovereignty With a One World Currency?</t>
  </si>
  <si>
    <t>What Would a One World Currency Replaceâ€”and What Would Stay?</t>
  </si>
  <si>
    <t>What Are the Arguments For and Against a One World Currency?</t>
  </si>
  <si>
    <t>What Would It Take to Create a One World Currency?</t>
  </si>
  <si>
    <t>What Would a One World Currency Mean for Global Economies?{slug=one-world-currency}</t>
  </si>
  <si>
    <t>{slug=one-world-currency}</t>
  </si>
  <si>
    <t>What Would a One World Currency Mean for Global Economies?</t>
  </si>
  <si>
    <t>Israel Prophecy: How to Apply Biblical Prophecies Without Overreaching</t>
  </si>
  <si>
    <t>Israel Prophecy: How to Build a Timeline From Relevant Scripture</t>
  </si>
  <si>
    <t>Israel Prophecy: How to Evaluate Competing Interpretations (Plain Text vs. Symbolic)</t>
  </si>
  <si>
    <t>Israel Prophecy: How to Study the Major Biblical Predictions Step by Step</t>
  </si>
  <si>
    <t>Israel Prophecy: How to Interpret Key End-Times Verses{slug=israel-prophecy}</t>
  </si>
  <si>
    <t>{slug=israel-prophecy}</t>
  </si>
  <si>
    <t>Israel Prophecy: How to Interpret Key End-Times Verses</t>
  </si>
  <si>
    <t>Rapture Date Predictions: How to Create Your Own Date-Estimate Method â†’ **Rapture Date Predictions: Create Your Own Date-Estimate Method**</t>
  </si>
  <si>
    <t>Rapture Date Predictions: How to Track Updates and Evidence â†’ **Rapture Date Predictions: Track Updates and Evidence</t>
  </si>
  <si>
    <t>Rapture Date Predictions: How to Compare Historical Models â†’ **Rapture Date Predictions: Compare Historical Models</t>
  </si>
  <si>
    <t>Rapture Date Predictions: How to Interpret Key Prophecies â†’ **Rapture Date Predictions: Interpret Key Prophecies</t>
  </si>
  <si>
    <t>Rapture Date Predictions: How to Build a Timeline â†’ **Rapture Date Predictions: Build a Timeline{slug=rapture-date-predictions}</t>
  </si>
  <si>
    <t>{slug=rapture-date-predictions}</t>
  </si>
  <si>
    <t>Rapture Date Predictions: How to Build a Timeline â†’ **Rapture Date Predictions: Build a Timeline</t>
  </si>
  <si>
    <t>What Questions Does the Bohemian Grove Guest List Raise?</t>
  </si>
  <si>
    <t>5 Public Sources Mentioning the Bohemian Grove Guest List</t>
  </si>
  <si>
    <t>5 Notable Names Alleged to Appear on the Bohemian Grove Guest List</t>
  </si>
  <si>
    <t>5 Claims Verified in the Bohemian Grove Guest List</t>
  </si>
  <si>
    <t>5 Things to Know About the Bohemian Grove Guest List{slug=bohemian-grove-guest-list}</t>
  </si>
  <si>
    <t>{slug=bohemian-grove-guest-list}</t>
  </si>
  <si>
    <t>5 Things to Know About the Bohemian Grove Guest List</t>
  </si>
  <si>
    <t>How to Debunk Soros Conspiracy Claims Verification Process</t>
  </si>
  <si>
    <t>How to Investigate Soros Conspiracy Narratives Using Primary Sources</t>
  </si>
  <si>
    <t>How to Spot Misinformation in Soros Conspiracy Posts</t>
  </si>
  <si>
    <t>How to Verify Soros Conspiracy Evidence Online Checklist</t>
  </si>
  <si>
    <t>How to Fact-Check Soros Conspiracy Claims Step-by-Step{slug=soros-conspiracy}</t>
  </si>
  <si>
    <t>{slug=soros-conspiracy}</t>
  </si>
  <si>
    <t>How to Fact-Check Soros Conspiracy Claims Step-by-Step</t>
  </si>
  <si>
    <t>How to Assess Stolen Election 2020 Conspiracy Sources Safely</t>
  </si>
  <si>
    <t>How to Verify Stolen Election 2020 Voting-Data Claims</t>
  </si>
  <si>
    <t>How to Build a Timeline for Stolen Election 2020 Allegations</t>
  </si>
  <si>
    <t>How to Fact-Check Stolen Election 2020 Evidence Online</t>
  </si>
  <si>
    <t>How to Evaluate Stolen Election 2020 Claims Step by Step{slug=stolen-election-2020}</t>
  </si>
  <si>
    <t>{slug=stolen-election-2020}</t>
  </si>
  <si>
    <t>How to Evaluate Stolen Election 2020 Claims Step by Step</t>
  </si>
  <si>
    <t>Tartaria: How to Trace the â€œTartarianâ€ Story from Old Posts to Modern Myths</t>
  </si>
  <si>
    <t>Tartaria: How to Fact-Check Common â€œTartarianâ€ Evidence Claims</t>
  </si>
  <si>
    <t>Tartaria: How to Build a Source List for Competing Historical Explanations</t>
  </si>
  <si>
    <t>Tartaria: How to Research â€œLost Civilizationâ€ Narratives Without Bias</t>
  </si>
  <si>
    <t>Tartaria: How to Verify the Origins of Conspiracy Claims{slug=tartaria}</t>
  </si>
  <si>
    <t>{slug=tartaria}</t>
  </si>
  <si>
    <t>Tartaria: How to Verify the Origins of Conspiracy Claims</t>
  </si>
  <si>
    <t>Antarctica Conspiracy: Separating Hoaxes from Credible Reports**</t>
  </si>
  <si>
    <t>Antarctica Conspiracy: How to Map Rumors to Real Events</t>
  </si>
  <si>
    <t>Antarctica Conspiracy: How to Find Sources and Verify Evidence</t>
  </si>
  <si>
    <t>Antarctica Conspiracy: How to Quickly Fact-Check Theories</t>
  </si>
  <si>
    <t>Antarctica Conspiracy: Step-by-Step Research Methods{slug=antarctica-conspiracy}</t>
  </si>
  <si>
    <t>{slug=antarctica-conspiracy}</t>
  </si>
  <si>
    <t>Antarctica Conspiracy: Step-by-Step Research Methods</t>
  </si>
  <si>
    <t>Operation Warp Speed: How to Use Its Model for Future Vaccine Efforts</t>
  </si>
  <si>
    <t>Operation Warp Speed: How to Read the Results and Outcomes</t>
  </si>
  <si>
    <t>Operation Warp Speed: How to Understand Key Partners and Roles</t>
  </si>
  <si>
    <t>Operation Warp Speed: How to Trace the COVID Vaccine Timeline</t>
  </si>
  <si>
    <t>Operation Warp Speed: How It Workedâ€”from Funding to First Shots{slug=operation-warp-speed}</t>
  </si>
  <si>
    <t>{slug=operation-warp-speed}</t>
  </si>
  <si>
    <t>Operation Warp Speed: How It Workedâ€”from Funding to First Shots</t>
  </si>
  <si>
    <t>Cashless Society Conspiracy: How to Build a Credible Evidence Checklist</t>
  </si>
  <si>
    <t>Cashless Society Conspiracy: How to Check Funding and Incentives Behind Policies</t>
  </si>
  <si>
    <t>Cashless Society Conspiracy: How to Audit Privacy Risks Step by Step</t>
  </si>
  <si>
    <t>Cashless Society Conspiracy: How to Spot Manipulation Tactics in Proof</t>
  </si>
  <si>
    <t>Cashless Society Conspiracy: How to Verify Surveillance Claims Fast{slug=cashless-society-conspiracy}</t>
  </si>
  <si>
    <t>{slug=cashless-society-conspiracy}</t>
  </si>
  <si>
    <t>Cashless Society Conspiracy: How to Verify Surveillance Claims Fast</t>
  </si>
  <si>
    <t>What Are the Warning Signs of Media Manipulation Online?</t>
  </si>
  <si>
    <t>What Are Real-World Examples of Media Manipulation?</t>
  </si>
  <si>
    <t>What Motivates Media Manipulation in Politics and News?</t>
  </si>
  <si>
    <t>What Are the Main Types of Media Manipulation?</t>
  </si>
  <si>
    <t>What Is Media Manipulation?{slug=media-manipulation}</t>
  </si>
  <si>
    <t>{slug=media-manipulation}</t>
  </si>
  <si>
    <t>What Is Media Manipulation?</t>
  </si>
  <si>
    <t>How to Build a Balanced Oil Conspiracy Case Without Bias</t>
  </si>
  <si>
    <t>How to Spot Manipulation Tactics in Oil Conspiracy Posts Online</t>
  </si>
  <si>
    <t>How to Trace Oil Conspiracy Narratives Using Sources and Timelines</t>
  </si>
  <si>
    <t>How to Fact-Check an Oil Conspiracy Theory Step by Step</t>
  </si>
  <si>
    <t>How to Evaluate an Oil Conspiracy Claim With Real Evidence{slug=oil-conspiracy}</t>
  </si>
  <si>
    <t>{slug=oil-conspiracy}</t>
  </si>
  <si>
    <t>How to Evaluate an Oil Conspiracy Claim With Real Evidence</t>
  </si>
  <si>
    <t>How to Build a Balanced Case for or Against the GMO Conspiracy</t>
  </si>
  <si>
    <t>How to Spot Misinformation in GMO Conspiracy Arguments</t>
  </si>
  <si>
    <t>How to Research GMO Conspiracy Theories Using Primary Sources</t>
  </si>
  <si>
    <t>How to Fact-Check GMO Conspiracy Videos Step by Step</t>
  </si>
  <si>
    <t>How to Evaluate GMO Conspiracy Claims: An Evidence Checklist{slug=gmo-conspiracy}</t>
  </si>
  <si>
    <t>{slug=gmo-conspiracy}</t>
  </si>
  <si>
    <t>How to Evaluate GMO Conspiracy Claims: An Evidence Checklist</t>
  </si>
  <si>
    <t>Maui Fires Conspiracy Watchlist: 10 Things to Check</t>
  </si>
  <si>
    <t>10 Questions Behind the Maui Fires Conspiracy</t>
  </si>
  <si>
    <t>10 Maui Fires Conspiracy Allegations Explained (Claims &amp; Sources)</t>
  </si>
  <si>
    <t>10 Maui Fires Conspiracy Theories People Are Sharing</t>
  </si>
  <si>
    <t>10 Claims About the Maui Fires Conspiracy{slug=maui-fires-conspiracy}</t>
  </si>
  <si>
    <t>{slug=maui-fires-conspiracy}</t>
  </si>
  <si>
    <t>10 Claims About the Maui Fires Conspiracy</t>
  </si>
  <si>
    <t>Davos Conspiracy: Build a Credible Timeline of Allegations</t>
  </si>
  <si>
    <t>Davos Conspiracy: Separate Opinion from Documented Facts</t>
  </si>
  <si>
    <t>Davos Conspiracy: Trace Sources and Verify Evidence</t>
  </si>
  <si>
    <t>Davos Conspiracy: Identify Common Misinformation Patterns</t>
  </si>
  <si>
    <t>Davos Conspiracy: Fact-Check Claims Quickly{slug=davos-conspiracy}</t>
  </si>
  <si>
    <t>{slug=davos-conspiracy}</t>
  </si>
  <si>
    <t>Davos Conspiracy: Fact-Check Claims Quickly</t>
  </si>
  <si>
    <t>Planned Obsolescence: How to Reduce E-Waste by Extending Device Life</t>
  </si>
  <si>
    <t>Planned Obsolescence in Practice: How to Evaluate Products for Short Lifespans</t>
  </si>
  <si>
    <t>Planned Obsolescence Explained: How to Identify Weak Features and Buy Smarter</t>
  </si>
  <si>
    <t>Planned Obsolescence: How Companies Build It and How You Can Prevent It</t>
  </si>
  <si>
    <t>Planned Obsolescence 101: How It Works and How to Spot It{slug=planned-obsolescence}</t>
  </si>
  <si>
    <t>{slug=planned-obsolescence}</t>
  </si>
  <si>
    <t>Planned Obsolescence 101: How It Works and How to Spot It</t>
  </si>
  <si>
    <t>How to Build a Solid Checklist for Cancer Cure Suppressed Claims</t>
  </si>
  <si>
    <t>How to Trace Cancer Cure Suppressed Research Funding Trials and Data</t>
  </si>
  <si>
    <t>How to Spot Evidence vs. Myths in Cancer Cure Suppressed Conspiracy Posts</t>
  </si>
  <si>
    <t>How to Investigate Cancer Cure Suppressed Allegations: Sources to Check</t>
  </si>
  <si>
    <t>How to Verify Cancer Cure Suppressed Stories (2026 Guide){slug=cancer-cure-suppressed}</t>
  </si>
  <si>
    <t>{slug=cancer-cure-suppressed}</t>
  </si>
  <si>
    <t>How to Verify Cancer Cure Suppressed Stories (2026 Guide)</t>
  </si>
  <si>
    <t>Banking Cartel: How to Document Possible Anti-Competitive Behavior in Finance</t>
  </si>
  <si>
    <t>Banking Cartel: What to Check in Lending Rates and Underwriting Practices</t>
  </si>
  <si>
    <t>Banking Cartel: How to Investigate Suspected Coordination Among Banks</t>
  </si>
  <si>
    <t>Banking Cartel: How to Find Evidence of Market Rigging</t>
  </si>
  <si>
    <t>Banking Cartel: How to Spot Collusion in Bank Pricing and Fees{slug=banking-cartel}</t>
  </si>
  <si>
    <t>{slug=banking-cartel}</t>
  </si>
  <si>
    <t>Banking Cartel: How to Spot Collusion in Bank Pricing and Fees</t>
  </si>
  <si>
    <t>USS Indianapolis: How to Document Key Locations Using Survivor Accounts</t>
  </si>
  <si>
    <t>USS Indianapolis: How to Understand the Sinking and Rescue Timeline Step by Step</t>
  </si>
  <si>
    <t>USS Indianapolis: How to Plan a Survivor-Focused Historical Reading List</t>
  </si>
  <si>
    <t>USS Indianapolis: How to Find Primary Sources Maps and Official Records</t>
  </si>
  <si>
    <t>USS Indianapolis: How to Trace Its WWII Journey and Sinking Timeline{slug=uss-indianapolis}</t>
  </si>
  <si>
    <t>{slug=uss-indianapolis}</t>
  </si>
  <si>
    <t>USS Indianapolis: How to Trace Its WWII Journey and Sinking Timeline</t>
  </si>
  <si>
    <t>Georgia Stones Destruction: 10 Widespread Claims</t>
  </si>
  <si>
    <t>Georgia Stones Destruction Explained: 10 Updates</t>
  </si>
  <si>
    <t>Georgia Stones Destruction: 10 Reported Facts</t>
  </si>
  <si>
    <t>Georgia Stones Destruction: 10 Things to Know</t>
  </si>
  <si>
    <t>Georgia Stones Destruction: 10 Key Details{slug=georgia-stones-destruction}</t>
  </si>
  <si>
    <t>{slug=georgia-stones-destruction}</t>
  </si>
  <si>
    <t>Georgia Stones Destruction: 10 Key Details</t>
  </si>
  <si>
    <t>How to Assess Smart Meter Conspiracy Evidence and Spot Misinformation</t>
  </si>
  <si>
    <t>How to Understand Smart Meter Conspiracy Data Security Risks</t>
  </si>
  <si>
    <t>How to Investigate Smart Meter Conspiracy Billing Claims Using Public Records</t>
  </si>
  <si>
    <t>How to Verify Smart Meter Conspiracy Surveillance and Health Allegations</t>
  </si>
  <si>
    <t>How to Fact-Check Smart Meter Conspiracy Claims: A Step-by-Step Guide{slug=smart-meter-conspiracy}</t>
  </si>
  <si>
    <t>{slug=smart-meter-conspiracy}</t>
  </si>
  <si>
    <t>How to Fact-Check Smart Meter Conspiracy Claims: A Step-by-Step Guide</t>
  </si>
  <si>
    <t>How to Build a Source-Backed Debunking of the Blackrock Conspiracy</t>
  </si>
  <si>
    <t>How to Spot Propaganda Tactics in the Blackrock Conspiracy Narrative</t>
  </si>
  <si>
    <t>How to Trace the Origins of the Blackrock Conspiracy Story</t>
  </si>
  <si>
    <t>How to Fact-Check the Blackrock Conspiracy With Reliable Sources</t>
  </si>
  <si>
    <t>How to Investigate the Blackrock Conspiracy: Claims vs Evidence{slug=blackrock-conspiracy}</t>
  </si>
  <si>
    <t>{slug=blackrock-conspiracy}</t>
  </si>
  <si>
    <t>How to Investigate the Blackrock Conspiracy: Claims vs Evidence</t>
  </si>
  <si>
    <t>7 Debunking Attempts vs. the **Georgia Runoff Conspiracy**</t>
  </si>
  <si>
    <t>7 Timeline Moments Cited in the **Georgia Runoff Conspiracy</t>
  </si>
  <si>
    <t>7 Key Allegations in the **Georgia Runoff Conspiracy** Story</t>
  </si>
  <si>
    <t>7 Evidence Points Used to Support the **Georgia Runoff Conspiracy</t>
  </si>
  <si>
    <t>7 Claims Behind the **Georgia Runoff Conspiracy{slug=georgia-runoff-conspiracy}</t>
  </si>
  <si>
    <t>{slug=georgia-runoff-conspiracy}</t>
  </si>
  <si>
    <t>7 Claims Behind the **Georgia Runoff Conspiracy</t>
  </si>
  <si>
    <t>Operation Ajax â€” How to Research the Evidence Sources and Impact (1953)**</t>
  </si>
  <si>
    <t>Operation Ajax â€” How to Build a Clear Chronology of CIA-Backed Intervention</t>
  </si>
  <si>
    <t>Operation Ajax â€” A How-to Checklist for Tracing Causes of the 1953 Iranian Coup</t>
  </si>
  <si>
    <t>Operation Ajax â€” How to Understand Key Players Motives and Outcomes</t>
  </si>
  <si>
    <t>Operation Ajax â€” Step-by-Step Guide to the 1953 Coup Timeline{slug=operation-ajax}</t>
  </si>
  <si>
    <t>{slug=operation-ajax}</t>
  </si>
  <si>
    <t>Operation Ajax â€” Step-by-Step Guide to the 1953 Coup Timeline</t>
  </si>
  <si>
    <t>How to Build a Sumerian Anunnaki Timeline from Key Myths</t>
  </si>
  <si>
    <t>How to Research Sumerian Anunnaki Using Cuneiform Sources</t>
  </si>
  <si>
    <t>How to Map Sumerian Anunnaki to Other Anunnaki Traditions</t>
  </si>
  <si>
    <t>How to Trace Sumerian Anunnaki in Mesopotamian Myths</t>
  </si>
  <si>
    <t>How to Understand Sumerian Anunnaki (Step-by-Step Guide){slug=sumerian-anunnaki}</t>
  </si>
  <si>
    <t>{slug=sumerian-anunnaki}</t>
  </si>
  <si>
    <t>How to Understand Sumerian Anunnaki (Step-by-Step Guide)</t>
  </si>
  <si>
    <t>What Is the Origin of the Word Nephilim?</t>
  </si>
  <si>
    <t>What Legends and Interpretations Explain the Nephilim?</t>
  </si>
  <si>
    <t>What Does the Bible Mean by Nephilim?</t>
  </si>
  <si>
    <t>What Do Ancient Texts Say About the Nephilim?</t>
  </si>
  <si>
    <t>What Are the Nephilim?{slug=nephilim}</t>
  </si>
  <si>
    <t>{slug=nephilim}</t>
  </si>
  <si>
    <t>What Are the Nephilim?</t>
  </si>
  <si>
    <t>Temple Mount: 7 Major Controversies and Their Context</t>
  </si>
  <si>
    <t>Temple Mount: 7 Things to Know Before You Visit</t>
  </si>
  <si>
    <t>Temple Mount: 7 Major Religious Significances</t>
  </si>
  <si>
    <t>Temple Mount: 7 Historical Milestones Explained</t>
  </si>
  <si>
    <t>Temple Mount: 7 Key Facts You Should Know{slug=temple-mount}</t>
  </si>
  <si>
    <t>{slug=temple-mount}</t>
  </si>
  <si>
    <t>Temple Mount: 7 Key Facts You Should Know</t>
  </si>
  <si>
    <t>Revelation Sign: How to Distinguish Prophecy-Claims from Interpretations</t>
  </si>
  <si>
    <t>How to Compare Main Views on the Revelation Sign</t>
  </si>
  <si>
    <t>Revelation Sign: A Practical Guide to Key Symbols and Meanings</t>
  </si>
  <si>
    <t>How to Study the Revelation Sign Step by Step</t>
  </si>
  <si>
    <t>Revelation Sign: How to Interpret the Woman Dragon and Child{slug=revelation-12-sign}</t>
  </si>
  <si>
    <t>{slug=revelation-12-sign}</t>
  </si>
  <si>
    <t>Revelation Sign: How to Interpret the Woman Dragon and Child</t>
  </si>
  <si>
    <t>Federal Reserve Act 1913: Quick Guide to Identifying Major Sections and Authorities</t>
  </si>
  <si>
    <t>How to Use the Federal Reserve Act 1913 Text for Legal Research</t>
  </si>
  <si>
    <t>Federal Reserve Act 1913: Step-by-Step Creation of the Federal Reserve System</t>
  </si>
  <si>
    <t>Federal Reserve Act 1913 Explained: A Guide to Its Purpose and Powers</t>
  </si>
  <si>
    <t>Federal Reserve Act 1913: How to Read Its Key Provisions{slug=federal-reserve-act-1913}</t>
  </si>
  <si>
    <t>{slug=federal-reserve-act-1913}</t>
  </si>
  <si>
    <t>Federal Reserve Act 1913: How to Read Its Key Provisions</t>
  </si>
  <si>
    <t>Whatâ€™s the science behind AIDSâ€”how is it â€œmanufacturedâ€?</t>
  </si>
  <si>
    <t>What role do HIV and treatment play in AIDS â€œmanufacturedâ€?</t>
  </si>
  <si>
    <t>What does the â€œAIDS manufacturedâ€ claim mean and is it true?</t>
  </si>
  <si>
    <t>What causes AIDS and how is it â€œmanufacturedâ€?</t>
  </si>
  <si>
    <t>What does â€œAIDS manufacturedâ€ mean?{slug=aids-manufactured}</t>
  </si>
  <si>
    <t>{slug=aids-manufactured}</t>
  </si>
  <si>
    <t>What does â€œAIDS manufacturedâ€ mean?</t>
  </si>
  <si>
    <t>How to Verify Jesuits Conspiracy Allegations Using Credible Research Methods</t>
  </si>
  <si>
    <t>How to Spot Logical Tricks in Jesuits Conspiracy Arguments Step-by-Step</t>
  </si>
  <si>
    <t>How to Trace Sources on the Jesuits Conspiracy From Posts to Primary Evidence</t>
  </si>
  <si>
    <t>How to Research the Jesuits Conspiracy Myth Without Propaganda</t>
  </si>
  <si>
    <t>How to Evaluate Jesuits Conspiracy Claims: A Fact-Check Checklist{slug=jesuits-conspiracy}</t>
  </si>
  <si>
    <t>{slug=jesuits-conspiracy}</t>
  </si>
  <si>
    <t>How to Evaluate Jesuits Conspiracy Claims: A Fact-Check Checklist</t>
  </si>
  <si>
    <t>Organ Harvesting: How Consent Screening and Traceability Should Work</t>
  </si>
  <si>
    <t>Organ Harvesting: How Medical and Legal Systems Prevent It</t>
  </si>
  <si>
    <t>Organ Harvesting: How to Evaluate Claims Evidence and Reports</t>
  </si>
  <si>
    <t>Organ Harvesting: How Authorities Investigate Allegations</t>
  </si>
  <si>
    <t>Organ Harvesting: Step by Step How It Works and What Happens{slug=organ-harvesting}</t>
  </si>
  <si>
    <t>{slug=organ-harvesting}</t>
  </si>
  <si>
    <t>Organ Harvesting: Step by Step How It Works and What Happens</t>
  </si>
  <si>
    <t>How to Debunk CERN Conspiracy Narratives Using Credible References</t>
  </si>
  <si>
    <t>How to Spot Misinformation in CERN Conspiracy Posts</t>
  </si>
  <si>
    <t>How to Verify CERN Conspiracy Evidence Using Primary Sources</t>
  </si>
  <si>
    <t>How to Fact-Check CERN Conspiracy Claims in 10 Minutes{slug=cern-conspiracy}</t>
  </si>
  <si>
    <t>{slug=cern-conspiracy}</t>
  </si>
  <si>
    <t>How to Fact-Check CERN Conspiracy Claims in 10 Minutes</t>
  </si>
  <si>
    <t>How to Investigate CERN Conspiracy Claims Step by Step</t>
  </si>
  <si>
    <t>How to Cross-Check â€œWorld Economic Forumâ€ conspiracy Predictions Using Primary Documents</t>
  </si>
  <si>
    <t>How to Track Funding Lobbying and Networks Behind the â€œWorld Economic Forumâ€ conspiracy</t>
  </si>
  <si>
    <t>How to Build a Timeline of the â€œWorld Economic Forumâ€ conspiracy Narrative (Sources Included)</t>
  </si>
  <si>
    <t>How to Vet â€œWorld Economic Forumâ€ conspiracy Evidence Without Falling for Hoaxes</t>
  </si>
  <si>
    <t>How to Investigate â€œWorld Economic Forumâ€ conspiracy Claims Step-by-Step{slug=world-economic-forum-conspiracy}</t>
  </si>
  <si>
    <t>{slug=world-economic-forum-conspiracy}</t>
  </si>
  <si>
    <t>How to Investigate â€œWorld Economic Forumâ€ conspiracy Claims Step-by-Step</t>
  </si>
  <si>
    <t>Project Veritas: Recent Updates You Should Know**</t>
  </si>
  <si>
    <t>Project Veritas: What Legal and Ethical Questions Did Its Methods Raise?</t>
  </si>
  <si>
    <t>Project Veritas: Three Key Investigations and What They Alleged</t>
  </si>
  <si>
    <t>Project Veritas: Three Major Controversies That Shaped Its Reputation</t>
  </si>
  <si>
    <t>Project Veritas: How It Operates and What It Claims{slug=project-veritas}</t>
  </si>
  <si>
    <t>{slug=project-veritas}</t>
  </si>
  <si>
    <t>Project Veritas: How It Operates and What It Claims</t>
  </si>
  <si>
    <t>Tic Tac UFO: What Are the Most Likely Explanations Considered?</t>
  </si>
  <si>
    <t>Tic Tac UFO: 7 Credibility Checks of Famous Sightings</t>
  </si>
  <si>
    <t>Tic Tac UFO: 7 Reports That Raised the Biggest Questions</t>
  </si>
  <si>
    <t>Tic Tac UFO: What Video Details Everyone Debates</t>
  </si>
  <si>
    <t>Tic Tac UFO: 7 Key Facts From Navy Encounters{slug=tic-tac-ufo}</t>
  </si>
  <si>
    <t>{slug=tic-tac-ufo}</t>
  </si>
  <si>
    <t>Tic Tac UFO: 7 Key Facts From Navy Encounters</t>
  </si>
  <si>
    <t>Underground Bases: Water Waste and Emergency Systems How-To Guide</t>
  </si>
  <si>
    <t>Underground Bases 101: Step-by-Step Construction Guide</t>
  </si>
  <si>
    <t>How Underground Bases Are Built: Materials Ventilation and Power Systems</t>
  </si>
  <si>
    <t>Underground Bases: Site Selection Tunneling and Structural Safety{slug=underground-bases}</t>
  </si>
  <si>
    <t>{slug=underground-bases}</t>
  </si>
  <si>
    <t>Underground Bases: Site Selection Tunneling and Structural Safety</t>
  </si>
  <si>
    <t>How to Build an Underground Base: Design Basics and Planning</t>
  </si>
  <si>
    <t>How to Build an Evidence Timeline for â€œClinton Body Countâ€ Claims</t>
  </si>
  <si>
    <t>How to Separate â€œClinton Body Countâ€ Rumors from Documented Facts</t>
  </si>
  <si>
    <t>How to Verify â€œClinton Body Countâ€ Statistics: A Step-by-Step Checklist</t>
  </si>
  <si>
    <t>How to Research â€œClinton Body Countâ€ Allegations Using Primary Sources</t>
  </si>
  <si>
    <t>How to Investigate â€œClinton Body Countâ€ Claims: A Fact-Check Guide{slug=clinton-body-count}</t>
  </si>
  <si>
    <t>{slug=clinton-body-count}</t>
  </si>
  <si>
    <t>How to Investigate â€œClinton Body Countâ€ Claims: A Fact-Check Guide</t>
  </si>
  <si>
    <t>What is the meaning of the Georgia Guidestones text?</t>
  </si>
  <si>
    <t>What is the Georgia Guidestones text line by line?</t>
  </si>
  <si>
    <t>What are the exact Georgia Guidestones text inscriptions?</t>
  </si>
  <si>
    <t>What is the full Georgia Guidestones text?</t>
  </si>
  <si>
    <t>What does the Georgia Guidestones text say?{slug=georgia-guidestones-text}</t>
  </si>
  <si>
    <t>{slug=georgia-guidestones-text}</t>
  </si>
  <si>
    <t>What does the Georgia Guidestones text say?</t>
  </si>
  <si>
    <t>How to Fact-Check suppressed inventions Stories: From Primary Documents to Conclusions</t>
  </si>
  <si>
    <t>How to Build a Timeline of suppressed inventions: An Evidence-First Method</t>
  </si>
  <si>
    <t>How to Investigate suppressed inventions Using Patents Court Records and Footnotes</t>
  </si>
  <si>
    <t>How to Verify suppressed inventions Claims: Checklists Archives and Red Flags</t>
  </si>
  <si>
    <t>How to Research suppressed inventions Sources{slug=suppressed-inventions}</t>
  </si>
  <si>
    <t>{slug=suppressed-inventions}</t>
  </si>
  <si>
    <t>How to Research suppressed inventions Sources</t>
  </si>
  <si>
    <t>What is an **ECHELON** formation and where is it used?</t>
  </si>
  <si>
    <t>What is the **ECHELON** effect in organizations?</t>
  </si>
  <si>
    <t>What does **ECHELON** mean in military strategy?</t>
  </si>
  <si>
    <t>What is **ECHELON** Fitness and how does it work?</t>
  </si>
  <si>
    <t>What does **ECHELON** mean?{slug=echelon}</t>
  </si>
  <si>
    <t>{slug=echelon}</t>
  </si>
  <si>
    <t>What does **ECHELON** mean?</t>
  </si>
  <si>
    <t>Bohemian Grove Cremation Care: How to Coordinate Final Wishes and Memorial Options</t>
  </si>
  <si>
    <t>Bohemian Grove Cremation Care: How to Prepare Paperwork and Decisions</t>
  </si>
  <si>
    <t>Bohemian Grove Cremation Care: A How-To Checklist for Cremation Arrangements</t>
  </si>
  <si>
    <t>Bohemian Grove Cremation Care: How to Choose Services and Providers</t>
  </si>
  <si>
    <t>Bohemian Grove Cremation Care: Step-by-Step How to Plan Cremation{slug=bohemian-grove-cremation-of-care}</t>
  </si>
  <si>
    <t>{slug=bohemian-grove-cremation-of-care}</t>
  </si>
  <si>
    <t>Bohemian Grove Cremation Care: Step-by-Step How to Plan Cremation</t>
  </si>
  <si>
    <t>What Was the Impact of **Operation Condor** on South American Repression?</t>
  </si>
  <si>
    <t>What Time Period Did **Operation Condor** Operate In?</t>
  </si>
  <si>
    <t>What Countries Were Involved in **Operation Condor**?</t>
  </si>
  <si>
    <t>What Was the Purpose of **Operation Condor**?</t>
  </si>
  <si>
    <t>What Was **Operation Condor**?{slug=operation-condor}</t>
  </si>
  <si>
    <t>{slug=operation-condor}</t>
  </si>
  <si>
    <t>What Was **Operation Condor**?</t>
  </si>
  <si>
    <t>How to Build a Checklist for Abraham Accords Prophecy Credibility</t>
  </si>
  <si>
    <t>How to Trace Abraham Accords Prophecy Argument Step by Step</t>
  </si>
  <si>
    <t>How to Verify Sources for Abraham Accords Prophecy Predictions</t>
  </si>
  <si>
    <t>How to Research Whether Abraham Accords Prophecy Is Biblical</t>
  </si>
  <si>
    <t>How to Evaluate Abraham Accords Prophecy Claims{slug=abraham-accords-prophecy}</t>
  </si>
  <si>
    <t>{slug=abraham-accords-prophecy}</t>
  </si>
  <si>
    <t>How to Evaluate Abraham Accords Prophecy Claims</t>
  </si>
  <si>
    <t>How to Practice One World Religion Values Without Blending Beliefs: A Guide</t>
  </si>
  <si>
    <t>How to Evaluate Who Supports One World Religion: A Practical Checklist</t>
  </si>
  <si>
    <t>How to Seek Common Ground for One World Religion Across Beliefs</t>
  </si>
  <si>
    <t>How to Assess One World Religion: Evidence Claims and Next Steps</t>
  </si>
  <si>
    <t>How to Understand One World Religion: A Step-by-Step Guide{slug=one-world-religion}</t>
  </si>
  <si>
    <t>{slug=one-world-religion}</t>
  </si>
  <si>
    <t>How to Understand One World Religion: A Step-by-Step Guide</t>
  </si>
  <si>
    <t>Armageddon: How to Create a Communication Plan When Cell Networks Fail</t>
  </si>
  <si>
    <t>Armageddon: How to Prepare for Power Outages and Stay Safe</t>
  </si>
  <si>
    <t>Armageddon: How to Build a Family Disaster Plan in 1 Weekend{slug=armageddon}</t>
  </si>
  <si>
    <t>{slug=armageddon}</t>
  </si>
  <si>
    <t>Armageddon: How to Build a Family Disaster Plan in 1 Weekend</t>
  </si>
  <si>
    <t>Armageddon: How to Plan an Emergency Kit for Any Major Crisis</t>
  </si>
  <si>
    <t>Armageddon: How to Spot End-Times Predictions and Verify Claims</t>
  </si>
  <si>
    <t>Abomination of Desolation: How to Understand Competing Interpretations Without Confusion</t>
  </si>
  <si>
    <t>Where Is the Abomination of Desolation in the Bible?</t>
  </si>
  <si>
    <t>Abomination of Desolation Explained: A How-To Guide to Its Meaning and Context</t>
  </si>
  <si>
    <t>Abomination of Desolation: How to Locate Its Biblical References Step by Step</t>
  </si>
  <si>
    <t>Abomination of Desolation: How to Identify the Prophecy in Your Bible Reading{slug=abomination-of-desolation}</t>
  </si>
  <si>
    <t>{slug=abomination-of-desolation}</t>
  </si>
  <si>
    <t>Abomination of Desolation: How to Identify the Prophecy in Your Bible Reading</t>
  </si>
  <si>
    <t>How to Study Great Tribulation in Daniel and Revelation (Practical Guide)</t>
  </si>
  <si>
    <t>Great Tribulation vs. Godâ€™s Wrath: A How-To Guide to Key Differences</t>
  </si>
  <si>
    <t>Surviving the Great Tribulation: A Biblical How-To for End-Times Faith</t>
  </si>
  <si>
    <t>Great Tribulation Timeline: How to Interpret When It Happens</t>
  </si>
  <si>
    <t>Understanding the Great Tribulation: A Step-by-Step Guide to Its Meaning{slug=great-tribulation}</t>
  </si>
  <si>
    <t>{slug=great-tribulation}</t>
  </si>
  <si>
    <t>Understanding the Great Tribulation: A Step-by-Step Guide to Its Meaning</t>
  </si>
  <si>
    <t>666 Meaning: How to Talk About It Without Spreading Fear Meaning</t>
  </si>
  <si>
    <t>666 Meaning: Separate Myths from Historical Explanations Meaning</t>
  </si>
  <si>
    <t>666 Meaning: How to Research the â€œNumber of the Beastâ€ Safely Meaning</t>
  </si>
  <si>
    <t>666 Meaning: How to Interpret It Meaning in Religion Culture and Media</t>
  </si>
  <si>
    <t>666 Meaning: Origins and Context Meaning{slug=666-meaning}</t>
  </si>
  <si>
    <t>{slug=666-meaning}</t>
  </si>
  <si>
    <t>666 Meaning: Origins and Context Meaning</t>
  </si>
  <si>
    <t>How to Interpret Psalm 83 War Without Speculation: 7 Bible Rules</t>
  </si>
  <si>
    <t>How to Pray Through Psalm 83 in a Current-Events Context</t>
  </si>
  <si>
    <t>How to Spot the Psalm 83 War Pattern: A Scriptural Checklist</t>
  </si>
  <si>
    <t>How to Study Psalm 83 Like a Bible Scholar Step-by-Step Guide</t>
  </si>
  <si>
    <t>How to Understand Psalm 83 War Prophecy in Plain English{slug=psalm-83-war}</t>
  </si>
  <si>
    <t>{slug=psalm-83-war}</t>
  </si>
  <si>
    <t>How to Understand Psalm 83 War Prophecy in Plain English</t>
  </si>
  <si>
    <t>How to Apply Isaiah 17â€™s Prophecy About Damascus to Bible Study Today</t>
  </si>
  <si>
    <t>How to Compare Christian and Jewish Readings of Isaiah 17 and Damascus</t>
  </si>
  <si>
    <t>How to Interpret Isaiah 17 and Damascus Using Historical Context</t>
  </si>
  <si>
    <t>How to Study Isaiah 17â€™s Message About Damascus Step by Step</t>
  </si>
  <si>
    <t>How to Understand Isaiah 17 and Damascus in Bible Prophecy{slug=isaiah-17-damascus}</t>
  </si>
  <si>
    <t>{slug=isaiah-17-damascus}</t>
  </si>
  <si>
    <t>How to Understand Isaiah 17 and Damascus in Bible Prophecy</t>
  </si>
  <si>
    <t>How to Follow Red Heifer Prophecy Updates: Credible Signals to Track</t>
  </si>
  <si>
    <t>How to Interpret Red Heifer Prophecy Responsibly Without Myths</t>
  </si>
  <si>
    <t>How to Evaluate Red Heifer Prophecy Claims: What to Check and Why</t>
  </si>
  <si>
    <t>How to Research Red Heifer Prophecy: Biblical and Talmudic References</t>
  </si>
  <si>
    <t>How to Understand the Red Heifer Prophecy: Sources Meaning Timeline{slug=red-heifer-prophecy}</t>
  </si>
  <si>
    <t>{slug=red-heifer-prophecy}</t>
  </si>
  <si>
    <t>How to Understand the Red Heifer Prophecy: Sources Meaning Timeline</t>
  </si>
  <si>
    <t>Two Witnesses Revelation: Practical Method to Understand Revelation 11 Context{slug=two-witnesses-revelation}</t>
  </si>
  <si>
    <t>{slug=two-witnesses-revelation}</t>
  </si>
  <si>
    <t>Two Witnesses Revelation: Practical Method to Understand Revelation 11 Context</t>
  </si>
  <si>
    <t>Two Witnesses Revelation: How to Evaluate Common Interpretations with Scripture</t>
  </si>
  <si>
    <t>Two Witnesses Revelation: How to Study the Text and Compare Cross-References</t>
  </si>
  <si>
    <t>Two Witnesses Revelation: Step-by-Step Guide to Their Identity and Role</t>
  </si>
  <si>
    <t>Two Witnesses Revelation: How to Identify Them from Revelation 11</t>
  </si>
  <si>
    <t>How to Build a Source Map for Israel Palestine Conspiracy Claims Who Says What and Why</t>
  </si>
  <si>
    <t>How to Investigate Israel Palestine Conspiracy Theories Without Spreading Misinformation</t>
  </si>
  <si>
    <t>How to Spot Manipulation in Israel Palestine Conspiracy Videos and Posts</t>
  </si>
  <si>
    <t>How to Fact-Check Israel Palestine Conspiracy Narratives Using Sources and Evidence</t>
  </si>
  <si>
    <t>How to Evaluate Israel Palestine Conspiracy Claims: Step-by-Step Checklist{slug=israel-palestine-conspiracy}</t>
  </si>
  <si>
    <t>{slug=israel-palestine-conspiracy}</t>
  </si>
  <si>
    <t>How to Evaluate Israel Palestine Conspiracy Claims: Step-by-Step Checklist</t>
  </si>
  <si>
    <t>How to Respond to Globalist Agenda Arguments in Conversations Step by Step</t>
  </si>
  <si>
    <t>How to Evaluate Globalist Agenda Predictions: Verify Compare Conclude</t>
  </si>
  <si>
    <t>How to Build a Case for the Globalist Agenda Using Primary Sources</t>
  </si>
  <si>
    <t>How to Research Globalist Agenda Evidence Without Falling for Spin</t>
  </si>
  <si>
    <t>How to Spot the Globalist Agenda Claims: A Checklist (2026){slug=globalist-agenda}</t>
  </si>
  <si>
    <t>{slug=globalist-agenda}</t>
  </si>
  <si>
    <t>How to Spot the Globalist Agenda Claims: A Checklist (2026)</t>
  </si>
  <si>
    <t>NSA Wiretapping: How to Protect Yourself and Verify Security Settings**</t>
  </si>
  <si>
    <t>NSA Wiretapping: How to File FOIA Requests and Track Declassified Records</t>
  </si>
  <si>
    <t>NSA Wiretapping: How to Research What Was Authorized and Reported</t>
  </si>
  <si>
    <t>NSA Wiretapping: A Step-by-Step Guide to How Surveillance Works</t>
  </si>
  <si>
    <t>NSA Wiretapping: How to Understand the Legal Process and Oversight{slug=nsa-wiretapping}</t>
  </si>
  <si>
    <t>{slug=nsa-wiretapping}</t>
  </si>
  <si>
    <t>NSA Wiretapping: How to Understand the Legal Process and Oversight</t>
  </si>
  <si>
    <t>How to Compile a Credible MK Ultra Survivors Evidence Checklist</t>
  </si>
  <si>
    <t>How to Trace Primary Sources on MK Ultra Survivors</t>
  </si>
  <si>
    <t>How to Find Timelines and Testimonies of MK Ultra Survivors</t>
  </si>
  <si>
    <t>How to Verify Claims from MK Ultra Survivors</t>
  </si>
  <si>
    <t>How to Research MK Ultra Survivors{slug=mk-ultra-survivors}</t>
  </si>
  <si>
    <t>{slug=mk-ultra-survivors}</t>
  </si>
  <si>
    <t>How to Research MK Ultra Survivors</t>
  </si>
  <si>
    <t>Revelation Timeline: A Practical How-To for Summarizing the End-Time Sequence**</t>
  </si>
  <si>
    <t>Revelation Timeline: How to Organize Visions by Period Without Getting Lost</t>
  </si>
  <si>
    <t>Revelation Timeline: The Simple Guide to Build a Dates-and-Sequences Chart</t>
  </si>
  <si>
    <t>Revelation Timeline: How to Break Down Every Major Event Chronologically</t>
  </si>
  <si>
    <t>Revelation Timeline: A Step-by-Step Guide to Map Each Prophecy in Order{slug=revelation-timeline}</t>
  </si>
  <si>
    <t>{slug=revelation-timeline}</t>
  </si>
  <si>
    <t>Revelation Timeline: A Step-by-Step Guide to Map Each Prophecy in Order</t>
  </si>
  <si>
    <t>How to Study Matthew Signs and Apply Them to Daily Life</t>
  </si>
  <si>
    <t>A Practical How-To for Reading Matthew Signs Biblically</t>
  </si>
  <si>
    <t>How to Interpret Matthew Signs in Context</t>
  </si>
  <si>
    <t>Matthew Signs: A Step-by-Step Guide to Their Meaning</t>
  </si>
  <si>
    <t>How to Understand Matthew Signs{slug=matthew-24-signs}</t>
  </si>
  <si>
    <t>{slug=matthew-24-signs}</t>
  </si>
  <si>
    <t>How to Understand Matthew Signs</t>
  </si>
  <si>
    <t>How to Build a Case For or Against a Pharmaceutical Conspiracy Method &amp; Checklist</t>
  </si>
  <si>
    <t>Pharmaceutical Conspiracy A Practical Guide to Finding Primary Documents</t>
  </si>
  <si>
    <t>How to Spot Pharmaceutical Conspiracy Narratives and Their Weak Links</t>
  </si>
  <si>
    <t>Pharmaceutical Conspiracy How to Fact-Check Sources and Evidence</t>
  </si>
  <si>
    <t>How to Investigate Pharmaceutical Conspiracy Claims Step-by-Step{slug=pharmaceutical-conspiracy}</t>
  </si>
  <si>
    <t>{slug=pharmaceutical-conspiracy}</t>
  </si>
  <si>
    <t>How to Investigate Pharmaceutical Conspiracy Claims Step-by-Step</t>
  </si>
  <si>
    <t>How to Document a Food Industry Conspiracy Without Falling for Scams</t>
  </si>
  <si>
    <t>How to Trace Supplier Chains for a Food Industry Conspiracy</t>
  </si>
  <si>
    <t>How to Build Evidence for a Food Industry Conspiracy: A Checklist</t>
  </si>
  <si>
    <t>How to Spot Food Industry Conspiracy in Labels and Ingredients</t>
  </si>
  <si>
    <t>How to Investigate a Food Industry Conspiracy (2026 Guide){slug=food-industry-conspiracy}</t>
  </si>
  <si>
    <t>{slug=food-industry-conspiracy}</t>
  </si>
  <si>
    <t>How to Investigate a Food Industry Conspiracy (2026 Guide)</t>
  </si>
  <si>
    <t>Central Banking Conspiracy: How to Evaluate Allegations Without Manipulation</t>
  </si>
  <si>
    <t>Central Banking Conspiracy: How to Build and Test Your Evidence Case</t>
  </si>
  <si>
    <t>Central Banking Conspiracy: How to Trace â€œProofâ€ Across Sources</t>
  </si>
  <si>
    <t>Central Banking Conspiracy: How to Spot Coordinated Narratives in Policy</t>
  </si>
  <si>
    <t>Central Banking Conspiracy: Investigating Claims Like a Pro{slug=central-banking-conspiracy}</t>
  </si>
  <si>
    <t>{slug=central-banking-conspiracy}</t>
  </si>
  <si>
    <t>Central Banking Conspiracy: Investigating Claims Like a Pro</t>
  </si>
  <si>
    <t>Wuhan lab leak: 5 status updates on the investigation and evidence</t>
  </si>
  <si>
    <t>Wuhan lab leak: 5 competing hypotheses compared</t>
  </si>
  <si>
    <t>Wuhan lab leak: 5 pieces of evidence citedâ€”what we know</t>
  </si>
  <si>
    <t>Wuhan lab leak: 5 timeline milestones and turning points</t>
  </si>
  <si>
    <t>Wuhan lab leak: 5 key claims in the debate{slug=wuhan-lab-leak}</t>
  </si>
  <si>
    <t>{slug=wuhan-lab-leak}</t>
  </si>
  <si>
    <t>Wuhan lab leak: 5 key claims in the debate</t>
  </si>
  <si>
    <t>Operation CHAOS: A Beginnerâ€™s Guide to Interpreting Cold War Context and Impact</t>
  </si>
  <si>
    <t>Operation CHAOS: How to Research CIA-Related â€œChaosâ€ Operations Effectively</t>
  </si>
  <si>
    <t>Operation CHAOS: How to Build a Reliable Timeline from Declassified Sources</t>
  </si>
  <si>
    <t>Operation CHAOS: A Step-by-Step Guide to Understanding Its Purpose</t>
  </si>
  <si>
    <t>Operation CHAOS: How to Trace Its Origins and Verify Key Claims{slug=operation-chaos}</t>
  </si>
  <si>
    <t>{slug=operation-chaos}</t>
  </si>
  <si>
    <t>Operation CHAOS: How to Trace Its Origins and Verify Key Claims</t>
  </si>
  <si>
    <t>How to Evaluate Modern Predictions About the Ezekiel War</t>
  </si>
  <si>
    <t>How to Build a Bible Study Plan for the Ezekiel War</t>
  </si>
  <si>
    <t>How to Research the Ezekiel War Claim Without Getting Misled</t>
  </si>
  <si>
    <t>How to Interpret the Ezekiel War and Its Future Timing</t>
  </si>
  <si>
    <t>How to Understand the Ezekiel War Prophecy (Ezekiel 38â€“39){slug=ezekiel-38-war}</t>
  </si>
  <si>
    <t>{slug=ezekiel-38-war}</t>
  </si>
  <si>
    <t>How to Understand the Ezekiel War Prophecy (Ezekiel 38â€“39)</t>
  </si>
  <si>
    <t>How to Apply Daniel Prophecy Key Themes &amp; Takeaways</t>
  </si>
  <si>
    <t>How to Build a Daniel Prophecy Reading Plan</t>
  </si>
  <si>
    <t>How to Interpret Daniel Prophecy Visions</t>
  </si>
  <si>
    <t>How to Study Daniel Prophecy Step by Step</t>
  </si>
  <si>
    <t>How to Understand Daniel Prophecy (Daniel 1â€“12){slug=daniel-prophecy}</t>
  </si>
  <si>
    <t>{slug=daniel-prophecy}</t>
  </si>
  <si>
    <t>How to Understand Daniel Prophecy (Daniel 1â€“12)</t>
  </si>
  <si>
    <t>How to Trace Policies Allegedly Linked to a Depopulation Agenda</t>
  </si>
  <si>
    <t>How to Spot Red Flags in Depopulation Agenda Narratives</t>
  </si>
  <si>
    <t>How to Investigate Evidence Behind a Depopulation Agenda</t>
  </si>
  <si>
    <t>How to Fact-Check Depopulation Agenda Conspiracy Theories</t>
  </si>
  <si>
    <t>How to Evaluate Depopulation Agenda Claims{slug=depopulation-agenda}</t>
  </si>
  <si>
    <t>{slug=depopulation-agenda}</t>
  </si>
  <si>
    <t>How to Evaluate Depopulation Agenda Claims</t>
  </si>
  <si>
    <t>Water Fluoridation Checklist: How to Evaluate Health and Safety Impacts</t>
  </si>
  <si>
    <t>How to Start Water Fluoridation: Best Practices for Testing and Control</t>
  </si>
  <si>
    <t>Water Fluoridation Explained: How to Set Dosage and Monitor Levels</t>
  </si>
  <si>
    <t>Water Fluoridation Guide: How to Implement Fluoride in Public Supplies</t>
  </si>
  <si>
    <t>Water Fluoridation: How It Works Step by Step{slug=water-fluoridation}</t>
  </si>
  <si>
    <t>{slug=water-fluoridation}</t>
  </si>
  <si>
    <t>Water Fluoridation: How It Works Step by Step</t>
  </si>
  <si>
    <t>What Would a Transhumanism Future Change for Humanity?</t>
  </si>
  <si>
    <t>What Ethical Debates Surround Transhumanism?</t>
  </si>
  <si>
    <t>What Is the History of Transhumanism and Its Major Thinkers?</t>
  </si>
  <si>
    <t>What Are the Core Ideas Behind Transhumanism?</t>
  </si>
  <si>
    <t>What Is Transhumanism and What Does It Aim to Achieve?{slug=transhumanism}</t>
  </si>
  <si>
    <t>{slug=transhumanism}</t>
  </si>
  <si>
    <t>What Is Transhumanism and What Does It Aim to Achieve?</t>
  </si>
  <si>
    <t>Project Blue Book: Why It Was Createdâ€”and Why It Ended**</t>
  </si>
  <si>
    <t>Project Blue Book: 7 Official Findings and Conclusions Over Time</t>
  </si>
  <si>
    <t>Project Blue Book: 7 Methods Used to Analyze UFO Reports</t>
  </si>
  <si>
    <t>Project Blue Book: 7 Major Cases Investigated by the U.S. Air Force</t>
  </si>
  <si>
    <t>Project Blue Book: 7 Key Dates That Shaped the U.S. UFO Study{slug=project-blue-book}</t>
  </si>
  <si>
    <t>{slug=project-blue-book}</t>
  </si>
  <si>
    <t>Project Blue Book: 7 Key Dates That Shaped the U.S. UFO Study</t>
  </si>
  <si>
    <t>Rockefeller Conspiracy: How to Build a Timeline and Evaluate Evidence**</t>
  </si>
  <si>
    <t>Rockefeller Conspiracy: How to Spot Common Misinformation Tactics</t>
  </si>
  <si>
    <t>Rockefeller Conspiracy: How to Map Influence Claims Using Primary Documents</t>
  </si>
  <si>
    <t>Rockefeller Conspiracy: How to Fact-Check Allegations Step by Step</t>
  </si>
  <si>
    <t>Rockefeller Conspiracy: How to Research Claims Sources and Proof{slug=rockefeller-conspiracy}</t>
  </si>
  <si>
    <t>{slug=rockefeller-conspiracy}</t>
  </si>
  <si>
    <t>Rockefeller Conspiracy: How to Research Claims Sources and Proof</t>
  </si>
  <si>
    <t>How to Separate Shadow Government Conspiracy Claims from Real Government Data</t>
  </si>
  <si>
    <t>How to Build a Timeline of Shadow Government Allegations Without Misinformation</t>
  </si>
  <si>
    <t>How to Evaluate Shadow Government Evidence from Trusted Sources</t>
  </si>
  <si>
    <t>How to Research Shadow Government Theory Safely and Factually</t>
  </si>
  <si>
    <t>How to Spot Shadow Government Claims and Verify Them{slug=shadow-government}</t>
  </si>
  <si>
    <t>{slug=shadow-government}</t>
  </si>
  <si>
    <t>How to Spot Shadow Government Claims and Verify Them</t>
  </si>
  <si>
    <t>How to Separate Real DARPA Projects from â€œDARPA Conspiracyâ€ Narratives: A Guide â†’ **How to Separate Real DARPA Projects from DARPA Conspiracy Narratives**</t>
  </si>
  <si>
    <t>How to Evaluate Evidence in DARPA Conspiracy Allegations: A Practical Framework â†’ **How to Evaluate Evidence in DARPA Conspiracy Allegations</t>
  </si>
  <si>
    <t>How to Trace the Origins of a â€œDARPA Conspiracyâ€ Rumor: Sources and Methods â†’ **How to Trace DARPA Conspiracy Rumor Origins</t>
  </si>
  <si>
    <t>How to Fact-Check a DARPA Conspiracy Theory (Without Falling for Misinformation) â†’ **How to Fact-Check DARPA Conspiracy Theories</t>
  </si>
  <si>
    <t>How to Investigate DARPA Conspiracy Claims: A Step-by-Step Checklist â†’ **How to Investigate DARPA Conspiracy Claims{slug=darpa-conspiracy}</t>
  </si>
  <si>
    <t>{slug=darpa-conspiracy}</t>
  </si>
  <si>
    <t>How to Investigate DARPA Conspiracy Claims: A Step-by-Step Checklist â†’ **How to Investigate DARPA Conspiracy Claims</t>
  </si>
  <si>
    <t>Bilderberg 2026: 5 GrÃ¼nde warum das Treffen 2026 besonders relevant ist</t>
  </si>
  <si>
    <t>Bilderberg 2026: 5 Wege wie du die neuesten Infos und Updates zuverlÃ¤ssig findest</t>
  </si>
  <si>
    <t>Bilderberg 2026: 5 Hinweise zu Teilnehmern und Netzwerken hinter den Kulissen</t>
  </si>
  <si>
    <t>Bilderberg 2026: 5 mÃ¶gliche Themen die die Agenda prÃ¤gen kÃ¶nnten</t>
  </si>
  <si>
    <t>Bilderberg 2026: 5 Dinge die du Ã¼ber Datum Ort und Ablauf wissen solltest{slug=bilderberg-2026}</t>
  </si>
  <si>
    <t>{slug=bilderberg-2026}</t>
  </si>
  <si>
    <t>Bilderberg 2026: 5 Dinge die du Ã¼ber Datum Ort und Ablauf wissen solltest</t>
  </si>
  <si>
    <t>How to Debunk the Satanic Panic: Recognizing Media and Courtroom Misinformation</t>
  </si>
  <si>
    <t>How to Teach Satanic Panic in Class: A Step-by-Step Lesson Plan</t>
  </si>
  <si>
    <t>How to Spot Satanic Panic Tactics: Fear Rumors and Moral Panic</t>
  </si>
  <si>
    <t>How to Research the Satanic Panic: Sources Myths and Evidence</t>
  </si>
  <si>
    <t>How to Understand the Satanic Panic: Timeline and Key Claims{slug=satanic-panic}</t>
  </si>
  <si>
    <t>{slug=satanic-panic}</t>
  </si>
  <si>
    <t>How to Understand the Satanic Panic: Timeline and Key Claims</t>
  </si>
  <si>
    <t>What Credible Numbers Exist for Black Budget Costs?</t>
  </si>
  <si>
    <t>What Are Real-World Examples of Black Budget Spending?</t>
  </si>
  <si>
    <t>What Controls the Black Budget?</t>
  </si>
  <si>
    <t>What Is Included in a Black Budget?</t>
  </si>
  <si>
    <t>What Is a Black Budget?{slug=black-budget}</t>
  </si>
  <si>
    <t>{slug=black-budget}</t>
  </si>
  <si>
    <t>What Is a Black Budget?</t>
  </si>
  <si>
    <t>How to Spot Four Horsemen References in Modern Writing</t>
  </si>
  <si>
    <t>Four Horsemen of the Apocalypse: Step-by-Step Meaning Guide</t>
  </si>
  <si>
    <t>How to Interpret the Four Horsemen in Scripture and History</t>
  </si>
  <si>
    <t>Four Horsemen: A How-to Guide to Their Meaning</t>
  </si>
  <si>
    <t>How to Understand the Four Horsemen in Revelation?{slug=four-horsemen}</t>
  </si>
  <si>
    <t>{slug=four-horsemen}</t>
  </si>
  <si>
    <t>How to Understand the Four Horsemen in Revelation?</t>
  </si>
  <si>
    <t>How to Map the Seven Seals in Revelation to End-Time Events How-To Guide</t>
  </si>
  <si>
    <t>How to Interpret the Seven Seals in Revelation Meaning and How-To</t>
  </si>
  <si>
    <t>How to Study the Seven Seals in Revelation in Order Practical Guide</t>
  </si>
  <si>
    <t>How to Read the Seven Seals in Revelation: A Beginnerâ€™s How-To</t>
  </si>
  <si>
    <t>How to Understand the Seven Seals in Revelation Step-by-Step{slug=seven-seals-revelation}</t>
  </si>
  <si>
    <t>{slug=seven-seals-revelation}</t>
  </si>
  <si>
    <t>How to Understand the Seven Seals in Revelation Step-by-Step</t>
  </si>
  <si>
    <t>Rendlesham Forest: How to Photograph the Area Responsibly and Avoid Restricted Spots</t>
  </si>
  <si>
    <t>Rendlesham Forest: How to Find Key Locations and Follow the Self-Guided Route</t>
  </si>
  <si>
    <t>Rendlesham Forest: How to Plan Your Walks Parking and Best Time to Go</t>
  </si>
  <si>
    <t>Rendlesham Forest: A How-To Guide for Exploring UFO History Sites</t>
  </si>
  <si>
    <t>Rendlesham Forest: How to Visit and What to Know Before You Go{slug=rendlesham-forest}</t>
  </si>
  <si>
    <t>{slug=rendlesham-forest}</t>
  </si>
  <si>
    <t>Rendlesham Forest: How to Visit and What to Know Before You Go</t>
  </si>
  <si>
    <t>Fractional Reserve Banking: A Beginnerâ€™s How-To for Fractional Reserves and Liquidity</t>
  </si>
  <si>
    <t>Fractional Reserve Banking in Practice: How Bank Runs Happen (and What to Do)</t>
  </si>
  <si>
    <t>Fractional Reserve Banking: How to Understand Cash Reserves and Withdrawals</t>
  </si>
  <si>
    <t>Fractional Reserve Banking Explained: A How-To Guide to Bank Lending</t>
  </si>
  <si>
    <t>Fractional Reserve Banking: How Banks Create Money Step by Step{slug=fractional-reserve-banking}</t>
  </si>
  <si>
    <t>{slug=fractional-reserve-banking}</t>
  </si>
  <si>
    <t>Fractional Reserve Banking: How Banks Create Money Step by Step</t>
  </si>
  <si>
    <t>Lavon Affair: How to Assess Why It Mattered Historically**</t>
  </si>
  <si>
    <t>Lavon Affair: How to Write a Fact-Based Summary Without Bias</t>
  </si>
  <si>
    <t>Lavon Affair: How to Understand the Motives Behind the Operation</t>
  </si>
  <si>
    <t>Lavon Affair: How to Identify Key Players and Roles</t>
  </si>
  <si>
    <t>Lavon Affair: How to Explain Its Timeline Clearly{slug=lavon-affair}</t>
  </si>
  <si>
    <t>{slug=lavon-affair}</t>
  </si>
  <si>
    <t>Lavon Affair: How to Explain Its Timeline Clearly</t>
  </si>
  <si>
    <t>Project ARTICHOKE: Summarize the Purpose Methods and Impact</t>
  </si>
  <si>
    <t>Project ARTICHOKE: How to Verify Claims and Avoid Misinformation</t>
  </si>
  <si>
    <t>Project ARTICHOKE: How to Build a Timeline of Events</t>
  </si>
  <si>
    <t>Project ARTICHOKE: How to Research Primary Sources</t>
  </si>
  <si>
    <t>Project ARTICHOKE: Identify the Real History and Key Details{slug=project-artichoke}</t>
  </si>
  <si>
    <t>{slug=project-artichoke}</t>
  </si>
  <si>
    <t>Project ARTICHOKE: Identify the Real History and Key Details</t>
  </si>
  <si>
    <t>Tuskegee Experiment: How to Use Primary Sources to Learn What Really Happened**</t>
  </si>
  <si>
    <t>Tuskegee Experiment: How to Write a Clear Explainer with Major Events</t>
  </si>
  <si>
    <t>Tuskegee Experiment: How to Research Key People Institutions and Evidence</t>
  </si>
  <si>
    <t>Tuskegee Experiment: How to Evaluate the Ethical Failures and Learn Key Lessons</t>
  </si>
  <si>
    <t>Tuskegee Experiment: How to Understand the History and Timeline{slug=tuskegee-experiment}</t>
  </si>
  <si>
    <t>{slug=tuskegee-experiment}</t>
  </si>
  <si>
    <t>Tuskegee Experiment: How to Understand the History and Timeline</t>
  </si>
  <si>
    <t>Club Rome: How to Use Its Framework to Evaluate Global Risks Today</t>
  </si>
  <si>
    <t>Club Rome: How to Learn About Its History Members and Methodology Fast</t>
  </si>
  <si>
    <t>Club Rome: How to Follow Its Environmental and Economic Ideas Step by Step</t>
  </si>
  <si>
    <t>Club Rome: How to Track Its Key Reports and Policy Influence</t>
  </si>
  <si>
    <t>Club Rome: How to Understand Its Global Impact in 10 Minutes{slug=club-of-rome}</t>
  </si>
  <si>
    <t>{slug=club-of-rome}</t>
  </si>
  <si>
    <t>Club Rome: How to Understand Its Global Impact in 10 Minutes</t>
  </si>
  <si>
    <t>Phoenix Lights: How to Find Primary Reports Videos and Maps Online</t>
  </si>
  <si>
    <t>Phoenix Lights: How to Compare Official Explanations vs. UFO Theories</t>
  </si>
  <si>
    <t>Phoenix Lights: How to Build a Timeline of the 1997 Events</t>
  </si>
  <si>
    <t>Phoenix Lights: How to Verify Eyewitness Claims and Avoid Misinformation</t>
  </si>
  <si>
    <t>Phoenix Lights: How to Research the 1997 Sighting Like a Pro{slug=phoenix-lights}</t>
  </si>
  <si>
    <t>{slug=phoenix-lights}</t>
  </si>
  <si>
    <t>Phoenix Lights: How to Research the 1997 Sighting Like a Pro</t>
  </si>
  <si>
    <t>How to Build a Chronology of October Surprise 1980 Events U.S. Politics &amp; Iran</t>
  </si>
  <si>
    <t>How to Understand October Surprise 1980 Evidence A Step-by-Step Guide</t>
  </si>
  <si>
    <t>How to Fact-Check October Surprise 1980 Claims</t>
  </si>
  <si>
    <t>How to Trace October Surprise 1980 Iran Hostage Timeline and Key Players</t>
  </si>
  <si>
    <t>How to Research October Surprise 1980 (and What Really Happened){slug=october-surprise-1980}</t>
  </si>
  <si>
    <t>{slug=october-surprise-1980}</t>
  </si>
  <si>
    <t>How to Research October Surprise 1980 (and What Really Happened)</t>
  </si>
  <si>
    <t>How to Write a Credible Historical Summary Using Verified Evidence: USS Liberty</t>
  </si>
  <si>
    <t>How to Locate and Interpret Declassified Documents Online: USS Liberty</t>
  </si>
  <si>
    <t>How to Evaluate Competing Accounts and Claims Responsibly: USS Liberty</t>
  </si>
  <si>
    <t>How to Build a Timeline of Events (1967) from Primary Sources: USS Liberty</t>
  </si>
  <si>
    <t>How to Research the 1967 USS Liberty Incident Step by Step{slug=uss-liberty}</t>
  </si>
  <si>
    <t>{slug=uss-liberty}</t>
  </si>
  <si>
    <t>How to Research the 1967 USS Liberty Incident Step by Step</t>
  </si>
  <si>
    <t>How to Create a Roswell incident Case File: Timeline Witnesses and Corroboration Tips</t>
  </si>
  <si>
    <t>How to Build a Roswell incident Evidence Board: Key Documents Checklist</t>
  </si>
  <si>
    <t>How to Compare Explanations for the Roswell incident UFO vs. Balloon vs. Cover-Up</t>
  </si>
  <si>
    <t>How to Fact-Check the Roswell incident Claims: Sources Evidence and Methods</t>
  </si>
  <si>
    <t>How to Research the Roswell incident: A Step-by-Step Timeline Guide{slug=roswell-incident}</t>
  </si>
  <si>
    <t>{slug=roswell-incident}</t>
  </si>
  <si>
    <t>How to Research the Roswell incident: A Step-by-Step Timeline Guide</t>
  </si>
  <si>
    <t>How to Build a Source-Backed Timeline of an Executive Orders Conspiracy</t>
  </si>
  <si>
    <t>How to Spot Misinformation in Executive Orders Conspiracy Narratives</t>
  </si>
  <si>
    <t>How to Research an Executive Orders Conspiracy Step by Step From Order to Impact</t>
  </si>
  <si>
    <t>How to Verify Executive Orders Conspiracy Videos Using Primary Sources</t>
  </si>
  <si>
    <t>How to Investigate an Executive Orders Conspiracy Claim Evidence Checklist{slug=executive-orders-conspiracy}</t>
  </si>
  <si>
    <t>{slug=executive-orders-conspiracy}</t>
  </si>
  <si>
    <t>How to Investigate an Executive Orders Conspiracy Claim Evidence Checklist</t>
  </si>
  <si>
    <t>What Should You Know About Missing 411?</t>
  </si>
  <si>
    <t>What Makes a Missing 411 Case?</t>
  </si>
  <si>
    <t>What Are Missing 411 Cases About?</t>
  </si>
  <si>
    <t>What Does Missing 411 Really Show?</t>
  </si>
  <si>
    <t>What Is Missing 411?{slug=missing-411}</t>
  </si>
  <si>
    <t>{slug=missing-411}</t>
  </si>
  <si>
    <t>What Is Missing 411?</t>
  </si>
  <si>
    <t>How to Turn Agenda 2030 into Action: A Step-by-Step Guide</t>
  </si>
  <si>
    <t>How to Align Your Organization with Agenda 2030 Goals</t>
  </si>
  <si>
    <t>How to Track Progress on Agenda 2030 with SDG Indicators</t>
  </si>
  <si>
    <t>How to Use Agenda 2030 to Plan Sustainability Strategy</t>
  </si>
  <si>
    <t>How to Understand Agenda 2030 and the SDGs{slug=agenda-2030}</t>
  </si>
  <si>
    <t>{slug=agenda-2030}</t>
  </si>
  <si>
    <t>How to Understand Agenda 2030 and the SDGs</t>
  </si>
  <si>
    <t>How to Track Rumors Back to Original Documents in Vatican Secrets?</t>
  </si>
  <si>
    <t>How to Build a Timeline of Controversial Vatican Events From Vatican Secrets?</t>
  </si>
  <si>
    <t>How to Find Reliable Sources in Vatican History Using Vatican Secrets</t>
  </si>
  <si>
    <t>How to Verify Claims and Avoid Misinformation About Vatican Secrets?{slug=vatican-secrets}</t>
  </si>
  <si>
    <t>{slug=vatican-secrets}</t>
  </si>
  <si>
    <t>How to Verify Claims and Avoid Misinformation About Vatican Secrets?</t>
  </si>
  <si>
    <t>How to Research Vatican Mysteries Responsibly</t>
  </si>
  <si>
    <t>Best Ways to Use Dulce Base at Home?</t>
  </si>
  <si>
    <t>What Is the Difference Between Dulce Base and Similar Bases?</t>
  </si>
  <si>
    <t>What Does Dulce Base Contain?</t>
  </si>
  <si>
    <t>What Can You Use Dulce Base For?</t>
  </si>
  <si>
    <t>What Is Dulce Base?{slug=dulce-base}</t>
  </si>
  <si>
    <t>{slug=dulce-base}</t>
  </si>
  <si>
    <t>What Is Dulce Base?</t>
  </si>
  <si>
    <t>Nikola Tesla Conspiracy: How to Research Hidden Inventions Without Falling for Myths</t>
  </si>
  <si>
    <t>Nikola Tesla Conspiracy: How to Evaluate Evidence Hoaxes and Misquotes</t>
  </si>
  <si>
    <t>Nikola Tesla Conspiracy: How to Build a Timeline of Alleged â€œSecrecyâ€ Events</t>
  </si>
  <si>
    <t>Nikola Tesla Conspiracy: How to Verify or Debunk Cover-Up Stories Using Primary Sources</t>
  </si>
  <si>
    <t>Nikola Tesla Conspiracy: How to Trace the Most Common Claims Step by Step{slug=nikola-tesla-conspiracy}</t>
  </si>
  <si>
    <t>{slug=nikola-tesla-conspiracy}</t>
  </si>
  <si>
    <t>Nikola Tesla Conspiracy: How to Trace the Most Common Claims Step by Step</t>
  </si>
  <si>
    <t>Protocols of Zion: How to Analyze the Source Citations and Editing History**</t>
  </si>
  <si>
    <t>Protocols of Zion: How to Research the Documentâ€™s History Without Falling for Conspiracies</t>
  </si>
  <si>
    <t>Protocols of Zion: How to Evaluate â€œAuthenticityâ€ Claims Step by Step</t>
  </si>
  <si>
    <t>Protocols of Zion: How to Fact-Check the Text and Spot Propaganda Techniques</t>
  </si>
  <si>
    <t>Protocols of Zion: How to Verify Its Claims and Trace Origins{slug=protocols-of-zion}</t>
  </si>
  <si>
    <t>{slug=protocols-of-zion}</t>
  </si>
  <si>
    <t>Protocols of Zion: How to Verify Its Claims and Trace Origins</t>
  </si>
  <si>
    <t>How to Study Rothschild Banking Credibly: A Guide to Verifying Claims and Facts â†’ **How to Study Rothschild Banking Credibly by Verifying Claims and Facts?</t>
  </si>
  <si>
    <t>How to Learn Rothschild Banking Operations: A Practical Guide to Major Periods â†’ **How to Learn Rothschild Banking Operations Across Major Periods?</t>
  </si>
  <si>
    <t>How to Trace Rothschild Banking Influence: Methods for Mapping Relationships â†’ **How to Trace Rothschild Banking Influence by Mapping Relationships?</t>
  </si>
  <si>
    <t>How to Research Rothschild Banking: Key Sources Banks and Timeline â†’ **How to Research Rothschild Banking Using Key Sources and a Timeline?</t>
  </si>
  <si>
    <t>How to Understand Rothschild Banking: A Step-by-Step Guide to the History â†’ **How to Understand Rothschild Banking in History?{slug=rothschild-banking}</t>
  </si>
  <si>
    <t>{slug=rothschild-banking}</t>
  </si>
  <si>
    <t>How to Understand Rothschild Banking: A Step-by-Step Guide to the History â†’ **How to Understand Rothschild Banking in History?</t>
  </si>
  <si>
    <t>How to Document Crisis Actors Proof: What to Collect and How</t>
  </si>
  <si>
    <t>How to Fact-Check Crisis Actors Allegations: Step-by-Step</t>
  </si>
  <si>
    <t>How to Investigate Crisis Actors Video Claims: Methods and Sources</t>
  </si>
  <si>
    <t>How to Verify Crisis Actors Claims: Evidence to Look For</t>
  </si>
  <si>
    <t>How to Spot Crisis Actors: A Practical Checklist{slug=crisis-actors}</t>
  </si>
  <si>
    <t>{slug=crisis-actors}</t>
  </si>
  <si>
    <t>How to Spot Crisis Actors: A Practical Checklist</t>
  </si>
  <si>
    <t>What Would It Take to Govern Geoengineering Responsibly?</t>
  </si>
  <si>
    <t>What Risks and Unintended Consequences Could Geoengineering Create?</t>
  </si>
  <si>
    <t>What Are the Potential Benefits of Geoengineering?</t>
  </si>
  <si>
    <t>Whatâ€™s the Difference Between Solar Radiation Management and Carbon Dioxide Removal in Geoengineering?</t>
  </si>
  <si>
    <t>What Is Geoengineering and How Does It Work?{slug=geoengineering}</t>
  </si>
  <si>
    <t>{slug=geoengineering}</t>
  </si>
  <si>
    <t>What Is Geoengineering and How Does It Work?</t>
  </si>
  <si>
    <t>Ancient Aliens: How to Build Your Own Assessment Framework</t>
  </si>
  <si>
    <t>Ancient Aliens: How to Separate Archaeology from Speculation</t>
  </si>
  <si>
    <t>Ancient Aliens: How to Fact-Check Documentary Arguments</t>
  </si>
  <si>
    <t>Ancient Aliens: How to Read the Evidence Carefully</t>
  </si>
  <si>
    <t>Ancient Aliens: How to Evaluate Claims Step by Step{slug=ancient-aliens}</t>
  </si>
  <si>
    <t>{slug=ancient-aliens}</t>
  </si>
  <si>
    <t>Ancient Aliens: How to Evaluate Claims Step by Step</t>
  </si>
  <si>
    <t>How to Plan Around the Blood Moon Prophecy: A Step-by-Step Guide to Read Reflect and Respond</t>
  </si>
  <si>
    <t>How to Spot False Blood Moon Prophecies: Common Claims and Verification Checklist</t>
  </si>
  <si>
    <t>How to Apply the Blood Moon Prophecy to Your Life: Practical Steps for Personal Interpretation</t>
  </si>
  <si>
    <t>How to Research the Blood Moon Prophecy: Key Sources Dates and Context</t>
  </si>
  <si>
    <t>How to Interpret the Blood Moon Prophecy: Origins Meaning and What It Could Signify{slug=blood-moon-prophecy}</t>
  </si>
  <si>
    <t>{slug=blood-moon-prophecy}</t>
  </si>
  <si>
    <t>How to Interpret the Blood Moon Prophecy: Origins Meaning and What It Could Signify</t>
  </si>
  <si>
    <t>What Technologies Power Mass Surveillance Today?</t>
  </si>
  <si>
    <t>What Are Real-World Examples of Mass Surveillance Policies?</t>
  </si>
  <si>
    <t>What Ethical Concerns Come With Mass Surveillance?</t>
  </si>
  <si>
    <t>What Are the Legal Limits of Mass Surveillance?</t>
  </si>
  <si>
    <t>What Is Mass Surveillance and How It Works?{slug=mass-surveillance}</t>
  </si>
  <si>
    <t>{slug=mass-surveillance}</t>
  </si>
  <si>
    <t>What Is Mass Surveillance and How It Works?</t>
  </si>
  <si>
    <t>CIA Black Sites: How to Understand Legal Controversies and Outcomes</t>
  </si>
  <si>
    <t>CIA Black Sites: How to Map Alleged Facilities and Track Evidence</t>
  </si>
  <si>
    <t>CIA Black Sites: How to Verify Claims Using Court Records and Reports</t>
  </si>
  <si>
    <t>CIA Black Sites Explained: How to Build a Source-Based Case File</t>
  </si>
  <si>
    <t>CIA Black Sites Explained: How to Research Their Locations and Timelines{slug=cia-black-sites}</t>
  </si>
  <si>
    <t>{slug=cia-black-sites}</t>
  </si>
  <si>
    <t>CIA Black Sites Explained: How to Research Their Locations and Timelines</t>
  </si>
  <si>
    <t>Iran Contra: Explain Its Impact on U.S. Politics</t>
  </si>
  <si>
    <t>Iran Contra: Summarize the Scandal for a Class or Report</t>
  </si>
  <si>
    <t>Iran Contra: Map the Players and Their Roles</t>
  </si>
  <si>
    <t>Iran Contra: Trace the Key Events Step by Step</t>
  </si>
  <si>
    <t>Iran Contra: Understand the Affair in 10 Minutes{slug=iran-contra}</t>
  </si>
  <si>
    <t>{slug=iran-contra}</t>
  </si>
  <si>
    <t>Iran Contra: Understand the Affair in 10 Minutes</t>
  </si>
  <si>
    <t>World Government: How to Start with Regional Unions and Scale Up**</t>
  </si>
  <si>
    <t>World Government: How to Create a Democratic System People Can Trust</t>
  </si>
  <si>
    <t>World Government: How to Build Sustainable Funding and Enforcement</t>
  </si>
  <si>
    <t>World Government: How to Plan a Legal Framework for Global Governance</t>
  </si>
  <si>
    <t>World Government: How It Could Be Implemented Step by Step{slug=world-government}</t>
  </si>
  <si>
    <t>{slug=world-government}</t>
  </si>
  <si>
    <t>World Government: How It Could Be Implemented Step by Step</t>
  </si>
  <si>
    <t>What Should You Do If You Think Youâ€™re a Targeted Individual?</t>
  </si>
  <si>
    <t>What Resources Help People Concerned About Targeted Individuals?</t>
  </si>
  <si>
    <t>What Causes Targeted Individuals Beliefs?</t>
  </si>
  <si>
    <t>What Does Targeted Individuals Mean?</t>
  </si>
  <si>
    <t>What Are Targeted Individuals?{slug=targeted-individuals}</t>
  </si>
  <si>
    <t>{slug=targeted-individuals}</t>
  </si>
  <si>
    <t>What Are Targeted Individuals?</t>
  </si>
  <si>
    <t>What Are the Key Details of Project Monarch?</t>
  </si>
  <si>
    <t>What Is the History Behind Project Monarch?</t>
  </si>
  <si>
    <t>What Do We Know About Project Monarch So Far?</t>
  </si>
  <si>
    <t>What Is the Purpose of Project Monarch?</t>
  </si>
  <si>
    <t>What Is Project Monarch?{slug=project-monarch}</t>
  </si>
  <si>
    <t>{slug=project-monarch}</t>
  </si>
  <si>
    <t>What Is Project Monarch?</t>
  </si>
  <si>
    <t>Dead Internet Theory How to Use Tools to Trace Automation and Manipulation</t>
  </si>
  <si>
    <t>Dead Internet Theory How to Audit Social Media for Inauthentic Behavior</t>
  </si>
  <si>
    <t>Dead Internet Theory How to Check Claims Sources and Engagement</t>
  </si>
  <si>
    <t>Dead Internet Theory How to Verify Whatâ€™s Real Online 2026 Guide</t>
  </si>
  <si>
    <t>Dead Internet Theory: How to Spot Bots and Fake Activity{slug=dead-internet-theory}</t>
  </si>
  <si>
    <t>{slug=dead-internet-theory}</t>
  </si>
  <si>
    <t>Dead Internet Theory: How to Spot Bots and Fake Activity</t>
  </si>
  <si>
    <t>False Flag Operations: How to Verify Sources and Timelines</t>
  </si>
  <si>
    <t>How to Spot False Flag Operations: Indicators Methods and Checks</t>
  </si>
  <si>
    <t>False Flag Operations: How to Trace Claims and Evidence</t>
  </si>
  <si>
    <t>False Flag Operations: Step-by-Step Guide for Investigators</t>
  </si>
  <si>
    <t>False Flag Operations: How to Recognize the Signs{slug=false-flag-operations}</t>
  </si>
  <si>
    <t>{slug=false-flag-operations}</t>
  </si>
  <si>
    <t>False Flag Operations: How to Recognize the Signs</t>
  </si>
  <si>
    <t>Montauk Project How to Build a Timeline of Events and Debunking</t>
  </si>
  <si>
    <t>Montauk Project How to Evaluate the â€œTime Travelâ€ Claims Step by Step</t>
  </si>
  <si>
    <t>Montauk Project How to Find Primary Sources and Credible Evidence</t>
  </si>
  <si>
    <t>Montauk Project How to Separate Fact Fiction and Conspiracy</t>
  </si>
  <si>
    <t>Montauk Project Research Its Origins and Claims{slug=montauk-project}</t>
  </si>
  <si>
    <t>{slug=montauk-project}</t>
  </si>
  <si>
    <t>Montauk Project Research Its Origins and Claims</t>
  </si>
  <si>
    <t>What to Watch Next in UFO Disclosure?</t>
  </si>
  <si>
    <t>5 Timelines and Milestones in UFO Disclosure</t>
  </si>
  <si>
    <t>5 Documents and Reports Cited in UFO Disclosure</t>
  </si>
  <si>
    <t>What Major Claims Are Behind UFO Disclosure?</t>
  </si>
  <si>
    <t>5 Key Updates in UFO Disclosure Since 2026{slug=ufo-disclosure}</t>
  </si>
  <si>
    <t>{slug=ufo-disclosure}</t>
  </si>
  <si>
    <t>5 Key Updates in UFO Disclosure Since 2026</t>
  </si>
  <si>
    <t>What Is the Purpose and Mission of the Bohemian Club?</t>
  </si>
  <si>
    <t>What Are the Bohemian Clubâ€™s Membership Requirements?</t>
  </si>
  <si>
    <t>What Happens at the Bohemian Club?</t>
  </si>
  <si>
    <t>What Is the History of the Bohemian Club?</t>
  </si>
  <si>
    <t>What Is the Bohemian Club?{slug=bohemian-club}</t>
  </si>
  <si>
    <t>{slug=bohemian-club}</t>
  </si>
  <si>
    <t>What Is the Bohemian Club?</t>
  </si>
  <si>
    <t>Ruby Ridge: A How-to Guide for Reading Primary Sources and Reports</t>
  </si>
  <si>
    <t>Ruby Ridge: How to Map Causes Escalation and Outcomes Clearly</t>
  </si>
  <si>
    <t>Ruby Ridge: Explain the Legal and Government Decisions Step-by-Step</t>
  </si>
  <si>
    <t>Ruby Ridge: How to Research Key Figures and Roles in the Standoff</t>
  </si>
  <si>
    <t>Ruby Ridge: A Guide to Understanding the 1992 Timeline{slug=ruby-ridge}</t>
  </si>
  <si>
    <t>{slug=ruby-ridge}</t>
  </si>
  <si>
    <t>Ruby Ridge: A Guide to Understanding the 1992 Timeline</t>
  </si>
  <si>
    <t>How to Build a Reliable Brief on Operation Gladio for a Research Paper</t>
  </si>
  <si>
    <t>How to Assess Operation Gladio Conspiracy Theories vs Documented Evidence</t>
  </si>
  <si>
    <t>How to Trace Operation Gladio NATO-Era Timeline and Major Incidents</t>
  </si>
  <si>
    <t>How to Verify Operation Gladio Claims Using Primary Sources</t>
  </si>
  <si>
    <t>How to Research Operation Gladio Background Purpose and Key Claims{slug=operation-gladio}</t>
  </si>
  <si>
    <t>{slug=operation-gladio}</t>
  </si>
  <si>
    <t>How to Research Operation Gladio Background Purpose and Key Claims</t>
  </si>
  <si>
    <t>Third Temple How to Learn the Core Texts and Sources Quickly</t>
  </si>
  <si>
    <t>Third Temple How to Verify Historical Building Claims</t>
  </si>
  <si>
    <t>Third Temple How to Compare Jewish Christian and Islamic Interpretations</t>
  </si>
  <si>
    <t>Third Temple How to Research Who Supports the Idea</t>
  </si>
  <si>
    <t>Third Temple How to Understand the Prophecy and Its Claims{slug=third-temple}</t>
  </si>
  <si>
    <t>{slug=third-temple}</t>
  </si>
  <si>
    <t>Third Temple How to Understand the Prophecy and Its Claims</t>
  </si>
  <si>
    <t>Adrenochrome: How to Separate Laboratory Findings from Popular Rumors</t>
  </si>
  <si>
    <t>Adrenochrome: How to Track Sources Studies and Medical Facts</t>
  </si>
  <si>
    <t>Adrenochrome: How to Read Studies Without Getting Misled</t>
  </si>
  <si>
    <t>Adrenochrome: How to Evaluate Scientific Evidence and Myths</t>
  </si>
  <si>
    <t>Adrenochrome: How to Understand Its Biology and Research Claims{slug=adrenochrome}</t>
  </si>
  <si>
    <t>{slug=adrenochrome}</t>
  </si>
  <si>
    <t>Adrenochrome: How to Understand Its Biology and Research Claims</t>
  </si>
  <si>
    <t>What Are the Ethical and Legal Implications of Blood Sacrifice?</t>
  </si>
  <si>
    <t>What Role Has Blood Sacrifice Played in Rituals?</t>
  </si>
  <si>
    <t>What Cultures Practiced Blood Sacrifice Historically?</t>
  </si>
  <si>
    <t>What Does Blood Sacrifice Mean in Different Religions?</t>
  </si>
  <si>
    <t>What Is Blood Sacrificeâ€™s Origin?{slug=blood-sacrifice}</t>
  </si>
  <si>
    <t>{slug=blood-sacrifice}</t>
  </si>
  <si>
    <t>What Is Blood Sacrificeâ€™s Origin?</t>
  </si>
  <si>
    <t>Martial Law and Travel: Navigate Rules Curfews and Entry Limits</t>
  </si>
  <si>
    <t>Martial Law Preparedness: Build a Family Safety Plan</t>
  </si>
  <si>
    <t>Martial Law Explained: How Authorities Restrict Rights</t>
  </si>
  <si>
    <t>Martial Law Checklist: What to Do After Itâ€™s Announced</t>
  </si>
  <si>
    <t>Martial Law Declaration: Who Can Declare It{slug=martial-law}</t>
  </si>
  <si>
    <t>{slug=martial-law}</t>
  </si>
  <si>
    <t>Martial Law Declaration: Who Can Declare It</t>
  </si>
  <si>
    <t>Predictive Programming for Beginners: How to Start Using Forecasts in Practice</t>
  </si>
  <si>
    <t>Predictive Programming: How to Design Train and Validate Predictive Rules</t>
  </si>
  <si>
    <t>Predictive Programming Tutorial: From Data to Predictions in 5 Steps{slug=predictive-programming}</t>
  </si>
  <si>
    <t>{slug=predictive-programming}</t>
  </si>
  <si>
    <t>Predictive Programming Tutorial: From Data to Predictions in 5 Steps</t>
  </si>
  <si>
    <t>Predictive Programming Explained: How to Implement It in Your App</t>
  </si>
  <si>
    <t>Predictive Programming: Step-by-Step Guide to Building Prediction Pipelines</t>
  </si>
  <si>
    <t>What Role Does the Council on Foreign Relations Play in U.S. Policy?</t>
  </si>
  <si>
    <t>What Resources Does the Council on Foreign Relations Offer?</t>
  </si>
  <si>
    <t>What Is the Mission of the Council on Foreign Relations?</t>
  </si>
  <si>
    <t>What Does the Council on Foreign Relations Do?</t>
  </si>
  <si>
    <t>What Is the Council on Foreign Relations?{slug=council-on-foreign-relations}</t>
  </si>
  <si>
    <t>{slug=council-on-foreign-relations}</t>
  </si>
  <si>
    <t>What Is the Council on Foreign Relations?</t>
  </si>
  <si>
    <t>Waco Siege Overview: How to Create a Beginner-Friendly Study Guide</t>
  </si>
  <si>
    <t>Waco Siege Timeline Mistakes: How to Avoid Common Research Errors</t>
  </si>
  <si>
    <t>Waco Siege Context: How to Write a Background Section from Reliable Sources</t>
  </si>
  <si>
    <t>Waco Siege Key Events: How to Research and Summarize the Most Important Moments</t>
  </si>
  <si>
    <t>Waco Siege Timeline: How to Build a Clear Day-by-Day Guide{slug=waco-siege}</t>
  </si>
  <si>
    <t>{slug=waco-siege}</t>
  </si>
  <si>
    <t>Waco Siege Timeline: How to Build a Clear Day-by-Day Guide</t>
  </si>
  <si>
    <t>How to Investigate the Secret Space Program Timeline Claims to Evidence</t>
  </si>
  <si>
    <t>How to Fact-Check Secret Space Program Documents and Witness Accounts</t>
  </si>
  <si>
    <t>How to Build a Source List on the Secret Space Program Using Open Data</t>
  </si>
  <si>
    <t>How to Verify Secret Space Program Evidence Without Falling for Conspiracies</t>
  </si>
  <si>
    <t>How to Research Secret Space Program Claims Step by Step{slug=secret-space-program}</t>
  </si>
  <si>
    <t>{slug=secret-space-program}</t>
  </si>
  <si>
    <t>How to Research Secret Space Program Claims Step by Step</t>
  </si>
  <si>
    <t>Majestic 12: How to Distinguish Conspiracy Myths from Verified History**</t>
  </si>
  <si>
    <t>Majestic 12: How to Track Document Provenance and Counterclaims</t>
  </si>
  <si>
    <t>Majestic 12: How to Evaluate Source Credibility</t>
  </si>
  <si>
    <t>Majestic 12: How to Research Alleged Origins Members and Evidence</t>
  </si>
  <si>
    <t>Majestic 12: How to Understand the Claims and Timeline{slug=majestic-12}</t>
  </si>
  <si>
    <t>{slug=majestic-12}</t>
  </si>
  <si>
    <t>Majestic 12: How to Understand the Claims and Timeline</t>
  </si>
  <si>
    <t>Operation Mockingbird: How to Compare Allegations vs. Documented History</t>
  </si>
  <si>
    <t>Operation Mockingbird: How to Build a Fact-Check Checklist</t>
  </si>
  <si>
    <t>Operation Mockingbird: How to Map Key Players Agencies and Roles</t>
  </si>
  <si>
    <t>Operation Mockingbird: How to Verify Sources and Evidence</t>
  </si>
  <si>
    <t>Operation Mockingbird: How to Research Claims and Timeline{slug=operation-mockingbird}</t>
  </si>
  <si>
    <t>{slug=operation-mockingbird}</t>
  </si>
  <si>
    <t>Operation Mockingbird: How to Research Claims and Timeline</t>
  </si>
  <si>
    <t>Great Reset: How to Spot Misinformation and Verify News Updates</t>
  </si>
  <si>
    <t>Great Reset: How to Build a Clear Timeline from WEF References to Today</t>
  </si>
  <si>
    <t>Great Reset: A Beginnerâ€™s Guide to Understanding the Origins</t>
  </si>
  <si>
    <t>Great Reset: Whoâ€™s Pushing It and What Do They Want?</t>
  </si>
  <si>
    <t>Great Reset: 7 Steps to Fact-Check the Claim{slug=great-reset}</t>
  </si>
  <si>
    <t>{slug=great-reset}</t>
  </si>
  <si>
    <t>Great Reset: 7 Steps to Fact-Check the Claim</t>
  </si>
  <si>
    <t>How to Assess CIA Heart Attack Gun How-To Instructions for Misinformation</t>
  </si>
  <si>
    <t>How to Investigate the CIA Heart Attack Gun Rumor Step by Step</t>
  </si>
  <si>
    <t>How to Build a CIA Heart Attack Gun Myth-Fact Checklist (2026 Edition)</t>
  </si>
  <si>
    <t>How Would a CIA Heart Attack Gun Allegedly Work (And Whatâ€™s Plausible)?</t>
  </si>
  <si>
    <t>How to Verify Claims About a CIA Heart Attack Gun{slug=cia-heart-attack-gun}</t>
  </si>
  <si>
    <t>{slug=cia-heart-attack-gun}</t>
  </si>
  <si>
    <t>How to Verify Claims About a CIA Heart Attack Gun</t>
  </si>
  <si>
    <t>How to Build a Timeline of the Denver Airport conspiracy Claims</t>
  </si>
  <si>
    <t>How to Verify Claims in the Denver Airport conspiracy: A Practical Checklist</t>
  </si>
  <si>
    <t>How to Research the Denver Airport conspiracy Locally and Online</t>
  </si>
  <si>
    <t>How to Fact-Check the Denver Airport conspiracy: Evidence vs. Myths</t>
  </si>
  <si>
    <t>How to Investigate the Denver Airport conspiracy: A Step-by-Step Guide{slug=denver-airport-conspiracy}</t>
  </si>
  <si>
    <t>{slug=denver-airport-conspiracy}</t>
  </si>
  <si>
    <t>How to Investigate the Denver Airport conspiracy: A Step-by-Step Guide</t>
  </si>
  <si>
    <t>How to Track Nostradamus Predictions Over Time Simple Checklist</t>
  </si>
  <si>
    <t>How to Use Nostradamus Predictions Responsibly Practical Guide for Readers</t>
  </si>
  <si>
    <t>How to Fact-Check Nostradamus Predictions Finding the Source and Context</t>
  </si>
  <si>
    <t>How to Interpret Nostradamus Predictions for Beginners</t>
  </si>
  <si>
    <t>How to Verify Nostradamus Predictions: Step-by-Step Guide (2026){slug=nostradamus-predictions}</t>
  </si>
  <si>
    <t>{slug=nostradamus-predictions}</t>
  </si>
  <si>
    <t>How to Verify Nostradamus Predictions: Step-by-Step Guide (2026)</t>
  </si>
  <si>
    <t>Baba Vanga Predictions: How to Analyze Credibility and Evidence</t>
  </si>
  <si>
    <t>Baba Vanga Predictions: How to Check Predictions Against Modern Events</t>
  </si>
  <si>
    <t>Baba Vanga Predictions: How to Create a Timeline of Alleged Forecasts</t>
  </si>
  <si>
    <t>Baba Vanga Predictions: How to Research Verified Sources</t>
  </si>
  <si>
    <t>Baba Vanga Predictions: How to Separate Myths From Claims{slug=baba-vanga-predictions}</t>
  </si>
  <si>
    <t>{slug=baba-vanga-predictions}</t>
  </si>
  <si>
    <t>Baba Vanga Predictions: How to Separate Myths From Claims</t>
  </si>
  <si>
    <t>How to Build a Personal Evidence Log for G Conspiracy Questions</t>
  </si>
  <si>
    <t>How to Spot Misinformation in G Conspiracy Videos Quick Verification Guide</t>
  </si>
  <si>
    <t>How to Investigate G Conspiracy Health Claims Using Credible Sources</t>
  </si>
  <si>
    <t>How to Fact-Check G Conspiracy Claims Before Sharing</t>
  </si>
  <si>
    <t>How to Evaluate G Conspiracy Claims Step-by-Step Checklist{slug=5g-conspiracy}</t>
  </si>
  <si>
    <t>{slug=5g-conspiracy}</t>
  </si>
  <si>
    <t>How to Evaluate G Conspiracy Claims Step-by-Step Checklist</t>
  </si>
  <si>
    <t>What Departments or Businesses Occupy Building 7 at [Location]?</t>
  </si>
  <si>
    <t>What Are the Hours and Access Details for Building 7 at [Location]?</t>
  </si>
  <si>
    <t>What Is the History of Building 7 at [Location]?</t>
  </si>
  <si>
    <t>What Can You Find in Building 7 at [Location]?</t>
  </si>
  <si>
    <t>What Is Building 7 at [Location]?{slug=building-7}</t>
  </si>
  <si>
    <t>{slug=building-7}</t>
  </si>
  <si>
    <t>What Is Building 7 at [Location]?</t>
  </si>
  <si>
    <t>How Weather Modification Impacts Weather: What to Measure and When</t>
  </si>
  <si>
    <t>How to Plan Weather Modification Projects: From Targets to Monitoring</t>
  </si>
  <si>
    <t>How Weather Modification Is Done: Tools Methods and Steps</t>
  </si>
  <si>
    <t>How to Use Weather Modification to Understand Cloud Brightening</t>
  </si>
  <si>
    <t>How Weather Modification Works: Cloud Seeding Basics{slug=weather-modification}</t>
  </si>
  <si>
    <t>{slug=weather-modification}</t>
  </si>
  <si>
    <t>How Weather Modification Works: Cloud Seeding Basics</t>
  </si>
  <si>
    <t>What Controversies Surround the Trilateral Commission?</t>
  </si>
  <si>
    <t>What Influence Does the Trilateral Commission Have?</t>
  </si>
  <si>
    <t>What Is the History of the Trilateral Commission?</t>
  </si>
  <si>
    <t>What Does the Trilateral Commission Do?</t>
  </si>
  <si>
    <t>What Is the Trilateral Commission?{slug=trilateral-commission}</t>
  </si>
  <si>
    <t>{slug=trilateral-commission}</t>
  </si>
  <si>
    <t>What Is the Trilateral Commission?</t>
  </si>
  <si>
    <t>Rapture: How to Turn Rapture Moments into Actionable Habits**</t>
  </si>
  <si>
    <t>Rapture: How to Keep a Gratitude Ritual That Lasts Beyond the High</t>
  </si>
  <si>
    <t>Rapture: How to Practice Mindfulness for Moments of Awe</t>
  </si>
  <si>
    <t>Rapture: How to Recognize Religious Rapture vs. Personal Joy</t>
  </si>
  <si>
    <t>Rapture: How to Find Peace in Emotional Overwhelm{slug=rapture}</t>
  </si>
  <si>
    <t>{slug=rapture}</t>
  </si>
  <si>
    <t>Rapture: How to Find Peace in Emotional Overwhelm</t>
  </si>
  <si>
    <t>What Might the Mark of the Beast Look Like in Todayâ€™s World?</t>
  </si>
  <si>
    <t>What Role Do Worship and the Beastâ€™s Authority Play in the Mark of the Beast?</t>
  </si>
  <si>
    <t>What Do Christian Views Say About the Mark of the Beast?</t>
  </si>
  <si>
    <t>What Is the Mark of the Beast?</t>
  </si>
  <si>
    <t>What Does the Mark of the Beast Mean in Revelation 13?{slug=mark-of-the-beast}</t>
  </si>
  <si>
    <t>{slug=mark-of-the-beast}</t>
  </si>
  <si>
    <t>What Does the Mark of the Beast Mean in Revelation 13?</t>
  </si>
  <si>
    <t>What Does Agenda 21 Cover in Practice?</t>
  </si>
  <si>
    <t>What Is Agenda 21â€™s History and Background?</t>
  </si>
  <si>
    <t>What Are the Key Themes of Agenda 21?</t>
  </si>
  <si>
    <t>What Was Agenda 21 For?{slug=agenda-21}</t>
  </si>
  <si>
    <t>{slug=agenda-21}</t>
  </si>
  <si>
    <t>What Was Agenda 21 For?</t>
  </si>
  <si>
    <t>What Is Agenda 21?</t>
  </si>
  <si>
    <t>How to Debunk the Sandy Hook Conspiracy: A Method for Checking Claims</t>
  </si>
  <si>
    <t>How to Investigate the Sandy Hook Conspiracy: Verify Documents and Timelines</t>
  </si>
  <si>
    <t>How to Spot Misinformation in the Sandy Hook Conspiracy: Sources and â€œProof</t>
  </si>
  <si>
    <t>How to Fact-Check Sandy Hook Conspiracy Claims: A Step-by-Step Checklist</t>
  </si>
  <si>
    <t>How to Evaluate Sandy Hook Conspiracy Claims: Evidence vs. Myths (2026 Guide){slug=sandy-hook-conspiracy}</t>
  </si>
  <si>
    <t>{slug=sandy-hook-conspiracy}</t>
  </si>
  <si>
    <t>How to Evaluate Sandy Hook Conspiracy Claims: Evidence vs. Myths (2026 Guide)</t>
  </si>
  <si>
    <t>How to Build a Balanced Reading List on CIA Drug Trafficking Claims</t>
  </si>
  <si>
    <t>How to Evaluate CIA Drug Trafficking Investigations Reliability Checklist</t>
  </si>
  <si>
    <t>How to Trace Evidence Behind CIA Drug Trafficking Accusations</t>
  </si>
  <si>
    <t>How to Fact-Check CIA Drug Trafficking Allegations</t>
  </si>
  <si>
    <t>How to Research CIA Drug Trafficking Claims: Sources and Timeline{slug=cia-drug-trafficking}</t>
  </si>
  <si>
    <t>{slug=cia-drug-trafficking}</t>
  </si>
  <si>
    <t>How to Research CIA Drug Trafficking Claims: Sources and Timeline</t>
  </si>
  <si>
    <t>Project Blue Beam How to Form a Credibility Score for Viral Posts</t>
  </si>
  <si>
    <t>Project Blue Beam How to Evaluate â€œProofâ€ Videos and Image Manipulations</t>
  </si>
  <si>
    <t>Project Blue Beam How to Trace the Origin and Timeline of the Idea</t>
  </si>
  <si>
    <t>Project Blue Beam How to Check the Evidence and Debunk Misinformation</t>
  </si>
  <si>
    <t>Project Blue Beam How to Spot the Claim and Verify the Sources{slug=project-blue-beam}</t>
  </si>
  <si>
    <t>{slug=project-blue-beam}</t>
  </si>
  <si>
    <t>Project Blue Beam How to Spot the Claim and Verify the Sources</t>
  </si>
  <si>
    <t>Mandela Effect: How to Document â€œFalse Factsâ€ Over Time</t>
  </si>
  <si>
    <t>Mandela Effect: How to Compare Memories and Find Mismatches</t>
  </si>
  <si>
    <t>Mandela Effect Step by Step: How to Check Your Memory</t>
  </si>
  <si>
    <t>How the Mandela Effect Works and How to Spot It</t>
  </si>
  <si>
    <t>Mandela Effect: How to Test Shared False Memories{slug=mandela-effect}</t>
  </si>
  <si>
    <t>{slug=mandela-effect}</t>
  </si>
  <si>
    <t>Mandela Effect: How to Test Shared False Memories</t>
  </si>
  <si>
    <t>How to Research Origins Sources and Hoaxes About the Philadelphia Experiment</t>
  </si>
  <si>
    <t>How to Build a Timeline of the Alleged Philadelphia Experiment</t>
  </si>
  <si>
    <t>How to Fact-Check the Most Common Philadelphia Experiment Stories</t>
  </si>
  <si>
    <t>How to Trace the Philadelphia Experiment Claims Step by Step</t>
  </si>
  <si>
    <t>Philadelphia Experiment: How to Separate Myth From History{slug=philadelphia-experiment}</t>
  </si>
  <si>
    <t>{slug=philadelphia-experiment}</t>
  </si>
  <si>
    <t>Philadelphia Experiment: How to Separate Myth From History</t>
  </si>
  <si>
    <t>What Countries Border the Gulf of Tonkin?</t>
  </si>
  <si>
    <t>What Role Did the Gulf of Tonkin Play in the Vietnam War?</t>
  </si>
  <si>
    <t>What Is the Geography of the Gulf of Tonkin Like?</t>
  </si>
  <si>
    <t>Where Is the Gulf of Tonkin Located?</t>
  </si>
  <si>
    <t>What Is the Gulf of Tonkin?{slug=gulf-of-tonkin}</t>
  </si>
  <si>
    <t>{slug=gulf-of-tonkin}</t>
  </si>
  <si>
    <t>What Is the Gulf of Tonkin?</t>
  </si>
  <si>
    <t>How to Build a Timeline from Reliable Evidenceâ€”Operation Northwoods</t>
  </si>
  <si>
    <t>How to Check Whether It Was Implementedâ€”Operation Northwoods</t>
  </si>
  <si>
    <t>How to Understand the CIA/DoD Contextâ€”Operation Northwoods</t>
  </si>
  <si>
    <t>How to Verify Claims and Primary Sourcesâ€”Operation Northwoods</t>
  </si>
  <si>
    <t>Operation Northwoods: How to Research What It Really Was{slug=operation-northwoods}</t>
  </si>
  <si>
    <t>{slug=operation-northwoods}</t>
  </si>
  <si>
    <t>Operation Northwoods: How to Research What It Really Was</t>
  </si>
  <si>
    <t>Federal Reserve Conspiracy: How to Build a Credible Timeline from Primary Data</t>
  </si>
  <si>
    <t>Federal Reserve Conspiracy: How to Spot Logical Fallacies in â€œFedâ€ Cover-Up Theories</t>
  </si>
  <si>
    <t>Federal Reserve Conspiracy: How to Trace Origins of the Narrative and Key Sources</t>
  </si>
  <si>
    <t>Federal Reserve Conspiracy: How to Fact-Check Viral Allegations</t>
  </si>
  <si>
    <t>Federal Reserve Conspiracy: How to Evaluate Claims and Evidence Step by Step (2026){slug=federal-reserve-conspiracy}</t>
  </si>
  <si>
    <t>{slug=federal-reserve-conspiracy}</t>
  </si>
  <si>
    <t>Federal Reserve Conspiracy: How to Evaluate Claims and Evidence Step by Step (2026)</t>
  </si>
  <si>
    <t>What Is the Controversy Surrounding the Georgia Guidestones?</t>
  </si>
  <si>
    <t>Who Built the Georgia Guidestones?</t>
  </si>
  <si>
    <t>What Happened to the Georgia Guidestones?</t>
  </si>
  <si>
    <t>What Was the Purpose of the Georgia Guidestones?</t>
  </si>
  <si>
    <t>What Are the Georgia Guidestones?{slug=georgia-guidestones}</t>
  </si>
  <si>
    <t>{slug=georgia-guidestones}</t>
  </si>
  <si>
    <t>What Are the Georgia Guidestones?</t>
  </si>
  <si>
    <t>QAnon: How to Help a Friend Think Critically and Step Back**</t>
  </si>
  <si>
    <t>QAnon for Beginners: How to Follow the Narrative Without Getting Pulled In</t>
  </si>
  <si>
    <t>QAnon: How to Verify Claims and Avoid Misinformation Spirals</t>
  </si>
  <si>
    <t>QAnon Explained: How to Understand Its Origin and Propaganda Framework</t>
  </si>
  <si>
    <t>QAnon: How to Spot Core Claims and Manipulation Tactics{slug=qanon}</t>
  </si>
  <si>
    <t>{slug=qanon}</t>
  </si>
  <si>
    <t>QAnon: How to Spot Core Claims and Manipulation Tactics</t>
  </si>
  <si>
    <t>Pizzagate How to Avoid Misinformation and Mapped Hoaxes</t>
  </si>
  <si>
    <t>Pizzagate How to Assess Credibility of Conspiracy Posts</t>
  </si>
  <si>
    <t>Pizzagate How to Verify Sources and Claims Step-by-Step</t>
  </si>
  <si>
    <t>Pizzagate How to Spot Manipulated Evidence Online</t>
  </si>
  <si>
    <t>Pizzagate How to Fact-Check Viral Claims Fast{slug=pizzagate}</t>
  </si>
  <si>
    <t>{slug=pizzagate}</t>
  </si>
  <si>
    <t>Pizzagate How to Fact-Check Viral Claims Fast</t>
  </si>
  <si>
    <t>Operation Paperclip: How to Map Its Scientists and Outcomes</t>
  </si>
  <si>
    <t>Operation Paperclip: How to Find Primary Sources and Verify Claims</t>
  </si>
  <si>
    <t>Operation Paperclip: How to Build a Timeline of Key Events</t>
  </si>
  <si>
    <t>Operation Paperclip: How Did It Work?</t>
  </si>
  <si>
    <t>Operation Paperclip: How to Research the Programâ€™s History{slug=operation-paperclip}</t>
  </si>
  <si>
    <t>{slug=operation-paperclip}</t>
  </si>
  <si>
    <t>Operation Paperclip: How to Research the Programâ€™s History</t>
  </si>
  <si>
    <t>How to Assess FEMA Camps Stories: A Checklist for Credible Information</t>
  </si>
  <si>
    <t>How FEMA Camps Claims Work: A Practical Guide to Tracing the Evidence</t>
  </si>
  <si>
    <t>How to Fact-Check FEMA Camps Step by Step for Beginners</t>
  </si>
  <si>
    <t>How to Research FEMA Camps Allegations Without Spreading Misinformation</t>
  </si>
  <si>
    <t>How to Verify FEMA Camps Claims Using Official Sources{slug=fema-camps}</t>
  </si>
  <si>
    <t>{slug=fema-camps}</t>
  </si>
  <si>
    <t>How to Verify FEMA Camps Claims Using Official Sources</t>
  </si>
  <si>
    <t>Bohemian Grove How to Analyze Reports Photos and Testimonies</t>
  </si>
  <si>
    <t>Bohemian Grove How to Follow the History Without Falling for Myths</t>
  </si>
  <si>
    <t>Bohemian Grove How to Fact-Check Controversies and Claims</t>
  </si>
  <si>
    <t>Bohemian Grove How to Research What Happens There (Sources &amp; Methods)</t>
  </si>
  <si>
    <t>Bohemian Grove How to Understand Its Secretive Practices{slug=bohemian-grove}</t>
  </si>
  <si>
    <t>{slug=bohemian-grove}</t>
  </si>
  <si>
    <t>Bohemian Grove How to Understand Its Secretive Practices</t>
  </si>
  <si>
    <t>What Updates Should You Watch for in Skull and Bones?</t>
  </si>
  <si>
    <t>What Are the Best Tips for Skull and Bones Beginners?</t>
  </si>
  <si>
    <t>What Gameplay Looks Like in Skull and Bones?</t>
  </si>
  <si>
    <t>Skull and Bones Release Date and Platforms?</t>
  </si>
  <si>
    <t>What Is Skull and Bones?{slug=skull-and-bones}</t>
  </si>
  <si>
    <t>{slug=skull-and-bones}</t>
  </si>
  <si>
    <t>What Is Skull and Bones?</t>
  </si>
  <si>
    <t>How to Avoid Confirmation Bias When Researching Vaccine Conspiracies</t>
  </si>
  <si>
    <t>How to Evaluate Evidence Used in Vaccine Conspiracy Videos</t>
  </si>
  <si>
    <t>How to Trace the Origins of a Vaccine Conspiracy Allegation</t>
  </si>
  <si>
    <t>How to Spot Misinformation in Vaccine Conspiracy Narratives</t>
  </si>
  <si>
    <t>How to Fact-Check Vaccine Conspiracy Claims Step by Step{slug=vaccine-conspiracy}</t>
  </si>
  <si>
    <t>{slug=vaccine-conspiracy}</t>
  </si>
  <si>
    <t>How to Fact-Check Vaccine Conspiracy Claims Step by Step</t>
  </si>
  <si>
    <t>COINTELPRO Without the FBI: How to Write a Case Study on a Specific Targeted Group with Evidence**</t>
  </si>
  <si>
    <t>COINTELPRO Without the FBI: How to Verify Claims and Impacts Using FOIA Files and Verified Reports</t>
  </si>
  <si>
    <t>COINTELPRO Without the FBI: How to Analyze Its Tactics (Disruption Infiltration Propaganda) Step-by-Step</t>
  </si>
  <si>
    <t>COINTELPRO Without the FBI: How to Build a Timeline of Key Operations Using Declassified Documents</t>
  </si>
  <si>
    <t>COINTELPRO Without the FBI: How to Research the Counterintelligence Program in Primary Sources{slug=cointelpro}</t>
  </si>
  <si>
    <t>{slug=cointelpro}</t>
  </si>
  <si>
    <t>COINTELPRO Without the FBI: How to Research the Counterintelligence Program in Primary Sources</t>
  </si>
  <si>
    <t>Fluoride Conspiracy: How to Build a Clear Timeline of the Controversy</t>
  </si>
  <si>
    <t>Fluoride Conspiracy: How to Evaluate Dose Studies and Conflicts of Interest</t>
  </si>
  <si>
    <t>Fluoride Conspiracy: How to Spot Misleading Water Fluoridation Arguments</t>
  </si>
  <si>
    <t>Fluoride Conspiracy: How to Audit Evidence Yourself</t>
  </si>
  <si>
    <t>Fluoride Conspiracy: How to Fact-Check Claims{slug=fluoride-conspiracy}</t>
  </si>
  <si>
    <t>{slug=fluoride-conspiracy}</t>
  </si>
  <si>
    <t>Fluoride Conspiracy: How to Fact-Check Claims</t>
  </si>
  <si>
    <t>How to Research the Epstein Conspiracy Safely by Finding Primary Sources and Avoiding Misinformation</t>
  </si>
  <si>
    <t>How to Separate Myths From Verified Court Records in the Epstein Conspiracy</t>
  </si>
  <si>
    <t>How to Map the Epstein Conspiracy Allegations by Tracking People Dates and Connections</t>
  </si>
  <si>
    <t>How to Fact-Check the Epstein Conspiracy Online With a Step-by-Step Source Checklist</t>
  </si>
  <si>
    <t>How to Build a Timeline of Claims vs. Evidence About the Epstein Conspiracy{slug=epstein-conspiracy}</t>
  </si>
  <si>
    <t>{slug=epstein-conspiracy}</t>
  </si>
  <si>
    <t>How to Build a Timeline of Claims vs. Evidence About the Epstein Conspiracy</t>
  </si>
  <si>
    <t>How to Prepare Spiritually and Stay Grounded in End Times</t>
  </si>
  <si>
    <t>How to Evaluate Claims and Predictions Effectively in End Times</t>
  </si>
  <si>
    <t>How to Study Key Scriptures for a Clear Timeline in End Times</t>
  </si>
  <si>
    <t>How to Read Prophecy Without Fear or Speculation in End Times</t>
  </si>
  <si>
    <t>End Times: How to Understand Biblical Signs Step by Step{slug=end-times}</t>
  </si>
  <si>
    <t>{slug=end-times}</t>
  </si>
  <si>
    <t>End Times: How to Understand Biblical Signs Step by Step</t>
  </si>
  <si>
    <t>Whatâ€™s the Difference Between the Antichrist and the False Prophet?</t>
  </si>
  <si>
    <t>What Does It Mean That There Are Many Antichrists?</t>
  </si>
  <si>
    <t>What Are the Biblical Signs of the Antichrist?</t>
  </si>
  <si>
    <t>What Is the Antichrist Supposed to Do?</t>
  </si>
  <si>
    <t>What Does Antichrist Mean in the Bible?{slug=antichrist}</t>
  </si>
  <si>
    <t>{slug=antichrist}</t>
  </si>
  <si>
    <t>What Does Antichrist Mean in the Bible?</t>
  </si>
  <si>
    <t>HAARP Verification Guide: How to Fact-Check Secret Weather Control Claims**</t>
  </si>
  <si>
    <t>HAARP Basics: Beginnerâ€™s Guide to Frequency and Signal Effects</t>
  </si>
  <si>
    <t>HAARP How-To: Understanding Ionosphere Experiments</t>
  </si>
  <si>
    <t>HAARP Explained: What the Weather-Control Claims Really Say</t>
  </si>
  <si>
    <t>HAARP: How It Works{slug=haarp}</t>
  </si>
  <si>
    <t>{slug=haarp}</t>
  </si>
  <si>
    <t>HAARP: How It Works</t>
  </si>
  <si>
    <t>How to Assess JFK Assassination Conspiracy Forensic Evidence Carefully</t>
  </si>
  <si>
    <t>How to Build a Source Checklist for JFK Assassination Conspiracy Research</t>
  </si>
  <si>
    <t>How to Compare JFK Assassination Conspiracy Theories Objectively</t>
  </si>
  <si>
    <t>How to Research the JFK Assassination Conspiracy Timeline Step by Step</t>
  </si>
  <si>
    <t>How to Evaluate JFK Assassination Conspiracy Claims Using Primary Evidence{slug=jfk-assassination-conspiracy}</t>
  </si>
  <si>
    <t>{slug=jfk-assassination-conspiracy}</t>
  </si>
  <si>
    <t>How to Evaluate JFK Assassination Conspiracy Claims Using Primary Evidence</t>
  </si>
  <si>
    <t>What Is the Purpose and Influence of the Bilderberg Group?</t>
  </si>
  <si>
    <t>What Makes the Bilderberg Group Controversial?</t>
  </si>
  <si>
    <t>What Kind of People Attend the Bilderberg Group?</t>
  </si>
  <si>
    <t>What Happens at Bilderberg Group Meetings?</t>
  </si>
  <si>
    <t>What Is the Bilderberg Group?{slug=bilderberg-group}</t>
  </si>
  <si>
    <t>{slug=bilderberg-group}</t>
  </si>
  <si>
    <t>What Is the Bilderberg Group?</t>
  </si>
  <si>
    <t>Rothschild family: How to Evaluate Claims and Myths About Their Power</t>
  </si>
  <si>
    <t>Rothschild family: How to Understand Their Business Model and Networks</t>
  </si>
  <si>
    <t>Rothschild family: How to Build a Quick Timeline of Key Events</t>
  </si>
  <si>
    <t>Rothschild family: How to Trace the Familyâ€™s European Influence</t>
  </si>
  <si>
    <t>Rothschild family: How to Research Their Banking History{slug=rothschild-family}</t>
  </si>
  <si>
    <t>{slug=rothschild-family}</t>
  </si>
  <si>
    <t>Rothschild family: How to Research Their Banking History</t>
  </si>
  <si>
    <t>How to Build a Credible Timeline for 9/11 conspiracy Allegations</t>
  </si>
  <si>
    <t>How to Verify 9/11 conspiracy Videos and Claims</t>
  </si>
  <si>
    <t>How to Spot Flawed Arguments in 9/11 conspiracy Posts</t>
  </si>
  <si>
    <t>How to Fact-Check 9/11 conspiracy Evidence Sources</t>
  </si>
  <si>
    <t>How to Evaluate a 9/11 conspiracy Claim Step by Step{slug=911-conspiracy}</t>
  </si>
  <si>
    <t>{slug=911-conspiracy}</t>
  </si>
  <si>
    <t>How to Evaluate a 9/11 conspiracy Claim Step by Step</t>
  </si>
  <si>
    <t>Deep State: How to Investigate Leaks Lobbying and Regulatory Capture â†’ **Deep State: How to Investigate Leaks and Capture**</t>
  </si>
  <si>
    <t>Deep State: How to Audit Institutions for Capture and Conflicts of Interest â†’ **Deep State: How to Audit Institutions</t>
  </si>
  <si>
    <t>Deep State: How to Research Power Networks Without Conspiracy Traps â†’ **Deep State: How to Research Power Networks</t>
  </si>
  <si>
    <t>Deep State: How to Evaluate Claims and Separate Facts from Spin â†’ **Deep State: How to Separate Facts from Spin</t>
  </si>
  <si>
    <t>Deep State: How to Spot Hidden Influence in Government â†’ **Deep State: How to Spot Hidden Influence{slug=deep-state}</t>
  </si>
  <si>
    <t>{slug=deep-state}</t>
  </si>
  <si>
    <t>Deep State: How to Spot Hidden Influence in Government â†’ **Deep State: How to Spot Hidden Influence</t>
  </si>
  <si>
    <t>Moon Landing Conspiracy: How to Run a Source-by-Source Evidence Review**</t>
  </si>
  <si>
    <t>Moon Landing Conspiracy: How to Compare Pro and Anti Arguments</t>
  </si>
  <si>
    <t>Moon Landing Conspiracy: How to Fact-Check Common Myths</t>
  </si>
  <si>
    <t>Moon Landing Conspiracy: A Beginnerâ€™s Guide to Checking the â€œEvidence</t>
  </si>
  <si>
    <t>Moon Landing Conspiracy: How to Evaluate the Claims Step by Step{slug=moon-landing-conspiracy}</t>
  </si>
  <si>
    <t>{slug=moon-landing-conspiracy}</t>
  </si>
  <si>
    <t>Moon Landing Conspiracy: How to Evaluate the Claims Step by Step</t>
  </si>
  <si>
    <t>What Does It Mean to Be a Freemason?</t>
  </si>
  <si>
    <t>What Is the History of Freemasonry?</t>
  </si>
  <si>
    <t>What Do Freemasons Believe?</t>
  </si>
  <si>
    <t>How Does Freemasonry Work?</t>
  </si>
  <si>
    <t>What Are the Freemasons?{slug=freemasons}</t>
  </si>
  <si>
    <t>{slug=freemasons}</t>
  </si>
  <si>
    <t>What Are the Freemasons?</t>
  </si>
  <si>
    <t>What Explains Reptilians Belief in the First Place?</t>
  </si>
  <si>
    <t>What Evidence Is Used for Reptilians Shape-Shifting Claims?</t>
  </si>
  <si>
    <t>What Do People Who Believe Reptilians Say Happened?</t>
  </si>
  <si>
    <t>What Evidence Do Reptilians Conspiracy Theories Offer?</t>
  </si>
  <si>
    <t>What Do Reptilians Claim to Be?{slug=reptilians}</t>
  </si>
  <si>
    <t>{slug=reptilians}</t>
  </si>
  <si>
    <t>What Do Reptilians Claim to Be?</t>
  </si>
  <si>
    <t>Bigfoot How to Analyze Sighting Reports</t>
  </si>
  <si>
    <t>Bigfoot How to Collect and Preserve Evidence</t>
  </si>
  <si>
    <t>Bigfoot How to Use Trail Cameras Effectively</t>
  </si>
  <si>
    <t>Bigfoot How to Track Footprints Like a Pro</t>
  </si>
  <si>
    <t>Bigfoot How to Start a Field Investigation{slug=bigfoot}</t>
  </si>
  <si>
    <t>{slug=bigfoot}</t>
  </si>
  <si>
    <t>Bigfoot How to Start a Field Investigation</t>
  </si>
  <si>
    <t>Chemtrails: How to Investigate Claims Using Weather and Wind Models</t>
  </si>
  <si>
    <t>Chemtrails: How to Report Concerns to Local Aviation or Authorities</t>
  </si>
  <si>
    <t>Chemtrails: How to Fact-Check Viral Videos and Flight Data</t>
  </si>
  <si>
    <t>Chemtrails: How to Document Suspected Claims Step by Step</t>
  </si>
  <si>
    <t>Chemtrails: How to Tell Them From Normal Contrails{slug=chemtrails}</t>
  </si>
  <si>
    <t>{slug=chemtrails}</t>
  </si>
  <si>
    <t>Chemtrails: How to Tell Them From Normal Contrails</t>
  </si>
  <si>
    <t>MKUltra How to Summarize the Controversy Using Reliable Historical Methods**</t>
  </si>
  <si>
    <t>MKUltra How to Analyze Evidence and Separate Myths from Records</t>
  </si>
  <si>
    <t>MKUltra How to Build a Timeline of CIA Experiments Step by Step</t>
  </si>
  <si>
    <t>MKUltra How to Find Primary Sources and Declassified Documents</t>
  </si>
  <si>
    <t>MKUltra How to Research CIA History Safely and Accurately{slug=mkultra}</t>
  </si>
  <si>
    <t>{slug=mkultra}</t>
  </si>
  <si>
    <t>MKUltra How to Research CIA History Safely and Accurately</t>
  </si>
  <si>
    <t>Whatâ€™s Behind the New World Order Conspiracy Theories?</t>
  </si>
  <si>
    <t>What Would a New World Order Look Like in Practice?</t>
  </si>
  <si>
    <t>What Claims About the New World Order Are Fact vs. Fiction?</t>
  </si>
  <si>
    <t>What Does the New World Order Mean in Todayâ€™s Politics?</t>
  </si>
  <si>
    <t>What Is the New World Order and Where Did It Come From?{slug=new-world-order}</t>
  </si>
  <si>
    <t>{slug=new-world-order}</t>
  </si>
  <si>
    <t>What Is the New World Order and Where Did It Come From?</t>
  </si>
  <si>
    <t>Area 51: How to Build a 1-Day Itinerary Around the Surrounding Attractions</t>
  </si>
  <si>
    <t>Area 51: How to Spot Declassified UFO-Related Clues From Public Records</t>
  </si>
  <si>
    <t>Area 51: How to Research Its History and Verify Claims</t>
  </si>
  <si>
    <t>Area 51: How to Plan a Stargazing Trip Near Nevadaâ€™s Test Site</t>
  </si>
  <si>
    <t>Area 51: How to Visit Legally and What to Expect{slug=area-51}</t>
  </si>
  <si>
    <t>{slug=area-51}</t>
  </si>
  <si>
    <t>Area 51: How to Visit Legally and What to Expect</t>
  </si>
  <si>
    <t>Flat Earth: A How-To Guide for Fact-Checking Flat Earth Arguments** â†’ **Flat Earth: How to Fact-Check Arguments**</t>
  </si>
  <si>
    <t>Flat Earth: How to Test Common Experiments Used to Support the Model** â†’ **Flat Earth: How to Test Common Experiments</t>
  </si>
  <si>
    <t>Flat Earth: Step-by-Step Guide to Understanding the Sun Moon and Stars** â†’ **Flat Earth: Step-by-Step Guide to the Sun Moon and Stars</t>
  </si>
  <si>
    <t>Flat Earth: How to Check the Horizon and â€œCurvatureâ€ Yourself** â†’ **Flat Earth: How to Check the Horizon and â€œCurvatureâ€?</t>
  </si>
  <si>
    <t>Flat Earth**: A Beginnerâ€™s Guide to the Claims and Evidence â†’ **Flat Earth: Beginnerâ€™s Guide to Claims and Evidence{slug=flat-earth}</t>
  </si>
  <si>
    <t>{slug=flat-earth}</t>
  </si>
  <si>
    <t>Flat Earth**: A Beginnerâ€™s Guide to the Claims and Evidence â†’ **Flat Earth: Beginnerâ€™s Guide to Claims and Evidence</t>
  </si>
  <si>
    <t>Conspiracy Theories: Break the Echo-Chamber Loop</t>
  </si>
  <si>
    <t>Conspiracy Theories: Debunk Common Myths Effectively</t>
  </si>
  <si>
    <t>Conspiracy Theories: Evaluate Sources and Evidence</t>
  </si>
  <si>
    <t>Conspiracy Theories: Verify Claims Step by Step</t>
  </si>
  <si>
    <t>Conspiracy Theories: Spot Red Flags Fast{slug=conspiracy-theories}</t>
  </si>
  <si>
    <t>{slug=conspiracy-theories}</t>
  </si>
  <si>
    <t>Conspiracy Theories: Spot Red Flags Fast</t>
  </si>
  <si>
    <t>Illuminati How to Separate Myth History and Modern Claims</t>
  </si>
  <si>
    <t>Illuminati How to Fact-Check â€œSecret Societyâ€ Narratives Step by Step</t>
  </si>
  <si>
    <t>Illuminati How to Evaluate Common Conspiracy Evidence</t>
  </si>
  <si>
    <t>Illuminati How to Research Its History Without Falling for Hoaxes</t>
  </si>
  <si>
    <t>Illuminati How to Spot Claims and Trace Their Origins{slug=illuminati}</t>
  </si>
  <si>
    <t>{slug=illuminati}</t>
  </si>
  <si>
    <t>Illuminati How to Spot Claims and Trace Their Origins</t>
  </si>
  <si>
    <t>Merged</t>
  </si>
  <si>
    <t>WordPress Slug</t>
  </si>
  <si>
    <t>Recommended Title</t>
  </si>
  <si>
    <t>Five Titles</t>
  </si>
  <si>
    <t>SEO Keywords</t>
  </si>
  <si>
    <t>Model Used = GPT-5.4 Nano (OA)</t>
  </si>
  <si>
    <t>Cost Estimate = $0.25553</t>
  </si>
  <si>
    <t>SOFT SIGNAL ANALYSIS (Pre-Statistical Anomaly Detection)</t>
  </si>
  <si>
    <t>Score (0-1)</t>
  </si>
  <si>
    <t>Confidence</t>
  </si>
  <si>
    <t>Observer</t>
  </si>
  <si>
    <t>Description / Evidence for Signal</t>
  </si>
  <si>
    <t>SOFT_SIGNAL_NODE</t>
  </si>
  <si>
    <t>Active for: ALL CASE TYPES. Parallel to T-rating — does NOT feed OCS.</t>
  </si>
  <si>
    <t>1. Narrative Compression Stress</t>
  </si>
  <si>
    <t>Official story requires too many stacked coincidences</t>
  </si>
  <si>
    <t>2. Coincidence Density</t>
  </si>
  <si>
    <t>Unusual # of unusual events clustered around one node</t>
  </si>
  <si>
    <t>3. Timing Friction</t>
  </si>
  <si>
    <t>Events at contextually loaded moments (before testimony, after subpoena)</t>
  </si>
  <si>
    <t>4. Behavioral Deviation</t>
  </si>
  <si>
    <t>People/institutions acting out of character under pressure</t>
  </si>
  <si>
    <t>5. Information Asymmetry</t>
  </si>
  <si>
    <t>Someone knows something they shouldn't, or doesn't know what they should</t>
  </si>
  <si>
    <t>6. Suppression / Friction</t>
  </si>
  <si>
    <t>Resistance to inquiry beyond normal institutional inertia</t>
  </si>
  <si>
    <t>7. Relationship Anomalies</t>
  </si>
  <si>
    <t>Connections that shouldn't exist or are too convenient</t>
  </si>
  <si>
    <t>8. Narrative Drift</t>
  </si>
  <si>
    <t>Official story changes over time without new evidence</t>
  </si>
  <si>
    <t>9. Absence Where Expected</t>
  </si>
  <si>
    <t>Things that should exist but don't (footage, autopsies, records)</t>
  </si>
  <si>
    <t>10. Disproportionate Response</t>
  </si>
  <si>
    <t>Reaction wildly out of scale with stated cause</t>
  </si>
  <si>
    <t>11. Financial Anomalies (Pre-Stat)</t>
  </si>
  <si>
    <t>Money moving in ways that don't match stated purpose</t>
  </si>
  <si>
    <t>12. Pattern Recurrence</t>
  </si>
  <si>
    <t>Same unusual pattern across multiple independent cases</t>
  </si>
  <si>
    <t>13. Too Clean</t>
  </si>
  <si>
    <t>Suspiciously perfect — no loose ends, no contradictions, no messiness</t>
  </si>
  <si>
    <t>14. Cross-Case Frequent Flyer</t>
  </si>
  <si>
    <t>Same entity triggers signals across 3+ unrelated cases</t>
  </si>
  <si>
    <t>SOFT SIGNAL COMPOSITE</t>
  </si>
  <si>
    <t>/ 1.00</t>
  </si>
  <si>
    <t>Signals Scored</t>
  </si>
  <si>
    <t>/ 14</t>
  </si>
  <si>
    <t>Avg Confidence:</t>
  </si>
  <si>
    <t>CASE MATURITY &amp; DYNAMIC WEIGHTS</t>
  </si>
  <si>
    <t>Case Maturity Stage</t>
  </si>
  <si>
    <t>Based on evidence count</t>
  </si>
  <si>
    <t>α (Soft Signal Weight)</t>
  </si>
  <si>
    <t>β (Statistical Weight)</t>
  </si>
  <si>
    <t>γ (Evidence Weight)</t>
  </si>
  <si>
    <t>BASE RATE CALCULATOR (Question Validator)</t>
  </si>
  <si>
    <t>STAT_ANOMALY_NODE</t>
  </si>
  <si>
    <t>Triggers from Soft Signals 2, 3, 11. Maps to statistical_anomalies table.</t>
  </si>
  <si>
    <t>STEP 1 — DEFINE POPULATION</t>
  </si>
  <si>
    <t>Population list source</t>
  </si>
  <si>
    <t>List type</t>
  </si>
  <si>
    <t>Total population size (N)</t>
  </si>
  <si>
    <t>How was N determined?</t>
  </si>
  <si>
    <t>STEP 2 — PROFILE POPULATION</t>
  </si>
  <si>
    <t>Median age at start</t>
  </si>
  <si>
    <t>Sex distribution</t>
  </si>
  <si>
    <t>Occupation risk category</t>
  </si>
  <si>
    <t>STEP 3 — DEFINE EVENT &amp; TIME WINDOW</t>
  </si>
  <si>
    <t>Event type</t>
  </si>
  <si>
    <t>Time window start</t>
  </si>
  <si>
    <t>Time window end</t>
  </si>
  <si>
    <t>Why this window?</t>
  </si>
  <si>
    <t>STEP 4 — CALCULATE</t>
  </si>
  <si>
    <t>Observed count</t>
  </si>
  <si>
    <t>Base rate (per year)</t>
  </si>
  <si>
    <t>Source:</t>
  </si>
  <si>
    <t>Time window (years)</t>
  </si>
  <si>
    <t>Expected count</t>
  </si>
  <si>
    <t>Sigma deviation (σ)</t>
  </si>
  <si>
    <t>P-value (approx)</t>
  </si>
  <si>
    <t>Suggested tier (from stats)</t>
  </si>
  <si>
    <t>STEP 5 — QUESTION VALIDATOR (auto-flags)</t>
  </si>
  <si>
    <t>NEW v1.1: soft_signals</t>
  </si>
  <si>
    <t>Pre-statistical anomaly detection — 14 signal types</t>
  </si>
  <si>
    <t>signal_type</t>
  </si>
  <si>
    <t>CHECK (14 types)</t>
  </si>
  <si>
    <t>NARRATIVE_COMPRESSION, COINCIDENCE_DENSITY, TIMING_FRICTION, BEHAVIORAL_DEVIATION, INFORMATION_ASYMMETRY, SUPPRESSION, RELATIONSHIP_ANOMALY, NARRATIVE_DRIFT, ABSENCE_WHERE_EXPECTED, DISPROPORTIONATE_RESPONSE, FINANCIAL_ANOMALY, PATTERN_RECURRENCE, TOO_CLEAN, CROSS_CASE_FREQUENT_FLYER</t>
  </si>
  <si>
    <t>Soft Signal rows 1-14</t>
  </si>
  <si>
    <t>Rows 212-225</t>
  </si>
  <si>
    <t>score</t>
  </si>
  <si>
    <t>CHECK 0-1</t>
  </si>
  <si>
    <t>0 = no signal, 1 = strong anomaly</t>
  </si>
  <si>
    <t>Soft Signal → Score (col B)</t>
  </si>
  <si>
    <t>How certain the signal is correctly identified</t>
  </si>
  <si>
    <t>Soft Signal → Confidence (col C)</t>
  </si>
  <si>
    <t>observer_credibility</t>
  </si>
  <si>
    <t>PROFESSIONAL, CREDENTIALED, CITIZEN, ANONYMOUS</t>
  </si>
  <si>
    <t>Soft Signal → Observer (col D)</t>
  </si>
  <si>
    <t>half_life_days</t>
  </si>
  <si>
    <t>DEFAULT 180</t>
  </si>
  <si>
    <t>Temporal decay: effective = score × 0.5^(days/half_life)</t>
  </si>
  <si>
    <t>last_reinforced_at</t>
  </si>
  <si>
    <t>Reset decay when new observation confirms signal</t>
  </si>
  <si>
    <t>Soft Signal → Description (col E)</t>
  </si>
  <si>
    <t>examples</t>
  </si>
  <si>
    <t>For CROSS_CASE_FREQUENT_FLYER — which entity keeps showing up</t>
  </si>
  <si>
    <t>Indexes: idx_soft_signals_case, idx_soft_signals_type, idx_soft_signals_entity</t>
  </si>
  <si>
    <t>S_soft = Σ signal_i / 14 (equal weight). Displayed PARALLEL to T-rating, NOT merged.</t>
  </si>
  <si>
    <t>Soft Signal Composite</t>
  </si>
  <si>
    <t>Row 227 (B227)</t>
  </si>
  <si>
    <t>Active for: ALL CASE TYPES. Parallel to T-rating.</t>
  </si>
  <si>
    <t>PROFESSIONAL</t>
  </si>
  <si>
    <t>File destruction + program ran 20 years undetected + discovered by accident (budget clerk misfiled). Each is independently unlikely.</t>
  </si>
  <si>
    <t>Multiple anomalies cluster around Gottlieb/TSS: Olson death, Cameron experiments, Midnight Climax, university funding channels.</t>
  </si>
  <si>
    <t>Helms ordered file destruction EXACTLY as Watergate investigations were closing in. Olson died days after being dosed. Cameron funding ended right before oversight began.</t>
  </si>
  <si>
    <t>CREDENTIALED</t>
  </si>
  <si>
    <t>Helms’ destruction order was extraordinary even by CIA standards. Turner’s testimony was unusually forthcoming for a DCI — suggesting he wanted distance from predecessors.</t>
  </si>
  <si>
    <t>Universities claimed ignorance of CIA source of funding. CIA claimed subjects were volunteers. Both proved false by financial records.</t>
  </si>
  <si>
    <t>Deliberate file destruction. 22 years of total classification. FOIA delays persist to present day. Many sub-project files still heavily redacted.</t>
  </si>
  <si>
    <t>Cameron was simultaneously APA president + CIA contractor. Front orgs (Human Ecology Society) connected ‘independent’ researchers to CIA funding.</t>
  </si>
  <si>
    <t>CIA story shifted: ‘no such program’ → ‘small LSD study’ → ‘limited program, terminated 1973’ → ‘149 sub-projects across 80+ institutions.’ Each revision forced by new document discoveries.</t>
  </si>
  <si>
    <t>The destroyed files. Sub-projects with zero released documents. No complete victim count exists. The 20,000 discovered pages were a FRACTION of what should exist.</t>
  </si>
  <si>
    <t>DCI ordering mass file destruction is an extreme institutional response. Classification of a domestic research program as TOP SECRET for 22 years is disproportionate.</t>
  </si>
  <si>
    <t>Funding laundered through front orgs (Human Ecology Society). Universities received money without knowing CIA origin. Budget misfiling is what saved the evidence.</t>
  </si>
  <si>
    <t>Same pattern as ARTICHOKE, Bluebird, MKSEARCH: deny → classify → destroy evidence → forced disclosure. CIA program cover-up template.</t>
  </si>
  <si>
    <t>LOW signal — MKUltra is messy, contradictory, with competing accounts. This is what real events look like. The cover-up was sloppy (budget clerk mistake). Not too clean.</t>
  </si>
  <si>
    <t>Sidney Gottlieb appears in MKUltra, ARTICHOKE, MKSEARCH, MKNAOMI. CIA TSS appears in Mockingbird, Paperclip. Church Committee connects 6+ programs.</t>
  </si>
  <si>
    <t>Triggers from Soft Signals 2, 3, 11</t>
  </si>
  <si>
    <t>congressional_record</t>
  </si>
  <si>
    <t>EXHAUSTIVE</t>
  </si>
  <si>
    <t>Church Committee identified 150 researchers, officers, and subjects with direct program involvement</t>
  </si>
  <si>
    <t>ALL_MALE</t>
  </si>
  <si>
    <t>INTELLIGENCE</t>
  </si>
  <si>
    <t>death_violent</t>
  </si>
  <si>
    <t>Program start to Church Committee exposure — the period of active secrecy. Pre-defined by program dates, not chosen post-hoc.</t>
  </si>
  <si>
    <t>CDC violent death rate for males 30-55, 1953-1975 (adjusted for era)</t>
  </si>
  <si>
    <t>CONTRADICTION INDEX (Narrative Stability Analysis)</t>
  </si>
  <si>
    <t>Details / Key Examples</t>
  </si>
  <si>
    <t>CONTRADICTION_NODE</t>
  </si>
  <si>
    <t>Layer 2 of 4. Between Soft Signals and Statistics.</t>
  </si>
  <si>
    <t>COMPONENT SCORES</t>
  </si>
  <si>
    <t>SIS — Self-Contradiction Score</t>
  </si>
  <si>
    <t>Same entity makes contradictory claims across time</t>
  </si>
  <si>
    <t>CRD — Claim Revision Density</t>
  </si>
  <si>
    <t>How often the official narrative was revised</t>
  </si>
  <si>
    <t>XSC — Cross-Source Conflict</t>
  </si>
  <si>
    <t>Different official sources contradict each other on same facts</t>
  </si>
  <si>
    <t>OAA — Omission/Addition Asymmetry</t>
  </si>
  <si>
    <t>What gets quietly added or removed from narrative over time</t>
  </si>
  <si>
    <t>IRI — Irreconcilable Index</t>
  </si>
  <si>
    <t>Contradictions that cannot be resolved — both claims can't be true</t>
  </si>
  <si>
    <t>CONTRADICTION COMPOSITE (C_score)</t>
  </si>
  <si>
    <t>Total Contradictions Logged</t>
  </si>
  <si>
    <t>Verified by investigator:</t>
  </si>
  <si>
    <t>CONTRADICTION-INFERENCE BARRIER</t>
  </si>
  <si>
    <t>Contradictions = narrative instability. NOT deception (requires intent).</t>
  </si>
  <si>
    <t>Each layer feeds UPWARD as questions, not answers.</t>
  </si>
  <si>
    <t>SS → Look here | C → Story unstable | Stats → Pattern real | Evidence → What happened</t>
  </si>
  <si>
    <t>NEW v1.1: claim_statements</t>
  </si>
  <si>
    <t>Individual claims/statements for contradiction detection</t>
  </si>
  <si>
    <t>Who made this statement</t>
  </si>
  <si>
    <t>statement_text</t>
  </si>
  <si>
    <t>statement_hash</t>
  </si>
  <si>
    <t>UNIQUE</t>
  </si>
  <si>
    <t>SHA-256 for deduplication</t>
  </si>
  <si>
    <t>made_at</t>
  </si>
  <si>
    <t>When statement was made</t>
  </si>
  <si>
    <t>context</t>
  </si>
  <si>
    <t>interview, testimony, press_release, document, speech, tweet</t>
  </si>
  <si>
    <t>source_document_id</t>
  </si>
  <si>
    <t>FK→documents</t>
  </si>
  <si>
    <t>Links to documents table for source verification</t>
  </si>
  <si>
    <t>Indexes: idx_statements_case, idx_statements_entity</t>
  </si>
  <si>
    <t>NEW v1.1: claim_contradictions</t>
  </si>
  <si>
    <t>Pairs of contradictory statements — auto-detected or human-flagged</t>
  </si>
  <si>
    <t>statement_a_id</t>
  </si>
  <si>
    <t>FK→claim_statements</t>
  </si>
  <si>
    <t>First statement in the contradiction pair</t>
  </si>
  <si>
    <t>statement_b_id</t>
  </si>
  <si>
    <t>Second statement (contradicts statement_a)</t>
  </si>
  <si>
    <t>CHECK (4 types)</t>
  </si>
  <si>
    <t>TEMPORAL (time conflict), LOGICAL (mutually exclusive), NORMATIVE (position reversal), OMISSION (presence vs absence)</t>
  </si>
  <si>
    <t>Contradiction Index → type</t>
  </si>
  <si>
    <t>Rows 238-242</t>
  </si>
  <si>
    <t>severity_score</t>
  </si>
  <si>
    <t>How significant is this contradiction?</t>
  </si>
  <si>
    <t>Contradiction Index → Score</t>
  </si>
  <si>
    <t>auto_detected</t>
  </si>
  <si>
    <t>DEFAULT false</t>
  </si>
  <si>
    <t>True if contradiction engine flagged automatically</t>
  </si>
  <si>
    <t>human_verified</t>
  </si>
  <si>
    <t>True after investigator confirms/rejects auto-detection</t>
  </si>
  <si>
    <t>Indexes: idx_contradictions_a, idx_contradictions_b</t>
  </si>
  <si>
    <t>C_score = AVG(SIS, CRD, XSC, OAA, IRI). Displayed PARALLEL to T-rating and SS_score.</t>
  </si>
  <si>
    <t>Contradiction Composite</t>
  </si>
  <si>
    <t>Row 244 (B244)</t>
  </si>
  <si>
    <t>Tables: 22</t>
  </si>
  <si>
    <t>...+ soft_signals, claim_statements, claim_contradictions (NEW v1.1)</t>
  </si>
  <si>
    <t>Indexes: 28</t>
  </si>
  <si>
    <t>...+ idx_soft_signals (3), idx_statements (2), idx_contradictions (2)</t>
  </si>
  <si>
    <t>FOUR-LAYER INVESTIGATION SIGNAL (Parallel Display)</t>
  </si>
  <si>
    <t>Investigation Priority = α·S_soft + β·C_score + γ·S_stat + δ·OCS</t>
  </si>
  <si>
    <t>Layer 1: Soft Signal Score</t>
  </si>
  <si>
    <t>Layer 2: Contradiction Index</t>
  </si>
  <si>
    <t>Layer 3: Statistical Anomaly</t>
  </si>
  <si>
    <t>σ</t>
  </si>
  <si>
    <t>Layer 4: Evidence (T-Rating)</t>
  </si>
  <si>
    <t>Maturity:</t>
  </si>
  <si>
    <t>Weights:</t>
  </si>
  <si>
    <t>Layer 2 of 4.</t>
  </si>
  <si>
    <t>CIA: 'no such program' → 'small LSD study' → '149 sub-projects.' Helms: 'files destroyed as routine' vs IG report showing deliberate obstruction.</t>
  </si>
  <si>
    <t>5 major revisions: no program → terminated 1963 → terminated 1973 → limited scope → 149 sub-projects 80+ institutions. Each forced by new doc discovery.</t>
  </si>
  <si>
    <t>CIA testimony vs Church Committee findings. University claims vs financial records. Gottlieb testimony vs recovered documents.</t>
  </si>
  <si>
    <t>Unwitting subjects quietly added to narrative after evidence forced it. Canadian operations only acknowledged after Allan Memorial victims sued.</t>
  </si>
  <si>
    <t>All files destroyed' cannot coexist with '20,000 pages found via budget search.' 'All subjects voluntary' irreconcilable with Olson dosing and Midnight Climax.</t>
  </si>
  <si>
    <t>YES — All sourced from Church Committee records + FOIA docs</t>
  </si>
  <si>
    <t>RESEARCH INTAKE ENGINE</t>
  </si>
  <si>
    <t>Answer 6 questions. The system configures itself. Every run is saved and repeatable.</t>
  </si>
  <si>
    <t>§1 — INTAKE FORM (6 CONTROL QUESTIONS)</t>
  </si>
  <si>
    <t>FIELD</t>
  </si>
  <si>
    <t>QUESTION</t>
  </si>
  <si>
    <t>YOUR ANSWER ▼</t>
  </si>
  <si>
    <t>WHAT THIS CONTROLS</t>
  </si>
  <si>
    <t>POSTGRES IMPACT</t>
  </si>
  <si>
    <t>Q1</t>
  </si>
  <si>
    <t>What is the target type?</t>
  </si>
  <si>
    <t>Determines how the case row is created and what metadata schema applies</t>
  </si>
  <si>
    <t>→ cases.target_type
→ sets metadata columns
→ determines link discovery method</t>
  </si>
  <si>
    <t>Q2</t>
  </si>
  <si>
    <t>What is the research intent?</t>
  </si>
  <si>
    <t>Determines what the pipeline DOES — define, collect, rip, map, timeline, etc.</t>
  </si>
  <si>
    <t>→ case_runs.intent
→ selects which workers fire
→ determines output tables populated</t>
  </si>
  <si>
    <t>Q3</t>
  </si>
  <si>
    <t>What source scope?</t>
  </si>
  <si>
    <t>Determines WHERE to search — Wikipedia only, trusted hubs, web-wide, archives, etc.</t>
  </si>
  <si>
    <t>→ case_runs.source_scope
→ filters link discovery
→ sets source_type on links table</t>
  </si>
  <si>
    <t>Q4</t>
  </si>
  <si>
    <t>What depth?</t>
  </si>
  <si>
    <t>Determines HOW MANY links to collect and how many hops deep</t>
  </si>
  <si>
    <t>→ case_runs.depth
→ sets max_links, max_hops
→ controls rip queue size</t>
  </si>
  <si>
    <t>Q5</t>
  </si>
  <si>
    <t>What output do you want?</t>
  </si>
  <si>
    <t>Determines what the system PRODUCES — link list, entities, timeline, workbook, JSON, etc.</t>
  </si>
  <si>
    <t>→ case_runs.output_type
→ selects export workers
→ determines final artifact format</t>
  </si>
  <si>
    <t>Q6</t>
  </si>
  <si>
    <t>How should it organize results?</t>
  </si>
  <si>
    <t>Determines the PRIMARY KEY / GROUP BY for how output is sorted and sectioned</t>
  </si>
  <si>
    <t>→ case_runs.org_mode
→ sets ORDER BY / GROUP BY
→ controls workbook tab structure</t>
  </si>
  <si>
    <t>§2 — PROCESS MAP (WHAT EACH ANSWER TRIGGERS)</t>
  </si>
  <si>
    <t>Q1 OPTIONS — Target Type</t>
  </si>
  <si>
    <t>What It Creates</t>
  </si>
  <si>
    <t>Metadata Schema</t>
  </si>
  <si>
    <t>Link Discovery Method</t>
  </si>
  <si>
    <t>Example</t>
  </si>
  <si>
    <t>single_case</t>
  </si>
  <si>
    <t>1 case row, focused link harvest</t>
  </si>
  <si>
    <t>case_name, canonical_title, aliases, category</t>
  </si>
  <si>
    <t>Wikipedia page → outlinks → See Also → References</t>
  </si>
  <si>
    <t>category</t>
  </si>
  <si>
    <t>1 parent case + N child cases</t>
  </si>
  <si>
    <t>category_name, member_count, taxonomy_path</t>
  </si>
  <si>
    <t>Wikipedia category page → all member articles → subcategories</t>
  </si>
  <si>
    <t>Government surveillance programs</t>
  </si>
  <si>
    <t>person</t>
  </si>
  <si>
    <t>1 case row + entity record</t>
  </si>
  <si>
    <t>person_name, birth, death, roles, affiliations</t>
  </si>
  <si>
    <t>Wikipedia bio → career sections → related people → references</t>
  </si>
  <si>
    <t>Sidney Gottlieb</t>
  </si>
  <si>
    <t>organization</t>
  </si>
  <si>
    <t>org_name, type, jurisdiction, parent_org, dates</t>
  </si>
  <si>
    <t>Wikipedia org page → history → controversies → subsidiaries</t>
  </si>
  <si>
    <t>CIA Office of Scientific Intelligence</t>
  </si>
  <si>
    <t>topic</t>
  </si>
  <si>
    <t>1 case row + keyword cluster</t>
  </si>
  <si>
    <t>topic_name, related_terms, domain, era</t>
  </si>
  <si>
    <t>Wikipedia topic → related articles → cross-references</t>
  </si>
  <si>
    <t>keyword_cluster</t>
  </si>
  <si>
    <t>N search runs → merged link set</t>
  </si>
  <si>
    <t>keywords[], cluster_name, search_strategy</t>
  </si>
  <si>
    <t>Multiple keyword searches → dedupe → rank by overlap</t>
  </si>
  <si>
    <t>mind control + LSD + CIA + experiments</t>
  </si>
  <si>
    <t>Q2 OPTIONS — Research Intent</t>
  </si>
  <si>
    <t>Pipeline Action</t>
  </si>
  <si>
    <t>Workers That Fire</t>
  </si>
  <si>
    <t>Output Tables Populated</t>
  </si>
  <si>
    <t>define_it</t>
  </si>
  <si>
    <t>Collect and synthesize what this IS</t>
  </si>
  <si>
    <t>search → rip → extract_claims → summarize</t>
  </si>
  <si>
    <t>cases, links, raw_pages, extracted_claims</t>
  </si>
  <si>
    <t>aggregate_sources</t>
  </si>
  <si>
    <t>Build a source inventory</t>
  </si>
  <si>
    <t>search → collect_links → classify → score</t>
  </si>
  <si>
    <t>cases, links, source_scores</t>
  </si>
  <si>
    <t>rip_site</t>
  </si>
  <si>
    <t>Download and store specific page(s)</t>
  </si>
  <si>
    <t>rip → store_raw → extract_metadata</t>
  </si>
  <si>
    <t>cases, links, raw_pages</t>
  </si>
  <si>
    <t>find_outgoing_links</t>
  </si>
  <si>
    <t>Map where a page POINTS TO</t>
  </si>
  <si>
    <t>rip → parse_links → classify_targets</t>
  </si>
  <si>
    <t>cases, links (with direction=outgoing)</t>
  </si>
  <si>
    <t>find_best_evidence</t>
  </si>
  <si>
    <t>Rank and tier evidence quality</t>
  </si>
  <si>
    <t>search → rip → extract → score → tier</t>
  </si>
  <si>
    <t>cases, links, raw_pages, extracted_claims, source_scores</t>
  </si>
  <si>
    <t>build_timeline</t>
  </si>
  <si>
    <t>Extract and order dated events</t>
  </si>
  <si>
    <t>rip → extract_dates → extract_events → order</t>
  </si>
  <si>
    <t>cases, links, raw_pages, timeline_events</t>
  </si>
  <si>
    <t>build_entity_map</t>
  </si>
  <si>
    <t>Extract people/orgs/places and their relationships</t>
  </si>
  <si>
    <t>rip → NER → relation_extract → graph_write</t>
  </si>
  <si>
    <t>cases, links, raw_pages, extracted_entities, entity_edges</t>
  </si>
  <si>
    <t>Q3 OPTIONS — Source Scope</t>
  </si>
  <si>
    <t>Where It Searches</t>
  </si>
  <si>
    <t>Domains Allowed</t>
  </si>
  <si>
    <t>Trust Level</t>
  </si>
  <si>
    <t>wikipedia_only</t>
  </si>
  <si>
    <t>en.wikipedia.org only</t>
  </si>
  <si>
    <t>High — encyclopedic, cited, structured</t>
  </si>
  <si>
    <t>trusted_hubs</t>
  </si>
  <si>
    <t>Wikipedia + curated source list</t>
  </si>
  <si>
    <t>wikipedia, archive.org, .gov, .edu, selected .org</t>
  </si>
  <si>
    <t>High — vetted domains only</t>
  </si>
  <si>
    <t>web_wide</t>
  </si>
  <si>
    <t>Any domain, scored after collection</t>
  </si>
  <si>
    <t>Any (scored post-collection)</t>
  </si>
  <si>
    <t>Variable — requires scoring pass</t>
  </si>
  <si>
    <t>domain_specific</t>
  </si>
  <si>
    <t>User-specified domains only</t>
  </si>
  <si>
    <t>[user supplies domain list]</t>
  </si>
  <si>
    <t>User-defined</t>
  </si>
  <si>
    <t>archives_gov_legal</t>
  </si>
  <si>
    <t>FOIA, court records, gov archives</t>
  </si>
  <si>
    <t>.gov, archives.gov, PACER, FOIA portals</t>
  </si>
  <si>
    <t>Very High — primary sources</t>
  </si>
  <si>
    <t>mixed</t>
  </si>
  <si>
    <t>All of the above, layered by trust tier</t>
  </si>
  <si>
    <t>All (tagged by source_class)</t>
  </si>
  <si>
    <t>Tiered — T1/T2/T3 scoring applied</t>
  </si>
  <si>
    <t>Q4 OPTIONS — Depth</t>
  </si>
  <si>
    <t>Max Links</t>
  </si>
  <si>
    <t>Max Hops</t>
  </si>
  <si>
    <t>Rip Queue</t>
  </si>
  <si>
    <t>Cost Estimate</t>
  </si>
  <si>
    <t>top_10</t>
  </si>
  <si>
    <t>0 (seed page only)</t>
  </si>
  <si>
    <t>Top 2-4 pages</t>
  </si>
  <si>
    <t>$— minimal</t>
  </si>
  <si>
    <t>top_25</t>
  </si>
  <si>
    <t>Top 5-8 pages</t>
  </si>
  <si>
    <t>$ low</t>
  </si>
  <si>
    <t>top_50</t>
  </si>
  <si>
    <t>0-1</t>
  </si>
  <si>
    <t>Top 10-15 pages</t>
  </si>
  <si>
    <t>$$ moderate</t>
  </si>
  <si>
    <t>one_hop</t>
  </si>
  <si>
    <t>100+</t>
  </si>
  <si>
    <t>Seed + all outlinks ripped</t>
  </si>
  <si>
    <t>$$$ significant</t>
  </si>
  <si>
    <t>two_hops</t>
  </si>
  <si>
    <t>500+</t>
  </si>
  <si>
    <t>Seed + outlinks + their outlinks</t>
  </si>
  <si>
    <t>$$$$ heavy</t>
  </si>
  <si>
    <t>deep_crawl</t>
  </si>
  <si>
    <t>1000+</t>
  </si>
  <si>
    <t>3+</t>
  </si>
  <si>
    <t>Exhaustive — everything reachable</t>
  </si>
  <si>
    <t>$$$$$ max</t>
  </si>
  <si>
    <t>Q5 OPTIONS — Output Type</t>
  </si>
  <si>
    <t>What Gets Produced</t>
  </si>
  <si>
    <t>Format</t>
  </si>
  <si>
    <t>Where It Goes</t>
  </si>
  <si>
    <t>link_list</t>
  </si>
  <si>
    <t>Flat list of URLs with metadata</t>
  </si>
  <si>
    <t>CSV / JSON</t>
  </si>
  <si>
    <t>links table → export</t>
  </si>
  <si>
    <t>source_inventory</t>
  </si>
  <si>
    <t>Scored, classified source list</t>
  </si>
  <si>
    <t>CSV / Workbook</t>
  </si>
  <si>
    <t>links + source_scores → export</t>
  </si>
  <si>
    <t>ripped_pages</t>
  </si>
  <si>
    <t>Full page content stored</t>
  </si>
  <si>
    <t>Markdown / HTML in Postgres</t>
  </si>
  <si>
    <t>raw_pages table</t>
  </si>
  <si>
    <t>entities</t>
  </si>
  <si>
    <t>People, orgs, places extracted</t>
  </si>
  <si>
    <t>JSON / CSV</t>
  </si>
  <si>
    <t>extracted_entities + entity_edges → export</t>
  </si>
  <si>
    <t>Dated events in order</t>
  </si>
  <si>
    <t>JSON / CSV / Workbook</t>
  </si>
  <si>
    <t>timeline_events → export</t>
  </si>
  <si>
    <t>workbook</t>
  </si>
  <si>
    <t>Multi-tab Excel with all outputs</t>
  </si>
  <si>
    <t>.xlsx</t>
  </si>
  <si>
    <t>All relevant tables → tabs</t>
  </si>
  <si>
    <t>notebook</t>
  </si>
  <si>
    <t>Narrative research document</t>
  </si>
  <si>
    <t>Markdown / HTML</t>
  </si>
  <si>
    <t>All tables → rendered narrative</t>
  </si>
  <si>
    <t>package_json</t>
  </si>
  <si>
    <t>Full structured export for downstream</t>
  </si>
  <si>
    <t>JSON bundle</t>
  </si>
  <si>
    <t>All tables → nested JSON</t>
  </si>
  <si>
    <t>Q6 OPTIONS — Organization Mode</t>
  </si>
  <si>
    <t>Primary Grouping</t>
  </si>
  <si>
    <t>SQL Equivalent</t>
  </si>
  <si>
    <t>Workbook Tab Structure</t>
  </si>
  <si>
    <t>by_case</t>
  </si>
  <si>
    <t>One section per case</t>
  </si>
  <si>
    <t>GROUP BY case_id ORDER BY case_name</t>
  </si>
  <si>
    <t>1 tab per case</t>
  </si>
  <si>
    <t>by_source_type</t>
  </si>
  <si>
    <t>Grouped by domain/type</t>
  </si>
  <si>
    <t>GROUP BY source_type ORDER BY count DESC</t>
  </si>
  <si>
    <t>Tabs: Wikipedia, Gov, Archives, Academic, etc.</t>
  </si>
  <si>
    <t>by_date</t>
  </si>
  <si>
    <t>Chronological</t>
  </si>
  <si>
    <t>ORDER BY event_date ASC</t>
  </si>
  <si>
    <t>Tabs: by decade or era</t>
  </si>
  <si>
    <t>by_entity</t>
  </si>
  <si>
    <t>Grouped by person/org/place</t>
  </si>
  <si>
    <t>GROUP BY entity_id ORDER BY mention_count DESC</t>
  </si>
  <si>
    <t>1 tab per major entity</t>
  </si>
  <si>
    <t>by_confidence</t>
  </si>
  <si>
    <t>Ranked by evidence strength</t>
  </si>
  <si>
    <t>ORDER BY source_score DESC</t>
  </si>
  <si>
    <t>Tabs: Confirmed, Strong, Moderate, Weak, Unverified</t>
  </si>
  <si>
    <t>by_domain</t>
  </si>
  <si>
    <t>Grouped by knowledge domain</t>
  </si>
  <si>
    <t>GROUP BY domain</t>
  </si>
  <si>
    <t>Tabs: Physics, History, Psychology, Legal, etc.</t>
  </si>
  <si>
    <t>§3 — POSTGRES SCHEMA (10 CORE TABLES)</t>
  </si>
  <si>
    <t>Layer 1 — CASE MANAGEMENT</t>
  </si>
  <si>
    <t>TABLE</t>
  </si>
  <si>
    <t>COLUMNS</t>
  </si>
  <si>
    <t>FOREIGN KEYS</t>
  </si>
  <si>
    <t>FED BY Q#</t>
  </si>
  <si>
    <t>case_id, canonical_title, target_type, category, aliases[], priority, status, created_at, notes</t>
  </si>
  <si>
    <t>case_id (UUID)</t>
  </si>
  <si>
    <t>—</t>
  </si>
  <si>
    <t>case_runs</t>
  </si>
  <si>
    <t>run_id, case_id, intent, source_scope, depth, output_type, org_mode, config_json, started_at, completed_at, status</t>
  </si>
  <si>
    <t>run_id (UUID)</t>
  </si>
  <si>
    <t>case_id → cases</t>
  </si>
  <si>
    <t>Q1–Q6 (ALL)</t>
  </si>
  <si>
    <t>Layer 2 — LINK INVENTORY</t>
  </si>
  <si>
    <t>links</t>
  </si>
  <si>
    <t>link_id, case_id, run_id, url, source_domain, source_type, direction, discovery_method, hop_depth, priority, label, notes</t>
  </si>
  <si>
    <t>link_id (UUID)</t>
  </si>
  <si>
    <t>case_id → cases
run_id → case_runs</t>
  </si>
  <si>
    <t>Q3, Q4</t>
  </si>
  <si>
    <t>source_scores</t>
  </si>
  <si>
    <t>score_id, link_id, trust_tier (T1/T2/T3), relevance_score, authority_score, freshness_score, composite_score, scored_at</t>
  </si>
  <si>
    <t>score_id (UUID)</t>
  </si>
  <si>
    <t>link_id → links</t>
  </si>
  <si>
    <t>Q2 (score intents)</t>
  </si>
  <si>
    <t>Layer 3 — RIPPED CONTENT</t>
  </si>
  <si>
    <t>raw_pages</t>
  </si>
  <si>
    <t>page_id, link_id, case_id, url, title, raw_html_path, markdown_text, word_count, ripped_at, source_domain, http_status</t>
  </si>
  <si>
    <t>page_id (UUID)</t>
  </si>
  <si>
    <t>link_id → links
case_id → cases</t>
  </si>
  <si>
    <t>Q2 (rip intents), Q4</t>
  </si>
  <si>
    <t>Layer 4 — EXTRACTED STRUCTURE</t>
  </si>
  <si>
    <t>extracted_claims</t>
  </si>
  <si>
    <t>claim_id, page_id, case_id, claim_text, claim_type, confidence, evidence_tier, source_sentence, extracted_at</t>
  </si>
  <si>
    <t>claim_id (UUID)</t>
  </si>
  <si>
    <t>page_id → raw_pages
case_id → cases</t>
  </si>
  <si>
    <t>Q2 (define/evidence)</t>
  </si>
  <si>
    <t>extracted_entities</t>
  </si>
  <si>
    <t>entity_id, case_id, entity_name, entity_type (person/org/place/event), aliases[], first_seen_page, mention_count, extracted_at</t>
  </si>
  <si>
    <t>entity_id (UUID)</t>
  </si>
  <si>
    <t>Q2 (entity_map)</t>
  </si>
  <si>
    <t>entity_edges</t>
  </si>
  <si>
    <t>edge_id, source_entity_id, target_entity_id, relationship_type, evidence_page_id, confidence, extracted_at</t>
  </si>
  <si>
    <t>edge_id (UUID)</t>
  </si>
  <si>
    <t>source/target → extracted_entities
evidence → raw_pages</t>
  </si>
  <si>
    <t>event_id, case_id, event_date, date_precision (day/month/year/decade), event_description, source_page_id, entities_involved[], extracted_at</t>
  </si>
  <si>
    <t>event_id (UUID)</t>
  </si>
  <si>
    <t>case_id → cases
source → raw_pages</t>
  </si>
  <si>
    <t>Q2 (timeline)</t>
  </si>
  <si>
    <t>Layer 5 — CONFIG &amp; AI</t>
  </si>
  <si>
    <t>run_configs</t>
  </si>
  <si>
    <t>config_id, run_id, q1_target_type, q2_intent, q3_scope, q4_depth, q5_output, q6_org_mode, custom_params_json, created_at</t>
  </si>
  <si>
    <t>config_id (UUID)</t>
  </si>
  <si>
    <t>run_id → case_runs</t>
  </si>
  <si>
    <t>Q1–Q6 (saved)</t>
  </si>
  <si>
    <t>ai_jobs</t>
  </si>
  <si>
    <t>job_id, run_id, page_id, job_type (summarize/extract/classify/embed), model_used, input_tokens, output_tokens, cost_usd, result_json, started_at, completed_at</t>
  </si>
  <si>
    <t>job_id (UUID)</t>
  </si>
  <si>
    <t>run_id → case_runs
page_id → raw_pages</t>
  </si>
  <si>
    <t>Pipeline (auto)</t>
  </si>
  <si>
    <t>§4 — PIPELINE STAGES (Intake → Postgres → AI → Output)</t>
  </si>
  <si>
    <t>STAGE</t>
  </si>
  <si>
    <t>ACTION</t>
  </si>
  <si>
    <t>POSTGRES TABLES TOUCHED</t>
  </si>
  <si>
    <t>AI REQUIRED?</t>
  </si>
  <si>
    <t>COST TIER</t>
  </si>
  <si>
    <t>P1 — CONFIGURE</t>
  </si>
  <si>
    <t>User fills 6 questions → run_config created</t>
  </si>
  <si>
    <t>cases, case_runs, run_configs</t>
  </si>
  <si>
    <t>No</t>
  </si>
  <si>
    <t>Free</t>
  </si>
  <si>
    <t>P2 — SEARCH</t>
  </si>
  <si>
    <t>Discover links based on Q1 target + Q3 scope</t>
  </si>
  <si>
    <t>No (scraper/parser)</t>
  </si>
  <si>
    <t>$</t>
  </si>
  <si>
    <t>P3 — COLLECT</t>
  </si>
  <si>
    <t>Harvest top N links based on Q4 depth</t>
  </si>
  <si>
    <t>links (expanded)</t>
  </si>
  <si>
    <t>P4 — RIP</t>
  </si>
  <si>
    <t>Download and store page content (top 2-4 per case first)</t>
  </si>
  <si>
    <t>$$</t>
  </si>
  <si>
    <t>P5 — EXTRACT (cheap)</t>
  </si>
  <si>
    <t>Local/cheap extraction: metadata, dates, outlinks, basic NER</t>
  </si>
  <si>
    <t>extracted_entities, timeline_events, extracted_claims</t>
  </si>
  <si>
    <t>Yes — LOCAL models (free/cheap)</t>
  </si>
  <si>
    <t>$ (local inference)</t>
  </si>
  <si>
    <t>P6 — CLASSIFY</t>
  </si>
  <si>
    <t>Score sources, tier evidence, flag duplicates</t>
  </si>
  <si>
    <t>source_scores, links (updated)</t>
  </si>
  <si>
    <t>Yes — LOCAL classifier</t>
  </si>
  <si>
    <t>P7 — ENRICH (expensive)</t>
  </si>
  <si>
    <t>AI summarization, claim extraction, relationship mapping — ONLY best pages</t>
  </si>
  <si>
    <t>extracted_claims, extracted_entities, entity_edges, ai_jobs</t>
  </si>
  <si>
    <t>Yes — PAID API (only for top pages)</t>
  </si>
  <si>
    <t>$$$ (API calls)</t>
  </si>
  <si>
    <t>P8 — EMBED (optional)</t>
  </si>
  <si>
    <t>Generate embeddings for semantic search via pgvector</t>
  </si>
  <si>
    <t>embeddings column on raw_pages, extracted_claims</t>
  </si>
  <si>
    <t>Yes — embedding model</t>
  </si>
  <si>
    <t>$$ (batch embed)</t>
  </si>
  <si>
    <t>P9 — EXPORT</t>
  </si>
  <si>
    <t>Produce output per Q5 format + Q6 organization</t>
  </si>
  <si>
    <t>READ all relevant tables</t>
  </si>
  <si>
    <t>No (SQL + formatting)</t>
  </si>
  <si>
    <t>§5 — EXAMPLE RUN (How It All Connects)</t>
  </si>
  <si>
    <t>ANSWER</t>
  </si>
  <si>
    <t>WHAT HAPPENS</t>
  </si>
  <si>
    <t>Q1: Target type</t>
  </si>
  <si>
    <t>Creates case row: "MKUltra" with target_type=single_case</t>
  </si>
  <si>
    <t>Q2: Intent</t>
  </si>
  <si>
    <t>Pipeline will rip pages AND run NER + relationship extraction</t>
  </si>
  <si>
    <t>Q3: Scope</t>
  </si>
  <si>
    <t>Only searches Wikipedia, archive.org, .gov, .edu domains</t>
  </si>
  <si>
    <t>Q4: Depth</t>
  </si>
  <si>
    <t>Collects 25 links, rips top 5-8 pages</t>
  </si>
  <si>
    <t>Q5: Output</t>
  </si>
  <si>
    <t>Produces multi-tab .xlsx with entities, links, timeline, sources</t>
  </si>
  <si>
    <t>Q6: Organize by</t>
  </si>
  <si>
    <t>Workbook tabs grouped by person/org: "Sidney Gottlieb", "CIA-OSI", "Fort Detrick", etc.</t>
  </si>
  <si>
    <t>Pipeline flow for this run:</t>
  </si>
  <si>
    <t>P1: Config saved → P2: Search Wikipedia+hubs for MKUltra → P3: Collect top 25 links → P4: Rip top 8 pages → P5: Local NER extraction → P6: Score sources → P7: AI enrichment on top 4 pages → P9: Export to .xlsx grouped by entity</t>
  </si>
  <si>
    <t>§6 — CONNECTION TO 7Q SYSTEM</t>
  </si>
  <si>
    <t>This intake engine is the FRONT DOOR. After collection, any case/claim can be fed into:</t>
  </si>
  <si>
    <t>SYSTEM</t>
  </si>
  <si>
    <t>SHEET</t>
  </si>
  <si>
    <t>WHAT IT DOES</t>
  </si>
  <si>
    <t>INPUT FROM INTAKE</t>
  </si>
  <si>
    <t>7Q Classifier</t>
  </si>
  <si>
    <t>7Q_CLASSIFIER</t>
  </si>
  <si>
    <t>Forward: classify any extracted claim/entity</t>
  </si>
  <si>
    <t>extracted_claims, extracted_entities</t>
  </si>
  <si>
    <t>7Q Reverse Prove</t>
  </si>
  <si>
    <t>7Q_REVERSE_PROVE</t>
  </si>
  <si>
    <t>Reverse: try to kill a claim, see what survives</t>
  </si>
  <si>
    <t>extracted_claims (highest confidence)</t>
  </si>
  <si>
    <t>Evidence Protocol</t>
  </si>
  <si>
    <t>7Q_EVIDENCE_PROTOCOL</t>
  </si>
  <si>
    <t>Deep per-item evidence analysis (3-channel scoring)</t>
  </si>
  <si>
    <t>extracted_claims + source_scores</t>
  </si>
  <si>
    <t>Rigor Card</t>
  </si>
  <si>
    <t>7Q_RIGOR_CARD</t>
  </si>
  <si>
    <t>Full truth-score calculation with caps/penalties</t>
  </si>
  <si>
    <t>All extracted data for the case</t>
  </si>
  <si>
    <t>Publication Pipeline</t>
  </si>
  <si>
    <t>PUBLICATION_PIPELINE</t>
  </si>
  <si>
    <t>S01→S15 concept-to-publish workflow</t>
  </si>
  <si>
    <t>Completed rigor card output</t>
  </si>
  <si>
    <t>✅  AUDIT BLOCK</t>
  </si>
  <si>
    <t>Template</t>
  </si>
  <si>
    <t>Purpose</t>
  </si>
  <si>
    <t>Converts to</t>
  </si>
  <si>
    <t>Authors</t>
  </si>
  <si>
    <t>David Lowe + Claude · POF 2828 · Theophysics</t>
  </si>
  <si>
    <t>§7 — UNIFIED PIPELINE: OPENINTEL + 7Q SYSTEM</t>
  </si>
  <si>
    <t>POF 2828 · David Lowe + Claude · April 2026</t>
  </si>
  <si>
    <t>FULL PIPELINE (End-to-End)</t>
  </si>
  <si>
    <t>Stage</t>
  </si>
  <si>
    <t>System</t>
  </si>
  <si>
    <t>Action</t>
  </si>
  <si>
    <t>Input</t>
  </si>
  <si>
    <t>Output</t>
  </si>
  <si>
    <t>Postgres Tables</t>
  </si>
  <si>
    <t>P1-P2: CONFIGURE + SEARCH</t>
  </si>
  <si>
    <t>RESEARCH_INTAKE (this sheet)</t>
  </si>
  <si>
    <t>User fills Q1-Q6 → run config created → link discovery</t>
  </si>
  <si>
    <t>6 control questions</t>
  </si>
  <si>
    <t>cases, case_runs, run_configs, links</t>
  </si>
  <si>
    <t>P3-P4: COLLECT + RIP</t>
  </si>
  <si>
    <t>Python workers (Cloudflare)</t>
  </si>
  <si>
    <t>Harvest top N links → download → store raw content</t>
  </si>
  <si>
    <t>links table</t>
  </si>
  <si>
    <t>raw_pages (markdown + metadata)</t>
  </si>
  <si>
    <t>raw_pages, source_scores</t>
  </si>
  <si>
    <t>P5-P6: EXTRACT + CLASSIFY</t>
  </si>
  <si>
    <t>Local NER + classifier</t>
  </si>
  <si>
    <t>Extract entities, dates, claims → score sources → flag duplicates</t>
  </si>
  <si>
    <t>extracted_claims, extracted_entities, entity_edges, timeline_events</t>
  </si>
  <si>
    <t>extracted_claims, extracted_entities, entity_edges, timeline_events, source_scores</t>
  </si>
  <si>
    <t>P7: KG BUILD</t>
  </si>
  <si>
    <t>Postgres + pgvector</t>
  </si>
  <si>
    <t>Write nodes + edges → community detection → snapshot</t>
  </si>
  <si>
    <t>extracted_entities + entity_edges</t>
  </si>
  <si>
    <t>Knowledge graph (8 node types, 13 edge types)</t>
  </si>
  <si>
    <t>kg_nodes, kg_edges, kg_clusters, kg_graph_snapshots</t>
  </si>
  <si>
    <t>↓ HANDOFF POINT – OPENINTEL ANALYSIS ENGINE TAKES OVER ↓</t>
  </si>
  <si>
    <t>L1: SOFT SIGNAL SCORING</t>
  </si>
  <si>
    <t>OpenIntel Case Template</t>
  </si>
  <si>
    <t>Investigator scores 14 soft signals from KG output + raw_pages</t>
  </si>
  <si>
    <t>kg_nodes, extracted_claims, timeline_events</t>
  </si>
  <si>
    <t>S_soft score (0-1) + interpretation</t>
  </si>
  <si>
    <t>soft_signals (22-table schema)</t>
  </si>
  <si>
    <t>L2: CONTRADICTION INDEX</t>
  </si>
  <si>
    <t>Auto-detect from CONTRADICTS edges → human verify → C_score</t>
  </si>
  <si>
    <t>kg_edges (type=CONTRADICTS) + extracted_claims</t>
  </si>
  <si>
    <t>C_score (0-1) → SIS, CRD, XSC, OAA, IRI components</t>
  </si>
  <si>
    <t>claim_statements, claim_contradictions</t>
  </si>
  <si>
    <t>L3: STATISTICAL ANOMALY</t>
  </si>
  <si>
    <t>OpenIntel Base Rate Calculator</t>
  </si>
  <si>
    <t>Investigator runs base-rate analysis with Question Validator</t>
  </si>
  <si>
    <t>extracted_entities (population) + timeline_events (count)</t>
  </si>
  <si>
    <t>Sigma deviation + p-value + suggested tier</t>
  </si>
  <si>
    <t>statistical_anomalies</t>
  </si>
  <si>
    <t>L4: EVIDENCE SCORING (OCS)</t>
  </si>
  <si>
    <t>Evidence cards scored → composite credibility → T-rating</t>
  </si>
  <si>
    <t>source_scores + extracted_claims</t>
  </si>
  <si>
    <t>OCS score + T1-T5 rating</t>
  </si>
  <si>
    <t>evidence_cards, cases (tier column)</t>
  </si>
  <si>
    <t>↓ HANDOFF POINT – 7Q SYSTEM TAKES OVER ↓</t>
  </si>
  <si>
    <t>7Q-1: CLASSIFIER</t>
  </si>
  <si>
    <t>Forward pass Q1→Q7: classify each surviving claim by identity, domain, assertion, evidence, dependencies, consequences, falsification</t>
  </si>
  <si>
    <t>OpenIntel T-rated claims + C_score + S_soft</t>
  </si>
  <si>
    <t>Classified claim taxonomy</t>
  </si>
  <si>
    <t>extracted_claims (updated with 7Q fields)</t>
  </si>
  <si>
    <t>7Q-2: REVERSE PROVE</t>
  </si>
  <si>
    <t>Reverse pass Q7→Q1: try to KILL the claim → what survives IS the truth</t>
  </si>
  <si>
    <t>Highest-confidence claims (T1/T2 only)</t>
  </si>
  <si>
    <t>Death Conditions tested → survivor claims identified</t>
  </si>
  <si>
    <t>extracted_claims (death_conditions_passed column)</t>
  </si>
  <si>
    <t>7Q-3: EVIDENCE PROTOCOL</t>
  </si>
  <si>
    <t>3-channel scoring: Phenomenon Strength × Explanatory Depth × Experiential Coherence + WHY-PENALTY + NO_LIVED_VALIDITY cap</t>
  </si>
  <si>
    <t>OpenIntel evidence cards + source_scores</t>
  </si>
  <si>
    <t>PS × CF score per claim</t>
  </si>
  <si>
    <t>source_scores (updated with 7Q channels)</t>
  </si>
  <si>
    <t>7Q-4: RIGOR CARD</t>
  </si>
  <si>
    <t>T_FINAL calculation: weighted categories + ISO multipliers + auto-caps (falsification &lt; 0.30 = cap)</t>
  </si>
  <si>
    <t>All four OpenIntel layers + 7Q classifier + evidence protocol</t>
  </si>
  <si>
    <t>T_FINAL score → publish/hold/reject decision</t>
  </si>
  <si>
    <t>cases (t_final, rigor_status columns)</t>
  </si>
  <si>
    <t>PUBLICATION PIPELINE</t>
  </si>
  <si>
    <t>S01→S15: concept to publish</t>
  </si>
  <si>
    <t>Completed Rigor Card (T_FINAL ≥ threshold)</t>
  </si>
  <si>
    <t>Published article/case page</t>
  </si>
  <si>
    <t>Publication record</t>
  </si>
  <si>
    <t>UNIFIED SCHEMA CROSSWALK (22 OpenIntel + 14 Theophysics → merged)</t>
  </si>
  <si>
    <t>Table</t>
  </si>
  <si>
    <t>Lives In</t>
  </si>
  <si>
    <t>Fed By</t>
  </si>
  <si>
    <t>Read By</t>
  </si>
  <si>
    <t>Merge Action</t>
  </si>
  <si>
    <t>BOTH (identical)</t>
  </si>
  <si>
    <t>RESEARCH_INTAKE Q1</t>
  </si>
  <si>
    <t>Case Template, 7Q Rigor Card</t>
  </si>
  <si>
    <t>MERGE — add target_type, t_final, rigor_status, 7q_status cols to OpenIntel cases table</t>
  </si>
  <si>
    <t>Theophysics</t>
  </si>
  <si>
    <t>RESEARCH_INTAKE Q1-Q6</t>
  </si>
  <si>
    <t>Pipeline workers</t>
  </si>
  <si>
    <t>ADOPT — add to unified schema as-is</t>
  </si>
  <si>
    <t>links + source_scores</t>
  </si>
  <si>
    <t>P2-P3 collection</t>
  </si>
  <si>
    <t>OpenIntel evidence cards</t>
  </si>
  <si>
    <t>ADOPT — source_scores feeds evidence_cards.tier in OpenIntel</t>
  </si>
  <si>
    <t>P4 rip</t>
  </si>
  <si>
    <t>All extraction stages</t>
  </si>
  <si>
    <t>ADOPT — upstream of everything. Add openintel_case_id FK.</t>
  </si>
  <si>
    <t>Theophysics → OpenIntel</t>
  </si>
  <si>
    <t>P5 NER</t>
  </si>
  <si>
    <t>claim_statements, 7Q Classifier</t>
  </si>
  <si>
    <t>EXTEND — add statement_hash, 7q_classification, death_conditions_passed cols</t>
  </si>
  <si>
    <t>Entity Cards, KG, Frequent Flyer signal</t>
  </si>
  <si>
    <t>EXTEND — add openintel_entity_id FK, soft_signal_score col</t>
  </si>
  <si>
    <t>P5 build_timeline</t>
  </si>
  <si>
    <t>Timeline Module, Base Rate Calculator</t>
  </si>
  <si>
    <t>EXTEND — add tier, verification_status cols (OpenIntel timeline fields)</t>
  </si>
  <si>
    <t>kg_nodes + kg_edges</t>
  </si>
  <si>
    <t>Theophysics (8 node types, 13 edge types)</t>
  </si>
  <si>
    <t>P7 KG build</t>
  </si>
  <si>
    <t>Contradiction Index (CONTRADICTS edges), Relationship Anomaly signal</t>
  </si>
  <si>
    <t>ADOPT + EXTEND — add OpenIntel node types (CASE, EVIDENCE_NODE, SOFT_SIGNAL_NODE etc.)</t>
  </si>
  <si>
    <t>kg_clusters + kg_graph_snapshots</t>
  </si>
  <si>
    <t>Community detection</t>
  </si>
  <si>
    <t>Pattern Recurrence signal (L1), Cross-Case Frequent Flyer (L1)</t>
  </si>
  <si>
    <t>ADOPT — clusters directly power Soft Signals 12 and 14</t>
  </si>
  <si>
    <t>soft_signals</t>
  </si>
  <si>
    <t>OpenIntel</t>
  </si>
  <si>
    <t>Case Template Layer 1</t>
  </si>
  <si>
    <t>Four-layer display, 7Q Rigor Card</t>
  </si>
  <si>
    <t>ADOPT — 14 signal types, temporal decay, observer credibility</t>
  </si>
  <si>
    <t>claim_statements + claim_contradictions</t>
  </si>
  <si>
    <t>Case Template Layer 2 + CONTRADICTS edges</t>
  </si>
  <si>
    <t>7Q Reverse Prove (Death Conditions), 7Q Classifier</t>
  </si>
  <si>
    <t>ADOPT + EXTEND — add 7q_death_condition_result col</t>
  </si>
  <si>
    <t>Base Rate Calculator Layer 3</t>
  </si>
  <si>
    <t>7Q Evidence Protocol (Phenomenon Strength channel)</t>
  </si>
  <si>
    <t>ADOPT — sigma + p_value feeds directly into PS channel of 7Q</t>
  </si>
  <si>
    <t>P7 AI enrichment</t>
  </si>
  <si>
    <t>Cost tracking, model audit</t>
  </si>
  <si>
    <t>ADOPT — add openintel_layer col (which of 4 layers the job served)</t>
  </si>
  <si>
    <t>TOTAL MERGED SCHEMA</t>
  </si>
  <si>
    <t>~28 tables</t>
  </si>
  <si>
    <t>No duplication — upstream tables feed downstream, each table has one owner</t>
  </si>
  <si>
    <t>LAYER ALIGNMENT: OpenIntel ↔ 7Q</t>
  </si>
  <si>
    <t>OpenIntel Layer</t>
  </si>
  <si>
    <t>OpenIntel Score</t>
  </si>
  <si>
    <t>7Q Equivalent</t>
  </si>
  <si>
    <t>How They Connect</t>
  </si>
  <si>
    <t>L1 Soft Signals</t>
  </si>
  <si>
    <t>S_soft (0-1)</t>
  </si>
  <si>
    <t>Q5 Dependencies + Q6 Consequences</t>
  </si>
  <si>
    <t>Soft signals surface structural dependencies and downstream consequences that 7Q Q5/Q6 formally tests</t>
  </si>
  <si>
    <t>L2 Contradiction Index</t>
  </si>
  <si>
    <t>C_score (0-1)</t>
  </si>
  <si>
    <t>Q7 Falsification + Death Conditions</t>
  </si>
  <si>
    <t>C_score measures narrative instability; 7Q Reverse Prove tests whether contradictions actually KILL the claim</t>
  </si>
  <si>
    <t>L3 Statistical Anomaly</t>
  </si>
  <si>
    <t>Sigma + p-value</t>
  </si>
  <si>
    <t>7Q Evidence Protocol — Phenomenon Strength channel</t>
  </si>
  <si>
    <t>Sigma deviation IS the quantified Phenomenon Strength score. High sigma → high PS → feeds T_FINAL multiplier</t>
  </si>
  <si>
    <t>L4 Evidence (OCS)</t>
  </si>
  <si>
    <t>OCS → T1-T5</t>
  </si>
  <si>
    <t>7Q Evidence Protocol — full 3-channel score</t>
  </si>
  <si>
    <t>OCS maps to Explanatory Depth + Experiential Coherence channels. T-rating aligns with evidence tier caps.</t>
  </si>
  <si>
    <t>THE KEY INSIGHT</t>
  </si>
  <si>
    <t>OpenIntel produces the INVESTIGATION. 7Q produces the VERDICT.</t>
  </si>
  <si>
    <t>You cannot get a valid T_FINAL without first completing the four-layer investigation.</t>
  </si>
  <si>
    <t>You cannot publish without a valid T_FINAL.</t>
  </si>
  <si>
    <t>The pipeline enforces epistemic discipline at every stage.</t>
  </si>
  <si>
    <t>§8 — T_FINAL GATE MAP + ISO MULTIPLIER ENFORCEMENT</t>
  </si>
  <si>
    <t>Minimum publication threshold: 0.85</t>
  </si>
  <si>
    <t>T_FINAL CONFIDENCE GATE</t>
  </si>
  <si>
    <t>T_FINAL Range</t>
  </si>
  <si>
    <t>7Q Confidence Class</t>
  </si>
  <si>
    <t>OpenIntel T-Rating</t>
  </si>
  <si>
    <t>Publication Gate</t>
  </si>
  <si>
    <t>≥ 0.95</t>
  </si>
  <si>
    <t>Near-certain</t>
  </si>
  <si>
    <t>T1 — PROVEN</t>
  </si>
  <si>
    <t>✅ PASS — fast-track</t>
  </si>
  <si>
    <t>S05 PASS → S06 adversarial → publish</t>
  </si>
  <si>
    <t>0.85 – 0.95</t>
  </si>
  <si>
    <t>Strong</t>
  </si>
  <si>
    <t>T1–T2 boundary</t>
  </si>
  <si>
    <t>✅ PASS — adversarial required</t>
  </si>
  <si>
    <t>S05 PASS → S06 adversarial REQUIRED → publish</t>
  </si>
  <si>
    <t>0.75 – 0.85</t>
  </si>
  <si>
    <t>Moderate</t>
  </si>
  <si>
    <t>T2 — STRONG/PROBABLE</t>
  </si>
  <si>
    <t>⚠️ BORDERLINE</t>
  </si>
  <si>
    <t>Flag for S06 — publish only if adversarial clears</t>
  </si>
  <si>
    <t>0.60 – 0.75</t>
  </si>
  <si>
    <t>Weak</t>
  </si>
  <si>
    <t>T3 — POSSIBLE</t>
  </si>
  <si>
    <t>❌ FAIL</t>
  </si>
  <si>
    <t>Return to S02 or KILL</t>
  </si>
  <si>
    <t>&lt; 0.60</t>
  </si>
  <si>
    <t>Dubious</t>
  </si>
  <si>
    <t>T4–T5 — SPECULATIVE</t>
  </si>
  <si>
    <t>❌ KILL or archive</t>
  </si>
  <si>
    <t>Archive with investigation notes intact</t>
  </si>
  <si>
    <t>AUTO-CAPS (block publication regardless of raw score)</t>
  </si>
  <si>
    <t>Cap Name</t>
  </si>
  <si>
    <t>Trigger Condition</t>
  </si>
  <si>
    <t>T_FINAL Cap</t>
  </si>
  <si>
    <t>OpenIntel Source</t>
  </si>
  <si>
    <t>Critical Distinction</t>
  </si>
  <si>
    <t>FALSIFICATION CAP</t>
  </si>
  <si>
    <t>Q7 &lt; 0.30</t>
  </si>
  <si>
    <t>T capped at 0.60</t>
  </si>
  <si>
    <t>C_score (Layer 2)</t>
  </si>
  <si>
    <t>C_score ≥ 0.7 = contradictions TESTED and SURVIVED = HIGH Q7 (not a penalty). Contradiction existence ≠ falsification failure.</t>
  </si>
  <si>
    <t>PREDICTION CAP</t>
  </si>
  <si>
    <t>Q6 &lt; 0.30</t>
  </si>
  <si>
    <t>T capped at 0.70</t>
  </si>
  <si>
    <t>Soft Signal 3 (Timing Friction) + Consequence mapping</t>
  </si>
  <si>
    <t>A case with no predictive/consequence claims cannot score above borderline.</t>
  </si>
  <si>
    <t>WHY-PENALTY</t>
  </si>
  <si>
    <t>ED &lt; 0.30</t>
  </si>
  <si>
    <t>E_final capped at 0.50</t>
  </si>
  <si>
    <t>Evidence Cards → Explanatory Depth channel</t>
  </si>
  <si>
    <t>Mechanism must be documented. 'What happened' without 'how it worked' triggers this.</t>
  </si>
  <si>
    <t>NO_LIVED_VALIDITY</t>
  </si>
  <si>
    <t>EC &lt; 0.10</t>
  </si>
  <si>
    <t>FLAG (not publish)</t>
  </si>
  <si>
    <t>Witness Cards + Physical Evidence</t>
  </si>
  <si>
    <t>Evidence must have been tested in lived reality. Pure documentary cases without firsthand accounts trigger this.</t>
  </si>
  <si>
    <t>ISO MULTIPLIER ENFORCEMENT (Critical — ISO status must be verified BEFORE multiplier applies)</t>
  </si>
  <si>
    <t>ISO Status</t>
  </si>
  <si>
    <t>Definition</t>
  </si>
  <si>
    <t>Multiplier</t>
  </si>
  <si>
    <t>Minimum Required</t>
  </si>
  <si>
    <t>Gate Check</t>
  </si>
  <si>
    <t>ISO-CONFIRMED</t>
  </si>
  <si>
    <t>3+ independent domains confirm the same conclusion</t>
  </si>
  <si>
    <t>1.5×</t>
  </si>
  <si>
    <t>3 confirmed domain matches, each from separate T1/T2 sources</t>
  </si>
  <si>
    <t>Verify domain count + source tier BEFORE applying. Audit trail required in iso_confirmation_notes.</t>
  </si>
  <si>
    <t>ISO-PARALLEL</t>
  </si>
  <si>
    <t>2 independent domains show parallel evidence</t>
  </si>
  <si>
    <t>1.15×</t>
  </si>
  <si>
    <t>2 domain matches, T1/T2 sources only</t>
  </si>
  <si>
    <t>Cannot be self-reported. Each domain must be independently verifiable.</t>
  </si>
  <si>
    <t>ISO-ANALOGY</t>
  </si>
  <si>
    <t>Structural similarity to a confirmed case</t>
  </si>
  <si>
    <t>1.05×</t>
  </si>
  <si>
    <t>1 confirmed structural analog (T1 case only)</t>
  </si>
  <si>
    <t>Analog case must be explicitly cited by OI-CT-XXXX. Pattern Recurrence signal (L1-S12) triggers this.</t>
  </si>
  <si>
    <t>ISO-NONE</t>
  </si>
  <si>
    <t>No cross-domain confirmation</t>
  </si>
  <si>
    <t>1.0×</t>
  </si>
  <si>
    <t>Default — T_RAW does full work</t>
  </si>
  <si>
    <t>T_RAW ≥ 0.85 required to publish. No multiplier shortcut available.</t>
  </si>
  <si>
    <t>ISO VULNERABILITY RULE (added per Theophysics agent review):</t>
  </si>
  <si>
    <t>A case with T_RAW ≥ 0.567 + ISO-CONFIRMED should NOT auto-publish.</t>
  </si>
  <si>
    <t>iso_status column in cases table must be HUMAN-VERIFIED before multiplier applies.</t>
  </si>
  <si>
    <t>Gate check: cases.iso_status IN ('ISO-CONFIRMED','ISO-PARALLEL','ISO-ANALOGY') AND cases.iso_verified_by IS NOT NULL</t>
  </si>
  <si>
    <t>T_FINAL CALCULATION (MKUltra Proof of Concept)</t>
  </si>
  <si>
    <t>Value</t>
  </si>
  <si>
    <t>S_soft (L1)</t>
  </si>
  <si>
    <t>Case Template B311 (MKUltra)</t>
  </si>
  <si>
    <t>EXTREME — 14/14 signals scored</t>
  </si>
  <si>
    <t>C_score (L2)</t>
  </si>
  <si>
    <t>Case Template B312 (MKUltra)</t>
  </si>
  <si>
    <t>UNSTABLE — 21 contradictions. High C_score = tested+survived = HIGH Q7.</t>
  </si>
  <si>
    <t>Sigma (L3)</t>
  </si>
  <si>
    <t>Case Template B313 (MKUltra)</t>
  </si>
  <si>
    <t>9.0σ → PS ≈ 0.97</t>
  </si>
  <si>
    <t>OCS → T-Rating (L4)</t>
  </si>
  <si>
    <t>T1 — PROVEN (99/100)</t>
  </si>
  <si>
    <t>Case Template B314 (MKUltra)</t>
  </si>
  <si>
    <t>T1 confirmed by FOIA + congressional record</t>
  </si>
  <si>
    <t>7Q Q5 (Dependencies)</t>
  </si>
  <si>
    <t>Derived from Soft Signals L1</t>
  </si>
  <si>
    <t>CIA program dependencies fully documented</t>
  </si>
  <si>
    <t>7Q Q6 (Consequences)</t>
  </si>
  <si>
    <t>Timing Friction signal + documented consequences</t>
  </si>
  <si>
    <t>Church Committee, victim settlements, program termination</t>
  </si>
  <si>
    <t>7Q Q7 (Falsification)</t>
  </si>
  <si>
    <t>C_score contradictions tested+survived</t>
  </si>
  <si>
    <t>Contradictions exist but are RESOLVED by evidence. High Q7.</t>
  </si>
  <si>
    <t>PS (Phenomenon Strength)</t>
  </si>
  <si>
    <t>9.0σ direct mapping</t>
  </si>
  <si>
    <t>WHY-PENALTY does not apply (mechanism documented)</t>
  </si>
  <si>
    <t>ED (Explanatory Depth)</t>
  </si>
  <si>
    <t>Evidence cards + Document cards</t>
  </si>
  <si>
    <t>Full mechanism documented via declassified records</t>
  </si>
  <si>
    <t>EC (Experiential Coherence)</t>
  </si>
  <si>
    <t>Witness cards + survivor testimony</t>
  </si>
  <si>
    <t>Cameron victims, Olson family, Church Committee witnesses</t>
  </si>
  <si>
    <t>T_RAW</t>
  </si>
  <si>
    <t>= AVG(Q5,Q6,Q7,PS,ED,EC)</t>
  </si>
  <si>
    <t>ISO-CONFIRMED (3+)</t>
  </si>
  <si>
    <t>Historical, medical, legal, political domains all confirm</t>
  </si>
  <si>
    <t>ISO Multiplier</t>
  </si>
  <si>
    <t>Human-verified required before applying</t>
  </si>
  <si>
    <t>T_FINAL (raw)</t>
  </si>
  <si>
    <t>T_FINAL (displayed)</t>
  </si>
  <si>
    <t>Auto-caps check</t>
  </si>
  <si>
    <t>— NEW v1.2: 7Q System Integration + ISO Multiplier Enforcement — columns added to cases table</t>
  </si>
  <si>
    <t>soft_signal_score</t>
  </si>
  <si>
    <t>S_soft composite (0-1). AVG of 14 signals.</t>
  </si>
  <si>
    <t>contradiction_score</t>
  </si>
  <si>
    <t>C_score composite (0-1). AVG of SIS/CRD/XSC/OAA/IRI.</t>
  </si>
  <si>
    <t>sigma_deviation</t>
  </si>
  <si>
    <t>NULLABLE</t>
  </si>
  <si>
    <t>Statistical sigma (L3). NULL if base-rate not run.</t>
  </si>
  <si>
    <t>Base Rate Calculator</t>
  </si>
  <si>
    <t>Row 274 (B274)</t>
  </si>
  <si>
    <t>t_final</t>
  </si>
  <si>
    <t>NULLABLE DEFAULT NULL</t>
  </si>
  <si>
    <t>7Q T_FINAL score (0-1). NULL until 7Q Rigor Card run. ≥ 0.85 required to publish.</t>
  </si>
  <si>
    <t>7Q Rigor Card output</t>
  </si>
  <si>
    <t>RESEARCH_INTAKE B224</t>
  </si>
  <si>
    <t>t_raw</t>
  </si>
  <si>
    <t>7Q T_RAW before ISO multiplier. AVG(Q5,Q6,Q7,PS,ED,EC).</t>
  </si>
  <si>
    <t>7Q Rigor Card</t>
  </si>
  <si>
    <t>RESEARCH_INTAKE B221</t>
  </si>
  <si>
    <t>iso_status</t>
  </si>
  <si>
    <t>CHECK (4 values) DEFAULT 'ISO-NONE'</t>
  </si>
  <si>
    <t>ISO-CONFIRMED (1.5×) | ISO-PARALLEL (1.15×) | ISO-ANALOGY (1.05×) | ISO-NONE (1.0×). HUMAN-VERIFIED before multiplier applies.</t>
  </si>
  <si>
    <t>ISO Multiplier gate</t>
  </si>
  <si>
    <t>RESEARCH_INTAKE B222</t>
  </si>
  <si>
    <t>iso_verified_by</t>
  </si>
  <si>
    <t>Investigator who verified ISO status. NULL = multiplier BLOCKED. Gate check: iso_status != 'ISO-NONE' AND iso_verified_by IS NOT NULL.</t>
  </si>
  <si>
    <t>iso_confirmation_notes</t>
  </si>
  <si>
    <t>Audit trail: which domains confirmed + source citations. Required before ISO-CONFIRMED applies.</t>
  </si>
  <si>
    <t>publication_gate</t>
  </si>
  <si>
    <t>GENERATED ALWAYS</t>
  </si>
  <si>
    <t>AUTO: IF t_final &gt;= 0.95 → 'FAST-TRACK' | 0.85-0.95 → 'ADVERSARIAL-REQUIRED' | 0.75-0.85 → 'BORDERLINE' | &lt; 0.75 → 'FAIL' | NULL → 'NOT-RUN'</t>
  </si>
  <si>
    <t>seven_q_status</t>
  </si>
  <si>
    <t>DEFAULT 'pending'</t>
  </si>
  <si>
    <t>pending | classifier-run | reverse-proved | rigor-complete | published | killed | archived</t>
  </si>
  <si>
    <t>ISO VULNERABILITY RULE: iso_status multiplier requires iso_verified_by IS NOT NULL. Enforced at application layer.</t>
  </si>
  <si>
    <t>OPENINTEL + 7Q UNIFIED CONTROLLED VOCABULARY</t>
  </si>
  <si>
    <t>POF 2828 · David Lowe + Claude · v1.0</t>
  </si>
  <si>
    <t>Single source of truth. All dropdowns in Case Template, RESEARCH_INTAKE, and 7Q system reference this sheet.</t>
  </si>
  <si>
    <t>COLUMN A — EVIDENCE TIERS (T-Rating)</t>
  </si>
  <si>
    <t>Code</t>
  </si>
  <si>
    <t>Label</t>
  </si>
  <si>
    <t>Minimum Evidence Required</t>
  </si>
  <si>
    <t>7Q T_FINAL Range</t>
  </si>
  <si>
    <t>PROVEN</t>
  </si>
  <si>
    <t>Government admission, court record, FOIA document, official congressional finding</t>
  </si>
  <si>
    <t>Primary source — official record from the institution involved</t>
  </si>
  <si>
    <t>FAST-TRACK</t>
  </si>
  <si>
    <t>PROVEN TO STRONG</t>
  </si>
  <si>
    <t>Proven core with some elements needing corroboration</t>
  </si>
  <si>
    <t>T1 source for core claim + T2 for supporting claims</t>
  </si>
  <si>
    <t>0.90–0.95</t>
  </si>
  <si>
    <t>ADVERSARIAL-REQUIRED</t>
  </si>
  <si>
    <t>STRONG EVIDENCE</t>
  </si>
  <si>
    <t>Credible documents, consistent testimony, independent corroboration across 2+ sources</t>
  </si>
  <si>
    <t>Multiple independent T2 sources + no irreconcilable contradictions</t>
  </si>
  <si>
    <t>0.85–0.90</t>
  </si>
  <si>
    <t>STRONG TO CREDIBLE</t>
  </si>
  <si>
    <t>Strong evidence with some credibility gaps</t>
  </si>
  <si>
    <t>At least one T2 source, remainder T3</t>
  </si>
  <si>
    <t>0.75–0.85</t>
  </si>
  <si>
    <t>BORDERLINE</t>
  </si>
  <si>
    <t>CREDIBLE</t>
  </si>
  <si>
    <t>Pattern + circumstantial evidence. No smoking gun but convergent indicators.</t>
  </si>
  <si>
    <t>Multiple independent circumstantial sources, statistical anomaly ≥ 3σ</t>
  </si>
  <si>
    <t>0.60–0.75</t>
  </si>
  <si>
    <t>FAIL (return to S02)</t>
  </si>
  <si>
    <t>CREDIBLE TO WEAK</t>
  </si>
  <si>
    <t>Mixed credibility — some pattern but significant gaps</t>
  </si>
  <si>
    <t>0.55–0.65</t>
  </si>
  <si>
    <t>FAIL</t>
  </si>
  <si>
    <t>WEAK</t>
  </si>
  <si>
    <t>Mostly speculative. Evidence present but insufficient or tainted.</t>
  </si>
  <si>
    <t>Single source, unverified claims, or highly contested evidence</t>
  </si>
  <si>
    <t>0.40–0.60</t>
  </si>
  <si>
    <t>KILL or archive</t>
  </si>
  <si>
    <t>WEAK TO SPECULATIVE</t>
  </si>
  <si>
    <t>0.30–0.45</t>
  </si>
  <si>
    <t>SPECULATIVE</t>
  </si>
  <si>
    <t>No real evidence. Assertion without support.</t>
  </si>
  <si>
    <t>No verifiable primary sources</t>
  </si>
  <si>
    <t>&lt; 0.40</t>
  </si>
  <si>
    <t>KILL</t>
  </si>
  <si>
    <t>MIXED TIERS</t>
  </si>
  <si>
    <t>Different claims within the same case have different evidence quality</t>
  </si>
  <si>
    <t>Documented per-claim in Evidence Cards</t>
  </si>
  <si>
    <t>Varies</t>
  </si>
  <si>
    <t>Per-claim assessment required</t>
  </si>
  <si>
    <t>COLUMN B — CASE TYPES</t>
  </si>
  <si>
    <t>Active Modules (Section C)</t>
  </si>
  <si>
    <t>EVENT</t>
  </si>
  <si>
    <t>A specific thing happened</t>
  </si>
  <si>
    <t>Discrete historical or recent event with identifiable actors and timeline</t>
  </si>
  <si>
    <t>Narrative Comparison, Contradictions, Documents, Witnesses, Physical Evidence</t>
  </si>
  <si>
    <t>Ongoing/historical operation</t>
  </si>
  <si>
    <t>Structured operation run by an institution over time (e.g. MKUltra, COINTELPRO)</t>
  </si>
  <si>
    <t>Narrative, Contradictions, Documents, Financial Trail, Suppression Log</t>
  </si>
  <si>
    <t>INSTITUTION</t>
  </si>
  <si>
    <t>Real org, debated power</t>
  </si>
  <si>
    <t>Organization whose power, purpose, or activities are contested</t>
  </si>
  <si>
    <t>Narrative Comparison, Financial Trail</t>
  </si>
  <si>
    <t>PROPAGANDA</t>
  </si>
  <si>
    <t>Coordinated info campaign</t>
  </si>
  <si>
    <t>Deliberate narrative construction and amplification (BLUE OCEAN modules active)</t>
  </si>
  <si>
    <t>Propagation Map 🔴, Suppression Log, Bot/Coordination Analysis 🔴, Financial Trail</t>
  </si>
  <si>
    <t>PROPHETIC</t>
  </si>
  <si>
    <t>Biblical prophecy tracking</t>
  </si>
  <si>
    <t>Scriptural claims + fulfillment evidence (theophysics domain)</t>
  </si>
  <si>
    <t>Scripture Card, Fulfillment Tracker</t>
  </si>
  <si>
    <t>PHENOMENON</t>
  </si>
  <si>
    <t>Observable, unexplained</t>
  </si>
  <si>
    <t>Empirically documented event without accepted scientific explanation</t>
  </si>
  <si>
    <t>Sighting Map, Physical Evidence, Witnesses</t>
  </si>
  <si>
    <t>PATTERN</t>
  </si>
  <si>
    <t>Convergent data points</t>
  </si>
  <si>
    <t>Statistical cluster requiring base-rate analysis (L3 primary case type)</t>
  </si>
  <si>
    <t>Pattern Analysis → auto-triggers Base Rate Calculator</t>
  </si>
  <si>
    <t>SYMBOL</t>
  </si>
  <si>
    <t>Hidden meaning claims</t>
  </si>
  <si>
    <t>Claims about symbolic meaning in media, architecture, currency, etc.</t>
  </si>
  <si>
    <t>Symbol Origin module</t>
  </si>
  <si>
    <t>CULTURAL</t>
  </si>
  <si>
    <t>Pop culture / fringe</t>
  </si>
  <si>
    <t>Interpretations of cultural artifacts, media, entertainment</t>
  </si>
  <si>
    <t>COLUMN C — SOFT SIGNAL TYPES (14)</t>
  </si>
  <si>
    <t>Half-Life (days)</t>
  </si>
  <si>
    <t>7Q Mapping</t>
  </si>
  <si>
    <t>NARRATIVE_COMPRESSION</t>
  </si>
  <si>
    <t>S01</t>
  </si>
  <si>
    <t>Narrative Compression Stress</t>
  </si>
  <si>
    <t>Official explanation requires too many independent coincidences stacked together</t>
  </si>
  <si>
    <t>Q5 Dependencies</t>
  </si>
  <si>
    <t>COINCIDENCE_DENSITY</t>
  </si>
  <si>
    <t>S02</t>
  </si>
  <si>
    <t>Coincidence Density</t>
  </si>
  <si>
    <t>Unusual clustering of anomalies around a single node. Pre-trigger for L3 base-rate analysis.</t>
  </si>
  <si>
    <t>Q5 + L3 trigger</t>
  </si>
  <si>
    <t>TIMING_FRICTION</t>
  </si>
  <si>
    <t>S03</t>
  </si>
  <si>
    <t>Timing Friction</t>
  </si>
  <si>
    <t>Events occurring at contextually loaded moments (before testimony, after subpoena)</t>
  </si>
  <si>
    <t>Q6 Consequences</t>
  </si>
  <si>
    <t>BEHAVIORAL_DEVIATION</t>
  </si>
  <si>
    <t>S04</t>
  </si>
  <si>
    <t>Behavioral Deviation</t>
  </si>
  <si>
    <t>People acting out of character under pressure vs established baseline</t>
  </si>
  <si>
    <t>INFORMATION_ASYMMETRY</t>
  </si>
  <si>
    <t>S05</t>
  </si>
  <si>
    <t>Information Asymmetry</t>
  </si>
  <si>
    <t>Someone knows something they shouldn't — or doesn't know something they should</t>
  </si>
  <si>
    <t>Q4 Evidence + Q5</t>
  </si>
  <si>
    <t>SUPPRESSION</t>
  </si>
  <si>
    <t>S06</t>
  </si>
  <si>
    <t>Suppression / Friction</t>
  </si>
  <si>
    <t>Resistance to inquiry beyond normal institutional inertia. Feeds P_s score.</t>
  </si>
  <si>
    <t>RELATIONSHIP_ANOMALY</t>
  </si>
  <si>
    <t>S07</t>
  </si>
  <si>
    <t>Relationship Anomalies</t>
  </si>
  <si>
    <t>Connections that shouldn’t exist — graph edges between nodes that should be independent</t>
  </si>
  <si>
    <t>NARRATIVE_DRIFT</t>
  </si>
  <si>
    <t>S08</t>
  </si>
  <si>
    <t>Narrative Drift</t>
  </si>
  <si>
    <t>Official story changes over time without new evidence. Operationalized by C_score (SIS/CRD)</t>
  </si>
  <si>
    <t>Q7 Falsification → C_score</t>
  </si>
  <si>
    <t>ABSENCE_WHERE_EXPECTED</t>
  </si>
  <si>
    <t>S09</t>
  </si>
  <si>
    <t>Absence Where Expected</t>
  </si>
  <si>
    <t>Records that SHOULD exist by procedure/law/policy are missing without explanation</t>
  </si>
  <si>
    <t>Q4 Evidence (gap)</t>
  </si>
  <si>
    <t>DISPROPORTIONATE_RESPONSE</t>
  </si>
  <si>
    <t>S10</t>
  </si>
  <si>
    <t>Disproportionate Response</t>
  </si>
  <si>
    <t>Institutional reaction wildly out of scale with stated cause</t>
  </si>
  <si>
    <t>FINANCIAL_ANOMALY</t>
  </si>
  <si>
    <t>S11</t>
  </si>
  <si>
    <t>Financial Anomaly (Pre-Stat)</t>
  </si>
  <si>
    <t>Money moving contrary to stated purpose. Pre-trigger for L3 financial analysis.</t>
  </si>
  <si>
    <t>Q4 Evidence + L3 trigger</t>
  </si>
  <si>
    <t>PATTERN_RECURRENCE</t>
  </si>
  <si>
    <t>S12</t>
  </si>
  <si>
    <t>Pattern Recurrence</t>
  </si>
  <si>
    <t>Same structural template appearing across independent cases. Triggers ISO-ANALOGY (1.05×).</t>
  </si>
  <si>
    <t>Q5 + ISO-ANALOGY trigger</t>
  </si>
  <si>
    <t>TOO_CLEAN</t>
  </si>
  <si>
    <t>S13</t>
  </si>
  <si>
    <t>Too Clean</t>
  </si>
  <si>
    <t>Suspiciously perfect narrative — no contradictions, no mess. Inverse soft signal (absence of signals IS a signal).</t>
  </si>
  <si>
    <t>Q7 Falsification (inverse)</t>
  </si>
  <si>
    <t>CROSS_CASE_FREQUENT_FLYER</t>
  </si>
  <si>
    <t>S14</t>
  </si>
  <si>
    <t>Cross-Case Frequent Flyer</t>
  </si>
  <si>
    <t>Entity appearing in 3+ unrelated cases with soft signal scores ≥ 0.3. Triggers ISO-CONFIRMED review.</t>
  </si>
  <si>
    <t>Q5 + ISO-CONFIRMED trigger</t>
  </si>
  <si>
    <t>COLUMN D — CONTRADICTION TYPES (L2 C_score components)</t>
  </si>
  <si>
    <t>Component</t>
  </si>
  <si>
    <t>7Q Q7 Mapping</t>
  </si>
  <si>
    <t>Decay Behavior</t>
  </si>
  <si>
    <t>SIS</t>
  </si>
  <si>
    <t>Self-Contradiction Score</t>
  </si>
  <si>
    <t>Death Condition: does the claim contradict itself?</t>
  </si>
  <si>
    <t>COMPOUNDS over time (unresolved contradictions worsen)</t>
  </si>
  <si>
    <t>CRD</t>
  </si>
  <si>
    <t>Claim Revision Density</t>
  </si>
  <si>
    <t>How often official narrative revised — higher = more unstable</t>
  </si>
  <si>
    <t>Drift velocity measurement</t>
  </si>
  <si>
    <t>COMPOUNDS (each unacknowledged revision adds)</t>
  </si>
  <si>
    <t>XSC</t>
  </si>
  <si>
    <t>Cross-Source Conflict</t>
  </si>
  <si>
    <t>Different official sources contradict each other on the same facts</t>
  </si>
  <si>
    <t>Explanatory depth failure</t>
  </si>
  <si>
    <t>DECAYS if resolved (half-life 365d)</t>
  </si>
  <si>
    <t>OAA</t>
  </si>
  <si>
    <t>Omission/Addition Asymmetry</t>
  </si>
  <si>
    <t>Framing shift detection</t>
  </si>
  <si>
    <t>COMPOUNDS (unacknowledged revisions accumulate)</t>
  </si>
  <si>
    <t>IRI</t>
  </si>
  <si>
    <t>Irreconcilable Index</t>
  </si>
  <si>
    <t>Contradictions that CANNOT be resolved — both claims cannot be true. Highest weight.</t>
  </si>
  <si>
    <t>Primary Death Condition input. High IRI + unresolved = Q7 &lt; 0.30 = FALSIFICATION CAP.</t>
  </si>
  <si>
    <t>PERMANENT until resolution with evidence</t>
  </si>
  <si>
    <t>NOTE:</t>
  </si>
  <si>
    <t>C_score ≥ 0.7 with contradictions RESOLVED by evidence = HIGH Q7 (not a penalty). Contradiction existence ≠ falsification failure.</t>
  </si>
  <si>
    <t>COLUMN E — OBSERVER CREDIBILITY</t>
  </si>
  <si>
    <t>Weight</t>
  </si>
  <si>
    <t>Full weight</t>
  </si>
  <si>
    <t>Trained investigator, journalist, forensic analyst with verifiable credentials</t>
  </si>
  <si>
    <t>0.85×</t>
  </si>
  <si>
    <t>Strong weight</t>
  </si>
  <si>
    <t>Domain expert, academic, former insider with documented expertise</t>
  </si>
  <si>
    <t>CITIZEN</t>
  </si>
  <si>
    <t>0.60×</t>
  </si>
  <si>
    <t>Moderate weight</t>
  </si>
  <si>
    <t>Informed public, researcher, blogger. Does NOT dismiss — just weights lower. Quality of evidence still primary.</t>
  </si>
  <si>
    <t>ANONYMOUS</t>
  </si>
  <si>
    <t>0.30×</t>
  </si>
  <si>
    <t>Low weight</t>
  </si>
  <si>
    <t>Unverified source. Soft signals flagged by anonymous sources require corroboration before scoring.</t>
  </si>
  <si>
    <t>COLUMN F — ISO STATUS (Multiplier Enforcement)</t>
  </si>
  <si>
    <t>Gate Requirement</t>
  </si>
  <si>
    <t>Triggers</t>
  </si>
  <si>
    <t>3+ independent domains confirm</t>
  </si>
  <si>
    <t>iso_verified_by IS NOT NULL + iso_confirmation_notes with domain citations</t>
  </si>
  <si>
    <t>S14 (Cross-Case Frequent Flyer at 3+ cases)</t>
  </si>
  <si>
    <t>2 independent domains</t>
  </si>
  <si>
    <t>iso_verified_by IS NOT NULL + both domains cited</t>
  </si>
  <si>
    <t>S14 (2+ cases)</t>
  </si>
  <si>
    <t>Structural analog to T1 confirmed case</t>
  </si>
  <si>
    <t>iso_verified_by IS NOT NULL + analog case cited by OI-CT-XXXX</t>
  </si>
  <si>
    <t>S12 (Pattern Recurrence)</t>
  </si>
  <si>
    <t>Default — no cross-domain confirmation</t>
  </si>
  <si>
    <t>T_RAW must reach 0.85 unassisted. No shortcut.</t>
  </si>
  <si>
    <t>Default for all new cases</t>
  </si>
  <si>
    <t>PERSON</t>
  </si>
  <si>
    <t>Both</t>
  </si>
  <si>
    <t>Individual human actor</t>
  </si>
  <si>
    <t>ORG</t>
  </si>
  <si>
    <t>Organization, institution, agency</t>
  </si>
  <si>
    <t>PLACE</t>
  </si>
  <si>
    <t>Geographic location</t>
  </si>
  <si>
    <t>Discrete event node</t>
  </si>
  <si>
    <t>CONCEPT</t>
  </si>
  <si>
    <t>Abstract idea, theory, doctrine</t>
  </si>
  <si>
    <t>OI-CN-XXXXXXXX</t>
  </si>
  <si>
    <t>DOCUMENT</t>
  </si>
  <si>
    <t>Primary source document</t>
  </si>
  <si>
    <t>CLAIM</t>
  </si>
  <si>
    <t>Individual claim/statement (maps to claim_statements)</t>
  </si>
  <si>
    <t>OI-CL-XXXXXXXX</t>
  </si>
  <si>
    <t>DATE</t>
  </si>
  <si>
    <t>Standalone date node (enables temporal graph queries)</t>
  </si>
  <si>
    <t>Allows shortest-path and temporal clustering</t>
  </si>
  <si>
    <t>OI-DT-XXXXXXXX</t>
  </si>
  <si>
    <t>Evidence piece (38 types)</t>
  </si>
  <si>
    <t>Scored soft signal observation</t>
  </si>
  <si>
    <t>OI-SS-XXXXXXXX</t>
  </si>
  <si>
    <t>Contradiction pair record</t>
  </si>
  <si>
    <t>OI-CR-XXXXXXXX</t>
  </si>
  <si>
    <t>Direction</t>
  </si>
  <si>
    <t>Soft Signal / Layer</t>
  </si>
  <si>
    <t>WORKED_FOR</t>
  </si>
  <si>
    <t>PERSON → ORG</t>
  </si>
  <si>
    <t>S07 Relationship Anomaly</t>
  </si>
  <si>
    <t>REPORTED_TO</t>
  </si>
  <si>
    <t>PERSON → PERSON</t>
  </si>
  <si>
    <t>PARTICIPATED_IN</t>
  </si>
  <si>
    <t>PERSON/ORG → EVENT</t>
  </si>
  <si>
    <t>Timeline population</t>
  </si>
  <si>
    <t>OCCURRED_AT</t>
  </si>
  <si>
    <t>EVENT → PLACE</t>
  </si>
  <si>
    <t>Sighting Map, Geographic clustering</t>
  </si>
  <si>
    <t>FUNDS</t>
  </si>
  <si>
    <t>ORG/PERSON → ORG/PERSON</t>
  </si>
  <si>
    <t>S11 Financial Anomaly + Financial Trail module</t>
  </si>
  <si>
    <t>SUPPORTS</t>
  </si>
  <si>
    <t>CLAIM/EVIDENCE → CLAIM</t>
  </si>
  <si>
    <t>Evidence → Claim support chain</t>
  </si>
  <si>
    <t>CLAIM → CLAIM</t>
  </si>
  <si>
    <t>PRIMARY: auto-populates claim_contradictions. Drives C_score.</t>
  </si>
  <si>
    <t>Any → Any</t>
  </si>
  <si>
    <t>Generic relationship — use specific type where possible</t>
  </si>
  <si>
    <t>PRECEDED_BY</t>
  </si>
  <si>
    <t>EVENT → EVENT</t>
  </si>
  <si>
    <t>Temporal ordering — enables timeline reconstruction + S03 Timing Friction</t>
  </si>
  <si>
    <t>Case timeline population</t>
  </si>
  <si>
    <t>Entity card population</t>
  </si>
  <si>
    <t>Evidence card linkage</t>
  </si>
  <si>
    <t>CASE/PERSON → ORG</t>
  </si>
  <si>
    <t>S06 Suppression signal + Suppression Log module</t>
  </si>
  <si>
    <t>Meaning</t>
  </si>
  <si>
    <t>Next Step</t>
  </si>
  <si>
    <t>pending</t>
  </si>
  <si>
    <t>Case created, not yet run through 7Q</t>
  </si>
  <si>
    <t>Complete OpenIntel four layers first</t>
  </si>
  <si>
    <t>classifier-run</t>
  </si>
  <si>
    <t>7Q_CLASSIFIER completed (Q1→Q7 forward pass)</t>
  </si>
  <si>
    <t>Run 7Q_REVERSE_PROVE</t>
  </si>
  <si>
    <t>reverse-proved</t>
  </si>
  <si>
    <t>7Q_REVERSE_PROVE completed (Q7→Q1 kill test)</t>
  </si>
  <si>
    <t>Run 7Q_RIGOR_CARD</t>
  </si>
  <si>
    <t>rigor-complete</t>
  </si>
  <si>
    <t>T_FINAL calculated. Publication gate evaluated.</t>
  </si>
  <si>
    <t>If T_FINAL ≥ 0.85: run adversarial (S06). If &lt; 0.85: kill or archive.</t>
  </si>
  <si>
    <t>published</t>
  </si>
  <si>
    <t>Case passed S06 adversarial. Published to site.</t>
  </si>
  <si>
    <t>Monitor for new evidence → re-run if significant</t>
  </si>
  <si>
    <t>killed</t>
  </si>
  <si>
    <t>Failed publication gate. Claim does not survive testing.</t>
  </si>
  <si>
    <t>Document why. Prevents resurface without new evidence.</t>
  </si>
  <si>
    <t>archived</t>
  </si>
  <si>
    <t>Below threshold but investigation notes preserved.</t>
  </si>
  <si>
    <t>Reopen if new evidence surfaces — soft signals may re-trigger</t>
  </si>
  <si>
    <t>✅ AUDIT BLOCK</t>
  </si>
  <si>
    <t>Sheet</t>
  </si>
  <si>
    <t>Unified controlled vocabulary for OpenIntel + 7Q System. Single source of truth for all dropdowns.</t>
  </si>
  <si>
    <t>Sections</t>
  </si>
  <si>
    <t>Used By</t>
  </si>
  <si>
    <t>David Lowe + Claude + Theophysics Agent · POF 2828 · April 2026</t>
  </si>
  <si>
    <t>COLUMN H — KG EDGE TYPES (14 unified — 9 shared + 5 OpenIntel-specific)</t>
  </si>
  <si>
    <t>TRIGGERS_SIGNAL</t>
  </si>
  <si>
    <t>Entity/Event → SOFT_SIGNAL_NODE</t>
  </si>
  <si>
    <t>S01-S14: when an entity or event is the source of a soft signal observation</t>
  </si>
  <si>
    <t>HAS_CONTRADICTION</t>
  </si>
  <si>
    <t>CASE → CONTRADICTION_NODE</t>
  </si>
  <si>
    <t>Links case to SIS/CRD/XSC/OAA/IRI records. Drives C_score.</t>
  </si>
  <si>
    <t>SCORED_BY</t>
  </si>
  <si>
    <t>CLAIM → EVIDENCE_NODE</t>
  </si>
  <si>
    <t>Claim → supporting evidence bridge. Enables per-claim tier assignment.</t>
  </si>
  <si>
    <t>HAS_ANOMALY</t>
  </si>
  <si>
    <t>CASE → STATISTICAL_ANOMALY</t>
  </si>
  <si>
    <t>Links case to L3 base-rate analysis result. Sigma + p-value stored on STATISTICAL_ANOMALY node.</t>
  </si>
  <si>
    <t>INSTANCE_OF</t>
  </si>
  <si>
    <t>CASE → CASE (subcase hierarchy)</t>
  </si>
  <si>
    <t>Enables subcase nesting: ARTICHOKE → MKULTRA, SUBPROJECT-68 → MKULTRA. Supports recursive CTE queries: ‘show all children of OI-CT-0001.’ CASE node is both root and target.</t>
  </si>
  <si>
    <t>S12 Pattern Recurrence + S14 Cross-Case Frequent Flyer</t>
  </si>
  <si>
    <t>COLUMN I — 7Q PIPELINE STATUS (seven_q_status)</t>
  </si>
  <si>
    <t>COLUMN G — KG NODE TYPES (14 unified — 8 shared + 6 OpenIntel-specific)</t>
  </si>
  <si>
    <t>STATISTICAL_ANOMALY</t>
  </si>
  <si>
    <t>L3 base-rate analysis result</t>
  </si>
  <si>
    <t>Carries sigma, p_value, base_rate, observed_rate, population_size, time_window. Linked via HAS_ANOMALY edge.</t>
  </si>
  <si>
    <t>OI-SA-XXXXXXXX</t>
  </si>
  <si>
    <t>Case Template (data validation), RESEARCH_INTAKE (Q dropdowns), DB Schema (CHECK constraints), 7Q Rigor Card, Publication Pipeline, Theophysics KG queries</t>
  </si>
  <si>
    <t>Sync Status</t>
  </si>
  <si>
    <t>— LINK INGESTION LAYER — §9 vocabulary (synced from RESEARCH_INTAKE v1.5)</t>
  </si>
  <si>
    <t>COLUMN J — SEED TYPE (seed_type)</t>
  </si>
  <si>
    <t>case_name</t>
  </si>
  <si>
    <t>Case name used as search seed — broadest entry point</t>
  </si>
  <si>
    <t>single_url</t>
  </si>
  <si>
    <t>One specific URL provided as seed</t>
  </si>
  <si>
    <t>domain</t>
  </si>
  <si>
    <t>Entire domain crawled (e.g. cia.gov)</t>
  </si>
  <si>
    <t>category_page</t>
  </si>
  <si>
    <t>Wikipedia category or index page — harvests all outlinks</t>
  </si>
  <si>
    <t>search_query</t>
  </si>
  <si>
    <t>Search engine query string — returns result URLs</t>
  </si>
  <si>
    <t>csv_list</t>
  </si>
  <si>
    <t>Imported CSV of URLs (prior research, FOIA logs, etc.)</t>
  </si>
  <si>
    <t>workbook_tab</t>
  </si>
  <si>
    <t>URLs pulled from another worksheet tab in this workbook</t>
  </si>
  <si>
    <t>COLUMN K — DISCOVERY MODE (discovery_mode)</t>
  </si>
  <si>
    <t>wiki_page_links</t>
  </si>
  <si>
    <t>All internal links harvested from a Wikipedia article</t>
  </si>
  <si>
    <t>wiki_references</t>
  </si>
  <si>
    <t>Reference/citation links from Wikipedia (external sources)</t>
  </si>
  <si>
    <t>site_search</t>
  </si>
  <si>
    <t>site:domain query — finds all indexed pages on a domain</t>
  </si>
  <si>
    <t>web_search</t>
  </si>
  <si>
    <t>General web search result URLs</t>
  </si>
  <si>
    <t>sitemap</t>
  </si>
  <si>
    <t>robots.txt sitemap XML parse — exhaustive domain coverage</t>
  </si>
  <si>
    <t>page_outlinks</t>
  </si>
  <si>
    <t>All outbound links extracted from a single page</t>
  </si>
  <si>
    <t>manual_seed</t>
  </si>
  <si>
    <t>Investigator manually entered URL</t>
  </si>
  <si>
    <t>imported_csv</t>
  </si>
  <si>
    <t>Batch import from CSV file</t>
  </si>
  <si>
    <t>COLUMN L — LINK ROLE (link_role)</t>
  </si>
  <si>
    <t>seed</t>
  </si>
  <si>
    <t>The originating URL — entry point for this discovery chain</t>
  </si>
  <si>
    <t>reference</t>
  </si>
  <si>
    <t>Cited as a source in another document</t>
  </si>
  <si>
    <t>outlink</t>
  </si>
  <si>
    <t>Found as an outbound link from a seed or reference page</t>
  </si>
  <si>
    <t>citation</t>
  </si>
  <si>
    <t>Formal citation (academic, legal, congressional)</t>
  </si>
  <si>
    <t>related_article</t>
  </si>
  <si>
    <t>Editorially related but not directly citing the case</t>
  </si>
  <si>
    <t>archive_mirror</t>
  </si>
  <si>
    <t>Wayback Machine or other archive copy of a primary URL</t>
  </si>
  <si>
    <t>duplicate_candidate</t>
  </si>
  <si>
    <t>Suspected duplicate — pending canonicalization check</t>
  </si>
  <si>
    <t>unknown</t>
  </si>
  <si>
    <t>Role not yet determined — requires triage</t>
  </si>
  <si>
    <t>COLUMN M — INDEPENDENCE CLASS (independence_class)</t>
  </si>
  <si>
    <t>PS Channel Impact</t>
  </si>
  <si>
    <t>primary_source</t>
  </si>
  <si>
    <t>Original document, official record, firsthand account</t>
  </si>
  <si>
    <t>Full weight in PS reproducibility score</t>
  </si>
  <si>
    <t>independent_reporting</t>
  </si>
  <si>
    <t>0.9×</t>
  </si>
  <si>
    <t>Independent journalist/outlet — original investigation, not reprint</t>
  </si>
  <si>
    <t>Near-full weight</t>
  </si>
  <si>
    <t>commentary</t>
  </si>
  <si>
    <t>0.2×</t>
  </si>
  <si>
    <t>Opinion, analysis, interpretation of primary source — no new facts</t>
  </si>
  <si>
    <t>Minimal PS contribution</t>
  </si>
  <si>
    <t>quoting_primary</t>
  </si>
  <si>
    <t>0.4×</t>
  </si>
  <si>
    <t>Quotes or paraphrases primary source but adds no new evidence</t>
  </si>
  <si>
    <t>Partially weighted — does not substitute for primary</t>
  </si>
  <si>
    <t>syndicated_copy</t>
  </si>
  <si>
    <t>0.1×</t>
  </si>
  <si>
    <t>Near-zero</t>
  </si>
  <si>
    <t>Wire service copy (AP, Reuters, etc.) — same article, different URL</t>
  </si>
  <si>
    <t>Collapsed to 1 source before PS calculated. 40 AP wire copies = 1 source.</t>
  </si>
  <si>
    <t>same_domain_dup</t>
  </si>
  <si>
    <t>0.0×</t>
  </si>
  <si>
    <t>Zero weight</t>
  </si>
  <si>
    <t>Same domain as another URL already in set — not independent</t>
  </si>
  <si>
    <t>Excluded from PS count entirely</t>
  </si>
  <si>
    <t>BLOCKED</t>
  </si>
  <si>
    <t>Blocked from scoring</t>
  </si>
  <si>
    <t>Independence not yet assessed — must classify before scoring</t>
  </si>
  <si>
    <t>Blocked from PS calculation until classified</t>
  </si>
  <si>
    <t>CRITICAL RULE:</t>
  </si>
  <si>
    <t>Syndicated copies and same-domain duplicates are collapsed BEFORE PS is calculated. 40 AP wire copies = 1 source at 0.1× weight, not 40 sources.</t>
  </si>
  <si>
    <t>COLUMN N — CAPTURE METHOD (capture_method)</t>
  </si>
  <si>
    <t>html_scrape</t>
  </si>
  <si>
    <t>Live HTML fetch and parse</t>
  </si>
  <si>
    <t>api_result</t>
  </si>
  <si>
    <t>Data retrieved via API (Wayback CDX, Wikipedia API, etc.)</t>
  </si>
  <si>
    <t>pdf_extraction</t>
  </si>
  <si>
    <t>Text extracted from PDF (FOIA docs, court records, academic papers)</t>
  </si>
  <si>
    <t>wayback_archive</t>
  </si>
  <si>
    <t>Fetched from Wayback Machine archive — page no longer live</t>
  </si>
  <si>
    <t>manual_add</t>
  </si>
  <si>
    <t>Investigator manually pasted content or added metadata</t>
  </si>
  <si>
    <t>Metadata imported from CSV — content not yet fetched</t>
  </si>
  <si>
    <t>COLUMN O — SNAPSHOT STATUS (snapshot_status)</t>
  </si>
  <si>
    <t>not_archived</t>
  </si>
  <si>
    <t>Live URL only — vulnerable to link rot. Should be archived.</t>
  </si>
  <si>
    <t>wayback_saved</t>
  </si>
  <si>
    <t>Submitted to Wayback Machine — URL preserved</t>
  </si>
  <si>
    <t>local_copy</t>
  </si>
  <si>
    <t>Downloaded and stored locally or in project files</t>
  </si>
  <si>
    <t>markdown_ripped</t>
  </si>
  <si>
    <t>Full content extracted and saved as Markdown (Jina/ripping tool)</t>
  </si>
  <si>
    <t>pdf_saved</t>
  </si>
  <si>
    <t>Saved as PDF with timestamp</t>
  </si>
  <si>
    <t>failed</t>
  </si>
  <si>
    <t>Archive attempt failed — manual intervention required</t>
  </si>
  <si>
    <t>COLUMN P — TRIAGE STATUS (triage_status)</t>
  </si>
  <si>
    <t>new</t>
  </si>
  <si>
    <t>Queue for content fetch</t>
  </si>
  <si>
    <t>URL discovered, no processing yet</t>
  </si>
  <si>
    <t>queued</t>
  </si>
  <si>
    <t>Fetch content</t>
  </si>
  <si>
    <t>In fetch queue — scheduled</t>
  </si>
  <si>
    <t>ripped</t>
  </si>
  <si>
    <t>Classify independence + assign link_role</t>
  </si>
  <si>
    <t>Content fetched/extracted</t>
  </si>
  <si>
    <t>classified</t>
  </si>
  <si>
    <t>Score source against case</t>
  </si>
  <si>
    <t>independence_class and link_role assigned</t>
  </si>
  <si>
    <t>scored</t>
  </si>
  <si>
    <t>Human review</t>
  </si>
  <si>
    <t>Source score computed, feeds PS channel</t>
  </si>
  <si>
    <t>reviewed</t>
  </si>
  <si>
    <t>Promote to evidence or discard</t>
  </si>
  <si>
    <t>Investigator has reviewed score and content</t>
  </si>
  <si>
    <t>promoted</t>
  </si>
  <si>
    <t>Done</t>
  </si>
  <si>
    <t>Promoted to Evidence Card in Case Template. Enters T-rating chain.</t>
  </si>
  <si>
    <t>discarded</t>
  </si>
  <si>
    <t>Done (negative)</t>
  </si>
  <si>
    <t>Rejected — too weak, duplicate, or off-topic. Kept for audit trail.</t>
  </si>
  <si>
    <t>COLUMN Q — KEEP REASON (keep_reason)</t>
  </si>
  <si>
    <t>foundational_overview</t>
  </si>
  <si>
    <t>Best overview of the case — bookmark for new investigators</t>
  </si>
  <si>
    <t>primary_evidence</t>
  </si>
  <si>
    <t>Contains direct evidence — promotes to Evidence Card</t>
  </si>
  <si>
    <t>timeline_anchor</t>
  </si>
  <si>
    <t>Establishes or fixes a date in the Timeline module</t>
  </si>
  <si>
    <t>entity_source</t>
  </si>
  <si>
    <t>Primary source for an Entity Card (person, org, location)</t>
  </si>
  <si>
    <t>contradiction_source</t>
  </si>
  <si>
    <t>Demonstrates a contradiction — feeds Contradiction Index (C_score)</t>
  </si>
  <si>
    <t>background_only</t>
  </si>
  <si>
    <t>Useful context but no direct evidence. Low priority for scoring.</t>
  </si>
  <si>
    <t>weak_but_notable</t>
  </si>
  <si>
    <t>Weak evidence but the claim itself is notable — flag for monitoring</t>
  </si>
  <si>
    <t>Not yet assessed</t>
  </si>
  <si>
    <t>DROPDOWNS v1.2 — synced with RESEARCH_INTAKE v1.5</t>
  </si>
  <si>
    <t>A: Evidence Tiers (T1-T5+Mixed) | B: Case Types (9) | C: Soft Signals (14) | D: Contradiction Types (5) | E: Observer Credibility (4) | F: ISO Status (4) | G: Node Types (14) | H: Edge Types (14) | I: 7Q Pipeline (7) | J: Seed Types (7) | K: Discovery Mode (8) | L: Link Role (8) | M: Independence Class (7) | N: Capture Method (6) | O: Snapshot Status (6) | P: Triage Status (8) | Q: Keep Reason (8)</t>
  </si>
  <si>
    <t>DROPDOWNS ⟷ RESEARCH_INTAKE §7+§9. Last sync: v1.5.</t>
  </si>
  <si>
    <t>RESEARCH_INTAKE v1.5</t>
  </si>
  <si>
    <t>10-section intake spec → pipeline config → Postgres schema → 7Q system integration → link ingestion layer → GUI wireframe</t>
  </si>
  <si>
    <t>HTML intake form → Python workers → Postgres backend → KG layer → export engine → publication pipeline</t>
  </si>
  <si>
    <t>— NEW v1.3: Testimony Layer — testimony_records + testimony_credibility_assessment</t>
  </si>
  <si>
    <t>CORE: testimony_records</t>
  </si>
  <si>
    <t>First-class testimony node. Neutral capture — credibility assessed separately.</t>
  </si>
  <si>
    <t>DROPDOWNS Col</t>
  </si>
  <si>
    <t>OI-TM-XXXXXXXX</t>
  </si>
  <si>
    <t>NOT NULL FK→cases(id)</t>
  </si>
  <si>
    <t>Parent case record</t>
  </si>
  <si>
    <t>source_designation</t>
  </si>
  <si>
    <t>Neutral pseudonym: 'Witness-A', 'Subject-3'. Never real name until verified.</t>
  </si>
  <si>
    <t>Interview Protocol §1</t>
  </si>
  <si>
    <t>CHECK (4 values)</t>
  </si>
  <si>
    <t>FIRST_HAND | SECOND_HAND | EXPERT_OPINION | DOCUMENTARY</t>
  </si>
  <si>
    <t>Interview Protocol §2</t>
  </si>
  <si>
    <t>Col R</t>
  </si>
  <si>
    <t>collection_method</t>
  </si>
  <si>
    <t>CHECK (6 values)</t>
  </si>
  <si>
    <t>FORMAL_INTERVIEW | INFORMAL_INTERVIEW | WRITTEN_STATEMENT | AUDIO_RECORDING | VIDEO_RECORDING | TRANSCRIPT_LEGACY</t>
  </si>
  <si>
    <t>Col S</t>
  </si>
  <si>
    <t>collection_setting</t>
  </si>
  <si>
    <t>CHECK (5 values)</t>
  </si>
  <si>
    <t>VOLUNTARY | RESPONSIVE | COMPULSORY | CUSTODIAL | PROFESSIONAL</t>
  </si>
  <si>
    <t>Col T</t>
  </si>
  <si>
    <t>event_date_claimed</t>
  </si>
  <si>
    <t>When source says event occurred</t>
  </si>
  <si>
    <t>Interview Protocol §1 Temporal Anchors</t>
  </si>
  <si>
    <t>CHECK (7 values)</t>
  </si>
  <si>
    <t>EXACT | DAY | WEEK | MONTH | SEASON | YEAR | UNKNOWN</t>
  </si>
  <si>
    <t>Col U</t>
  </si>
  <si>
    <t>statement_date</t>
  </si>
  <si>
    <t>When source made this specific claim</t>
  </si>
  <si>
    <t>recall_delay_days</t>
  </si>
  <si>
    <t>Computed: statement_date - event_date_claimed (days). NULL if event_date_claimed is NULL. Memory degrades predictably — key signal.</t>
  </si>
  <si>
    <t>SHA-256 of statement_text. Deduplication guard.</t>
  </si>
  <si>
    <t>Raw transcript or statement verbatim. Do not clean up.</t>
  </si>
  <si>
    <t>statement_vector_embedding</t>
  </si>
  <si>
    <t>BLOB</t>
  </si>
  <si>
    <t>Semantic similarity vector. Enables drift detection across statements from same source.</t>
  </si>
  <si>
    <t>credibility_tier</t>
  </si>
  <si>
    <t>DEFAULT 'UNASSESSED'</t>
  </si>
  <si>
    <t>UNASSESSED | CORROBORATED | CONSISTENT | CONTRADICTED | RETRACTED | UNVERIFIABLE. Neutral default — assessed separately.</t>
  </si>
  <si>
    <t>Col V</t>
  </si>
  <si>
    <t>spontaneity_score</t>
  </si>
  <si>
    <t>CHECK 0.0-1.0 NULLABLE</t>
  </si>
  <si>
    <t>0=fully elicited, 1=fully volunteered. Liars edit forward; truth-tellers volunteer and self-correct. → Soft Signal integration.</t>
  </si>
  <si>
    <t>Interview Protocol §5 Spontaneity</t>
  </si>
  <si>
    <t>emotional_valence</t>
  </si>
  <si>
    <t>CHECK -1.0 to 1.0 NULLABLE</t>
  </si>
  <si>
    <t>-1=negative affect, 0=neutral, 1=positive. Incongruent affect (flat on trauma) is S04 Behavioral Deviation signal.</t>
  </si>
  <si>
    <t>Interview Protocol §5 Emotional</t>
  </si>
  <si>
    <t>sensory_specificity</t>
  </si>
  <si>
    <t>DEFAULT 0</t>
  </si>
  <si>
    <t>Count of distinct sensory details (visual, auditory, olfactory, tactile, taste). Fabricated accounts lack texture.</t>
  </si>
  <si>
    <t>Interview Protocol §2 sensory probe</t>
  </si>
  <si>
    <t>temporal_specificity</t>
  </si>
  <si>
    <t>Count of time-anchor references in statement. Time grounding correlates with genuine memory.</t>
  </si>
  <si>
    <t>self_doubt_markers</t>
  </si>
  <si>
    <t>Count of uncertainty admissions ('I think', 'might be wrong', 'I don't remember'). Honest uncertainty is a positive signal.</t>
  </si>
  <si>
    <t>collected_at</t>
  </si>
  <si>
    <t>When interview conducted</t>
  </si>
  <si>
    <t>collected_by</t>
  </si>
  <si>
    <t>NOT NULL FK→investigators</t>
  </si>
  <si>
    <t>Interviewer ID</t>
  </si>
  <si>
    <t>field_protocol_version</t>
  </si>
  <si>
    <t>DEFAULT 'FIP-1.0'</t>
  </si>
  <si>
    <t>Which version of the Field Interview Protocol was used. Enables methodology versioning.</t>
  </si>
  <si>
    <t>CORE: testimony_credibility_assessment</t>
  </si>
  <si>
    <t>Delayed credibility layer. Kept separate from capture to preserve epistemic neutrality.</t>
  </si>
  <si>
    <t>OI-TCA-XXXXXXXX</t>
  </si>
  <si>
    <t>testimony_id</t>
  </si>
  <si>
    <t>NOT NULL FK→testimony_records(id)</t>
  </si>
  <si>
    <t>Parent testimony record</t>
  </si>
  <si>
    <t>assessed_at</t>
  </si>
  <si>
    <t>When credibility assessment conducted (always AFTER capture)</t>
  </si>
  <si>
    <t>assessed_by</t>
  </si>
  <si>
    <t>Human reviewer ID or model version string (e.g. 'claude-opus-4.1')</t>
  </si>
  <si>
    <t>internal_consistency</t>
  </si>
  <si>
    <t>Self-contradiction check. 1.0 = no internal contradictions found.</t>
  </si>
  <si>
    <t>external_corroboration</t>
  </si>
  <si>
    <t>Match to independent sources. Feeds C_score corroboration channel.</t>
  </si>
  <si>
    <t>contextual_plausibility</t>
  </si>
  <si>
    <t>Fits known facts without requiring extraordinary explanation.</t>
  </si>
  <si>
    <t>source_competence</t>
  </si>
  <si>
    <t>Was source in a position to know what they claim to know?</t>
  </si>
  <si>
    <t>source_character_bias</t>
  </si>
  <si>
    <t>Motive to deceive, exaggerate, or self-promote. 1.0 = strong bias present.</t>
  </si>
  <si>
    <t>prior_statement_id</t>
  </si>
  <si>
    <t>NULLABLE FK→testimony_records(id)</t>
  </si>
  <si>
    <t>Previous statement from same source. NULL = first statement.</t>
  </si>
  <si>
    <t>drift_detected</t>
  </si>
  <si>
    <t>TRUE if narrative changed from prior_statement_id. Triggers S08 Narrative Drift signal.</t>
  </si>
  <si>
    <t>drift_type</t>
  </si>
  <si>
    <t>CHECK (5 values) NULLABLE</t>
  </si>
  <si>
    <t>AMPLIFICATION (more detail) | ATTENUATION (less detail) | REVERSAL (core claim changed) | MIGRATION (details shift to different time/place/actor) | ATTRIBUTION ('I saw' → 'I heard')</t>
  </si>
  <si>
    <t>reliability_score</t>
  </si>
  <si>
    <t>Composite credibility score. Feeds L4 Evidence layer T-rating.</t>
  </si>
  <si>
    <t>confidence_in_assessment</t>
  </si>
  <si>
    <t>Assessor confidence. Low = provisional. Required field.</t>
  </si>
  <si>
    <t>critical_failure_mode</t>
  </si>
  <si>
    <t>The Breaker Question: if any dimension fails catastrophically, document here. Overrides composite score.</t>
  </si>
  <si>
    <t>INDEXES for testimony_records:</t>
  </si>
  <si>
    <t>idx_testimony_case (case_id) | idx_testimony_source (source_designation) | idx_testimony_date (event_date_claimed) | idx_testimony_recall (recall_delay_days) | idx_testimony_hash (statement_hash UNIQUE)</t>
  </si>
  <si>
    <t>KG EDGES for testimony:</t>
  </si>
  <si>
    <t>CASE → testimony_records via HAS_TESTIMONY edge | testimony_records → SOFT_SIGNAL_NODE via TRIGGERS_SIGNAL | testimony_records → CONTRADICTION_NODE via HAS_CONTRADICTION (drift_detected=TRUE) | testimony_credibility_assessment → EVIDENCE_NODE via SCORED_BY</t>
  </si>
  <si>
    <t>PIPELINE FLOW:</t>
  </si>
  <si>
    <t>testimony_records (neutral capture) → spontaneity/sensory/valence → Soft Signal Layer → C_score (drift detection) → L3 statistical (recall_delay correlations) → L4 Evidence (corroboration → T-rating)</t>
  </si>
  <si>
    <t>— TESTIMONY LAYER — v1.3 vocabulary (testimony_records + testimony_credibility_assessment)</t>
  </si>
  <si>
    <t>COLUMN R — SOURCE TYPE (source_type)</t>
  </si>
  <si>
    <t>Credibility Weight Guidance</t>
  </si>
  <si>
    <t>FIRST_HAND</t>
  </si>
  <si>
    <t>Direct observer or participant — was there</t>
  </si>
  <si>
    <t>Highest weight. Combined with sensory_specificity for scoring.</t>
  </si>
  <si>
    <t>SECOND_HAND</t>
  </si>
  <si>
    <t>Heard from direct source — not present themselves</t>
  </si>
  <si>
    <t>Reduced weight. Requires identifying the first-hand source.</t>
  </si>
  <si>
    <t>EXPERT_OPINION</t>
  </si>
  <si>
    <t>Interpretive authority — assessing evidence, not recalling events</t>
  </si>
  <si>
    <t>Weight depends on source_competence dimension.</t>
  </si>
  <si>
    <t>DOCUMENTARY</t>
  </si>
  <si>
    <t>Diary, recording, prior written statement — captures state at time of writing</t>
  </si>
  <si>
    <t>Recall delay = 0 if dated. Highest temporal fidelity.</t>
  </si>
  <si>
    <t>COLUMN S — COLLECTION METHOD (collection_method)</t>
  </si>
  <si>
    <t>Signal Preservation Notes</t>
  </si>
  <si>
    <t>FORMAL_INTERVIEW</t>
  </si>
  <si>
    <t>Structured, recorded, legal or official setting</t>
  </si>
  <si>
    <t>High signal preservation. Spontaneity may be lower (coached).</t>
  </si>
  <si>
    <t>INFORMAL_INTERVIEW</t>
  </si>
  <si>
    <t>Journalistic or conversational — unstructured</t>
  </si>
  <si>
    <t>Highest spontaneity potential. Lower chain of custody.</t>
  </si>
  <si>
    <t>WRITTEN_STATEMENT</t>
  </si>
  <si>
    <t>Affidavit, email, letter, written account</t>
  </si>
  <si>
    <t>No spontaneity data. High temporal fidelity if dated.</t>
  </si>
  <si>
    <t>AUDIO_RECORDING</t>
  </si>
  <si>
    <t>Unsolicited audio capture</t>
  </si>
  <si>
    <t>Preserve original. emotional_valence and spontaneity scorable from recording.</t>
  </si>
  <si>
    <t>VIDEO_RECORDING</t>
  </si>
  <si>
    <t>Video record of statement or event</t>
  </si>
  <si>
    <t>Richest signal data. Physical/behavioral observable.</t>
  </si>
  <si>
    <t>TRANSCRIPT_LEGACY</t>
  </si>
  <si>
    <t>Historical — third-party transcribed from prior interview</t>
  </si>
  <si>
    <t>Indirect. Note transcription chain in statement_text. field_protocol_version = 'LEGACY'.</t>
  </si>
  <si>
    <t>COLUMN T — COLLECTION SETTING (collection_setting)</t>
  </si>
  <si>
    <t>Soft Signal Impact</t>
  </si>
  <si>
    <t>VOLUNTARY</t>
  </si>
  <si>
    <t>Source initiated contact without solicitation</t>
  </si>
  <si>
    <t>Strong S05 Information Asymmetry signal — why did they come forward? Capture motive in Interview §4.</t>
  </si>
  <si>
    <t>RESPONSIVE</t>
  </si>
  <si>
    <t>Responded to investigator request</t>
  </si>
  <si>
    <t>Normal. No signal by itself.</t>
  </si>
  <si>
    <t>COMPULSORY</t>
  </si>
  <si>
    <t>Subpoena or legal requirement to testify</t>
  </si>
  <si>
    <t>Treat as mixed signal. S06 Suppression if source is reluctant despite legal compulsion.</t>
  </si>
  <si>
    <t>CUSTODIAL</t>
  </si>
  <si>
    <t>Source under arrest or detention at time of statement</t>
  </si>
  <si>
    <t>Flag for source_character_bias. Chain of custody critical. source_competence irrelevant to custodial pressure.</t>
  </si>
  <si>
    <t>Expert consulted in official capacity</t>
  </si>
  <si>
    <t>Use EXPERT_OPINION source_type. Competence check applies.</t>
  </si>
  <si>
    <t>COLUMN U — DATE PRECISION (event_date_precision)</t>
  </si>
  <si>
    <t>Temporal Specificity Score Impact</t>
  </si>
  <si>
    <t>EXACT</t>
  </si>
  <si>
    <t>Specific time + date confirmed</t>
  </si>
  <si>
    <t>+3 temporal_specificity points</t>
  </si>
  <si>
    <t>DAY</t>
  </si>
  <si>
    <t>Knows the date, not the time</t>
  </si>
  <si>
    <t>+2 temporal_specificity points</t>
  </si>
  <si>
    <t>WEEK</t>
  </si>
  <si>
    <t>Knows the approximate week</t>
  </si>
  <si>
    <t>+1 temporal_specificity point</t>
  </si>
  <si>
    <t>MONTH</t>
  </si>
  <si>
    <t>Knows the month</t>
  </si>
  <si>
    <t>0 temporal_specificity (baseline)</t>
  </si>
  <si>
    <t>SEASON</t>
  </si>
  <si>
    <t>Seasonal reference only</t>
  </si>
  <si>
    <t>-1 temporal_specificity (below baseline)</t>
  </si>
  <si>
    <t>YEAR</t>
  </si>
  <si>
    <t>Year only</t>
  </si>
  <si>
    <t>-1 temporal_specificity</t>
  </si>
  <si>
    <t>UNKNOWN</t>
  </si>
  <si>
    <t>Cannot place event in time</t>
  </si>
  <si>
    <t>-2 temporal_specificity. Document HOW they know if EXACT/DAY claimed.</t>
  </si>
  <si>
    <t>COLUMN V — CREDIBILITY TIER (credibility_tier)</t>
  </si>
  <si>
    <t>Default: UNASSESSED. Set after assessment, NOT at capture.</t>
  </si>
  <si>
    <t>UNASSESSED</t>
  </si>
  <si>
    <t>Default — no evaluation yet. Do not score.</t>
  </si>
  <si>
    <t>New records enter here. Cannot contribute to T-rating until assessed.</t>
  </si>
  <si>
    <t>CORROBORATED</t>
  </si>
  <si>
    <t>Independent confirmation exists from separate source</t>
  </si>
  <si>
    <t>Highest weight in L4 Evidence. Can anchor T1-T2 claim.</t>
  </si>
  <si>
    <t>CONSISTENT</t>
  </si>
  <si>
    <t>No internal contradictions found. Not yet independently confirmed.</t>
  </si>
  <si>
    <t>Strong. Lacks corroboration bonus.</t>
  </si>
  <si>
    <t>CONTRADICTED</t>
  </si>
  <si>
    <t>Conflicts with other evidence or prior statement from same source</t>
  </si>
  <si>
    <t>Triggers HAS_CONTRADICTION edge. C_score input. Does NOT dismiss — contradictions are investigable.</t>
  </si>
  <si>
    <t>RETRACTED</t>
  </si>
  <si>
    <t>Source withdrew or modified claim</t>
  </si>
  <si>
    <t>Retraction IS data. Document why — was it under pressure? S06 Suppression signal if coerced.</t>
  </si>
  <si>
    <t>UNVERIFIABLE</t>
  </si>
  <si>
    <t>No path to confirm or deny with available evidence</t>
  </si>
  <si>
    <t>Keep. Cannot score, but absence of verifiability is itself a signal.</t>
  </si>
  <si>
    <t>COLUMN W — DRIFT TYPE (drift_type)</t>
  </si>
  <si>
    <t>AMPLIFICATION</t>
  </si>
  <si>
    <t>More detail, more certainty over time</t>
  </si>
  <si>
    <t>Negative signal — honest memory fades, it doesn’t grow. Triggers S08 Narrative Drift.</t>
  </si>
  <si>
    <t>ATTENUATION</t>
  </si>
  <si>
    <t>Less detail, more hedging over time</t>
  </si>
  <si>
    <t>Can be normal memory decay. Score with recall_delay context.</t>
  </si>
  <si>
    <t>REVERSAL</t>
  </si>
  <si>
    <t>Core claim changed — not just hedged</t>
  </si>
  <si>
    <t>Strong S08 signal + potential IRI (Irreconcilable Index). Requires explanation.</t>
  </si>
  <si>
    <t>MIGRATION</t>
  </si>
  <si>
    <t>Details shift to different time, place, or actor</t>
  </si>
  <si>
    <t>Classic confabulation pattern. Investigate whether memory or pressure drove migration.</t>
  </si>
  <si>
    <t>I saw' → 'I heard' across statements</t>
  </si>
  <si>
    <t>Critical drift type. Claim type downgrade. Forces re-scoring of source_type to SECOND_HAND.</t>
  </si>
  <si>
    <t>OPENINTEL FIELD INTERVIEW PROTOCOL</t>
  </si>
  <si>
    <t>FIP v1.0</t>
  </si>
  <si>
    <t>You are a capture device, not a lie detector. Neutrality is the method. Specificity is the goal.</t>
  </si>
  <si>
    <t>§1 — PRE-INTERVIEW SETUP</t>
  </si>
  <si>
    <t>Maps to: testimony_records · acquisition context fields</t>
  </si>
  <si>
    <t>Case ID:</t>
  </si>
  <si>
    <t>Interviewer:</t>
  </si>
  <si>
    <t>Date:</t>
  </si>
  <si>
    <t>Time:</t>
  </si>
  <si>
    <t>Source Designation:</t>
  </si>
  <si>
    <t>(Assign neutral label: Witness-A, Subject-3. Never real name here.)</t>
  </si>
  <si>
    <t>Source Type:</t>
  </si>
  <si>
    <t>[ ] FIRST_HAND   [ ] SECOND_HAND   [ ] EXPERT_OPINION   [ ] DOCUMENTARY</t>
  </si>
  <si>
    <t>Collection Method:</t>
  </si>
  <si>
    <t>[ ] FORMAL_INTERVIEW   [ ] INFORMAL_INTERVIEW   [ ] WRITTEN_STATEMENT   [ ] AUDIO_RECORDING   [ ] VIDEO_RECORDING   [ ] TRANSCRIPT_LEGACY</t>
  </si>
  <si>
    <t>Collection Setting:</t>
  </si>
  <si>
    <t>[ ] VOLUNTARY — source came to you   [ ] RESPONSIVE — you requested   [ ] COMPULSORY — subpoena/legal   [ ] CUSTODIAL   [ ] PROFESSIONAL</t>
  </si>
  <si>
    <t>Say exactly this to the source before beginning:</t>
  </si>
  <si>
    <t>“I’m going to record our conversation. I’m not here to check if you’re telling the truth — I’m here to capture what you know, how you know it, and when you knew it. The more specific you can be about what you actually saw, heard, or felt, the more useful this is. If you’re not sure about something, say so. That’s signal too.”</t>
  </si>
  <si>
    <t>§2 — THE EVENT (Temporal Anchors)</t>
  </si>
  <si>
    <t>Maps to: event_date_claimed, event_date_precision, recall_delay_days</t>
  </si>
  <si>
    <t>When did this occur?</t>
  </si>
  <si>
    <t>Date Precision:</t>
  </si>
  <si>
    <t>[ ] EXACT   [ ] DAY   [ ] WEEK   [ ] MONTH   [ ] SEASON   [ ] YEAR   [ ] UNKNOWN</t>
  </si>
  <si>
    <t>How do you know the date/time?</t>
  </si>
  <si>
    <t>[ ] Watched clock/phone timestamp   [ ] TV/radio/event was on   [ ] Sunrise/sunset/light conditions   [ ] Someone told me later   [ ] Figured it out afterward:</t>
  </si>
  <si>
    <t>Location:</t>
  </si>
  <si>
    <t>Location Precision:</t>
  </si>
  <si>
    <t>[ ] Exact spot   [ ] General area   [ ] Building only   [ ] City only</t>
  </si>
  <si>
    <t>How do you know this location?</t>
  </si>
  <si>
    <t>§3 — THE ACCOUNT (Sensory Capture)</t>
  </si>
  <si>
    <t>Maps to: statement_text, sensory_specificity, source_type</t>
  </si>
  <si>
    <t>Prompt (say this):</t>
  </si>
  <si>
    <t>“Start from when you first noticed something was happening. Walk me through minute by minute.”</t>
  </si>
  <si>
    <t>[Transcribe verbatim or attach recording. Do not clean up or summarize.]</t>
  </si>
  <si>
    <t>Sensory probes — ask if missing from account:</t>
  </si>
  <si>
    <t>[ ] Visual (colors, clothing, lighting, distances, movement)</t>
  </si>
  <si>
    <t>[ ] Auditory (exact words, tones, background noise, silence)</t>
  </si>
  <si>
    <t>[ ] Olfactory/taste (unusual but highly memorable)</t>
  </si>
  <si>
    <t>[ ] Physical sensation (temperature, pressure, pain, adrenaline, heartbeat)</t>
  </si>
  <si>
    <t>[ ] Spatial (where were you standing, what could you reach, doorways/exits)</t>
  </si>
  <si>
    <t>Sensory detail count:</t>
  </si>
  <si>
    <t>(Count distinct sensory domains covered → sensory_specificity field)</t>
  </si>
  <si>
    <t>Source’s position:</t>
  </si>
  <si>
    <t>[ ] FIRST_HAND — saw/heard it myself   [ ] PARTICIPANT — involved in events   [ ] Overheard (adjacent room, phone call)   [ ] SECOND_HAND (someone told me):</t>
  </si>
  <si>
    <t xml:space="preserve">  Who told you?:</t>
  </si>
  <si>
    <t>When?:</t>
  </si>
  <si>
    <t>§4 — CERTAINTY &amp; RECALL</t>
  </si>
  <si>
    <t>Maps to: temporal_specificity, self_doubt_markers, recall_delay_days</t>
  </si>
  <si>
    <t>Element</t>
  </si>
  <si>
    <t>Certainty Level</t>
  </si>
  <si>
    <t>Why that level?</t>
  </si>
  <si>
    <t>Main event</t>
  </si>
  <si>
    <t>[ ] 100%  [ ] 90%  [ ] 70%  [ ] 50%  [ ] Guess</t>
  </si>
  <si>
    <t>Timing</t>
  </si>
  <si>
    <t>Identities</t>
  </si>
  <si>
    <t>Dialogue</t>
  </si>
  <si>
    <t>[ ] Exact words  [ ] Close paraphrase  [ ] Gist only  [ ] Unsure</t>
  </si>
  <si>
    <t>Sequence</t>
  </si>
  <si>
    <t>[ ] Sure  [ ] Mostly sure  [ ] Reconstructed  [ ] Unclear</t>
  </si>
  <si>
    <t>Memory condition:</t>
  </si>
  <si>
    <t>[ ] Fresh (told someone within hours)   [ ] Recent (within days)   [ ] Delayed (first telling now) — time since event:</t>
  </si>
  <si>
    <t>[ ] Refreshed (reviewed notes/photos/video before this interview)</t>
  </si>
  <si>
    <t>Self-doubt markers count:</t>
  </si>
  <si>
    <t>(Count: ‘I think’, ‘might be wrong’, ‘I don’t remember’. Honest uncertainty is a POSITIVE signal.)</t>
  </si>
  <si>
    <t>§5 — SOURCE CONTEXT &amp; MOTIVE</t>
  </si>
  <si>
    <t>Maps to: collection_setting, source_character_bias</t>
  </si>
  <si>
    <t>Why are you talking to me?</t>
  </si>
  <si>
    <t>[ ] I sought you out — reason:</t>
  </si>
  <si>
    <t>[ ] You asked and I agreed — reason:</t>
  </si>
  <si>
    <t>[ ] Required by job/legal situation   [ ] Other:</t>
  </si>
  <si>
    <t>What do you want from this?</t>
  </si>
  <si>
    <t>[ ] Justice/accountability   [ ] Protection/safety   [ ] Correction of record   [ ] Nothing — just documenting   [ ] Unclear/conflicted</t>
  </si>
  <si>
    <t>Prior statements?</t>
  </si>
  <si>
    <t>[ ] Never told anyone before this   [ ] Told:</t>
  </si>
  <si>
    <t>When:</t>
  </si>
  <si>
    <t>[ ] Written account exists:</t>
  </si>
  <si>
    <t>[ ] Prior interview with:</t>
  </si>
  <si>
    <t>§6 — INTERVIEWER OBSERVATIONS</t>
  </si>
  <si>
    <t>Complete IMMEDIATELY AFTER source leaves. Do NOT show source.</t>
  </si>
  <si>
    <t>Spontaneity indicators (positive signals):</t>
  </si>
  <si>
    <t>[ ] Volunteered details not asked for</t>
  </si>
  <si>
    <t>[ ] Self-corrected ('no, wait, it was Tuesday')</t>
  </si>
  <si>
    <t>[ ] Expressed uncertainty unprompted ('I might be wrong about this')</t>
  </si>
  <si>
    <t>[ ] Emotional shift mid-account (pause, voice change, gesture)</t>
  </si>
  <si>
    <t>[ ] Used 'I don’t know' or 'I can’t remember' freely</t>
  </si>
  <si>
    <t>[ ] None observed</t>
  </si>
  <si>
    <t>Spontaneity score (0-1):</t>
  </si>
  <si>
    <t>(0=fully elicited, 1=fully volunteered → spontaneity_score field)</t>
  </si>
  <si>
    <t>Emotional register:</t>
  </si>
  <si>
    <t>[ ] Calm/flat   [ ] Anxious/hypervigilant   [ ] Angry/animated   [ ] Sad/withdrawn   [ ] Euphoric/excited</t>
  </si>
  <si>
    <t>Congruent with content?</t>
  </si>
  <si>
    <t>[ ] Yes   [ ] No — INCONGRUENT (flag: flat affect on trauma = dissociation or rehearsal):</t>
  </si>
  <si>
    <t>Emotional valence (-1 to 1):</t>
  </si>
  <si>
    <t>(-1=negative, 0=neutral, 1=positive → emotional_valence field)</t>
  </si>
  <si>
    <t>Physical/behavioral:</t>
  </si>
  <si>
    <t>[ ] Consistent eye contact   [ ] Avoided eye contact when:</t>
  </si>
  <si>
    <t>[ ] Fidgeting/agitated   [ ] Unusually still   [ ] Requested breaks/water</t>
  </si>
  <si>
    <t>[ ] Asked what others have said   [ ] Asked how this will be used (flag: information-seeking from subject)</t>
  </si>
  <si>
    <t>§7 — EPISTEMIC SUMMARY</t>
  </si>
  <si>
    <t>Maps to: credibility_tier (leave UNASSESSED), critical_failure_mode</t>
  </si>
  <si>
    <t>Immediate integrity notes:</t>
  </si>
  <si>
    <t>[ ] No red flags observed</t>
  </si>
  <si>
    <t>[ ] Minor inconsistencies:</t>
  </si>
  <si>
    <t>[ ] Significant gaps:</t>
  </si>
  <si>
    <t>[ ] Source seems to be performing/rehearsed</t>
  </si>
  <si>
    <t>[ ] Source seems to be confabulating (filling gaps unconsciously, not lying)</t>
  </si>
  <si>
    <t>[ ] Source declined to answer:</t>
  </si>
  <si>
    <t>Critical failure mode (if any):</t>
  </si>
  <si>
    <t>(Document any dimension that fails catastrophically. Overrides composite score.)</t>
  </si>
  <si>
    <t>credibility_tier to assign: LEAVE AS 'UNASSESSED'</t>
  </si>
  <si>
    <t>Credibility assessment happens later, by people who weren’t in the room.</t>
  </si>
  <si>
    <t>Follow-up needed:</t>
  </si>
  <si>
    <t>[ ] Corroborate with:</t>
  </si>
  <si>
    <t>[ ] Obtain: (docs, photos, location visit, other witnesses)</t>
  </si>
  <si>
    <t>[ ] Re-interview for:</t>
  </si>
  <si>
    <t>§8 — POST-INTERVIEW CHECKLIST</t>
  </si>
  <si>
    <t>Complete within 2 hours</t>
  </si>
  <si>
    <t>[ ] Recording secured and uploaded</t>
  </si>
  <si>
    <t>[ ] statement_hash computed and logged</t>
  </si>
  <si>
    <t>[ ] Source designation logged (neutral label only — no real name in testimony_records until verified)</t>
  </si>
  <si>
    <t>[ ] Location verified on map (cross-reference to known case geography)</t>
  </si>
  <si>
    <t>[ ] Timeline cross-referenced to known events in Case Template</t>
  </si>
  <si>
    <t>[ ] Prior statements requested if mentioned in interview</t>
  </si>
  <si>
    <t>[ ] Soft signal scores entered: spontaneity_score, emotional_valence, sensory_specificity, temporal_specificity, self_doubt_markers</t>
  </si>
  <si>
    <t>[ ] field_protocol_version = 'FIP-1.0' recorded</t>
  </si>
  <si>
    <t>[ ] This form filed within 2 hours of interview end</t>
  </si>
  <si>
    <t>DRIFT DETECTION (for re-interviews only)</t>
  </si>
  <si>
    <t>Prior statement ID:</t>
  </si>
  <si>
    <t>(OI-TM-XXXXXXXX from previous testimony_records row)</t>
  </si>
  <si>
    <t>Drift detected?</t>
  </si>
  <si>
    <t>[ ] Yes — Drift type:   [ ] AMPLIFICATION   [ ] ATTENUATION   [ ] REVERSAL   [ ] MIGRATION   [ ] ATTRIBUTION</t>
  </si>
  <si>
    <t>[ ] No drift detected</t>
  </si>
  <si>
    <t>Drift notes:</t>
  </si>
  <si>
    <t>— THE REMINDER —</t>
  </si>
  <si>
    <t>You are a capture device, not a lie detector.</t>
  </si>
  <si>
    <t>Your job is to preserve signal at maximum fidelity.</t>
  </si>
  <si>
    <t>Credibility assessment happens later, by people who weren’t in the room, using tools you don’t have.</t>
  </si>
  <si>
    <t>Don’t clean up the account. Don’t fill in gaps. Don’t reassure the source they’re believed — or disbelieved.</t>
  </si>
  <si>
    <t>Soft Signal 15 — JOURNALIST’S HEURISTIC (earmark credibility indicators)</t>
  </si>
  <si>
    <t>Indicator</t>
  </si>
  <si>
    <t>Schema Field</t>
  </si>
  <si>
    <t>Why It Matters</t>
  </si>
  <si>
    <t>Spontaneous correction</t>
  </si>
  <si>
    <t>Liars edit forward; truth-tellers correct backward</t>
  </si>
  <si>
    <t>Sensory embedding</t>
  </si>
  <si>
    <t>Fabricated accounts lack smell, texture, and taste</t>
  </si>
  <si>
    <t>Recall degradation</t>
  </si>
  <si>
    <t>Honest memory fades unevenly; rehearsed lies stay crisp</t>
  </si>
  <si>
    <t>Affective mismatch</t>
  </si>
  <si>
    <t>emotional_valence vs. content</t>
  </si>
  <si>
    <t>Flat affect on trauma suggests dissociation or rehearsal</t>
  </si>
  <si>
    <t>Point of view stability</t>
  </si>
  <si>
    <t>drift_type = ATTRIBUTION</t>
  </si>
  <si>
    <t>I saw' becoming 'I heard' is the most critical drift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</si>
</sst>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8" x14ac:knownFonts="1">
    <font>
      <sz val="11"/>
      <color theme="1"/>
      <name val="Calibri"/>
      <family val="2"/>
      <scheme val="minor"/>
    </font>
    <font>
      <b/>
      <sz val="14"/>
      <color rgb="FF1A73E8"/>
      <name val="Arial"/>
    </font>
    <font>
      <i/>
      <sz val="9"/>
      <color rgb="FF888888"/>
      <name val="Arial"/>
    </font>
    <font>
      <i/>
      <sz val="8"/>
      <color rgb="FFAAAAAA"/>
      <name val="Arial"/>
    </font>
    <font>
      <b/>
      <sz val="11"/>
      <color rgb="FFFFFFFF"/>
      <name val="Arial"/>
    </font>
    <font>
      <sz val="10"/>
      <name val="Arial"/>
    </font>
    <font>
      <b/>
      <sz val="11"/>
      <color theme="1"/>
      <name val="Calibri"/>
      <family val="2"/>
      <scheme val="minor"/>
    </font>
    <font>
      <b/>
      <sz val="16"/>
      <color rgb="FF1A1A1A"/>
      <name val="Calibri"/>
      <family val="2"/>
      <scheme val="minor"/>
    </font>
    <font>
      <sz val="9"/>
      <color rgb="FF666666"/>
      <name val="Calibri"/>
      <family val="2"/>
      <scheme val="minor"/>
    </font>
    <font>
      <i/>
      <sz val="9"/>
      <color rgb="FF666666"/>
      <name val="Calibri"/>
      <family val="2"/>
      <scheme val="minor"/>
    </font>
    <font>
      <sz val="11"/>
      <color rgb="FFFFFFFF"/>
      <name val="Calibri"/>
      <family val="2"/>
      <scheme val="minor"/>
    </font>
    <font>
      <b/>
      <sz val="12"/>
      <color rgb="FFFFFFFF"/>
      <name val="Calibri"/>
      <family val="2"/>
      <scheme val="minor"/>
    </font>
    <font>
      <b/>
      <sz val="10"/>
      <color rgb="FFFFFFFF"/>
      <name val="Calibri"/>
      <family val="2"/>
      <scheme val="minor"/>
    </font>
    <font>
      <b/>
      <sz val="9"/>
      <color rgb="FFFFFFFF"/>
      <name val="Calibri"/>
      <family val="2"/>
      <scheme val="minor"/>
    </font>
    <font>
      <i/>
      <sz val="9"/>
      <color rgb="FF999999"/>
      <name val="Calibri"/>
      <family val="2"/>
      <scheme val="minor"/>
    </font>
    <font>
      <sz val="11"/>
      <color rgb="FF0000FF"/>
      <name val="Calibri"/>
      <family val="2"/>
      <scheme val="minor"/>
    </font>
    <font>
      <b/>
      <sz val="11"/>
      <color rgb="FF0000FF"/>
      <name val="Calibri"/>
      <family val="2"/>
      <scheme val="minor"/>
    </font>
    <font>
      <i/>
      <sz val="8"/>
      <color rgb="FF999999"/>
      <name val="Calibri"/>
      <family val="2"/>
      <scheme val="minor"/>
    </font>
    <font>
      <sz val="8"/>
      <color rgb="FF888888"/>
      <name val="Calibri"/>
      <family val="2"/>
      <scheme val="minor"/>
    </font>
    <font>
      <b/>
      <sz val="11"/>
      <color rgb="FF2F5496"/>
      <name val="Calibri"/>
      <family val="2"/>
      <scheme val="minor"/>
    </font>
    <font>
      <b/>
      <sz val="10"/>
      <color rgb="FF2F5496"/>
      <name val="Calibri"/>
      <family val="2"/>
      <scheme val="minor"/>
    </font>
    <font>
      <sz val="9"/>
      <color rgb="FF888888"/>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b/>
      <sz val="9"/>
      <color rgb="FF666666"/>
      <name val="Calibri"/>
      <family val="2"/>
      <scheme val="minor"/>
    </font>
    <font>
      <b/>
      <sz val="8"/>
      <color rgb="FF999999"/>
      <name val="Calibri"/>
      <family val="2"/>
      <scheme val="minor"/>
    </font>
    <font>
      <sz val="8"/>
      <color rgb="FF999999"/>
      <name val="Calibri"/>
      <family val="2"/>
      <scheme val="minor"/>
    </font>
    <font>
      <i/>
      <sz val="9"/>
      <color rgb="FFCCCCCC"/>
      <name val="Calibri"/>
      <family val="2"/>
      <scheme val="minor"/>
    </font>
    <font>
      <b/>
      <sz val="8"/>
      <color rgb="FF008000"/>
      <name val="Calibri"/>
      <family val="2"/>
      <scheme val="minor"/>
    </font>
    <font>
      <b/>
      <sz val="9"/>
      <color rgb="FF888888"/>
      <name val="Calibri"/>
      <family val="2"/>
      <scheme val="minor"/>
    </font>
    <font>
      <b/>
      <sz val="10"/>
      <color rgb="FFC00000"/>
      <name val="Calibri"/>
      <family val="2"/>
      <scheme val="minor"/>
    </font>
    <font>
      <b/>
      <sz val="8"/>
      <color rgb="FFC00000"/>
      <name val="Calibri"/>
      <family val="2"/>
      <scheme val="minor"/>
    </font>
    <font>
      <b/>
      <sz val="10"/>
      <color rgb="FF7B2D8E"/>
      <name val="Calibri"/>
      <family val="2"/>
      <scheme val="minor"/>
    </font>
    <font>
      <b/>
      <sz val="8"/>
      <color rgb="FF7B2D8E"/>
      <name val="Calibri"/>
      <family val="2"/>
      <scheme val="minor"/>
    </font>
    <font>
      <b/>
      <sz val="10"/>
      <color rgb="FF1B5E20"/>
      <name val="Calibri"/>
      <family val="2"/>
      <scheme val="minor"/>
    </font>
    <font>
      <b/>
      <sz val="8"/>
      <color rgb="FF1B5E20"/>
      <name val="Calibri"/>
      <family val="2"/>
      <scheme val="minor"/>
    </font>
    <font>
      <b/>
      <sz val="10"/>
      <color rgb="FFE65100"/>
      <name val="Calibri"/>
      <family val="2"/>
      <scheme val="minor"/>
    </font>
    <font>
      <b/>
      <sz val="8"/>
      <color rgb="FFE65100"/>
      <name val="Calibri"/>
      <family val="2"/>
      <scheme val="minor"/>
    </font>
    <font>
      <b/>
      <sz val="10"/>
      <color rgb="FF0D47A1"/>
      <name val="Calibri"/>
      <family val="2"/>
      <scheme val="minor"/>
    </font>
    <font>
      <b/>
      <sz val="8"/>
      <color rgb="FF0D47A1"/>
      <name val="Calibri"/>
      <family val="2"/>
      <scheme val="minor"/>
    </font>
    <font>
      <i/>
      <sz val="9"/>
      <color rgb="FFAAAAAA"/>
      <name val="Calibri"/>
      <family val="2"/>
      <scheme val="minor"/>
    </font>
    <font>
      <i/>
      <sz val="9"/>
      <color rgb="FF888888"/>
      <name val="Calibri"/>
      <family val="2"/>
      <scheme val="minor"/>
    </font>
    <font>
      <b/>
      <sz val="10"/>
      <color theme="1"/>
      <name val="Calibri"/>
      <family val="2"/>
      <scheme val="minor"/>
    </font>
    <font>
      <b/>
      <sz val="12"/>
      <color theme="1"/>
      <name val="Calibri"/>
      <family val="2"/>
      <scheme val="minor"/>
    </font>
    <font>
      <b/>
      <sz val="14"/>
      <color theme="1"/>
      <name val="Calibri"/>
      <family val="2"/>
      <scheme val="minor"/>
    </font>
    <font>
      <b/>
      <sz val="14"/>
      <color rgb="FF0000FF"/>
      <name val="Calibri"/>
      <family val="2"/>
      <scheme val="minor"/>
    </font>
    <font>
      <b/>
      <sz val="10"/>
      <color rgb="FF1B3A5C"/>
      <name val="Calibri"/>
      <family val="2"/>
      <scheme val="minor"/>
    </font>
    <font>
      <sz val="8"/>
      <color rgb="FFFFCCCC"/>
      <name val="Calibri"/>
      <family val="2"/>
      <scheme val="minor"/>
    </font>
    <font>
      <b/>
      <sz val="10"/>
      <color rgb="FF333333"/>
      <name val="Calibri"/>
      <family val="2"/>
      <scheme val="minor"/>
    </font>
    <font>
      <sz val="9"/>
      <color theme="1"/>
      <name val="Consolas"/>
    </font>
    <font>
      <b/>
      <sz val="10"/>
      <color rgb="FF333333"/>
      <name val="Consolas"/>
    </font>
    <font>
      <b/>
      <sz val="12"/>
      <color rgb="FF0000FF"/>
      <name val="Calibri"/>
      <family val="2"/>
      <scheme val="minor"/>
    </font>
    <font>
      <b/>
      <sz val="16"/>
      <color rgb="FFFFFFFF"/>
      <name val="Calibri"/>
      <family val="2"/>
      <scheme val="minor"/>
    </font>
    <font>
      <sz val="11"/>
      <color rgb="FF8B949E"/>
      <name val="Calibri"/>
      <family val="2"/>
      <scheme val="minor"/>
    </font>
    <font>
      <sz val="10"/>
      <color rgb="FF8B949E"/>
      <name val="Calibri"/>
      <family val="2"/>
      <scheme val="minor"/>
    </font>
    <font>
      <sz val="11"/>
      <color rgb="FF388BFD"/>
      <name val="Calibri"/>
      <family val="2"/>
      <scheme val="minor"/>
    </font>
    <font>
      <b/>
      <sz val="13"/>
      <color rgb="FF388BFD"/>
      <name val="Calibri"/>
      <family val="2"/>
      <scheme val="minor"/>
    </font>
    <font>
      <b/>
      <sz val="11"/>
      <color rgb="FF8B949E"/>
      <name val="Calibri"/>
      <family val="2"/>
      <scheme val="minor"/>
    </font>
    <font>
      <sz val="11"/>
      <color rgb="FF388BFD"/>
      <name val="Courier New"/>
    </font>
    <font>
      <sz val="11"/>
      <color theme="1"/>
      <name val="Courier New"/>
    </font>
    <font>
      <b/>
      <sz val="13"/>
      <color rgb="FF388BFD"/>
      <name val="Courier New"/>
    </font>
    <font>
      <sz val="11"/>
      <color rgb="FF8B949E"/>
      <name val="Courier New"/>
    </font>
    <font>
      <b/>
      <sz val="11"/>
      <color rgb="FF8B949E"/>
      <name val="Courier New"/>
    </font>
    <font>
      <sz val="11"/>
      <color rgb="FF3FB950"/>
      <name val="Courier New"/>
    </font>
    <font>
      <b/>
      <sz val="13"/>
      <color rgb="FF3FB950"/>
      <name val="Courier New"/>
    </font>
    <font>
      <sz val="11"/>
      <color rgb="FFA371F7"/>
      <name val="Courier New"/>
    </font>
    <font>
      <b/>
      <sz val="13"/>
      <color rgb="FFA371F7"/>
      <name val="Courier New"/>
    </font>
    <font>
      <sz val="11"/>
      <color rgb="FFF85149"/>
      <name val="Calibri"/>
      <family val="2"/>
      <scheme val="minor"/>
    </font>
    <font>
      <b/>
      <sz val="13"/>
      <color rgb="FFF85149"/>
      <name val="Calibri"/>
      <family val="2"/>
      <scheme val="minor"/>
    </font>
    <font>
      <sz val="11"/>
      <color rgb="FFF85149"/>
      <name val="Courier New"/>
    </font>
    <font>
      <b/>
      <sz val="13"/>
      <color rgb="FFF85149"/>
      <name val="Courier New"/>
    </font>
    <font>
      <sz val="11"/>
      <color rgb="FFD29922"/>
      <name val="Courier New"/>
    </font>
    <font>
      <b/>
      <sz val="13"/>
      <color rgb="FFD29922"/>
      <name val="Courier New"/>
    </font>
    <font>
      <b/>
      <sz val="13"/>
      <color rgb="FF8B949E"/>
      <name val="Calibri"/>
      <family val="2"/>
      <scheme val="minor"/>
    </font>
    <font>
      <b/>
      <sz val="13"/>
      <color rgb="FFFFFFFF"/>
      <name val="Calibri"/>
      <family val="2"/>
      <scheme val="minor"/>
    </font>
    <font>
      <sz val="11"/>
      <color rgb="FF3FB950"/>
      <name val="Calibri"/>
      <family val="2"/>
      <scheme val="minor"/>
    </font>
    <font>
      <b/>
      <sz val="11"/>
      <color rgb="FFD29922"/>
      <name val="Calibri"/>
      <family val="2"/>
      <scheme val="minor"/>
    </font>
    <font>
      <b/>
      <sz val="11"/>
      <color rgb="FF3FB950"/>
      <name val="Calibri"/>
      <family val="2"/>
      <scheme val="minor"/>
    </font>
    <font>
      <b/>
      <sz val="11"/>
      <color rgb="FF388BFD"/>
      <name val="Calibri"/>
      <family val="2"/>
      <scheme val="minor"/>
    </font>
    <font>
      <b/>
      <sz val="9"/>
      <color rgb="FF8B949E"/>
      <name val="Calibri"/>
      <family val="2"/>
      <scheme val="minor"/>
    </font>
    <font>
      <b/>
      <sz val="9"/>
      <color rgb="FF8B949E"/>
      <name val="Courier New"/>
    </font>
    <font>
      <b/>
      <sz val="13"/>
      <color rgb="FF3FB950"/>
      <name val="Calibri"/>
      <family val="2"/>
      <scheme val="minor"/>
    </font>
    <font>
      <i/>
      <sz val="10"/>
      <color rgb="FFF85149"/>
      <name val="Courier New"/>
    </font>
    <font>
      <sz val="9"/>
      <color rgb="FF3D2E00"/>
      <name val="Calibri"/>
      <family val="2"/>
      <scheme val="minor"/>
    </font>
    <font>
      <b/>
      <sz val="11"/>
      <color rgb="FFF85149"/>
      <name val="Calibri"/>
      <family val="2"/>
      <scheme val="minor"/>
    </font>
    <font>
      <sz val="11"/>
      <color rgb="FFD18616"/>
      <name val="Calibri"/>
      <family val="2"/>
      <scheme val="minor"/>
    </font>
    <font>
      <b/>
      <sz val="12"/>
      <color rgb="FFD18616"/>
      <name val="Calibri"/>
      <family val="2"/>
      <scheme val="minor"/>
    </font>
    <font>
      <b/>
      <sz val="14"/>
      <color rgb="FFFFFFFF"/>
      <name val="Calibri"/>
      <family val="2"/>
      <scheme val="minor"/>
    </font>
    <font>
      <b/>
      <sz val="11"/>
      <color rgb="FFD18616"/>
      <name val="Calibri"/>
      <family val="2"/>
      <scheme val="minor"/>
    </font>
    <font>
      <sz val="11"/>
      <color rgb="FFD18616"/>
      <name val="Courier New"/>
    </font>
    <font>
      <sz val="9"/>
      <color rgb="FF8B949E"/>
      <name val="Calibri"/>
      <family val="2"/>
      <scheme val="minor"/>
    </font>
    <font>
      <sz val="9"/>
      <color rgb="FF8B949E"/>
      <name val="Courier New"/>
    </font>
    <font>
      <sz val="11"/>
      <color rgb="FFA5B4FC"/>
      <name val="Calibri"/>
      <family val="2"/>
      <scheme val="minor"/>
    </font>
    <font>
      <b/>
      <sz val="11"/>
      <color rgb="FFA5B4FC"/>
      <name val="Calibri"/>
      <family val="2"/>
      <scheme val="minor"/>
    </font>
    <font>
      <b/>
      <sz val="14"/>
      <color rgb="FFF85149"/>
      <name val="Calibri"/>
      <family val="2"/>
      <scheme val="minor"/>
    </font>
    <font>
      <b/>
      <sz val="13"/>
      <color rgb="FFD18616"/>
      <name val="Courier New"/>
    </font>
    <font>
      <sz val="10"/>
      <color rgb="FF8B949E"/>
      <name val="Courier New"/>
    </font>
    <font>
      <b/>
      <sz val="11"/>
      <color rgb="FFD18616"/>
      <name val="Courier New"/>
    </font>
    <font>
      <sz val="9"/>
      <color rgb="FFFFB3D1"/>
      <name val="Calibri"/>
      <family val="2"/>
      <scheme val="minor"/>
    </font>
    <font>
      <b/>
      <sz val="10"/>
      <color rgb="FFFFB3D1"/>
      <name val="Calibri"/>
      <family val="2"/>
      <scheme val="minor"/>
    </font>
    <font>
      <sz val="11"/>
      <color rgb="FF8B2252"/>
      <name val="Calibri"/>
      <family val="2"/>
      <scheme val="minor"/>
    </font>
    <font>
      <sz val="11"/>
      <color rgb="FF8B2252"/>
      <name val="Courier New"/>
    </font>
    <font>
      <b/>
      <sz val="11"/>
      <color rgb="FF8B2252"/>
      <name val="Courier New"/>
    </font>
    <font>
      <b/>
      <sz val="14"/>
      <color rgb="FFD18616"/>
      <name val="Calibri"/>
      <family val="2"/>
      <scheme val="minor"/>
    </font>
    <font>
      <b/>
      <sz val="11"/>
      <color rgb="FF8B2252"/>
      <name val="Calibri"/>
      <family val="2"/>
      <scheme val="minor"/>
    </font>
    <font>
      <b/>
      <sz val="14"/>
      <color rgb="FF8B2252"/>
      <name val="Calibri"/>
      <family val="2"/>
      <scheme val="minor"/>
    </font>
    <font>
      <b/>
      <sz val="14"/>
      <color rgb="FFA5B4FC"/>
      <name val="Calibri"/>
      <family val="2"/>
      <scheme val="minor"/>
    </font>
    <font>
      <b/>
      <sz val="14"/>
      <color rgb="FF3FB950"/>
      <name val="Calibri"/>
      <family val="2"/>
      <scheme val="minor"/>
    </font>
    <font>
      <b/>
      <sz val="16"/>
      <color rgb="FF000000"/>
      <name val="Calibri"/>
      <family val="2"/>
      <scheme val="minor"/>
    </font>
    <font>
      <i/>
      <sz val="10"/>
      <color rgb="FF555555"/>
      <name val="Calibri"/>
      <family val="2"/>
      <scheme val="minor"/>
    </font>
    <font>
      <i/>
      <sz val="11"/>
      <color theme="1"/>
      <name val="Calibri"/>
      <family val="2"/>
      <scheme val="minor"/>
    </font>
    <font>
      <sz val="11"/>
      <color rgb="FFA371F7"/>
      <name val="Calibri"/>
      <family val="2"/>
      <scheme val="minor"/>
    </font>
    <font>
      <b/>
      <sz val="11"/>
      <color rgb="FFA371F7"/>
      <name val="Calibri"/>
      <family val="2"/>
      <scheme val="minor"/>
    </font>
    <font>
      <b/>
      <sz val="11"/>
      <color rgb="FF3FB950"/>
      <name val="Courier New"/>
    </font>
    <font>
      <sz val="10"/>
      <color rgb="FFD29922"/>
      <name val="Courier New"/>
    </font>
    <font>
      <b/>
      <sz val="13"/>
      <color theme="1"/>
      <name val="Calibri"/>
      <family val="2"/>
      <scheme val="minor"/>
    </font>
    <font>
      <b/>
      <sz val="16"/>
      <color rgb="FF3FB950"/>
      <name val="Calibri"/>
      <family val="2"/>
      <scheme val="minor"/>
    </font>
    <font>
      <i/>
      <sz val="11"/>
      <color rgb="FFA371F7"/>
      <name val="Courier New"/>
    </font>
    <font>
      <sz val="11"/>
      <color rgb="FF3FB9A0"/>
      <name val="Courier New"/>
    </font>
    <font>
      <b/>
      <sz val="11"/>
      <color rgb="FF3FB9A0"/>
      <name val="Courier New"/>
    </font>
    <font>
      <b/>
      <sz val="11"/>
      <color rgb="FFD29922"/>
      <name val="Courier New"/>
    </font>
    <font>
      <b/>
      <sz val="11"/>
      <color rgb="FFF85149"/>
      <name val="Courier New"/>
    </font>
    <font>
      <b/>
      <sz val="12"/>
      <color rgb="FFFFFFFF"/>
      <name val="Courier New"/>
    </font>
    <font>
      <sz val="10"/>
      <color rgb="FFF85149"/>
      <name val="Calibri"/>
      <family val="2"/>
      <scheme val="minor"/>
    </font>
    <font>
      <b/>
      <sz val="10"/>
      <color rgb="FFF85149"/>
      <name val="Calibri"/>
      <family val="2"/>
      <scheme val="minor"/>
    </font>
    <font>
      <b/>
      <sz val="12"/>
      <color rgb="FFD18616"/>
      <name val="Courier New"/>
    </font>
    <font>
      <b/>
      <i/>
      <sz val="11"/>
      <color rgb="FF388BFD"/>
      <name val="Calibri"/>
      <family val="2"/>
      <scheme val="minor"/>
    </font>
    <font>
      <b/>
      <i/>
      <sz val="11"/>
      <color rgb="FFA371F7"/>
      <name val="Calibri"/>
      <family val="2"/>
      <scheme val="minor"/>
    </font>
    <font>
      <b/>
      <sz val="13"/>
      <color rgb="FFFFFFFF"/>
      <name val="Courier New"/>
    </font>
    <font>
      <i/>
      <sz val="11"/>
      <color rgb="FF8B949E"/>
      <name val="Calibri"/>
      <family val="2"/>
      <scheme val="minor"/>
    </font>
    <font>
      <i/>
      <sz val="11"/>
      <color rgb="FFA371F7"/>
      <name val="Calibri"/>
      <family val="2"/>
      <scheme val="minor"/>
    </font>
    <font>
      <b/>
      <i/>
      <sz val="11"/>
      <color rgb="FFA371F7"/>
      <name val="Courier New"/>
    </font>
    <font>
      <b/>
      <sz val="18"/>
      <color rgb="FFFFFFFF"/>
      <name val="Calibri"/>
      <family val="2"/>
      <scheme val="minor"/>
    </font>
    <font>
      <i/>
      <sz val="12"/>
      <color rgb="FFA371F7"/>
      <name val="Calibri"/>
      <family val="2"/>
      <scheme val="minor"/>
    </font>
    <font>
      <sz val="10"/>
      <color rgb="FF3FB950"/>
      <name val="Calibri"/>
      <family val="2"/>
      <scheme val="minor"/>
    </font>
    <font>
      <b/>
      <sz val="10"/>
      <color rgb="FF3FB950"/>
      <name val="Calibri"/>
      <family val="2"/>
      <scheme val="minor"/>
    </font>
    <font>
      <b/>
      <sz val="12"/>
      <color rgb="FFD29922"/>
      <name val="Calibri"/>
      <family val="2"/>
      <scheme val="minor"/>
    </font>
  </fonts>
  <fills count="37">
    <fill>
      <patternFill patternType="none"/>
    </fill>
    <fill>
      <patternFill patternType="gray125"/>
    </fill>
    <fill>
      <patternFill patternType="solid">
        <fgColor rgb="FF1A73E8"/>
        <bgColor rgb="FF1A73E8"/>
      </patternFill>
    </fill>
    <fill>
      <patternFill patternType="solid">
        <fgColor rgb="FFF5F5FA"/>
        <bgColor rgb="FFF5F5FA"/>
      </patternFill>
    </fill>
    <fill>
      <patternFill patternType="solid">
        <fgColor rgb="FFD4A843"/>
        <bgColor rgb="FFD4A843"/>
      </patternFill>
    </fill>
    <fill>
      <patternFill patternType="solid">
        <fgColor rgb="FFD9E2F3"/>
        <bgColor indexed="64"/>
      </patternFill>
    </fill>
    <fill>
      <patternFill patternType="solid">
        <fgColor rgb="FF2F5496"/>
        <bgColor indexed="64"/>
      </patternFill>
    </fill>
    <fill>
      <patternFill patternType="solid">
        <fgColor rgb="FFF2F2F2"/>
        <bgColor indexed="64"/>
      </patternFill>
    </fill>
    <fill>
      <patternFill patternType="solid">
        <fgColor rgb="FFFFFFCC"/>
        <bgColor indexed="64"/>
      </patternFill>
    </fill>
    <fill>
      <patternFill patternType="solid">
        <fgColor rgb="FFE8E8E8"/>
        <bgColor indexed="64"/>
      </patternFill>
    </fill>
    <fill>
      <patternFill patternType="solid">
        <fgColor rgb="FFE8EEF7"/>
        <bgColor indexed="64"/>
      </patternFill>
    </fill>
    <fill>
      <patternFill patternType="solid">
        <fgColor rgb="FFFCE4EC"/>
        <bgColor indexed="64"/>
      </patternFill>
    </fill>
    <fill>
      <patternFill patternType="solid">
        <fgColor rgb="FFF3E5F5"/>
        <bgColor indexed="64"/>
      </patternFill>
    </fill>
    <fill>
      <patternFill patternType="solid">
        <fgColor rgb="FFE8F5E9"/>
        <bgColor indexed="64"/>
      </patternFill>
    </fill>
    <fill>
      <patternFill patternType="solid">
        <fgColor rgb="FFFFF3E0"/>
        <bgColor indexed="64"/>
      </patternFill>
    </fill>
    <fill>
      <patternFill patternType="solid">
        <fgColor rgb="FFE3F2FD"/>
        <bgColor indexed="64"/>
      </patternFill>
    </fill>
    <fill>
      <patternFill patternType="solid">
        <fgColor rgb="FF1B3A5C"/>
        <bgColor indexed="64"/>
      </patternFill>
    </fill>
    <fill>
      <patternFill patternType="solid">
        <fgColor rgb="FFD6DCE4"/>
        <bgColor indexed="64"/>
      </patternFill>
    </fill>
    <fill>
      <patternFill patternType="solid">
        <fgColor rgb="FF8B0000"/>
        <bgColor indexed="64"/>
      </patternFill>
    </fill>
    <fill>
      <patternFill patternType="solid">
        <fgColor rgb="FF333333"/>
        <bgColor indexed="64"/>
      </patternFill>
    </fill>
    <fill>
      <patternFill patternType="solid">
        <fgColor rgb="FF0D1117"/>
        <bgColor indexed="64"/>
      </patternFill>
    </fill>
    <fill>
      <patternFill patternType="solid">
        <fgColor rgb="FF161B22"/>
        <bgColor indexed="64"/>
      </patternFill>
    </fill>
    <fill>
      <patternFill patternType="solid">
        <fgColor rgb="FF1F3A5F"/>
        <bgColor indexed="64"/>
      </patternFill>
    </fill>
    <fill>
      <patternFill patternType="solid">
        <fgColor rgb="FF21262D"/>
        <bgColor indexed="64"/>
      </patternFill>
    </fill>
    <fill>
      <patternFill patternType="solid">
        <fgColor rgb="FF1A3A2A"/>
        <bgColor indexed="64"/>
      </patternFill>
    </fill>
    <fill>
      <patternFill patternType="solid">
        <fgColor rgb="FF2D1F4E"/>
        <bgColor indexed="64"/>
      </patternFill>
    </fill>
    <fill>
      <patternFill patternType="solid">
        <fgColor rgb="FF3D1418"/>
        <bgColor indexed="64"/>
      </patternFill>
    </fill>
    <fill>
      <patternFill patternType="solid">
        <fgColor rgb="FF3D2E00"/>
        <bgColor indexed="64"/>
      </patternFill>
    </fill>
    <fill>
      <patternFill patternType="solid">
        <fgColor rgb="FFF85149"/>
        <bgColor indexed="64"/>
      </patternFill>
    </fill>
    <fill>
      <patternFill patternType="solid">
        <fgColor rgb="FFD18616"/>
        <bgColor indexed="64"/>
      </patternFill>
    </fill>
    <fill>
      <patternFill patternType="solid">
        <fgColor rgb="FF1C1C3A"/>
        <bgColor indexed="64"/>
      </patternFill>
    </fill>
    <fill>
      <patternFill patternType="solid">
        <fgColor rgb="FF8B2252"/>
        <bgColor indexed="64"/>
      </patternFill>
    </fill>
    <fill>
      <patternFill patternType="solid">
        <fgColor rgb="FF5A1538"/>
        <bgColor indexed="64"/>
      </patternFill>
    </fill>
    <fill>
      <patternFill patternType="solid">
        <fgColor rgb="FFE2EFDA"/>
        <bgColor indexed="64"/>
      </patternFill>
    </fill>
    <fill>
      <patternFill patternType="solid">
        <fgColor rgb="FFFFF2CC"/>
        <bgColor indexed="64"/>
      </patternFill>
    </fill>
    <fill>
      <patternFill patternType="solid">
        <fgColor rgb="FF0D4880"/>
        <bgColor indexed="64"/>
      </patternFill>
    </fill>
    <fill>
      <patternFill patternType="solid">
        <fgColor rgb="FF3D0A0A"/>
        <bgColor indexed="64"/>
      </patternFill>
    </fill>
  </fills>
  <borders count="17">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rgb="FF0000FF"/>
      </left>
      <right style="medium">
        <color rgb="FF0000FF"/>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rgb="FF0000FF"/>
      </left>
      <right style="medium">
        <color rgb="FF0000FF"/>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306">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0" borderId="1" xfId="0" applyFont="1" applyBorder="1" applyAlignment="1">
      <alignment vertical="center" wrapText="1"/>
    </xf>
    <xf numFmtId="0" fontId="0" fillId="3" borderId="1" xfId="0" applyFill="1" applyBorder="1" applyAlignment="1">
      <alignment vertical="center" wrapText="1"/>
    </xf>
    <xf numFmtId="0" fontId="0" fillId="0" borderId="1" xfId="0" applyBorder="1" applyAlignment="1">
      <alignment vertical="center" wrapText="1"/>
    </xf>
    <xf numFmtId="0" fontId="4" fillId="4" borderId="1" xfId="0" applyFont="1" applyFill="1" applyBorder="1"/>
    <xf numFmtId="0" fontId="4" fillId="2" borderId="0" xfId="0" applyFont="1" applyFill="1"/>
    <xf numFmtId="0" fontId="5" fillId="0" borderId="0" xfId="0" applyFont="1" applyAlignment="1">
      <alignment wrapText="1"/>
    </xf>
    <xf numFmtId="0" fontId="7" fillId="5" borderId="0" xfId="0" applyFont="1" applyFill="1"/>
    <xf numFmtId="0" fontId="0" fillId="5" borderId="0" xfId="0" applyFill="1"/>
    <xf numFmtId="0" fontId="11" fillId="6" borderId="0" xfId="0" applyFont="1" applyFill="1"/>
    <xf numFmtId="0" fontId="0" fillId="6" borderId="0" xfId="0" applyFill="1"/>
    <xf numFmtId="0" fontId="12" fillId="6" borderId="0" xfId="0" applyFont="1" applyFill="1" applyAlignment="1">
      <alignment horizontal="center"/>
    </xf>
    <xf numFmtId="0" fontId="13" fillId="6" borderId="0" xfId="0" applyFont="1" applyFill="1" applyAlignment="1">
      <alignment horizontal="center"/>
    </xf>
    <xf numFmtId="0" fontId="6" fillId="0" borderId="0" xfId="0" applyFont="1"/>
    <xf numFmtId="0" fontId="6" fillId="7" borderId="0" xfId="0" applyFont="1" applyFill="1"/>
    <xf numFmtId="0" fontId="0" fillId="8" borderId="0" xfId="0" applyFill="1"/>
    <xf numFmtId="0" fontId="8" fillId="0" borderId="0" xfId="0" applyFont="1" applyAlignment="1">
      <alignment horizontal="center"/>
    </xf>
    <xf numFmtId="0" fontId="14" fillId="0" borderId="0" xfId="0" applyFont="1"/>
    <xf numFmtId="0" fontId="0" fillId="9" borderId="0" xfId="0" applyFill="1"/>
    <xf numFmtId="0" fontId="15" fillId="0" borderId="0" xfId="0" applyFont="1"/>
    <xf numFmtId="0" fontId="16" fillId="0" borderId="0" xfId="0" applyFont="1"/>
    <xf numFmtId="0" fontId="16" fillId="8" borderId="0" xfId="0" applyFont="1" applyFill="1"/>
    <xf numFmtId="0" fontId="17" fillId="0" borderId="0" xfId="0" applyFont="1"/>
    <xf numFmtId="0" fontId="18" fillId="0" borderId="0" xfId="0" applyFont="1"/>
    <xf numFmtId="0" fontId="20" fillId="10" borderId="0" xfId="0" applyFont="1" applyFill="1"/>
    <xf numFmtId="0" fontId="0" fillId="10" borderId="0" xfId="0" applyFill="1"/>
    <xf numFmtId="0" fontId="21" fillId="0" borderId="0" xfId="0" applyFont="1"/>
    <xf numFmtId="0" fontId="24" fillId="10" borderId="0" xfId="0" applyFont="1" applyFill="1"/>
    <xf numFmtId="0" fontId="25" fillId="10" borderId="0" xfId="0" applyFont="1" applyFill="1" applyAlignment="1">
      <alignment horizontal="center"/>
    </xf>
    <xf numFmtId="0" fontId="26" fillId="10" borderId="0" xfId="0" applyFont="1" applyFill="1"/>
    <xf numFmtId="0" fontId="8" fillId="10" borderId="0" xfId="0" applyFont="1" applyFill="1" applyAlignment="1">
      <alignment horizontal="center"/>
    </xf>
    <xf numFmtId="0" fontId="27" fillId="0" borderId="0" xfId="0" applyFont="1"/>
    <xf numFmtId="0" fontId="27" fillId="10" borderId="0" xfId="0" applyFont="1" applyFill="1"/>
    <xf numFmtId="0" fontId="28" fillId="6" borderId="0" xfId="0" applyFont="1" applyFill="1"/>
    <xf numFmtId="0" fontId="29" fillId="10" borderId="0" xfId="0" applyFont="1" applyFill="1"/>
    <xf numFmtId="0" fontId="30" fillId="10" borderId="0" xfId="0" applyFont="1" applyFill="1"/>
    <xf numFmtId="0" fontId="31" fillId="11" borderId="0" xfId="0" applyFont="1" applyFill="1"/>
    <xf numFmtId="0" fontId="0" fillId="11" borderId="0" xfId="0" applyFill="1"/>
    <xf numFmtId="0" fontId="8" fillId="11" borderId="0" xfId="0" applyFont="1" applyFill="1" applyAlignment="1">
      <alignment horizontal="center"/>
    </xf>
    <xf numFmtId="0" fontId="32" fillId="11" borderId="0" xfId="0" applyFont="1" applyFill="1"/>
    <xf numFmtId="0" fontId="30" fillId="11" borderId="0" xfId="0" applyFont="1" applyFill="1"/>
    <xf numFmtId="0" fontId="24" fillId="11" borderId="0" xfId="0" applyFont="1" applyFill="1"/>
    <xf numFmtId="0" fontId="25" fillId="11" borderId="0" xfId="0" applyFont="1" applyFill="1" applyAlignment="1">
      <alignment horizontal="center"/>
    </xf>
    <xf numFmtId="0" fontId="6" fillId="8" borderId="0" xfId="0" applyFont="1" applyFill="1"/>
    <xf numFmtId="0" fontId="33" fillId="12" borderId="0" xfId="0" applyFont="1" applyFill="1"/>
    <xf numFmtId="0" fontId="24" fillId="12" borderId="0" xfId="0" applyFont="1" applyFill="1"/>
    <xf numFmtId="0" fontId="0" fillId="12" borderId="0" xfId="0" applyFill="1"/>
    <xf numFmtId="0" fontId="25" fillId="12" borderId="0" xfId="0" applyFont="1" applyFill="1" applyAlignment="1">
      <alignment horizontal="center"/>
    </xf>
    <xf numFmtId="0" fontId="34" fillId="12" borderId="0" xfId="0" applyFont="1" applyFill="1"/>
    <xf numFmtId="0" fontId="35" fillId="13" borderId="0" xfId="0" applyFont="1" applyFill="1"/>
    <xf numFmtId="0" fontId="24" fillId="13" borderId="0" xfId="0" applyFont="1" applyFill="1"/>
    <xf numFmtId="0" fontId="0" fillId="13" borderId="0" xfId="0" applyFill="1"/>
    <xf numFmtId="0" fontId="25" fillId="13" borderId="0" xfId="0" applyFont="1" applyFill="1" applyAlignment="1">
      <alignment horizontal="center"/>
    </xf>
    <xf numFmtId="0" fontId="36" fillId="13" borderId="0" xfId="0" applyFont="1" applyFill="1"/>
    <xf numFmtId="0" fontId="37" fillId="14" borderId="0" xfId="0" applyFont="1" applyFill="1"/>
    <xf numFmtId="0" fontId="0" fillId="14" borderId="0" xfId="0" applyFill="1"/>
    <xf numFmtId="0" fontId="8" fillId="14" borderId="0" xfId="0" applyFont="1" applyFill="1" applyAlignment="1">
      <alignment horizontal="center"/>
    </xf>
    <xf numFmtId="0" fontId="38" fillId="14" borderId="0" xfId="0" applyFont="1" applyFill="1"/>
    <xf numFmtId="0" fontId="39" fillId="15" borderId="0" xfId="0" applyFont="1" applyFill="1"/>
    <xf numFmtId="0" fontId="0" fillId="15" borderId="0" xfId="0" applyFill="1"/>
    <xf numFmtId="0" fontId="8" fillId="15" borderId="0" xfId="0" applyFont="1" applyFill="1" applyAlignment="1">
      <alignment horizontal="center"/>
    </xf>
    <xf numFmtId="0" fontId="40" fillId="15" borderId="0" xfId="0" applyFont="1" applyFill="1"/>
    <xf numFmtId="0" fontId="11" fillId="16" borderId="0" xfId="0" applyFont="1" applyFill="1"/>
    <xf numFmtId="0" fontId="0" fillId="16" borderId="0" xfId="0" applyFill="1"/>
    <xf numFmtId="0" fontId="41" fillId="16" borderId="0" xfId="0" applyFont="1" applyFill="1"/>
    <xf numFmtId="0" fontId="42" fillId="0" borderId="0" xfId="0" applyFont="1"/>
    <xf numFmtId="0" fontId="43" fillId="0" borderId="0" xfId="0" applyFont="1"/>
    <xf numFmtId="0" fontId="43" fillId="17" borderId="0" xfId="0" applyFont="1" applyFill="1"/>
    <xf numFmtId="0" fontId="43" fillId="17" borderId="0" xfId="0" applyFont="1" applyFill="1" applyAlignment="1">
      <alignment horizontal="center"/>
    </xf>
    <xf numFmtId="0" fontId="0" fillId="17" borderId="0" xfId="0" applyFill="1"/>
    <xf numFmtId="0" fontId="24" fillId="17" borderId="0" xfId="0" applyFont="1" applyFill="1" applyAlignment="1">
      <alignment horizontal="center"/>
    </xf>
    <xf numFmtId="0" fontId="0" fillId="0" borderId="0" xfId="0" applyAlignment="1">
      <alignment horizontal="center"/>
    </xf>
    <xf numFmtId="9" fontId="0" fillId="0" borderId="0" xfId="0" applyNumberFormat="1" applyAlignment="1">
      <alignment horizontal="center"/>
    </xf>
    <xf numFmtId="0" fontId="44" fillId="0" borderId="0" xfId="0" applyFont="1"/>
    <xf numFmtId="0" fontId="44" fillId="17" borderId="0" xfId="0" applyFont="1" applyFill="1"/>
    <xf numFmtId="0" fontId="45" fillId="8" borderId="0" xfId="0" applyFont="1" applyFill="1" applyAlignment="1">
      <alignment horizontal="center"/>
    </xf>
    <xf numFmtId="0" fontId="27" fillId="17" borderId="0" xfId="0" applyFont="1" applyFill="1"/>
    <xf numFmtId="0" fontId="46" fillId="8" borderId="0" xfId="0" applyFont="1" applyFill="1" applyAlignment="1">
      <alignment horizontal="center"/>
    </xf>
    <xf numFmtId="0" fontId="47" fillId="17" borderId="0" xfId="0" applyFont="1" applyFill="1"/>
    <xf numFmtId="2" fontId="0" fillId="0" borderId="0" xfId="0" applyNumberFormat="1" applyAlignment="1">
      <alignment horizontal="center"/>
    </xf>
    <xf numFmtId="0" fontId="12" fillId="18" borderId="0" xfId="0" applyFont="1" applyFill="1"/>
    <xf numFmtId="0" fontId="0" fillId="18" borderId="0" xfId="0" applyFill="1"/>
    <xf numFmtId="0" fontId="48" fillId="18" borderId="0" xfId="0" applyFont="1" applyFill="1"/>
    <xf numFmtId="0" fontId="6" fillId="17" borderId="0" xfId="0" applyFont="1" applyFill="1"/>
    <xf numFmtId="0" fontId="6" fillId="17" borderId="0" xfId="0" applyFont="1" applyFill="1" applyAlignment="1">
      <alignment horizontal="center"/>
    </xf>
    <xf numFmtId="9" fontId="45" fillId="8" borderId="0" xfId="0" applyNumberFormat="1" applyFont="1" applyFill="1" applyAlignment="1">
      <alignment horizontal="center"/>
    </xf>
    <xf numFmtId="0" fontId="23" fillId="10" borderId="0" xfId="0" applyFont="1" applyFill="1" applyAlignment="1">
      <alignment horizontal="center"/>
    </xf>
    <xf numFmtId="0" fontId="24" fillId="10" borderId="0" xfId="0" applyFont="1" applyFill="1" applyAlignment="1">
      <alignment horizontal="center"/>
    </xf>
    <xf numFmtId="0" fontId="23" fillId="11" borderId="0" xfId="0" applyFont="1" applyFill="1" applyAlignment="1">
      <alignment horizontal="center"/>
    </xf>
    <xf numFmtId="0" fontId="24" fillId="11" borderId="0" xfId="0" applyFont="1" applyFill="1" applyAlignment="1">
      <alignment horizontal="center"/>
    </xf>
    <xf numFmtId="0" fontId="24" fillId="12" borderId="0" xfId="0" applyFont="1" applyFill="1" applyAlignment="1">
      <alignment horizontal="center"/>
    </xf>
    <xf numFmtId="0" fontId="24" fillId="13" borderId="0" xfId="0" applyFont="1" applyFill="1" applyAlignment="1">
      <alignment horizontal="center"/>
    </xf>
    <xf numFmtId="0" fontId="23" fillId="14" borderId="0" xfId="0" applyFont="1" applyFill="1" applyAlignment="1">
      <alignment horizontal="center"/>
    </xf>
    <xf numFmtId="0" fontId="23" fillId="15" borderId="0" xfId="0" applyFont="1" applyFill="1" applyAlignment="1">
      <alignment horizontal="center"/>
    </xf>
    <xf numFmtId="0" fontId="9" fillId="5" borderId="2" xfId="0" applyFont="1" applyFill="1" applyBorder="1"/>
    <xf numFmtId="0" fontId="0" fillId="5" borderId="2" xfId="0" applyFill="1" applyBorder="1"/>
    <xf numFmtId="0" fontId="6" fillId="7" borderId="2" xfId="0" applyFont="1" applyFill="1" applyBorder="1"/>
    <xf numFmtId="0" fontId="0" fillId="9" borderId="2" xfId="0" applyFill="1" applyBorder="1"/>
    <xf numFmtId="0" fontId="0" fillId="0" borderId="2" xfId="0" applyBorder="1"/>
    <xf numFmtId="0" fontId="8" fillId="0" borderId="2" xfId="0" applyFont="1" applyBorder="1" applyAlignment="1">
      <alignment horizontal="center"/>
    </xf>
    <xf numFmtId="0" fontId="14" fillId="0" borderId="2" xfId="0" applyFont="1" applyBorder="1"/>
    <xf numFmtId="0" fontId="0" fillId="8" borderId="2" xfId="0" applyFill="1" applyBorder="1"/>
    <xf numFmtId="0" fontId="21" fillId="0" borderId="2" xfId="0" applyFont="1" applyBorder="1"/>
    <xf numFmtId="0" fontId="43" fillId="17" borderId="2" xfId="0" applyFont="1" applyFill="1" applyBorder="1"/>
    <xf numFmtId="0" fontId="21" fillId="17" borderId="2" xfId="0" applyFont="1" applyFill="1" applyBorder="1"/>
    <xf numFmtId="0" fontId="0" fillId="17" borderId="2" xfId="0" applyFill="1" applyBorder="1"/>
    <xf numFmtId="0" fontId="45" fillId="17" borderId="2" xfId="0" applyFont="1" applyFill="1" applyBorder="1" applyAlignment="1">
      <alignment horizontal="center"/>
    </xf>
    <xf numFmtId="0" fontId="42" fillId="17" borderId="2" xfId="0" applyFont="1" applyFill="1" applyBorder="1"/>
    <xf numFmtId="0" fontId="11" fillId="19" borderId="0" xfId="0" applyFont="1" applyFill="1"/>
    <xf numFmtId="0" fontId="0" fillId="19" borderId="0" xfId="0" applyFill="1"/>
    <xf numFmtId="0" fontId="49" fillId="9" borderId="0" xfId="0" applyFont="1" applyFill="1"/>
    <xf numFmtId="0" fontId="24" fillId="9" borderId="0" xfId="0" applyFont="1" applyFill="1"/>
    <xf numFmtId="0" fontId="50" fillId="0" borderId="0" xfId="0" applyFont="1"/>
    <xf numFmtId="0" fontId="51" fillId="9" borderId="0" xfId="0" applyFont="1" applyFill="1"/>
    <xf numFmtId="0" fontId="15" fillId="8" borderId="0" xfId="0" applyFont="1" applyFill="1"/>
    <xf numFmtId="14" fontId="0" fillId="8" borderId="0" xfId="0" applyNumberFormat="1" applyFill="1"/>
    <xf numFmtId="14" fontId="15" fillId="8" borderId="0" xfId="0" applyNumberFormat="1" applyFont="1" applyFill="1"/>
    <xf numFmtId="0" fontId="52" fillId="0" borderId="2" xfId="0" applyFont="1" applyBorder="1" applyAlignment="1">
      <alignment horizontal="center"/>
    </xf>
    <xf numFmtId="0" fontId="53" fillId="20" borderId="0" xfId="0" applyFont="1" applyFill="1"/>
    <xf numFmtId="0" fontId="0" fillId="20" borderId="0" xfId="0" applyFill="1"/>
    <xf numFmtId="0" fontId="54" fillId="0" borderId="0" xfId="0" applyFont="1"/>
    <xf numFmtId="0" fontId="55" fillId="0" borderId="0" xfId="0" applyFont="1"/>
    <xf numFmtId="0" fontId="55" fillId="21" borderId="0" xfId="0" applyFont="1" applyFill="1"/>
    <xf numFmtId="0" fontId="0" fillId="21" borderId="0" xfId="0" applyFill="1"/>
    <xf numFmtId="0" fontId="57" fillId="22" borderId="0" xfId="0" applyFont="1" applyFill="1"/>
    <xf numFmtId="0" fontId="0" fillId="22" borderId="0" xfId="0" applyFill="1"/>
    <xf numFmtId="0" fontId="22" fillId="22" borderId="0" xfId="0" applyFont="1" applyFill="1"/>
    <xf numFmtId="0" fontId="58" fillId="0" borderId="0" xfId="0" applyFont="1"/>
    <xf numFmtId="0" fontId="58" fillId="23" borderId="0" xfId="0" applyFont="1" applyFill="1"/>
    <xf numFmtId="0" fontId="0" fillId="23" borderId="0" xfId="0" applyFill="1"/>
    <xf numFmtId="0" fontId="59" fillId="0" borderId="0" xfId="0" applyFont="1"/>
    <xf numFmtId="0" fontId="60" fillId="0" borderId="0" xfId="0" applyFont="1"/>
    <xf numFmtId="0" fontId="61" fillId="22" borderId="0" xfId="0" applyFont="1" applyFill="1"/>
    <xf numFmtId="0" fontId="62" fillId="0" borderId="0" xfId="0" applyFont="1"/>
    <xf numFmtId="0" fontId="63" fillId="0" borderId="0" xfId="0" applyFont="1"/>
    <xf numFmtId="0" fontId="63" fillId="23" borderId="0" xfId="0" applyFont="1" applyFill="1"/>
    <xf numFmtId="17" fontId="0" fillId="0" borderId="0" xfId="0" applyNumberFormat="1"/>
    <xf numFmtId="0" fontId="64" fillId="0" borderId="0" xfId="0" applyFont="1"/>
    <xf numFmtId="0" fontId="65" fillId="24" borderId="0" xfId="0" applyFont="1" applyFill="1"/>
    <xf numFmtId="0" fontId="0" fillId="24" borderId="0" xfId="0" applyFill="1"/>
    <xf numFmtId="0" fontId="10" fillId="24" borderId="0" xfId="0" applyFont="1" applyFill="1"/>
    <xf numFmtId="0" fontId="66" fillId="0" borderId="0" xfId="0" applyFont="1"/>
    <xf numFmtId="0" fontId="67" fillId="25" borderId="0" xfId="0" applyFont="1" applyFill="1"/>
    <xf numFmtId="0" fontId="0" fillId="25" borderId="0" xfId="0" applyFill="1"/>
    <xf numFmtId="0" fontId="10" fillId="25" borderId="0" xfId="0" applyFont="1" applyFill="1"/>
    <xf numFmtId="0" fontId="68" fillId="0" borderId="0" xfId="0" applyFont="1"/>
    <xf numFmtId="0" fontId="69" fillId="26" borderId="0" xfId="0" applyFont="1" applyFill="1"/>
    <xf numFmtId="0" fontId="0" fillId="26" borderId="0" xfId="0" applyFill="1"/>
    <xf numFmtId="0" fontId="10" fillId="26" borderId="0" xfId="0" applyFont="1" applyFill="1"/>
    <xf numFmtId="0" fontId="70" fillId="0" borderId="0" xfId="0" applyFont="1"/>
    <xf numFmtId="0" fontId="71" fillId="26" borderId="0" xfId="0" applyFont="1" applyFill="1"/>
    <xf numFmtId="0" fontId="72" fillId="0" borderId="0" xfId="0" applyFont="1"/>
    <xf numFmtId="0" fontId="73" fillId="27" borderId="0" xfId="0" applyFont="1" applyFill="1"/>
    <xf numFmtId="0" fontId="0" fillId="27" borderId="0" xfId="0" applyFill="1"/>
    <xf numFmtId="0" fontId="10" fillId="27" borderId="0" xfId="0" applyFont="1" applyFill="1"/>
    <xf numFmtId="0" fontId="74" fillId="23" borderId="0" xfId="0" applyFont="1" applyFill="1"/>
    <xf numFmtId="0" fontId="10" fillId="23" borderId="0" xfId="0" applyFont="1" applyFill="1"/>
    <xf numFmtId="0" fontId="75" fillId="20" borderId="0" xfId="0" applyFont="1" applyFill="1"/>
    <xf numFmtId="0" fontId="76" fillId="0" borderId="0" xfId="0" applyFont="1"/>
    <xf numFmtId="0" fontId="77" fillId="0" borderId="0" xfId="0" applyFont="1"/>
    <xf numFmtId="0" fontId="78" fillId="0" borderId="0" xfId="0" applyFont="1"/>
    <xf numFmtId="0" fontId="79" fillId="0" borderId="0" xfId="0" applyFont="1"/>
    <xf numFmtId="0" fontId="75" fillId="28" borderId="0" xfId="0" applyFont="1" applyFill="1"/>
    <xf numFmtId="0" fontId="0" fillId="28" borderId="0" xfId="0" applyFill="1"/>
    <xf numFmtId="0" fontId="11" fillId="25" borderId="0" xfId="0" applyFont="1" applyFill="1"/>
    <xf numFmtId="0" fontId="22" fillId="25" borderId="0" xfId="0" applyFont="1" applyFill="1"/>
    <xf numFmtId="0" fontId="80" fillId="25" borderId="0" xfId="0" applyFont="1" applyFill="1"/>
    <xf numFmtId="0" fontId="81" fillId="25" borderId="0" xfId="0" applyFont="1" applyFill="1"/>
    <xf numFmtId="0" fontId="82" fillId="24" borderId="0" xfId="0" applyFont="1" applyFill="1"/>
    <xf numFmtId="0" fontId="83" fillId="0" borderId="0" xfId="0" applyFont="1"/>
    <xf numFmtId="16" fontId="0" fillId="0" borderId="0" xfId="0" applyNumberFormat="1"/>
    <xf numFmtId="15" fontId="0" fillId="0" borderId="0" xfId="0" applyNumberFormat="1"/>
    <xf numFmtId="0" fontId="11" fillId="29" borderId="0" xfId="0" applyFont="1" applyFill="1"/>
    <xf numFmtId="0" fontId="22" fillId="29" borderId="0" xfId="0" applyFont="1" applyFill="1"/>
    <xf numFmtId="0" fontId="0" fillId="29" borderId="0" xfId="0" applyFill="1"/>
    <xf numFmtId="0" fontId="81" fillId="29" borderId="0" xfId="0" applyFont="1" applyFill="1"/>
    <xf numFmtId="0" fontId="84" fillId="29" borderId="0" xfId="0" applyFont="1" applyFill="1"/>
    <xf numFmtId="0" fontId="85" fillId="0" borderId="0" xfId="0" applyFont="1"/>
    <xf numFmtId="164" fontId="0" fillId="0" borderId="0" xfId="0" applyNumberFormat="1"/>
    <xf numFmtId="164" fontId="15" fillId="0" borderId="0" xfId="0" applyNumberFormat="1" applyFont="1"/>
    <xf numFmtId="0" fontId="86" fillId="0" borderId="0" xfId="0" applyFont="1"/>
    <xf numFmtId="0" fontId="87" fillId="27" borderId="0" xfId="0" applyFont="1" applyFill="1"/>
    <xf numFmtId="2" fontId="88" fillId="27" borderId="0" xfId="0" applyNumberFormat="1" applyFont="1" applyFill="1"/>
    <xf numFmtId="0" fontId="54" fillId="27" borderId="0" xfId="0" applyFont="1" applyFill="1"/>
    <xf numFmtId="0" fontId="22" fillId="27" borderId="0" xfId="0" applyFont="1" applyFill="1"/>
    <xf numFmtId="2" fontId="86" fillId="0" borderId="0" xfId="0" applyNumberFormat="1" applyFont="1"/>
    <xf numFmtId="0" fontId="89" fillId="0" borderId="0" xfId="0" applyFont="1"/>
    <xf numFmtId="0" fontId="90" fillId="0" borderId="0" xfId="0" applyFont="1"/>
    <xf numFmtId="0" fontId="11" fillId="30" borderId="0" xfId="0" applyFont="1" applyFill="1"/>
    <xf numFmtId="0" fontId="0" fillId="30" borderId="0" xfId="0" applyFill="1"/>
    <xf numFmtId="0" fontId="92" fillId="30" borderId="0" xfId="0" applyFont="1" applyFill="1"/>
    <xf numFmtId="0" fontId="91" fillId="30" borderId="0" xfId="0" applyFont="1" applyFill="1"/>
    <xf numFmtId="0" fontId="93" fillId="0" borderId="0" xfId="0" applyFont="1"/>
    <xf numFmtId="0" fontId="94" fillId="0" borderId="0" xfId="0" applyFont="1"/>
    <xf numFmtId="0" fontId="95" fillId="0" borderId="0" xfId="0" applyFont="1"/>
    <xf numFmtId="0" fontId="96" fillId="27" borderId="0" xfId="0" applyFont="1" applyFill="1"/>
    <xf numFmtId="0" fontId="97" fillId="0" borderId="0" xfId="0" applyFont="1"/>
    <xf numFmtId="0" fontId="98" fillId="0" borderId="0" xfId="0" applyFont="1"/>
    <xf numFmtId="14" fontId="15" fillId="0" borderId="0" xfId="0" applyNumberFormat="1" applyFont="1"/>
    <xf numFmtId="0" fontId="11" fillId="31" borderId="0" xfId="0" applyFont="1" applyFill="1"/>
    <xf numFmtId="0" fontId="22" fillId="31" borderId="0" xfId="0" applyFont="1" applyFill="1"/>
    <xf numFmtId="0" fontId="0" fillId="31" borderId="0" xfId="0" applyFill="1"/>
    <xf numFmtId="0" fontId="92" fillId="31" borderId="0" xfId="0" applyFont="1" applyFill="1"/>
    <xf numFmtId="0" fontId="99" fillId="31" borderId="0" xfId="0" applyFont="1" applyFill="1"/>
    <xf numFmtId="0" fontId="100" fillId="0" borderId="0" xfId="0" applyFont="1"/>
    <xf numFmtId="1" fontId="15" fillId="0" borderId="0" xfId="0" applyNumberFormat="1" applyFont="1"/>
    <xf numFmtId="0" fontId="11" fillId="32" borderId="0" xfId="0" applyFont="1" applyFill="1"/>
    <xf numFmtId="2" fontId="88" fillId="32" borderId="0" xfId="0" applyNumberFormat="1" applyFont="1" applyFill="1"/>
    <xf numFmtId="0" fontId="54" fillId="32" borderId="0" xfId="0" applyFont="1" applyFill="1"/>
    <xf numFmtId="0" fontId="22" fillId="32" borderId="0" xfId="0" applyFont="1" applyFill="1"/>
    <xf numFmtId="0" fontId="0" fillId="32" borderId="0" xfId="0" applyFill="1"/>
    <xf numFmtId="0" fontId="75" fillId="31" borderId="0" xfId="0" applyFont="1" applyFill="1"/>
    <xf numFmtId="0" fontId="10" fillId="31" borderId="0" xfId="0" applyFont="1" applyFill="1"/>
    <xf numFmtId="0" fontId="101" fillId="0" borderId="0" xfId="0" applyFont="1"/>
    <xf numFmtId="0" fontId="102" fillId="0" borderId="0" xfId="0" applyFont="1"/>
    <xf numFmtId="0" fontId="103" fillId="0" borderId="0" xfId="0" applyFont="1"/>
    <xf numFmtId="0" fontId="11" fillId="23" borderId="0" xfId="0" applyFont="1" applyFill="1"/>
    <xf numFmtId="0" fontId="97" fillId="23" borderId="0" xfId="0" applyFont="1" applyFill="1"/>
    <xf numFmtId="2" fontId="104" fillId="0" borderId="0" xfId="0" applyNumberFormat="1" applyFont="1"/>
    <xf numFmtId="0" fontId="105" fillId="0" borderId="0" xfId="0" applyFont="1"/>
    <xf numFmtId="2" fontId="106" fillId="0" borderId="0" xfId="0" applyNumberFormat="1" applyFont="1"/>
    <xf numFmtId="0" fontId="107" fillId="0" borderId="0" xfId="0" applyFont="1"/>
    <xf numFmtId="0" fontId="108" fillId="0" borderId="0" xfId="0" applyFont="1"/>
    <xf numFmtId="0" fontId="0" fillId="0" borderId="0" xfId="0" quotePrefix="1"/>
    <xf numFmtId="0" fontId="6" fillId="33" borderId="3" xfId="0" applyFont="1" applyFill="1" applyBorder="1"/>
    <xf numFmtId="0" fontId="6" fillId="33" borderId="4" xfId="0" applyFont="1" applyFill="1" applyBorder="1"/>
    <xf numFmtId="0" fontId="16" fillId="33" borderId="5" xfId="0" applyFont="1" applyFill="1" applyBorder="1"/>
    <xf numFmtId="0" fontId="6" fillId="33" borderId="6" xfId="0" applyFont="1" applyFill="1" applyBorder="1"/>
    <xf numFmtId="0" fontId="19" fillId="0" borderId="7" xfId="0" applyFont="1" applyBorder="1"/>
    <xf numFmtId="0" fontId="0" fillId="0" borderId="8" xfId="0" applyBorder="1" applyAlignment="1">
      <alignment wrapText="1"/>
    </xf>
    <xf numFmtId="0" fontId="15" fillId="34" borderId="9" xfId="0" applyFont="1" applyFill="1" applyBorder="1" applyAlignment="1">
      <alignment wrapText="1"/>
    </xf>
    <xf numFmtId="0" fontId="0" fillId="0" borderId="10" xfId="0" applyBorder="1" applyAlignment="1">
      <alignment wrapText="1"/>
    </xf>
    <xf numFmtId="0" fontId="0" fillId="0" borderId="11" xfId="0" applyBorder="1" applyAlignment="1">
      <alignment wrapText="1"/>
    </xf>
    <xf numFmtId="0" fontId="19" fillId="0" borderId="12" xfId="0" applyFont="1" applyBorder="1"/>
    <xf numFmtId="0" fontId="0" fillId="0" borderId="13" xfId="0" applyBorder="1" applyAlignment="1">
      <alignment wrapText="1"/>
    </xf>
    <xf numFmtId="0" fontId="15" fillId="34" borderId="14" xfId="0" applyFont="1" applyFill="1" applyBorder="1" applyAlignment="1">
      <alignment wrapText="1"/>
    </xf>
    <xf numFmtId="0" fontId="0" fillId="0" borderId="15" xfId="0" applyBorder="1" applyAlignment="1">
      <alignment wrapText="1"/>
    </xf>
    <xf numFmtId="0" fontId="0" fillId="0" borderId="16" xfId="0" applyBorder="1" applyAlignment="1">
      <alignment wrapText="1"/>
    </xf>
    <xf numFmtId="0" fontId="19" fillId="17" borderId="0" xfId="0" applyFont="1" applyFill="1"/>
    <xf numFmtId="0" fontId="6" fillId="17" borderId="0" xfId="0" applyFont="1" applyFill="1" applyAlignment="1">
      <alignment wrapText="1"/>
    </xf>
    <xf numFmtId="0" fontId="0" fillId="0" borderId="0" xfId="0" applyAlignment="1">
      <alignment wrapText="1"/>
    </xf>
    <xf numFmtId="0" fontId="19" fillId="5" borderId="0" xfId="0" applyFont="1" applyFill="1"/>
    <xf numFmtId="0" fontId="6" fillId="33" borderId="0" xfId="0" applyFont="1" applyFill="1"/>
    <xf numFmtId="0" fontId="0" fillId="33" borderId="0" xfId="0" applyFill="1"/>
    <xf numFmtId="0" fontId="16" fillId="0" borderId="0" xfId="0" applyFont="1" applyAlignment="1">
      <alignment wrapText="1"/>
    </xf>
    <xf numFmtId="0" fontId="111" fillId="0" borderId="0" xfId="0" applyFont="1"/>
    <xf numFmtId="0" fontId="6" fillId="5" borderId="0" xfId="0" applyFont="1" applyFill="1"/>
    <xf numFmtId="0" fontId="88" fillId="35" borderId="0" xfId="0" applyFont="1" applyFill="1"/>
    <xf numFmtId="0" fontId="0" fillId="35" borderId="0" xfId="0" applyFill="1"/>
    <xf numFmtId="0" fontId="54" fillId="35" borderId="0" xfId="0" applyFont="1" applyFill="1"/>
    <xf numFmtId="0" fontId="85" fillId="36" borderId="0" xfId="0" applyFont="1" applyFill="1"/>
    <xf numFmtId="0" fontId="0" fillId="36" borderId="0" xfId="0" applyFill="1"/>
    <xf numFmtId="0" fontId="113" fillId="0" borderId="0" xfId="0" applyFont="1"/>
    <xf numFmtId="0" fontId="113" fillId="25" borderId="0" xfId="0" applyFont="1" applyFill="1"/>
    <xf numFmtId="0" fontId="114" fillId="0" borderId="0" xfId="0" applyFont="1"/>
    <xf numFmtId="0" fontId="88" fillId="25" borderId="0" xfId="0" applyFont="1" applyFill="1"/>
    <xf numFmtId="0" fontId="115" fillId="0" borderId="0" xfId="0" applyFont="1"/>
    <xf numFmtId="165" fontId="116" fillId="0" borderId="0" xfId="0" applyNumberFormat="1" applyFont="1"/>
    <xf numFmtId="165" fontId="117" fillId="0" borderId="0" xfId="0" applyNumberFormat="1" applyFont="1"/>
    <xf numFmtId="0" fontId="118" fillId="0" borderId="0" xfId="0" applyFont="1"/>
    <xf numFmtId="0" fontId="53" fillId="35" borderId="0" xfId="0" applyFont="1" applyFill="1"/>
    <xf numFmtId="0" fontId="11" fillId="24" borderId="0" xfId="0" applyFont="1" applyFill="1"/>
    <xf numFmtId="0" fontId="119" fillId="0" borderId="0" xfId="0" applyFont="1"/>
    <xf numFmtId="0" fontId="120" fillId="0" borderId="0" xfId="0" applyFont="1"/>
    <xf numFmtId="0" fontId="121" fillId="0" borderId="0" xfId="0" applyFont="1"/>
    <xf numFmtId="0" fontId="122" fillId="0" borderId="0" xfId="0" applyFont="1"/>
    <xf numFmtId="0" fontId="11" fillId="22" borderId="0" xfId="0" applyFont="1" applyFill="1"/>
    <xf numFmtId="0" fontId="123" fillId="27" borderId="0" xfId="0" applyFont="1" applyFill="1"/>
    <xf numFmtId="0" fontId="124" fillId="0" borderId="0" xfId="0" applyFont="1"/>
    <xf numFmtId="0" fontId="125" fillId="0" borderId="0" xfId="0" applyFont="1"/>
    <xf numFmtId="0" fontId="123" fillId="30" borderId="0" xfId="0" applyFont="1" applyFill="1"/>
    <xf numFmtId="0" fontId="123" fillId="25" borderId="0" xfId="0" applyFont="1" applyFill="1"/>
    <xf numFmtId="0" fontId="126" fillId="25" borderId="0" xfId="0" applyFont="1" applyFill="1"/>
    <xf numFmtId="0" fontId="127" fillId="0" borderId="0" xfId="0" applyFont="1"/>
    <xf numFmtId="0" fontId="11" fillId="35" borderId="0" xfId="0" applyFont="1" applyFill="1"/>
    <xf numFmtId="0" fontId="123" fillId="35" borderId="0" xfId="0" applyFont="1" applyFill="1"/>
    <xf numFmtId="0" fontId="11" fillId="26" borderId="0" xfId="0" applyFont="1" applyFill="1"/>
    <xf numFmtId="0" fontId="128" fillId="0" borderId="0" xfId="0" applyFont="1"/>
    <xf numFmtId="0" fontId="75" fillId="25" borderId="0" xfId="0" applyFont="1" applyFill="1"/>
    <xf numFmtId="0" fontId="112" fillId="25" borderId="0" xfId="0" applyFont="1" applyFill="1"/>
    <xf numFmtId="0" fontId="129" fillId="25" borderId="0" xfId="0" applyFont="1" applyFill="1"/>
    <xf numFmtId="0" fontId="130" fillId="0" borderId="0" xfId="0" applyFont="1"/>
    <xf numFmtId="0" fontId="131" fillId="0" borderId="0" xfId="0" applyFont="1"/>
    <xf numFmtId="0" fontId="132" fillId="0" borderId="0" xfId="0" applyFont="1"/>
    <xf numFmtId="0" fontId="133" fillId="25" borderId="0" xfId="0" applyFont="1" applyFill="1"/>
    <xf numFmtId="0" fontId="134" fillId="0" borderId="0" xfId="0" applyFont="1"/>
    <xf numFmtId="0" fontId="75" fillId="22" borderId="0" xfId="0" applyFont="1" applyFill="1"/>
    <xf numFmtId="0" fontId="55" fillId="22" borderId="0" xfId="0" applyFont="1" applyFill="1"/>
    <xf numFmtId="0" fontId="56" fillId="20" borderId="0" xfId="0" applyFont="1" applyFill="1"/>
    <xf numFmtId="0" fontId="135" fillId="0" borderId="0" xfId="0" applyFont="1"/>
    <xf numFmtId="0" fontId="75" fillId="26" borderId="0" xfId="0" applyFont="1" applyFill="1"/>
    <xf numFmtId="0" fontId="125" fillId="26" borderId="0" xfId="0" applyFont="1" applyFill="1"/>
    <xf numFmtId="0" fontId="55" fillId="26" borderId="0" xfId="0" applyFont="1" applyFill="1"/>
    <xf numFmtId="0" fontId="75" fillId="24" borderId="0" xfId="0" applyFont="1" applyFill="1"/>
    <xf numFmtId="0" fontId="136" fillId="24" borderId="0" xfId="0" applyFont="1" applyFill="1"/>
    <xf numFmtId="0" fontId="137" fillId="0" borderId="0" xfId="0" applyFont="1"/>
    <xf numFmtId="0" fontId="131" fillId="0" borderId="0" xfId="0" applyFont="1" applyAlignment="1">
      <alignment wrapText="1"/>
    </xf>
    <xf numFmtId="0" fontId="109" fillId="5" borderId="0" xfId="0" applyFont="1" applyFill="1" applyAlignment="1">
      <alignment horizontal="left" vertical="center"/>
    </xf>
    <xf numFmtId="0" fontId="109" fillId="5" borderId="0" xfId="0" applyFont="1" applyFill="1"/>
    <xf numFmtId="0" fontId="110" fillId="5"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DC1028B-F634-4871-9FAF-A4815F5F12E6}">
  <we:reference id="wa200009404" version="1.0.0.8" store="en-US" storeType="OMEX"/>
  <we:alternateReferences>
    <we:reference id="wa200009404" version="1.0.0.8" store="" storeType="OMEX"/>
  </we:alternateReferences>
  <we:properties>
    <we:property name="claude.fileId" value="&quot;64203582-f568-48e5-bc9f-b35e9958d55f&quot;"/>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B097-C8FA-44D4-B084-43090ED6BDFA}">
  <dimension ref="A1:I226"/>
  <sheetViews>
    <sheetView workbookViewId="0">
      <pane ySplit="2" topLeftCell="A125" activePane="bottomLeft" state="frozen"/>
      <selection pane="bottomLeft" activeCell="C6" sqref="C6"/>
    </sheetView>
  </sheetViews>
  <sheetFormatPr defaultRowHeight="14.4" x14ac:dyDescent="0.3"/>
  <cols>
    <col min="1" max="1" width="33.33203125" customWidth="1"/>
    <col min="2" max="2" width="51.88671875" customWidth="1"/>
    <col min="3" max="3" width="46.33203125" customWidth="1"/>
    <col min="4" max="4" width="59.21875" customWidth="1"/>
    <col min="5" max="5" width="46.33203125" customWidth="1"/>
  </cols>
  <sheetData>
    <row r="1" spans="1:5" ht="30" customHeight="1" x14ac:dyDescent="0.4">
      <c r="A1" s="302" t="s">
        <v>10623</v>
      </c>
      <c r="B1" s="303"/>
      <c r="C1" s="303"/>
      <c r="D1" s="303"/>
      <c r="E1" s="303"/>
    </row>
    <row r="2" spans="1:5" ht="19.95" customHeight="1" x14ac:dyDescent="0.3">
      <c r="A2" s="304" t="s">
        <v>10624</v>
      </c>
      <c r="B2" s="304"/>
      <c r="C2" s="304"/>
      <c r="D2" s="304"/>
      <c r="E2" s="304"/>
    </row>
    <row r="4" spans="1:5" ht="16.2" thickBot="1" x14ac:dyDescent="0.35">
      <c r="A4" s="14" t="s">
        <v>10625</v>
      </c>
      <c r="B4" s="15"/>
      <c r="C4" s="15"/>
      <c r="D4" s="15"/>
      <c r="E4" s="15"/>
    </row>
    <row r="5" spans="1:5" x14ac:dyDescent="0.3">
      <c r="A5" s="229" t="s">
        <v>10626</v>
      </c>
      <c r="B5" s="230" t="s">
        <v>10627</v>
      </c>
      <c r="C5" s="231" t="s">
        <v>10628</v>
      </c>
      <c r="D5" s="230" t="s">
        <v>10629</v>
      </c>
      <c r="E5" s="232" t="s">
        <v>10630</v>
      </c>
    </row>
    <row r="6" spans="1:5" ht="43.2" x14ac:dyDescent="0.3">
      <c r="A6" s="233" t="s">
        <v>10631</v>
      </c>
      <c r="B6" s="234" t="s">
        <v>10632</v>
      </c>
      <c r="C6" s="235"/>
      <c r="D6" s="236" t="s">
        <v>10633</v>
      </c>
      <c r="E6" s="237" t="s">
        <v>10634</v>
      </c>
    </row>
    <row r="7" spans="1:5" ht="43.2" x14ac:dyDescent="0.3">
      <c r="A7" s="233" t="s">
        <v>10635</v>
      </c>
      <c r="B7" s="234" t="s">
        <v>10636</v>
      </c>
      <c r="C7" s="235"/>
      <c r="D7" s="236" t="s">
        <v>10637</v>
      </c>
      <c r="E7" s="237" t="s">
        <v>10638</v>
      </c>
    </row>
    <row r="8" spans="1:5" ht="43.2" x14ac:dyDescent="0.3">
      <c r="A8" s="233" t="s">
        <v>10639</v>
      </c>
      <c r="B8" s="234" t="s">
        <v>10640</v>
      </c>
      <c r="C8" s="235"/>
      <c r="D8" s="236" t="s">
        <v>10641</v>
      </c>
      <c r="E8" s="237" t="s">
        <v>10642</v>
      </c>
    </row>
    <row r="9" spans="1:5" ht="43.2" x14ac:dyDescent="0.3">
      <c r="A9" s="233" t="s">
        <v>10643</v>
      </c>
      <c r="B9" s="234" t="s">
        <v>10644</v>
      </c>
      <c r="C9" s="235"/>
      <c r="D9" s="236" t="s">
        <v>10645</v>
      </c>
      <c r="E9" s="237" t="s">
        <v>10646</v>
      </c>
    </row>
    <row r="10" spans="1:5" ht="43.2" x14ac:dyDescent="0.3">
      <c r="A10" s="233" t="s">
        <v>10647</v>
      </c>
      <c r="B10" s="234" t="s">
        <v>10648</v>
      </c>
      <c r="C10" s="235"/>
      <c r="D10" s="236" t="s">
        <v>10649</v>
      </c>
      <c r="E10" s="237" t="s">
        <v>10650</v>
      </c>
    </row>
    <row r="11" spans="1:5" ht="43.8" thickBot="1" x14ac:dyDescent="0.35">
      <c r="A11" s="238" t="s">
        <v>10651</v>
      </c>
      <c r="B11" s="239" t="s">
        <v>10652</v>
      </c>
      <c r="C11" s="240"/>
      <c r="D11" s="241" t="s">
        <v>10653</v>
      </c>
      <c r="E11" s="242" t="s">
        <v>10654</v>
      </c>
    </row>
    <row r="13" spans="1:5" ht="15.6" x14ac:dyDescent="0.3">
      <c r="A13" s="14" t="s">
        <v>10655</v>
      </c>
      <c r="B13" s="15"/>
      <c r="C13" s="15"/>
      <c r="D13" s="15"/>
      <c r="E13" s="15"/>
    </row>
    <row r="14" spans="1:5" x14ac:dyDescent="0.3">
      <c r="A14" s="243" t="s">
        <v>10656</v>
      </c>
      <c r="B14" s="88" t="s">
        <v>10657</v>
      </c>
      <c r="C14" s="88" t="s">
        <v>10658</v>
      </c>
      <c r="D14" s="88" t="s">
        <v>10659</v>
      </c>
      <c r="E14" s="244" t="s">
        <v>10660</v>
      </c>
    </row>
    <row r="15" spans="1:5" x14ac:dyDescent="0.3">
      <c r="A15" t="s">
        <v>10661</v>
      </c>
      <c r="B15" s="245" t="s">
        <v>10662</v>
      </c>
      <c r="C15" s="245" t="s">
        <v>10663</v>
      </c>
      <c r="D15" s="245" t="s">
        <v>10664</v>
      </c>
      <c r="E15" s="245" t="s">
        <v>60</v>
      </c>
    </row>
    <row r="16" spans="1:5" x14ac:dyDescent="0.3">
      <c r="A16" t="s">
        <v>10665</v>
      </c>
      <c r="B16" s="245" t="s">
        <v>10666</v>
      </c>
      <c r="C16" s="245" t="s">
        <v>10667</v>
      </c>
      <c r="D16" s="245" t="s">
        <v>10668</v>
      </c>
      <c r="E16" s="245" t="s">
        <v>10669</v>
      </c>
    </row>
    <row r="17" spans="1:5" x14ac:dyDescent="0.3">
      <c r="A17" t="s">
        <v>10670</v>
      </c>
      <c r="B17" s="245" t="s">
        <v>10671</v>
      </c>
      <c r="C17" s="245" t="s">
        <v>10672</v>
      </c>
      <c r="D17" s="245" t="s">
        <v>10673</v>
      </c>
      <c r="E17" s="245" t="s">
        <v>10674</v>
      </c>
    </row>
    <row r="18" spans="1:5" x14ac:dyDescent="0.3">
      <c r="A18" t="s">
        <v>10675</v>
      </c>
      <c r="B18" s="245" t="s">
        <v>10671</v>
      </c>
      <c r="C18" s="245" t="s">
        <v>10676</v>
      </c>
      <c r="D18" s="245" t="s">
        <v>10677</v>
      </c>
      <c r="E18" s="245" t="s">
        <v>10678</v>
      </c>
    </row>
    <row r="19" spans="1:5" x14ac:dyDescent="0.3">
      <c r="A19" t="s">
        <v>10679</v>
      </c>
      <c r="B19" s="245" t="s">
        <v>10680</v>
      </c>
      <c r="C19" s="245" t="s">
        <v>10681</v>
      </c>
      <c r="D19" s="245" t="s">
        <v>10682</v>
      </c>
      <c r="E19" s="245" t="s">
        <v>5285</v>
      </c>
    </row>
    <row r="20" spans="1:5" x14ac:dyDescent="0.3">
      <c r="A20" t="s">
        <v>10683</v>
      </c>
      <c r="B20" s="245" t="s">
        <v>10684</v>
      </c>
      <c r="C20" s="245" t="s">
        <v>10685</v>
      </c>
      <c r="D20" s="245" t="s">
        <v>10686</v>
      </c>
      <c r="E20" s="245" t="s">
        <v>10687</v>
      </c>
    </row>
    <row r="22" spans="1:5" x14ac:dyDescent="0.3">
      <c r="A22" s="88" t="s">
        <v>10688</v>
      </c>
      <c r="B22" s="88" t="s">
        <v>10689</v>
      </c>
      <c r="C22" s="88" t="s">
        <v>10690</v>
      </c>
      <c r="D22" s="88" t="s">
        <v>10691</v>
      </c>
      <c r="E22" s="74"/>
    </row>
    <row r="23" spans="1:5" x14ac:dyDescent="0.3">
      <c r="A23" t="s">
        <v>10692</v>
      </c>
      <c r="B23" s="245" t="s">
        <v>10693</v>
      </c>
      <c r="C23" s="245" t="s">
        <v>10694</v>
      </c>
      <c r="D23" s="245" t="s">
        <v>10695</v>
      </c>
    </row>
    <row r="24" spans="1:5" x14ac:dyDescent="0.3">
      <c r="A24" t="s">
        <v>10696</v>
      </c>
      <c r="B24" s="245" t="s">
        <v>10697</v>
      </c>
      <c r="C24" s="245" t="s">
        <v>10698</v>
      </c>
      <c r="D24" s="245" t="s">
        <v>10699</v>
      </c>
    </row>
    <row r="25" spans="1:5" x14ac:dyDescent="0.3">
      <c r="A25" t="s">
        <v>10700</v>
      </c>
      <c r="B25" s="245" t="s">
        <v>10701</v>
      </c>
      <c r="C25" s="245" t="s">
        <v>10702</v>
      </c>
      <c r="D25" s="245" t="s">
        <v>10703</v>
      </c>
    </row>
    <row r="26" spans="1:5" x14ac:dyDescent="0.3">
      <c r="A26" t="s">
        <v>10704</v>
      </c>
      <c r="B26" s="245" t="s">
        <v>10705</v>
      </c>
      <c r="C26" s="245" t="s">
        <v>10706</v>
      </c>
      <c r="D26" s="245" t="s">
        <v>10707</v>
      </c>
    </row>
    <row r="27" spans="1:5" x14ac:dyDescent="0.3">
      <c r="A27" t="s">
        <v>10708</v>
      </c>
      <c r="B27" s="245" t="s">
        <v>10709</v>
      </c>
      <c r="C27" s="245" t="s">
        <v>10710</v>
      </c>
      <c r="D27" s="245" t="s">
        <v>10711</v>
      </c>
    </row>
    <row r="28" spans="1:5" x14ac:dyDescent="0.3">
      <c r="A28" t="s">
        <v>10712</v>
      </c>
      <c r="B28" s="245" t="s">
        <v>10713</v>
      </c>
      <c r="C28" s="245" t="s">
        <v>10714</v>
      </c>
      <c r="D28" s="245" t="s">
        <v>10715</v>
      </c>
    </row>
    <row r="29" spans="1:5" x14ac:dyDescent="0.3">
      <c r="A29" t="s">
        <v>10716</v>
      </c>
      <c r="B29" s="245" t="s">
        <v>10717</v>
      </c>
      <c r="C29" s="245" t="s">
        <v>10718</v>
      </c>
      <c r="D29" s="245" t="s">
        <v>10719</v>
      </c>
    </row>
    <row r="31" spans="1:5" x14ac:dyDescent="0.3">
      <c r="A31" s="88" t="s">
        <v>10720</v>
      </c>
      <c r="B31" s="88" t="s">
        <v>10721</v>
      </c>
      <c r="C31" s="88" t="s">
        <v>10722</v>
      </c>
      <c r="D31" s="88" t="s">
        <v>10723</v>
      </c>
      <c r="E31" s="74"/>
    </row>
    <row r="32" spans="1:5" x14ac:dyDescent="0.3">
      <c r="A32" t="s">
        <v>10724</v>
      </c>
      <c r="B32" s="245" t="s">
        <v>10725</v>
      </c>
      <c r="C32" s="245" t="s">
        <v>3027</v>
      </c>
      <c r="D32" s="245" t="s">
        <v>10726</v>
      </c>
    </row>
    <row r="33" spans="1:5" x14ac:dyDescent="0.3">
      <c r="A33" t="s">
        <v>10727</v>
      </c>
      <c r="B33" s="245" t="s">
        <v>10728</v>
      </c>
      <c r="C33" s="245" t="s">
        <v>10729</v>
      </c>
      <c r="D33" s="245" t="s">
        <v>10730</v>
      </c>
    </row>
    <row r="34" spans="1:5" x14ac:dyDescent="0.3">
      <c r="A34" t="s">
        <v>10731</v>
      </c>
      <c r="B34" s="245" t="s">
        <v>10732</v>
      </c>
      <c r="C34" s="245" t="s">
        <v>10733</v>
      </c>
      <c r="D34" s="245" t="s">
        <v>10734</v>
      </c>
    </row>
    <row r="35" spans="1:5" x14ac:dyDescent="0.3">
      <c r="A35" t="s">
        <v>10735</v>
      </c>
      <c r="B35" s="245" t="s">
        <v>10736</v>
      </c>
      <c r="C35" s="245" t="s">
        <v>10737</v>
      </c>
      <c r="D35" s="245" t="s">
        <v>10738</v>
      </c>
    </row>
    <row r="36" spans="1:5" x14ac:dyDescent="0.3">
      <c r="A36" t="s">
        <v>10739</v>
      </c>
      <c r="B36" s="245" t="s">
        <v>10740</v>
      </c>
      <c r="C36" s="245" t="s">
        <v>10741</v>
      </c>
      <c r="D36" s="245" t="s">
        <v>10742</v>
      </c>
    </row>
    <row r="37" spans="1:5" x14ac:dyDescent="0.3">
      <c r="A37" t="s">
        <v>10743</v>
      </c>
      <c r="B37" s="245" t="s">
        <v>10744</v>
      </c>
      <c r="C37" s="245" t="s">
        <v>10745</v>
      </c>
      <c r="D37" s="245" t="s">
        <v>10746</v>
      </c>
    </row>
    <row r="39" spans="1:5" x14ac:dyDescent="0.3">
      <c r="A39" s="88" t="s">
        <v>10747</v>
      </c>
      <c r="B39" s="88" t="s">
        <v>10748</v>
      </c>
      <c r="C39" s="88" t="s">
        <v>10749</v>
      </c>
      <c r="D39" s="88" t="s">
        <v>10750</v>
      </c>
      <c r="E39" s="88" t="s">
        <v>10751</v>
      </c>
    </row>
    <row r="40" spans="1:5" x14ac:dyDescent="0.3">
      <c r="A40" t="s">
        <v>10752</v>
      </c>
      <c r="B40" s="245">
        <v>10</v>
      </c>
      <c r="C40" s="245" t="s">
        <v>10753</v>
      </c>
      <c r="D40" s="245" t="s">
        <v>10754</v>
      </c>
      <c r="E40" s="245" t="s">
        <v>10755</v>
      </c>
    </row>
    <row r="41" spans="1:5" x14ac:dyDescent="0.3">
      <c r="A41" t="s">
        <v>10756</v>
      </c>
      <c r="B41" s="245">
        <v>25</v>
      </c>
      <c r="C41" s="245">
        <v>0</v>
      </c>
      <c r="D41" s="245" t="s">
        <v>10757</v>
      </c>
      <c r="E41" s="245" t="s">
        <v>10758</v>
      </c>
    </row>
    <row r="42" spans="1:5" x14ac:dyDescent="0.3">
      <c r="A42" t="s">
        <v>10759</v>
      </c>
      <c r="B42" s="245">
        <v>50</v>
      </c>
      <c r="C42" s="245" t="s">
        <v>10760</v>
      </c>
      <c r="D42" s="245" t="s">
        <v>10761</v>
      </c>
      <c r="E42" s="245" t="s">
        <v>10762</v>
      </c>
    </row>
    <row r="43" spans="1:5" x14ac:dyDescent="0.3">
      <c r="A43" t="s">
        <v>10763</v>
      </c>
      <c r="B43" s="245" t="s">
        <v>10764</v>
      </c>
      <c r="C43" s="245">
        <v>1</v>
      </c>
      <c r="D43" s="245" t="s">
        <v>10765</v>
      </c>
      <c r="E43" s="245" t="s">
        <v>10766</v>
      </c>
    </row>
    <row r="44" spans="1:5" x14ac:dyDescent="0.3">
      <c r="A44" t="s">
        <v>10767</v>
      </c>
      <c r="B44" s="245" t="s">
        <v>10768</v>
      </c>
      <c r="C44" s="245">
        <v>2</v>
      </c>
      <c r="D44" s="245" t="s">
        <v>10769</v>
      </c>
      <c r="E44" s="245" t="s">
        <v>10770</v>
      </c>
    </row>
    <row r="45" spans="1:5" x14ac:dyDescent="0.3">
      <c r="A45" t="s">
        <v>10771</v>
      </c>
      <c r="B45" s="245" t="s">
        <v>10772</v>
      </c>
      <c r="C45" s="245" t="s">
        <v>10773</v>
      </c>
      <c r="D45" s="245" t="s">
        <v>10774</v>
      </c>
      <c r="E45" s="245" t="s">
        <v>10775</v>
      </c>
    </row>
    <row r="47" spans="1:5" x14ac:dyDescent="0.3">
      <c r="A47" s="88" t="s">
        <v>10776</v>
      </c>
      <c r="B47" s="88" t="s">
        <v>10777</v>
      </c>
      <c r="C47" s="88" t="s">
        <v>10778</v>
      </c>
      <c r="D47" s="88" t="s">
        <v>10779</v>
      </c>
      <c r="E47" s="74"/>
    </row>
    <row r="48" spans="1:5" x14ac:dyDescent="0.3">
      <c r="A48" t="s">
        <v>10780</v>
      </c>
      <c r="B48" s="245" t="s">
        <v>10781</v>
      </c>
      <c r="C48" s="245" t="s">
        <v>10782</v>
      </c>
      <c r="D48" s="245" t="s">
        <v>10783</v>
      </c>
    </row>
    <row r="49" spans="1:5" x14ac:dyDescent="0.3">
      <c r="A49" t="s">
        <v>10784</v>
      </c>
      <c r="B49" s="245" t="s">
        <v>10785</v>
      </c>
      <c r="C49" s="245" t="s">
        <v>10786</v>
      </c>
      <c r="D49" s="245" t="s">
        <v>10787</v>
      </c>
    </row>
    <row r="50" spans="1:5" x14ac:dyDescent="0.3">
      <c r="A50" t="s">
        <v>10788</v>
      </c>
      <c r="B50" s="245" t="s">
        <v>10789</v>
      </c>
      <c r="C50" s="245" t="s">
        <v>10790</v>
      </c>
      <c r="D50" s="245" t="s">
        <v>10791</v>
      </c>
    </row>
    <row r="51" spans="1:5" x14ac:dyDescent="0.3">
      <c r="A51" t="s">
        <v>10792</v>
      </c>
      <c r="B51" s="245" t="s">
        <v>10793</v>
      </c>
      <c r="C51" s="245" t="s">
        <v>10794</v>
      </c>
      <c r="D51" s="245" t="s">
        <v>10795</v>
      </c>
    </row>
    <row r="52" spans="1:5" x14ac:dyDescent="0.3">
      <c r="A52" t="s">
        <v>2822</v>
      </c>
      <c r="B52" s="245" t="s">
        <v>10796</v>
      </c>
      <c r="C52" s="245" t="s">
        <v>10797</v>
      </c>
      <c r="D52" s="245" t="s">
        <v>10798</v>
      </c>
    </row>
    <row r="53" spans="1:5" x14ac:dyDescent="0.3">
      <c r="A53" t="s">
        <v>10799</v>
      </c>
      <c r="B53" s="245" t="s">
        <v>10800</v>
      </c>
      <c r="C53" s="245" t="s">
        <v>10801</v>
      </c>
      <c r="D53" s="245" t="s">
        <v>10802</v>
      </c>
    </row>
    <row r="54" spans="1:5" x14ac:dyDescent="0.3">
      <c r="A54" t="s">
        <v>10803</v>
      </c>
      <c r="B54" s="245" t="s">
        <v>10804</v>
      </c>
      <c r="C54" s="245" t="s">
        <v>10805</v>
      </c>
      <c r="D54" s="245" t="s">
        <v>10806</v>
      </c>
    </row>
    <row r="55" spans="1:5" x14ac:dyDescent="0.3">
      <c r="A55" t="s">
        <v>10807</v>
      </c>
      <c r="B55" s="245" t="s">
        <v>10808</v>
      </c>
      <c r="C55" s="245" t="s">
        <v>10809</v>
      </c>
      <c r="D55" s="245" t="s">
        <v>10810</v>
      </c>
    </row>
    <row r="57" spans="1:5" x14ac:dyDescent="0.3">
      <c r="A57" s="88" t="s">
        <v>10811</v>
      </c>
      <c r="B57" s="88" t="s">
        <v>10812</v>
      </c>
      <c r="C57" s="88" t="s">
        <v>10813</v>
      </c>
      <c r="D57" s="88" t="s">
        <v>10814</v>
      </c>
      <c r="E57" s="74"/>
    </row>
    <row r="58" spans="1:5" x14ac:dyDescent="0.3">
      <c r="A58" t="s">
        <v>10815</v>
      </c>
      <c r="B58" s="245" t="s">
        <v>10816</v>
      </c>
      <c r="C58" s="245" t="s">
        <v>10817</v>
      </c>
      <c r="D58" s="245" t="s">
        <v>10818</v>
      </c>
    </row>
    <row r="59" spans="1:5" x14ac:dyDescent="0.3">
      <c r="A59" t="s">
        <v>10819</v>
      </c>
      <c r="B59" s="245" t="s">
        <v>10820</v>
      </c>
      <c r="C59" s="245" t="s">
        <v>10821</v>
      </c>
      <c r="D59" s="245" t="s">
        <v>10822</v>
      </c>
    </row>
    <row r="60" spans="1:5" x14ac:dyDescent="0.3">
      <c r="A60" t="s">
        <v>10823</v>
      </c>
      <c r="B60" s="245" t="s">
        <v>10824</v>
      </c>
      <c r="C60" s="245" t="s">
        <v>10825</v>
      </c>
      <c r="D60" s="245" t="s">
        <v>10826</v>
      </c>
    </row>
    <row r="61" spans="1:5" x14ac:dyDescent="0.3">
      <c r="A61" t="s">
        <v>10827</v>
      </c>
      <c r="B61" s="245" t="s">
        <v>10828</v>
      </c>
      <c r="C61" s="245" t="s">
        <v>10829</v>
      </c>
      <c r="D61" s="245" t="s">
        <v>10830</v>
      </c>
    </row>
    <row r="62" spans="1:5" x14ac:dyDescent="0.3">
      <c r="A62" t="s">
        <v>10831</v>
      </c>
      <c r="B62" s="245" t="s">
        <v>10832</v>
      </c>
      <c r="C62" s="245" t="s">
        <v>10833</v>
      </c>
      <c r="D62" s="245" t="s">
        <v>10834</v>
      </c>
    </row>
    <row r="63" spans="1:5" x14ac:dyDescent="0.3">
      <c r="A63" t="s">
        <v>10835</v>
      </c>
      <c r="B63" s="245" t="s">
        <v>10836</v>
      </c>
      <c r="C63" s="245" t="s">
        <v>10837</v>
      </c>
      <c r="D63" s="245" t="s">
        <v>10838</v>
      </c>
    </row>
    <row r="65" spans="1:5" ht="15.6" x14ac:dyDescent="0.3">
      <c r="A65" s="14" t="s">
        <v>10839</v>
      </c>
      <c r="B65" s="15"/>
      <c r="C65" s="15"/>
      <c r="D65" s="15"/>
      <c r="E65" s="15"/>
    </row>
    <row r="66" spans="1:5" x14ac:dyDescent="0.3">
      <c r="A66" s="246" t="s">
        <v>10840</v>
      </c>
      <c r="B66" s="13"/>
      <c r="C66" s="13"/>
      <c r="D66" s="13"/>
      <c r="E66" s="13"/>
    </row>
    <row r="67" spans="1:5" x14ac:dyDescent="0.3">
      <c r="A67" s="247" t="s">
        <v>10841</v>
      </c>
      <c r="B67" s="247" t="s">
        <v>10842</v>
      </c>
      <c r="C67" s="247" t="s">
        <v>2496</v>
      </c>
      <c r="D67" s="247" t="s">
        <v>10843</v>
      </c>
      <c r="E67" s="247" t="s">
        <v>10844</v>
      </c>
    </row>
    <row r="68" spans="1:5" ht="28.8" x14ac:dyDescent="0.3">
      <c r="A68" s="18" t="s">
        <v>2819</v>
      </c>
      <c r="B68" s="245" t="s">
        <v>10845</v>
      </c>
      <c r="C68" s="245" t="s">
        <v>10846</v>
      </c>
      <c r="D68" s="245" t="s">
        <v>10847</v>
      </c>
      <c r="E68" s="245" t="s">
        <v>10631</v>
      </c>
    </row>
    <row r="69" spans="1:5" ht="28.8" x14ac:dyDescent="0.3">
      <c r="A69" s="18" t="s">
        <v>10848</v>
      </c>
      <c r="B69" s="245" t="s">
        <v>10849</v>
      </c>
      <c r="C69" s="245" t="s">
        <v>10850</v>
      </c>
      <c r="D69" s="245" t="s">
        <v>10851</v>
      </c>
      <c r="E69" s="245" t="s">
        <v>10852</v>
      </c>
    </row>
    <row r="71" spans="1:5" x14ac:dyDescent="0.3">
      <c r="A71" s="246" t="s">
        <v>10853</v>
      </c>
      <c r="B71" s="13"/>
      <c r="C71" s="13"/>
      <c r="D71" s="13"/>
      <c r="E71" s="13"/>
    </row>
    <row r="72" spans="1:5" ht="28.8" x14ac:dyDescent="0.3">
      <c r="A72" s="18" t="s">
        <v>10854</v>
      </c>
      <c r="B72" s="245" t="s">
        <v>10855</v>
      </c>
      <c r="C72" s="245" t="s">
        <v>10856</v>
      </c>
      <c r="D72" s="245" t="s">
        <v>10857</v>
      </c>
      <c r="E72" s="245" t="s">
        <v>10858</v>
      </c>
    </row>
    <row r="73" spans="1:5" ht="43.2" x14ac:dyDescent="0.3">
      <c r="A73" s="18" t="s">
        <v>10859</v>
      </c>
      <c r="B73" s="245" t="s">
        <v>10860</v>
      </c>
      <c r="C73" s="245" t="s">
        <v>10861</v>
      </c>
      <c r="D73" s="245" t="s">
        <v>10862</v>
      </c>
      <c r="E73" s="245" t="s">
        <v>10863</v>
      </c>
    </row>
    <row r="75" spans="1:5" x14ac:dyDescent="0.3">
      <c r="A75" s="246" t="s">
        <v>10864</v>
      </c>
      <c r="B75" s="13"/>
      <c r="C75" s="13"/>
      <c r="D75" s="13"/>
      <c r="E75" s="13"/>
    </row>
    <row r="76" spans="1:5" ht="43.2" x14ac:dyDescent="0.3">
      <c r="A76" s="18" t="s">
        <v>10865</v>
      </c>
      <c r="B76" s="245" t="s">
        <v>10866</v>
      </c>
      <c r="C76" s="245" t="s">
        <v>10867</v>
      </c>
      <c r="D76" s="245" t="s">
        <v>10868</v>
      </c>
      <c r="E76" s="245" t="s">
        <v>10869</v>
      </c>
    </row>
    <row r="78" spans="1:5" x14ac:dyDescent="0.3">
      <c r="A78" s="246" t="s">
        <v>10870</v>
      </c>
      <c r="B78" s="13"/>
      <c r="C78" s="13"/>
      <c r="D78" s="13"/>
      <c r="E78" s="13"/>
    </row>
    <row r="79" spans="1:5" ht="28.8" x14ac:dyDescent="0.3">
      <c r="A79" s="18" t="s">
        <v>10871</v>
      </c>
      <c r="B79" s="245" t="s">
        <v>10872</v>
      </c>
      <c r="C79" s="245" t="s">
        <v>10873</v>
      </c>
      <c r="D79" s="245" t="s">
        <v>10874</v>
      </c>
      <c r="E79" s="245" t="s">
        <v>10875</v>
      </c>
    </row>
    <row r="80" spans="1:5" ht="43.2" x14ac:dyDescent="0.3">
      <c r="A80" s="18" t="s">
        <v>10876</v>
      </c>
      <c r="B80" s="245" t="s">
        <v>10877</v>
      </c>
      <c r="C80" s="245" t="s">
        <v>10878</v>
      </c>
      <c r="D80" s="245" t="s">
        <v>10851</v>
      </c>
      <c r="E80" s="245" t="s">
        <v>10879</v>
      </c>
    </row>
    <row r="81" spans="1:5" ht="43.2" x14ac:dyDescent="0.3">
      <c r="A81" s="18" t="s">
        <v>10880</v>
      </c>
      <c r="B81" s="245" t="s">
        <v>10881</v>
      </c>
      <c r="C81" s="245" t="s">
        <v>10882</v>
      </c>
      <c r="D81" s="245" t="s">
        <v>10883</v>
      </c>
      <c r="E81" s="245" t="s">
        <v>10879</v>
      </c>
    </row>
    <row r="82" spans="1:5" ht="43.2" x14ac:dyDescent="0.3">
      <c r="A82" s="18" t="s">
        <v>2822</v>
      </c>
      <c r="B82" s="245" t="s">
        <v>10884</v>
      </c>
      <c r="C82" s="245" t="s">
        <v>10885</v>
      </c>
      <c r="D82" s="245" t="s">
        <v>10886</v>
      </c>
      <c r="E82" s="245" t="s">
        <v>10887</v>
      </c>
    </row>
    <row r="84" spans="1:5" x14ac:dyDescent="0.3">
      <c r="A84" s="246" t="s">
        <v>10888</v>
      </c>
      <c r="B84" s="13"/>
      <c r="C84" s="13"/>
      <c r="D84" s="13"/>
      <c r="E84" s="13"/>
    </row>
    <row r="85" spans="1:5" ht="43.2" x14ac:dyDescent="0.3">
      <c r="A85" s="18" t="s">
        <v>10889</v>
      </c>
      <c r="B85" s="245" t="s">
        <v>10890</v>
      </c>
      <c r="C85" s="245" t="s">
        <v>10891</v>
      </c>
      <c r="D85" s="245" t="s">
        <v>10892</v>
      </c>
      <c r="E85" s="245" t="s">
        <v>10893</v>
      </c>
    </row>
    <row r="86" spans="1:5" ht="57.6" x14ac:dyDescent="0.3">
      <c r="A86" s="18" t="s">
        <v>10894</v>
      </c>
      <c r="B86" s="245" t="s">
        <v>10895</v>
      </c>
      <c r="C86" s="245" t="s">
        <v>10896</v>
      </c>
      <c r="D86" s="245" t="s">
        <v>10897</v>
      </c>
      <c r="E86" s="245" t="s">
        <v>10898</v>
      </c>
    </row>
    <row r="88" spans="1:5" ht="15.6" x14ac:dyDescent="0.3">
      <c r="A88" s="14" t="s">
        <v>10899</v>
      </c>
      <c r="B88" s="15"/>
      <c r="C88" s="15"/>
      <c r="D88" s="15"/>
      <c r="E88" s="15"/>
    </row>
    <row r="89" spans="1:5" x14ac:dyDescent="0.3">
      <c r="A89" s="247" t="s">
        <v>10900</v>
      </c>
      <c r="B89" s="247" t="s">
        <v>10901</v>
      </c>
      <c r="C89" s="247" t="s">
        <v>10902</v>
      </c>
      <c r="D89" s="247" t="s">
        <v>10903</v>
      </c>
      <c r="E89" s="247" t="s">
        <v>10904</v>
      </c>
    </row>
    <row r="90" spans="1:5" x14ac:dyDescent="0.3">
      <c r="A90" s="18" t="s">
        <v>10905</v>
      </c>
      <c r="B90" s="245" t="s">
        <v>10906</v>
      </c>
      <c r="C90" s="245" t="s">
        <v>10907</v>
      </c>
      <c r="D90" s="245" t="s">
        <v>10908</v>
      </c>
      <c r="E90" s="245" t="s">
        <v>10909</v>
      </c>
    </row>
    <row r="91" spans="1:5" x14ac:dyDescent="0.3">
      <c r="A91" s="18" t="s">
        <v>10910</v>
      </c>
      <c r="B91" s="245" t="s">
        <v>10911</v>
      </c>
      <c r="C91" s="245" t="s">
        <v>10854</v>
      </c>
      <c r="D91" s="245" t="s">
        <v>10912</v>
      </c>
      <c r="E91" s="245" t="s">
        <v>10913</v>
      </c>
    </row>
    <row r="92" spans="1:5" x14ac:dyDescent="0.3">
      <c r="A92" s="18" t="s">
        <v>10914</v>
      </c>
      <c r="B92" s="245" t="s">
        <v>10915</v>
      </c>
      <c r="C92" s="245" t="s">
        <v>10916</v>
      </c>
      <c r="D92" s="245" t="s">
        <v>10908</v>
      </c>
      <c r="E92" s="245" t="s">
        <v>10913</v>
      </c>
    </row>
    <row r="93" spans="1:5" x14ac:dyDescent="0.3">
      <c r="A93" s="18" t="s">
        <v>10917</v>
      </c>
      <c r="B93" s="245" t="s">
        <v>10918</v>
      </c>
      <c r="C93" s="245" t="s">
        <v>10865</v>
      </c>
      <c r="D93" s="245" t="s">
        <v>10908</v>
      </c>
      <c r="E93" s="245" t="s">
        <v>10919</v>
      </c>
    </row>
    <row r="94" spans="1:5" x14ac:dyDescent="0.3">
      <c r="A94" s="18" t="s">
        <v>10920</v>
      </c>
      <c r="B94" s="245" t="s">
        <v>10921</v>
      </c>
      <c r="C94" s="245" t="s">
        <v>10922</v>
      </c>
      <c r="D94" s="245" t="s">
        <v>10923</v>
      </c>
      <c r="E94" s="245" t="s">
        <v>10924</v>
      </c>
    </row>
    <row r="95" spans="1:5" x14ac:dyDescent="0.3">
      <c r="A95" s="18" t="s">
        <v>10925</v>
      </c>
      <c r="B95" s="245" t="s">
        <v>10926</v>
      </c>
      <c r="C95" s="245" t="s">
        <v>10927</v>
      </c>
      <c r="D95" s="245" t="s">
        <v>10928</v>
      </c>
      <c r="E95" s="245" t="s">
        <v>10924</v>
      </c>
    </row>
    <row r="96" spans="1:5" ht="28.8" x14ac:dyDescent="0.3">
      <c r="A96" s="18" t="s">
        <v>10929</v>
      </c>
      <c r="B96" s="245" t="s">
        <v>10930</v>
      </c>
      <c r="C96" s="245" t="s">
        <v>10931</v>
      </c>
      <c r="D96" s="245" t="s">
        <v>10932</v>
      </c>
      <c r="E96" s="245" t="s">
        <v>10933</v>
      </c>
    </row>
    <row r="97" spans="1:5" x14ac:dyDescent="0.3">
      <c r="A97" s="18" t="s">
        <v>10934</v>
      </c>
      <c r="B97" s="245" t="s">
        <v>10935</v>
      </c>
      <c r="C97" s="245" t="s">
        <v>10936</v>
      </c>
      <c r="D97" s="245" t="s">
        <v>10937</v>
      </c>
      <c r="E97" s="245" t="s">
        <v>10938</v>
      </c>
    </row>
    <row r="98" spans="1:5" x14ac:dyDescent="0.3">
      <c r="A98" s="18" t="s">
        <v>10939</v>
      </c>
      <c r="B98" s="245" t="s">
        <v>10940</v>
      </c>
      <c r="C98" s="245" t="s">
        <v>10941</v>
      </c>
      <c r="D98" s="245" t="s">
        <v>10942</v>
      </c>
      <c r="E98" s="245" t="s">
        <v>10909</v>
      </c>
    </row>
    <row r="100" spans="1:5" ht="15.6" x14ac:dyDescent="0.3">
      <c r="A100" s="14" t="s">
        <v>10943</v>
      </c>
      <c r="B100" s="15"/>
      <c r="C100" s="15"/>
      <c r="D100" s="15"/>
      <c r="E100" s="15"/>
    </row>
    <row r="101" spans="1:5" x14ac:dyDescent="0.3">
      <c r="A101" s="247" t="s">
        <v>10627</v>
      </c>
      <c r="B101" s="247" t="s">
        <v>10944</v>
      </c>
      <c r="C101" s="247" t="s">
        <v>10945</v>
      </c>
      <c r="D101" s="248"/>
      <c r="E101" s="248"/>
    </row>
    <row r="102" spans="1:5" ht="28.8" x14ac:dyDescent="0.3">
      <c r="A102" t="s">
        <v>10946</v>
      </c>
      <c r="B102" s="249" t="s">
        <v>10661</v>
      </c>
      <c r="C102" s="245" t="s">
        <v>10947</v>
      </c>
    </row>
    <row r="103" spans="1:5" ht="28.8" x14ac:dyDescent="0.3">
      <c r="A103" t="s">
        <v>10948</v>
      </c>
      <c r="B103" s="249" t="s">
        <v>10716</v>
      </c>
      <c r="C103" s="245" t="s">
        <v>10949</v>
      </c>
    </row>
    <row r="104" spans="1:5" ht="28.8" x14ac:dyDescent="0.3">
      <c r="A104" t="s">
        <v>10950</v>
      </c>
      <c r="B104" s="249" t="s">
        <v>10727</v>
      </c>
      <c r="C104" s="245" t="s">
        <v>10951</v>
      </c>
    </row>
    <row r="105" spans="1:5" x14ac:dyDescent="0.3">
      <c r="A105" t="s">
        <v>10952</v>
      </c>
      <c r="B105" s="249" t="s">
        <v>10756</v>
      </c>
      <c r="C105" s="245" t="s">
        <v>10953</v>
      </c>
    </row>
    <row r="106" spans="1:5" ht="28.8" x14ac:dyDescent="0.3">
      <c r="A106" t="s">
        <v>10954</v>
      </c>
      <c r="B106" s="249" t="s">
        <v>10799</v>
      </c>
      <c r="C106" s="245" t="s">
        <v>10955</v>
      </c>
    </row>
    <row r="107" spans="1:5" ht="28.8" x14ac:dyDescent="0.3">
      <c r="A107" t="s">
        <v>10956</v>
      </c>
      <c r="B107" s="249" t="s">
        <v>10827</v>
      </c>
      <c r="C107" s="245" t="s">
        <v>10957</v>
      </c>
    </row>
    <row r="109" spans="1:5" x14ac:dyDescent="0.3">
      <c r="A109" s="18" t="s">
        <v>10958</v>
      </c>
    </row>
    <row r="110" spans="1:5" ht="100.8" customHeight="1" x14ac:dyDescent="0.3">
      <c r="A110" s="305" t="s">
        <v>10959</v>
      </c>
      <c r="B110" s="305"/>
      <c r="C110" s="305"/>
      <c r="D110" s="305"/>
      <c r="E110" s="305"/>
    </row>
    <row r="112" spans="1:5" ht="15.6" x14ac:dyDescent="0.3">
      <c r="A112" s="14" t="s">
        <v>10960</v>
      </c>
      <c r="B112" s="15"/>
      <c r="C112" s="15"/>
      <c r="D112" s="15"/>
      <c r="E112" s="15"/>
    </row>
    <row r="113" spans="1:9" x14ac:dyDescent="0.3">
      <c r="A113" s="250" t="s">
        <v>10961</v>
      </c>
    </row>
    <row r="114" spans="1:9" x14ac:dyDescent="0.3">
      <c r="A114" s="247" t="s">
        <v>10962</v>
      </c>
      <c r="B114" s="247" t="s">
        <v>10963</v>
      </c>
      <c r="C114" s="247" t="s">
        <v>10964</v>
      </c>
      <c r="D114" s="247" t="s">
        <v>10965</v>
      </c>
      <c r="E114" s="248"/>
    </row>
    <row r="115" spans="1:9" x14ac:dyDescent="0.3">
      <c r="A115" t="s">
        <v>10966</v>
      </c>
      <c r="B115" s="245" t="s">
        <v>10967</v>
      </c>
      <c r="C115" s="245" t="s">
        <v>10968</v>
      </c>
      <c r="D115" s="245" t="s">
        <v>10969</v>
      </c>
    </row>
    <row r="116" spans="1:9" x14ac:dyDescent="0.3">
      <c r="A116" t="s">
        <v>10970</v>
      </c>
      <c r="B116" s="245" t="s">
        <v>10971</v>
      </c>
      <c r="C116" s="245" t="s">
        <v>10972</v>
      </c>
      <c r="D116" s="245" t="s">
        <v>10973</v>
      </c>
    </row>
    <row r="117" spans="1:9" x14ac:dyDescent="0.3">
      <c r="A117" t="s">
        <v>10974</v>
      </c>
      <c r="B117" s="245" t="s">
        <v>10975</v>
      </c>
      <c r="C117" s="245" t="s">
        <v>10976</v>
      </c>
      <c r="D117" s="245" t="s">
        <v>10977</v>
      </c>
    </row>
    <row r="118" spans="1:9" x14ac:dyDescent="0.3">
      <c r="A118" t="s">
        <v>10978</v>
      </c>
      <c r="B118" s="245" t="s">
        <v>10979</v>
      </c>
      <c r="C118" s="245" t="s">
        <v>10980</v>
      </c>
      <c r="D118" s="245" t="s">
        <v>10981</v>
      </c>
    </row>
    <row r="119" spans="1:9" x14ac:dyDescent="0.3">
      <c r="A119" t="s">
        <v>10982</v>
      </c>
      <c r="B119" s="245" t="s">
        <v>10983</v>
      </c>
      <c r="C119" s="245" t="s">
        <v>10984</v>
      </c>
      <c r="D119" s="245" t="s">
        <v>10985</v>
      </c>
    </row>
    <row r="121" spans="1:9" x14ac:dyDescent="0.3">
      <c r="A121" s="251" t="s">
        <v>10986</v>
      </c>
      <c r="B121" s="13"/>
      <c r="C121" s="13"/>
      <c r="D121" s="13"/>
      <c r="E121" s="13"/>
    </row>
    <row r="122" spans="1:9" x14ac:dyDescent="0.3">
      <c r="A122" t="s">
        <v>10987</v>
      </c>
      <c r="B122" s="245" t="s">
        <v>11798</v>
      </c>
    </row>
    <row r="123" spans="1:9" ht="43.2" x14ac:dyDescent="0.3">
      <c r="A123" t="s">
        <v>10988</v>
      </c>
      <c r="B123" s="245" t="s">
        <v>11799</v>
      </c>
    </row>
    <row r="124" spans="1:9" ht="28.8" x14ac:dyDescent="0.3">
      <c r="A124" t="s">
        <v>10989</v>
      </c>
      <c r="B124" s="245" t="s">
        <v>11800</v>
      </c>
    </row>
    <row r="125" spans="1:9" x14ac:dyDescent="0.3">
      <c r="A125" t="s">
        <v>10990</v>
      </c>
      <c r="B125" s="245" t="s">
        <v>10991</v>
      </c>
    </row>
    <row r="127" spans="1:9" ht="18" x14ac:dyDescent="0.35">
      <c r="A127" s="252" t="s">
        <v>10992</v>
      </c>
      <c r="B127" s="253"/>
      <c r="C127" s="253"/>
      <c r="D127" s="253"/>
      <c r="E127" s="253"/>
      <c r="F127" s="253"/>
      <c r="G127" s="253"/>
      <c r="H127" s="253"/>
      <c r="I127" s="254" t="s">
        <v>10993</v>
      </c>
    </row>
    <row r="129" spans="1:6" x14ac:dyDescent="0.3">
      <c r="A129" s="166" t="s">
        <v>10994</v>
      </c>
    </row>
    <row r="130" spans="1:6" x14ac:dyDescent="0.3">
      <c r="A130" s="133" t="s">
        <v>10995</v>
      </c>
      <c r="B130" s="133" t="s">
        <v>10996</v>
      </c>
      <c r="C130" s="133" t="s">
        <v>10997</v>
      </c>
      <c r="D130" s="133" t="s">
        <v>10998</v>
      </c>
      <c r="E130" s="133" t="s">
        <v>10999</v>
      </c>
      <c r="F130" s="133" t="s">
        <v>11000</v>
      </c>
    </row>
    <row r="131" spans="1:6" x14ac:dyDescent="0.3">
      <c r="A131" s="191" t="s">
        <v>11001</v>
      </c>
      <c r="B131" t="s">
        <v>11002</v>
      </c>
      <c r="C131" t="s">
        <v>11003</v>
      </c>
      <c r="D131" t="s">
        <v>11004</v>
      </c>
      <c r="E131" t="s">
        <v>11005</v>
      </c>
      <c r="F131" t="s">
        <v>11005</v>
      </c>
    </row>
    <row r="132" spans="1:6" x14ac:dyDescent="0.3">
      <c r="A132" t="s">
        <v>11006</v>
      </c>
      <c r="B132" t="s">
        <v>11007</v>
      </c>
      <c r="C132" t="s">
        <v>11008</v>
      </c>
      <c r="D132" t="s">
        <v>11009</v>
      </c>
      <c r="E132" t="s">
        <v>11010</v>
      </c>
      <c r="F132" t="s">
        <v>11011</v>
      </c>
    </row>
    <row r="133" spans="1:6" x14ac:dyDescent="0.3">
      <c r="A133" t="s">
        <v>11012</v>
      </c>
      <c r="B133" t="s">
        <v>11013</v>
      </c>
      <c r="C133" t="s">
        <v>11014</v>
      </c>
      <c r="D133" t="s">
        <v>10865</v>
      </c>
      <c r="E133" t="s">
        <v>11015</v>
      </c>
      <c r="F133" t="s">
        <v>11016</v>
      </c>
    </row>
    <row r="134" spans="1:6" x14ac:dyDescent="0.3">
      <c r="A134" t="s">
        <v>11017</v>
      </c>
      <c r="B134" t="s">
        <v>11018</v>
      </c>
      <c r="C134" t="s">
        <v>11019</v>
      </c>
      <c r="D134" t="s">
        <v>11020</v>
      </c>
      <c r="E134" t="s">
        <v>11021</v>
      </c>
      <c r="F134" t="s">
        <v>11022</v>
      </c>
    </row>
    <row r="135" spans="1:6" x14ac:dyDescent="0.3">
      <c r="A135" s="255" t="s">
        <v>11023</v>
      </c>
      <c r="B135" s="256"/>
      <c r="C135" s="256"/>
      <c r="D135" s="256"/>
      <c r="E135" s="256"/>
      <c r="F135" s="256"/>
    </row>
    <row r="136" spans="1:6" x14ac:dyDescent="0.3">
      <c r="A136" t="s">
        <v>11024</v>
      </c>
      <c r="B136" t="s">
        <v>11025</v>
      </c>
      <c r="C136" t="s">
        <v>11026</v>
      </c>
      <c r="D136" t="s">
        <v>11027</v>
      </c>
      <c r="E136" t="s">
        <v>11028</v>
      </c>
      <c r="F136" t="s">
        <v>11029</v>
      </c>
    </row>
    <row r="137" spans="1:6" x14ac:dyDescent="0.3">
      <c r="A137" t="s">
        <v>11030</v>
      </c>
      <c r="B137" t="s">
        <v>11025</v>
      </c>
      <c r="C137" t="s">
        <v>11031</v>
      </c>
      <c r="D137" t="s">
        <v>11032</v>
      </c>
      <c r="E137" t="s">
        <v>11033</v>
      </c>
      <c r="F137" t="s">
        <v>11034</v>
      </c>
    </row>
    <row r="138" spans="1:6" x14ac:dyDescent="0.3">
      <c r="A138" t="s">
        <v>11035</v>
      </c>
      <c r="B138" t="s">
        <v>11036</v>
      </c>
      <c r="C138" t="s">
        <v>11037</v>
      </c>
      <c r="D138" t="s">
        <v>11038</v>
      </c>
      <c r="E138" t="s">
        <v>11039</v>
      </c>
      <c r="F138" t="s">
        <v>11040</v>
      </c>
    </row>
    <row r="139" spans="1:6" x14ac:dyDescent="0.3">
      <c r="A139" t="s">
        <v>11041</v>
      </c>
      <c r="B139" t="s">
        <v>11025</v>
      </c>
      <c r="C139" t="s">
        <v>11042</v>
      </c>
      <c r="D139" t="s">
        <v>11043</v>
      </c>
      <c r="E139" t="s">
        <v>11044</v>
      </c>
      <c r="F139" t="s">
        <v>11045</v>
      </c>
    </row>
    <row r="140" spans="1:6" x14ac:dyDescent="0.3">
      <c r="A140" s="258" t="s">
        <v>11046</v>
      </c>
      <c r="B140" s="148"/>
      <c r="C140" s="148"/>
      <c r="D140" s="148"/>
      <c r="E140" s="148"/>
      <c r="F140" s="148"/>
    </row>
    <row r="141" spans="1:6" x14ac:dyDescent="0.3">
      <c r="A141" t="s">
        <v>11047</v>
      </c>
      <c r="B141" t="s">
        <v>10967</v>
      </c>
      <c r="C141" t="s">
        <v>11048</v>
      </c>
      <c r="D141" t="s">
        <v>11049</v>
      </c>
      <c r="E141" t="s">
        <v>11050</v>
      </c>
      <c r="F141" t="s">
        <v>11051</v>
      </c>
    </row>
    <row r="142" spans="1:6" x14ac:dyDescent="0.3">
      <c r="A142" t="s">
        <v>11052</v>
      </c>
      <c r="B142" t="s">
        <v>10971</v>
      </c>
      <c r="C142" t="s">
        <v>11053</v>
      </c>
      <c r="D142" t="s">
        <v>11054</v>
      </c>
      <c r="E142" t="s">
        <v>11055</v>
      </c>
      <c r="F142" t="s">
        <v>11056</v>
      </c>
    </row>
    <row r="143" spans="1:6" x14ac:dyDescent="0.3">
      <c r="A143" t="s">
        <v>11057</v>
      </c>
      <c r="B143" t="s">
        <v>10975</v>
      </c>
      <c r="C143" t="s">
        <v>11058</v>
      </c>
      <c r="D143" t="s">
        <v>11059</v>
      </c>
      <c r="E143" t="s">
        <v>11060</v>
      </c>
      <c r="F143" t="s">
        <v>11061</v>
      </c>
    </row>
    <row r="144" spans="1:6" x14ac:dyDescent="0.3">
      <c r="A144" t="s">
        <v>11062</v>
      </c>
      <c r="B144" t="s">
        <v>10979</v>
      </c>
      <c r="C144" t="s">
        <v>11063</v>
      </c>
      <c r="D144" t="s">
        <v>11064</v>
      </c>
      <c r="E144" t="s">
        <v>11065</v>
      </c>
      <c r="F144" t="s">
        <v>11066</v>
      </c>
    </row>
    <row r="145" spans="1:6" x14ac:dyDescent="0.3">
      <c r="A145" t="s">
        <v>11067</v>
      </c>
      <c r="B145" t="s">
        <v>10983</v>
      </c>
      <c r="C145" t="s">
        <v>11068</v>
      </c>
      <c r="D145" t="s">
        <v>11069</v>
      </c>
      <c r="E145" t="s">
        <v>11070</v>
      </c>
      <c r="F145" t="s">
        <v>11071</v>
      </c>
    </row>
    <row r="147" spans="1:6" x14ac:dyDescent="0.3">
      <c r="A147" s="166" t="s">
        <v>11072</v>
      </c>
    </row>
    <row r="148" spans="1:6" x14ac:dyDescent="0.3">
      <c r="A148" s="133" t="s">
        <v>11073</v>
      </c>
      <c r="B148" s="133" t="s">
        <v>11074</v>
      </c>
      <c r="C148" s="133" t="s">
        <v>11075</v>
      </c>
      <c r="D148" s="133" t="s">
        <v>11076</v>
      </c>
      <c r="E148" s="133" t="s">
        <v>11077</v>
      </c>
    </row>
    <row r="149" spans="1:6" x14ac:dyDescent="0.3">
      <c r="A149" s="136" t="s">
        <v>2819</v>
      </c>
      <c r="B149" t="s">
        <v>11078</v>
      </c>
      <c r="C149" t="s">
        <v>11079</v>
      </c>
      <c r="D149" t="s">
        <v>11080</v>
      </c>
      <c r="E149" t="s">
        <v>11081</v>
      </c>
    </row>
    <row r="150" spans="1:6" x14ac:dyDescent="0.3">
      <c r="A150" s="136" t="s">
        <v>10848</v>
      </c>
      <c r="B150" t="s">
        <v>11082</v>
      </c>
      <c r="C150" t="s">
        <v>11083</v>
      </c>
      <c r="D150" t="s">
        <v>11084</v>
      </c>
      <c r="E150" t="s">
        <v>11085</v>
      </c>
    </row>
    <row r="151" spans="1:6" x14ac:dyDescent="0.3">
      <c r="A151" s="136" t="s">
        <v>11086</v>
      </c>
      <c r="B151" t="s">
        <v>11082</v>
      </c>
      <c r="C151" t="s">
        <v>11087</v>
      </c>
      <c r="D151" t="s">
        <v>11088</v>
      </c>
      <c r="E151" t="s">
        <v>11089</v>
      </c>
    </row>
    <row r="152" spans="1:6" x14ac:dyDescent="0.3">
      <c r="A152" s="136" t="s">
        <v>10865</v>
      </c>
      <c r="B152" t="s">
        <v>11082</v>
      </c>
      <c r="C152" t="s">
        <v>11090</v>
      </c>
      <c r="D152" t="s">
        <v>11091</v>
      </c>
      <c r="E152" t="s">
        <v>11092</v>
      </c>
    </row>
    <row r="153" spans="1:6" x14ac:dyDescent="0.3">
      <c r="A153" s="136" t="s">
        <v>10871</v>
      </c>
      <c r="B153" t="s">
        <v>11093</v>
      </c>
      <c r="C153" t="s">
        <v>11094</v>
      </c>
      <c r="D153" t="s">
        <v>11095</v>
      </c>
      <c r="E153" t="s">
        <v>11096</v>
      </c>
    </row>
    <row r="154" spans="1:6" x14ac:dyDescent="0.3">
      <c r="A154" s="136" t="s">
        <v>11020</v>
      </c>
      <c r="B154" t="s">
        <v>11093</v>
      </c>
      <c r="C154" t="s">
        <v>11094</v>
      </c>
      <c r="D154" t="s">
        <v>11097</v>
      </c>
      <c r="E154" t="s">
        <v>11098</v>
      </c>
    </row>
    <row r="155" spans="1:6" x14ac:dyDescent="0.3">
      <c r="A155" s="136" t="s">
        <v>2822</v>
      </c>
      <c r="B155" t="s">
        <v>11093</v>
      </c>
      <c r="C155" t="s">
        <v>11099</v>
      </c>
      <c r="D155" t="s">
        <v>11100</v>
      </c>
      <c r="E155" t="s">
        <v>11101</v>
      </c>
    </row>
    <row r="156" spans="1:6" x14ac:dyDescent="0.3">
      <c r="A156" s="136" t="s">
        <v>11102</v>
      </c>
      <c r="B156" t="s">
        <v>11103</v>
      </c>
      <c r="C156" t="s">
        <v>11104</v>
      </c>
      <c r="D156" t="s">
        <v>11105</v>
      </c>
      <c r="E156" t="s">
        <v>11106</v>
      </c>
    </row>
    <row r="157" spans="1:6" x14ac:dyDescent="0.3">
      <c r="A157" s="136" t="s">
        <v>11107</v>
      </c>
      <c r="B157" t="s">
        <v>11082</v>
      </c>
      <c r="C157" t="s">
        <v>11108</v>
      </c>
      <c r="D157" t="s">
        <v>11109</v>
      </c>
      <c r="E157" t="s">
        <v>11110</v>
      </c>
    </row>
    <row r="158" spans="1:6" x14ac:dyDescent="0.3">
      <c r="A158" s="136" t="s">
        <v>11111</v>
      </c>
      <c r="B158" t="s">
        <v>11112</v>
      </c>
      <c r="C158" t="s">
        <v>11113</v>
      </c>
      <c r="D158" t="s">
        <v>11114</v>
      </c>
      <c r="E158" t="s">
        <v>11115</v>
      </c>
    </row>
    <row r="159" spans="1:6" x14ac:dyDescent="0.3">
      <c r="A159" s="136" t="s">
        <v>11116</v>
      </c>
      <c r="B159" t="s">
        <v>11112</v>
      </c>
      <c r="C159" t="s">
        <v>11117</v>
      </c>
      <c r="D159" t="s">
        <v>11118</v>
      </c>
      <c r="E159" t="s">
        <v>11119</v>
      </c>
    </row>
    <row r="160" spans="1:6" x14ac:dyDescent="0.3">
      <c r="A160" s="136" t="s">
        <v>11040</v>
      </c>
      <c r="B160" t="s">
        <v>11112</v>
      </c>
      <c r="C160" t="s">
        <v>11120</v>
      </c>
      <c r="D160" t="s">
        <v>11121</v>
      </c>
      <c r="E160" t="s">
        <v>11122</v>
      </c>
    </row>
    <row r="161" spans="1:5" x14ac:dyDescent="0.3">
      <c r="A161" s="136" t="s">
        <v>10894</v>
      </c>
      <c r="B161" t="s">
        <v>11082</v>
      </c>
      <c r="C161" t="s">
        <v>11123</v>
      </c>
      <c r="D161" t="s">
        <v>11124</v>
      </c>
      <c r="E161" t="s">
        <v>11125</v>
      </c>
    </row>
    <row r="163" spans="1:5" x14ac:dyDescent="0.3">
      <c r="A163" s="259" t="s">
        <v>11126</v>
      </c>
      <c r="B163" s="165" t="s">
        <v>11127</v>
      </c>
      <c r="C163" t="s">
        <v>11128</v>
      </c>
    </row>
    <row r="165" spans="1:5" x14ac:dyDescent="0.3">
      <c r="A165" s="257" t="s">
        <v>11129</v>
      </c>
    </row>
    <row r="166" spans="1:5" x14ac:dyDescent="0.3">
      <c r="A166" s="133" t="s">
        <v>11130</v>
      </c>
      <c r="B166" s="133" t="s">
        <v>11131</v>
      </c>
      <c r="C166" s="133" t="s">
        <v>11132</v>
      </c>
      <c r="D166" s="133" t="s">
        <v>11133</v>
      </c>
    </row>
    <row r="167" spans="1:5" x14ac:dyDescent="0.3">
      <c r="A167" t="s">
        <v>11134</v>
      </c>
      <c r="B167" t="s">
        <v>11135</v>
      </c>
      <c r="C167" t="s">
        <v>11136</v>
      </c>
      <c r="D167" t="s">
        <v>11137</v>
      </c>
    </row>
    <row r="168" spans="1:5" x14ac:dyDescent="0.3">
      <c r="A168" t="s">
        <v>11138</v>
      </c>
      <c r="B168" t="s">
        <v>11139</v>
      </c>
      <c r="C168" t="s">
        <v>11140</v>
      </c>
      <c r="D168" t="s">
        <v>11141</v>
      </c>
    </row>
    <row r="169" spans="1:5" x14ac:dyDescent="0.3">
      <c r="A169" t="s">
        <v>11142</v>
      </c>
      <c r="B169" t="s">
        <v>11143</v>
      </c>
      <c r="C169" t="s">
        <v>11144</v>
      </c>
      <c r="D169" t="s">
        <v>11145</v>
      </c>
    </row>
    <row r="170" spans="1:5" x14ac:dyDescent="0.3">
      <c r="A170" t="s">
        <v>11146</v>
      </c>
      <c r="B170" t="s">
        <v>11147</v>
      </c>
      <c r="C170" t="s">
        <v>11148</v>
      </c>
      <c r="D170" t="s">
        <v>11149</v>
      </c>
    </row>
    <row r="172" spans="1:5" x14ac:dyDescent="0.3">
      <c r="A172" s="182" t="s">
        <v>11150</v>
      </c>
    </row>
    <row r="173" spans="1:5" ht="15.6" x14ac:dyDescent="0.3">
      <c r="A173" s="78" t="s">
        <v>11151</v>
      </c>
    </row>
    <row r="174" spans="1:5" x14ac:dyDescent="0.3">
      <c r="A174" s="125" t="s">
        <v>11152</v>
      </c>
    </row>
    <row r="175" spans="1:5" x14ac:dyDescent="0.3">
      <c r="A175" s="125" t="s">
        <v>11153</v>
      </c>
    </row>
    <row r="176" spans="1:5" x14ac:dyDescent="0.3">
      <c r="A176" s="165" t="s">
        <v>11154</v>
      </c>
    </row>
    <row r="179" spans="1:7" ht="18" x14ac:dyDescent="0.35">
      <c r="A179" s="260" t="s">
        <v>11155</v>
      </c>
      <c r="B179" s="148"/>
      <c r="C179" s="148"/>
      <c r="D179" s="148"/>
      <c r="E179" s="148"/>
      <c r="F179" s="148"/>
      <c r="G179" s="258" t="s">
        <v>11156</v>
      </c>
    </row>
    <row r="181" spans="1:7" x14ac:dyDescent="0.3">
      <c r="A181" s="257" t="s">
        <v>11157</v>
      </c>
    </row>
    <row r="182" spans="1:7" x14ac:dyDescent="0.3">
      <c r="A182" s="133" t="s">
        <v>11158</v>
      </c>
      <c r="B182" s="133" t="s">
        <v>11159</v>
      </c>
      <c r="C182" s="133" t="s">
        <v>11160</v>
      </c>
      <c r="D182" s="133" t="s">
        <v>11161</v>
      </c>
      <c r="E182" s="133" t="s">
        <v>10689</v>
      </c>
    </row>
    <row r="183" spans="1:7" x14ac:dyDescent="0.3">
      <c r="A183" s="142" t="s">
        <v>11162</v>
      </c>
      <c r="B183" t="s">
        <v>11163</v>
      </c>
      <c r="C183" t="s">
        <v>11164</v>
      </c>
      <c r="D183" t="s">
        <v>11165</v>
      </c>
      <c r="E183" t="s">
        <v>11166</v>
      </c>
    </row>
    <row r="184" spans="1:7" x14ac:dyDescent="0.3">
      <c r="A184" s="142" t="s">
        <v>11167</v>
      </c>
      <c r="B184" t="s">
        <v>11168</v>
      </c>
      <c r="C184" t="s">
        <v>11169</v>
      </c>
      <c r="D184" t="s">
        <v>11170</v>
      </c>
      <c r="E184" t="s">
        <v>11171</v>
      </c>
    </row>
    <row r="185" spans="1:7" x14ac:dyDescent="0.3">
      <c r="A185" s="156" t="s">
        <v>11172</v>
      </c>
      <c r="B185" t="s">
        <v>11173</v>
      </c>
      <c r="C185" t="s">
        <v>11174</v>
      </c>
      <c r="D185" t="s">
        <v>11175</v>
      </c>
      <c r="E185" t="s">
        <v>11176</v>
      </c>
    </row>
    <row r="186" spans="1:7" x14ac:dyDescent="0.3">
      <c r="A186" s="192" t="s">
        <v>11177</v>
      </c>
      <c r="B186" t="s">
        <v>11178</v>
      </c>
      <c r="C186" t="s">
        <v>11179</v>
      </c>
      <c r="D186" t="s">
        <v>11180</v>
      </c>
      <c r="E186" t="s">
        <v>11181</v>
      </c>
    </row>
    <row r="187" spans="1:7" x14ac:dyDescent="0.3">
      <c r="A187" s="154" t="s">
        <v>11182</v>
      </c>
      <c r="B187" t="s">
        <v>11183</v>
      </c>
      <c r="C187" t="s">
        <v>11184</v>
      </c>
      <c r="D187" t="s">
        <v>11185</v>
      </c>
      <c r="E187" t="s">
        <v>11186</v>
      </c>
    </row>
    <row r="189" spans="1:7" x14ac:dyDescent="0.3">
      <c r="A189" s="182" t="s">
        <v>11187</v>
      </c>
    </row>
    <row r="190" spans="1:7" x14ac:dyDescent="0.3">
      <c r="A190" s="133" t="s">
        <v>11188</v>
      </c>
      <c r="B190" s="133" t="s">
        <v>11189</v>
      </c>
      <c r="C190" s="133" t="s">
        <v>11190</v>
      </c>
      <c r="D190" s="133" t="s">
        <v>11191</v>
      </c>
      <c r="E190" s="133" t="s">
        <v>11192</v>
      </c>
    </row>
    <row r="191" spans="1:7" x14ac:dyDescent="0.3">
      <c r="A191" t="s">
        <v>11193</v>
      </c>
      <c r="B191" t="s">
        <v>11194</v>
      </c>
      <c r="C191" t="s">
        <v>11195</v>
      </c>
      <c r="D191" t="s">
        <v>11196</v>
      </c>
      <c r="E191" t="s">
        <v>11197</v>
      </c>
    </row>
    <row r="192" spans="1:7" x14ac:dyDescent="0.3">
      <c r="A192" t="s">
        <v>11198</v>
      </c>
      <c r="B192" t="s">
        <v>11199</v>
      </c>
      <c r="C192" t="s">
        <v>11200</v>
      </c>
      <c r="D192" t="s">
        <v>11201</v>
      </c>
      <c r="E192" t="s">
        <v>11202</v>
      </c>
    </row>
    <row r="193" spans="1:5" x14ac:dyDescent="0.3">
      <c r="A193" t="s">
        <v>11203</v>
      </c>
      <c r="B193" t="s">
        <v>11204</v>
      </c>
      <c r="C193" t="s">
        <v>11205</v>
      </c>
      <c r="D193" t="s">
        <v>11206</v>
      </c>
      <c r="E193" t="s">
        <v>11207</v>
      </c>
    </row>
    <row r="194" spans="1:5" x14ac:dyDescent="0.3">
      <c r="A194" t="s">
        <v>11208</v>
      </c>
      <c r="B194" t="s">
        <v>11209</v>
      </c>
      <c r="C194" t="s">
        <v>11210</v>
      </c>
      <c r="D194" t="s">
        <v>11211</v>
      </c>
      <c r="E194" t="s">
        <v>11212</v>
      </c>
    </row>
    <row r="196" spans="1:5" x14ac:dyDescent="0.3">
      <c r="A196" s="164" t="s">
        <v>11213</v>
      </c>
    </row>
    <row r="197" spans="1:5" x14ac:dyDescent="0.3">
      <c r="A197" s="133" t="s">
        <v>11214</v>
      </c>
      <c r="B197" s="133" t="s">
        <v>11215</v>
      </c>
      <c r="C197" s="133" t="s">
        <v>11216</v>
      </c>
      <c r="D197" s="133" t="s">
        <v>11217</v>
      </c>
      <c r="E197" s="133" t="s">
        <v>11218</v>
      </c>
    </row>
    <row r="198" spans="1:5" x14ac:dyDescent="0.3">
      <c r="A198" s="142" t="s">
        <v>11219</v>
      </c>
      <c r="B198" t="s">
        <v>11220</v>
      </c>
      <c r="C198" s="165" t="s">
        <v>11221</v>
      </c>
      <c r="D198" t="s">
        <v>11222</v>
      </c>
      <c r="E198" t="s">
        <v>11223</v>
      </c>
    </row>
    <row r="199" spans="1:5" x14ac:dyDescent="0.3">
      <c r="A199" s="156" t="s">
        <v>11224</v>
      </c>
      <c r="B199" t="s">
        <v>11225</v>
      </c>
      <c r="C199" s="164" t="s">
        <v>11226</v>
      </c>
      <c r="D199" t="s">
        <v>11227</v>
      </c>
      <c r="E199" t="s">
        <v>11228</v>
      </c>
    </row>
    <row r="200" spans="1:5" x14ac:dyDescent="0.3">
      <c r="A200" s="192" t="s">
        <v>11229</v>
      </c>
      <c r="B200" t="s">
        <v>11230</v>
      </c>
      <c r="C200" s="191" t="s">
        <v>11231</v>
      </c>
      <c r="D200" t="s">
        <v>11232</v>
      </c>
      <c r="E200" t="s">
        <v>11233</v>
      </c>
    </row>
    <row r="201" spans="1:5" x14ac:dyDescent="0.3">
      <c r="A201" s="138" t="s">
        <v>11234</v>
      </c>
      <c r="B201" t="s">
        <v>11235</v>
      </c>
      <c r="C201" s="132" t="s">
        <v>11236</v>
      </c>
      <c r="D201" t="s">
        <v>11237</v>
      </c>
      <c r="E201" t="s">
        <v>11238</v>
      </c>
    </row>
    <row r="203" spans="1:5" x14ac:dyDescent="0.3">
      <c r="A203" s="182" t="s">
        <v>11239</v>
      </c>
    </row>
    <row r="204" spans="1:5" x14ac:dyDescent="0.3">
      <c r="A204" s="150" t="s">
        <v>11240</v>
      </c>
    </row>
    <row r="205" spans="1:5" x14ac:dyDescent="0.3">
      <c r="A205" s="150" t="s">
        <v>11241</v>
      </c>
    </row>
    <row r="206" spans="1:5" x14ac:dyDescent="0.3">
      <c r="A206" s="261" t="s">
        <v>11242</v>
      </c>
    </row>
    <row r="208" spans="1:5" x14ac:dyDescent="0.3">
      <c r="A208" s="165" t="s">
        <v>11243</v>
      </c>
    </row>
    <row r="209" spans="1:4" x14ac:dyDescent="0.3">
      <c r="A209" s="133" t="s">
        <v>10998</v>
      </c>
      <c r="B209" s="133" t="s">
        <v>11244</v>
      </c>
      <c r="C209" s="133" t="s">
        <v>1942</v>
      </c>
      <c r="D209" s="133" t="s">
        <v>2816</v>
      </c>
    </row>
    <row r="210" spans="1:4" x14ac:dyDescent="0.3">
      <c r="A210" t="s">
        <v>11245</v>
      </c>
      <c r="B210" s="185">
        <v>0.74</v>
      </c>
      <c r="C210" t="s">
        <v>11246</v>
      </c>
      <c r="D210" t="s">
        <v>11247</v>
      </c>
    </row>
    <row r="211" spans="1:4" x14ac:dyDescent="0.3">
      <c r="A211" t="s">
        <v>11248</v>
      </c>
      <c r="B211" s="218">
        <v>0.82</v>
      </c>
      <c r="C211" t="s">
        <v>11249</v>
      </c>
      <c r="D211" t="s">
        <v>11250</v>
      </c>
    </row>
    <row r="212" spans="1:4" x14ac:dyDescent="0.3">
      <c r="A212" t="s">
        <v>11251</v>
      </c>
      <c r="B212" s="197">
        <v>9.01</v>
      </c>
      <c r="C212" t="s">
        <v>11252</v>
      </c>
      <c r="D212" t="s">
        <v>11253</v>
      </c>
    </row>
    <row r="213" spans="1:4" x14ac:dyDescent="0.3">
      <c r="A213" t="s">
        <v>11254</v>
      </c>
      <c r="B213" s="163" t="s">
        <v>11255</v>
      </c>
      <c r="C213" t="s">
        <v>11256</v>
      </c>
      <c r="D213" t="s">
        <v>11257</v>
      </c>
    </row>
    <row r="214" spans="1:4" x14ac:dyDescent="0.3">
      <c r="A214" t="s">
        <v>11258</v>
      </c>
      <c r="B214" s="24">
        <v>0.85</v>
      </c>
      <c r="C214" t="s">
        <v>11259</v>
      </c>
      <c r="D214" t="s">
        <v>11260</v>
      </c>
    </row>
    <row r="215" spans="1:4" x14ac:dyDescent="0.3">
      <c r="A215" t="s">
        <v>11261</v>
      </c>
      <c r="B215" s="24">
        <v>0.9</v>
      </c>
      <c r="C215" t="s">
        <v>11262</v>
      </c>
      <c r="D215" t="s">
        <v>11263</v>
      </c>
    </row>
    <row r="216" spans="1:4" x14ac:dyDescent="0.3">
      <c r="A216" t="s">
        <v>11264</v>
      </c>
      <c r="B216" s="24">
        <v>0.88</v>
      </c>
      <c r="C216" t="s">
        <v>11265</v>
      </c>
      <c r="D216" t="s">
        <v>11266</v>
      </c>
    </row>
    <row r="217" spans="1:4" x14ac:dyDescent="0.3">
      <c r="A217" t="s">
        <v>11267</v>
      </c>
      <c r="B217" s="24">
        <v>0.97</v>
      </c>
      <c r="C217" t="s">
        <v>11268</v>
      </c>
      <c r="D217" t="s">
        <v>11269</v>
      </c>
    </row>
    <row r="218" spans="1:4" x14ac:dyDescent="0.3">
      <c r="A218" t="s">
        <v>11270</v>
      </c>
      <c r="B218" s="24">
        <v>0.95</v>
      </c>
      <c r="C218" t="s">
        <v>11271</v>
      </c>
      <c r="D218" t="s">
        <v>11272</v>
      </c>
    </row>
    <row r="219" spans="1:4" x14ac:dyDescent="0.3">
      <c r="A219" t="s">
        <v>11273</v>
      </c>
      <c r="B219" s="24">
        <v>0.9</v>
      </c>
      <c r="C219" t="s">
        <v>11274</v>
      </c>
      <c r="D219" t="s">
        <v>11275</v>
      </c>
    </row>
    <row r="221" spans="1:4" ht="17.399999999999999" x14ac:dyDescent="0.35">
      <c r="A221" t="s">
        <v>11276</v>
      </c>
      <c r="B221" s="262">
        <f>AVERAGE(B214,B215,B216,B217,B218,B219)</f>
        <v>0.90833333333333333</v>
      </c>
      <c r="C221" s="228" t="s">
        <v>11277</v>
      </c>
    </row>
    <row r="222" spans="1:4" x14ac:dyDescent="0.3">
      <c r="A222" t="s">
        <v>11214</v>
      </c>
      <c r="B222" s="165" t="s">
        <v>11278</v>
      </c>
      <c r="C222" t="s">
        <v>11279</v>
      </c>
    </row>
    <row r="223" spans="1:4" x14ac:dyDescent="0.3">
      <c r="A223" t="s">
        <v>11280</v>
      </c>
      <c r="B223" s="165">
        <v>1.5</v>
      </c>
      <c r="C223" t="s">
        <v>11281</v>
      </c>
    </row>
    <row r="224" spans="1:4" ht="21" x14ac:dyDescent="0.4">
      <c r="A224" t="s">
        <v>11282</v>
      </c>
      <c r="B224" s="263">
        <f>MIN(B221*B223,1)</f>
        <v>1</v>
      </c>
    </row>
    <row r="225" spans="1:2" x14ac:dyDescent="0.3">
      <c r="A225" t="s">
        <v>11283</v>
      </c>
      <c r="B225" s="165" t="str">
        <f>IF(B224&gt;=0.95,"1.000 — NEAR-CERTAIN ✅ PUBLISH FAST-TRACK",IF(B224&gt;=0.85,"0.85+ — STRONG ✅ PUBLISH (adversarial required)",IF(B224&gt;=0.75,"0.75+ — MODERATE ⚠️ BORDERLINE","&lt; 0.75 — ❌ FAIL")))</f>
        <v>1.000 — NEAR-CERTAIN ✅ PUBLISH FAST-TRACK</v>
      </c>
    </row>
    <row r="226" spans="1:2" x14ac:dyDescent="0.3">
      <c r="A226" t="s">
        <v>11284</v>
      </c>
      <c r="B226" s="18" t="str">
        <f>IF(B216&lt;0.3,"FALSIFICATION CAP TRIGGERED ❌",IF(B215&lt;0.3,"PREDICTION CAP TRIGGERED ❌",IF(B218&lt;0.3,"WHY-PENALTY TRIGGERED ❌",IF(B219&lt;0.1,"NO_LIVED_VALIDITY TRIGGERED ❌","No caps triggered ✅"))))</f>
        <v>No caps triggered ✅</v>
      </c>
    </row>
  </sheetData>
  <mergeCells count="3">
    <mergeCell ref="A1:E1"/>
    <mergeCell ref="A2:E2"/>
    <mergeCell ref="A110:E110"/>
  </mergeCells>
  <dataValidations count="6">
    <dataValidation type="list" allowBlank="1" showInputMessage="1" showErrorMessage="1" sqref="C11" xr:uid="{112CAEC2-A1FE-4C93-B7FC-5AC796F5AE85}">
      <formula1>"DROPDOWNS!$BW$2:$BW$7"</formula1>
    </dataValidation>
    <dataValidation type="list" allowBlank="1" showInputMessage="1" showErrorMessage="1" sqref="C10" xr:uid="{B5BD7F94-0CF8-45FA-945A-187827F6CCEC}">
      <formula1>"DROPDOWNS!$BV$2:$BV$9"</formula1>
    </dataValidation>
    <dataValidation type="list" allowBlank="1" showInputMessage="1" showErrorMessage="1" sqref="C9" xr:uid="{C7D0A52A-ADBB-45EE-A187-B0F8626C80E2}">
      <formula1>"DROPDOWNS!$BU$2:$BU$7"</formula1>
    </dataValidation>
    <dataValidation type="list" allowBlank="1" showInputMessage="1" showErrorMessage="1" sqref="C8" xr:uid="{BB087B4C-01C6-4B4F-88B4-BE08330A2B07}">
      <formula1>"DROPDOWNS!$BT$2:$BT$7"</formula1>
    </dataValidation>
    <dataValidation type="list" allowBlank="1" showInputMessage="1" showErrorMessage="1" sqref="C7" xr:uid="{CAC0547C-E7E9-43DC-91B4-19487FEF132F}">
      <formula1>"DROPDOWNS!$BS$2:$BS$8"</formula1>
    </dataValidation>
    <dataValidation type="list" allowBlank="1" showInputMessage="1" showErrorMessage="1" sqref="C6" xr:uid="{B65B4B75-3AFE-451E-A2C0-ED8185AB1CD8}">
      <formula1>"DROPDOWNS!$BR$2:$BR$7"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324F-2387-4626-8CB7-CE8C7EEA6701}">
  <sheetPr>
    <tabColor rgb="FFD18616"/>
  </sheetPr>
  <dimension ref="A1:H236"/>
  <sheetViews>
    <sheetView workbookViewId="0"/>
  </sheetViews>
  <sheetFormatPr defaultRowHeight="14.4" x14ac:dyDescent="0.3"/>
  <cols>
    <col min="1" max="1" width="40.77734375" customWidth="1"/>
    <col min="2" max="2" width="16.6640625" customWidth="1"/>
    <col min="3" max="3" width="29.6640625" customWidth="1"/>
    <col min="4" max="4" width="55.5546875" customWidth="1"/>
    <col min="5" max="5" width="33.33203125" customWidth="1"/>
    <col min="6" max="6" width="27.77734375" customWidth="1"/>
    <col min="7" max="9" width="22.21875" customWidth="1"/>
  </cols>
  <sheetData>
    <row r="1" spans="1:8" ht="21" x14ac:dyDescent="0.4">
      <c r="A1" s="265" t="s">
        <v>11320</v>
      </c>
      <c r="B1" s="253"/>
      <c r="C1" s="253"/>
      <c r="D1" s="253"/>
      <c r="E1" s="253"/>
      <c r="F1" s="253"/>
      <c r="G1" s="253"/>
      <c r="H1" s="254" t="s">
        <v>11321</v>
      </c>
    </row>
    <row r="2" spans="1:8" x14ac:dyDescent="0.3">
      <c r="A2" s="125" t="s">
        <v>11322</v>
      </c>
    </row>
    <row r="4" spans="1:8" ht="15.6" x14ac:dyDescent="0.3">
      <c r="A4" s="266" t="s">
        <v>11323</v>
      </c>
      <c r="B4" s="133" t="s">
        <v>11324</v>
      </c>
      <c r="C4" s="133" t="s">
        <v>11325</v>
      </c>
      <c r="D4" s="133" t="s">
        <v>11215</v>
      </c>
      <c r="E4" s="133" t="s">
        <v>11326</v>
      </c>
      <c r="F4" s="133" t="s">
        <v>11327</v>
      </c>
      <c r="G4" s="133" t="s">
        <v>11161</v>
      </c>
    </row>
    <row r="5" spans="1:8" x14ac:dyDescent="0.3">
      <c r="A5" s="259" t="s">
        <v>63</v>
      </c>
      <c r="B5" t="s">
        <v>63</v>
      </c>
      <c r="C5" t="s">
        <v>11328</v>
      </c>
      <c r="D5" t="s">
        <v>11329</v>
      </c>
      <c r="E5" t="s">
        <v>11330</v>
      </c>
      <c r="F5" t="s">
        <v>11162</v>
      </c>
      <c r="G5" t="s">
        <v>11331</v>
      </c>
    </row>
    <row r="6" spans="1:8" x14ac:dyDescent="0.3">
      <c r="A6" s="136" t="s">
        <v>280</v>
      </c>
      <c r="B6" t="s">
        <v>280</v>
      </c>
      <c r="C6" t="s">
        <v>11332</v>
      </c>
      <c r="D6" t="s">
        <v>11333</v>
      </c>
      <c r="E6" t="s">
        <v>11334</v>
      </c>
      <c r="F6" t="s">
        <v>11335</v>
      </c>
      <c r="G6" t="s">
        <v>11336</v>
      </c>
    </row>
    <row r="7" spans="1:8" x14ac:dyDescent="0.3">
      <c r="A7" s="268" t="s">
        <v>201</v>
      </c>
      <c r="B7" t="s">
        <v>201</v>
      </c>
      <c r="C7" t="s">
        <v>11337</v>
      </c>
      <c r="D7" t="s">
        <v>11338</v>
      </c>
      <c r="E7" t="s">
        <v>11339</v>
      </c>
      <c r="F7" t="s">
        <v>11340</v>
      </c>
      <c r="G7" t="s">
        <v>11336</v>
      </c>
    </row>
    <row r="8" spans="1:8" x14ac:dyDescent="0.3">
      <c r="A8" s="136" t="s">
        <v>46</v>
      </c>
      <c r="B8" t="s">
        <v>46</v>
      </c>
      <c r="C8" t="s">
        <v>11341</v>
      </c>
      <c r="D8" t="s">
        <v>11342</v>
      </c>
      <c r="E8" t="s">
        <v>11343</v>
      </c>
      <c r="F8" t="s">
        <v>11344</v>
      </c>
      <c r="G8" t="s">
        <v>11345</v>
      </c>
    </row>
    <row r="9" spans="1:8" x14ac:dyDescent="0.3">
      <c r="A9" s="269" t="s">
        <v>108</v>
      </c>
      <c r="B9" t="s">
        <v>108</v>
      </c>
      <c r="C9" t="s">
        <v>11346</v>
      </c>
      <c r="D9" t="s">
        <v>11347</v>
      </c>
      <c r="E9" t="s">
        <v>11348</v>
      </c>
      <c r="F9" t="s">
        <v>11349</v>
      </c>
      <c r="G9" t="s">
        <v>11350</v>
      </c>
    </row>
    <row r="10" spans="1:8" x14ac:dyDescent="0.3">
      <c r="A10" s="136" t="s">
        <v>54</v>
      </c>
      <c r="B10" t="s">
        <v>54</v>
      </c>
      <c r="C10" t="s">
        <v>11351</v>
      </c>
      <c r="D10" t="s">
        <v>11352</v>
      </c>
      <c r="F10" t="s">
        <v>11353</v>
      </c>
      <c r="G10" t="s">
        <v>11354</v>
      </c>
    </row>
    <row r="11" spans="1:8" x14ac:dyDescent="0.3">
      <c r="A11" s="202" t="s">
        <v>337</v>
      </c>
      <c r="B11" t="s">
        <v>337</v>
      </c>
      <c r="C11" t="s">
        <v>11355</v>
      </c>
      <c r="D11" t="s">
        <v>11356</v>
      </c>
      <c r="E11" t="s">
        <v>11357</v>
      </c>
      <c r="F11" t="s">
        <v>11358</v>
      </c>
      <c r="G11" t="s">
        <v>11359</v>
      </c>
    </row>
    <row r="12" spans="1:8" x14ac:dyDescent="0.3">
      <c r="A12" s="136" t="s">
        <v>72</v>
      </c>
      <c r="B12" t="s">
        <v>72</v>
      </c>
      <c r="C12" t="s">
        <v>11360</v>
      </c>
      <c r="F12" t="s">
        <v>11361</v>
      </c>
      <c r="G12" t="s">
        <v>11359</v>
      </c>
    </row>
    <row r="13" spans="1:8" x14ac:dyDescent="0.3">
      <c r="A13" s="270" t="s">
        <v>37</v>
      </c>
      <c r="B13" t="s">
        <v>37</v>
      </c>
      <c r="C13" t="s">
        <v>11362</v>
      </c>
      <c r="D13" t="s">
        <v>11363</v>
      </c>
      <c r="E13" t="s">
        <v>11364</v>
      </c>
      <c r="F13" t="s">
        <v>11365</v>
      </c>
      <c r="G13" t="s">
        <v>11366</v>
      </c>
    </row>
    <row r="14" spans="1:8" x14ac:dyDescent="0.3">
      <c r="A14" s="138" t="s">
        <v>27</v>
      </c>
      <c r="B14" t="s">
        <v>27</v>
      </c>
      <c r="C14" t="s">
        <v>11367</v>
      </c>
      <c r="D14" t="s">
        <v>11368</v>
      </c>
      <c r="E14" t="s">
        <v>11369</v>
      </c>
      <c r="F14" t="s">
        <v>11370</v>
      </c>
      <c r="G14" t="s">
        <v>11371</v>
      </c>
    </row>
    <row r="16" spans="1:8" ht="15.6" x14ac:dyDescent="0.3">
      <c r="A16" s="271" t="s">
        <v>11372</v>
      </c>
      <c r="B16" s="133" t="s">
        <v>11324</v>
      </c>
      <c r="C16" s="133" t="s">
        <v>11325</v>
      </c>
      <c r="D16" s="133" t="s">
        <v>11215</v>
      </c>
      <c r="E16" s="133" t="s">
        <v>11373</v>
      </c>
    </row>
    <row r="17" spans="1:6" x14ac:dyDescent="0.3">
      <c r="A17" s="135" t="s">
        <v>11374</v>
      </c>
      <c r="B17" t="s">
        <v>11374</v>
      </c>
      <c r="C17" t="s">
        <v>11375</v>
      </c>
      <c r="D17" t="s">
        <v>11376</v>
      </c>
      <c r="E17" t="s">
        <v>11377</v>
      </c>
    </row>
    <row r="18" spans="1:6" x14ac:dyDescent="0.3">
      <c r="A18" s="135" t="s">
        <v>2289</v>
      </c>
      <c r="B18" t="s">
        <v>2289</v>
      </c>
      <c r="C18" t="s">
        <v>11378</v>
      </c>
      <c r="D18" t="s">
        <v>11379</v>
      </c>
      <c r="E18" t="s">
        <v>11380</v>
      </c>
    </row>
    <row r="19" spans="1:6" x14ac:dyDescent="0.3">
      <c r="A19" s="135" t="s">
        <v>11381</v>
      </c>
      <c r="B19" t="s">
        <v>11381</v>
      </c>
      <c r="C19" t="s">
        <v>11382</v>
      </c>
      <c r="D19" t="s">
        <v>11383</v>
      </c>
      <c r="E19" t="s">
        <v>11384</v>
      </c>
    </row>
    <row r="20" spans="1:6" x14ac:dyDescent="0.3">
      <c r="A20" s="154" t="s">
        <v>11385</v>
      </c>
      <c r="B20" t="s">
        <v>11385</v>
      </c>
      <c r="C20" t="s">
        <v>11386</v>
      </c>
      <c r="D20" t="s">
        <v>11387</v>
      </c>
      <c r="E20" t="s">
        <v>11388</v>
      </c>
    </row>
    <row r="21" spans="1:6" x14ac:dyDescent="0.3">
      <c r="A21" s="146" t="s">
        <v>11389</v>
      </c>
      <c r="B21" t="s">
        <v>11389</v>
      </c>
      <c r="C21" t="s">
        <v>11390</v>
      </c>
      <c r="D21" t="s">
        <v>11391</v>
      </c>
      <c r="E21" t="s">
        <v>11392</v>
      </c>
    </row>
    <row r="22" spans="1:6" x14ac:dyDescent="0.3">
      <c r="A22" s="135" t="s">
        <v>11393</v>
      </c>
      <c r="B22" t="s">
        <v>11393</v>
      </c>
      <c r="C22" t="s">
        <v>11394</v>
      </c>
      <c r="D22" t="s">
        <v>11395</v>
      </c>
      <c r="E22" t="s">
        <v>11396</v>
      </c>
    </row>
    <row r="23" spans="1:6" x14ac:dyDescent="0.3">
      <c r="A23" s="135" t="s">
        <v>11397</v>
      </c>
      <c r="B23" t="s">
        <v>11397</v>
      </c>
      <c r="C23" t="s">
        <v>11398</v>
      </c>
      <c r="D23" t="s">
        <v>11399</v>
      </c>
      <c r="E23" t="s">
        <v>11400</v>
      </c>
    </row>
    <row r="24" spans="1:6" x14ac:dyDescent="0.3">
      <c r="A24" s="135" t="s">
        <v>11401</v>
      </c>
      <c r="B24" t="s">
        <v>11401</v>
      </c>
      <c r="C24" t="s">
        <v>11402</v>
      </c>
      <c r="D24" t="s">
        <v>11403</v>
      </c>
      <c r="E24" t="s">
        <v>11404</v>
      </c>
    </row>
    <row r="25" spans="1:6" x14ac:dyDescent="0.3">
      <c r="A25" s="135" t="s">
        <v>11405</v>
      </c>
      <c r="B25" t="s">
        <v>11405</v>
      </c>
      <c r="C25" t="s">
        <v>11406</v>
      </c>
      <c r="D25" t="s">
        <v>11407</v>
      </c>
      <c r="E25" t="s">
        <v>2842</v>
      </c>
    </row>
    <row r="27" spans="1:6" ht="16.2" x14ac:dyDescent="0.35">
      <c r="A27" s="272" t="s">
        <v>11408</v>
      </c>
      <c r="B27" s="133" t="s">
        <v>11324</v>
      </c>
      <c r="C27" s="133" t="s">
        <v>11325</v>
      </c>
      <c r="D27" s="133" t="s">
        <v>11215</v>
      </c>
      <c r="E27" s="133" t="s">
        <v>11409</v>
      </c>
      <c r="F27" s="133" t="s">
        <v>11410</v>
      </c>
    </row>
    <row r="28" spans="1:6" x14ac:dyDescent="0.3">
      <c r="A28" s="192" t="s">
        <v>11411</v>
      </c>
      <c r="B28" t="s">
        <v>11412</v>
      </c>
      <c r="C28" t="s">
        <v>11413</v>
      </c>
      <c r="D28" t="s">
        <v>11414</v>
      </c>
      <c r="E28">
        <v>180</v>
      </c>
      <c r="F28" t="s">
        <v>11415</v>
      </c>
    </row>
    <row r="29" spans="1:6" x14ac:dyDescent="0.3">
      <c r="A29" s="192" t="s">
        <v>11416</v>
      </c>
      <c r="B29" t="s">
        <v>11417</v>
      </c>
      <c r="C29" t="s">
        <v>11418</v>
      </c>
      <c r="D29" t="s">
        <v>11419</v>
      </c>
      <c r="E29">
        <v>180</v>
      </c>
      <c r="F29" t="s">
        <v>11420</v>
      </c>
    </row>
    <row r="30" spans="1:6" x14ac:dyDescent="0.3">
      <c r="A30" s="192" t="s">
        <v>11421</v>
      </c>
      <c r="B30" t="s">
        <v>11422</v>
      </c>
      <c r="C30" t="s">
        <v>11423</v>
      </c>
      <c r="D30" t="s">
        <v>11424</v>
      </c>
      <c r="E30">
        <v>365</v>
      </c>
      <c r="F30" t="s">
        <v>11425</v>
      </c>
    </row>
    <row r="31" spans="1:6" x14ac:dyDescent="0.3">
      <c r="A31" s="192" t="s">
        <v>11426</v>
      </c>
      <c r="B31" t="s">
        <v>11427</v>
      </c>
      <c r="C31" t="s">
        <v>11428</v>
      </c>
      <c r="D31" t="s">
        <v>11429</v>
      </c>
      <c r="E31">
        <v>180</v>
      </c>
      <c r="F31" t="s">
        <v>11415</v>
      </c>
    </row>
    <row r="32" spans="1:6" x14ac:dyDescent="0.3">
      <c r="A32" s="192" t="s">
        <v>11430</v>
      </c>
      <c r="B32" t="s">
        <v>11431</v>
      </c>
      <c r="C32" t="s">
        <v>11432</v>
      </c>
      <c r="D32" t="s">
        <v>11433</v>
      </c>
      <c r="E32">
        <v>180</v>
      </c>
      <c r="F32" t="s">
        <v>11434</v>
      </c>
    </row>
    <row r="33" spans="1:6" x14ac:dyDescent="0.3">
      <c r="A33" s="192" t="s">
        <v>11435</v>
      </c>
      <c r="B33" t="s">
        <v>11436</v>
      </c>
      <c r="C33" t="s">
        <v>11437</v>
      </c>
      <c r="D33" t="s">
        <v>11438</v>
      </c>
      <c r="E33">
        <v>365</v>
      </c>
      <c r="F33" t="s">
        <v>11425</v>
      </c>
    </row>
    <row r="34" spans="1:6" x14ac:dyDescent="0.3">
      <c r="A34" s="192" t="s">
        <v>11439</v>
      </c>
      <c r="B34" t="s">
        <v>11440</v>
      </c>
      <c r="C34" t="s">
        <v>11441</v>
      </c>
      <c r="D34" t="s">
        <v>11442</v>
      </c>
      <c r="E34">
        <v>365</v>
      </c>
      <c r="F34" t="s">
        <v>11415</v>
      </c>
    </row>
    <row r="35" spans="1:6" x14ac:dyDescent="0.3">
      <c r="A35" s="192" t="s">
        <v>11443</v>
      </c>
      <c r="B35" t="s">
        <v>11444</v>
      </c>
      <c r="C35" t="s">
        <v>11445</v>
      </c>
      <c r="D35" t="s">
        <v>11446</v>
      </c>
      <c r="E35">
        <v>730</v>
      </c>
      <c r="F35" t="s">
        <v>11447</v>
      </c>
    </row>
    <row r="36" spans="1:6" x14ac:dyDescent="0.3">
      <c r="A36" s="192" t="s">
        <v>11448</v>
      </c>
      <c r="B36" t="s">
        <v>11449</v>
      </c>
      <c r="C36" t="s">
        <v>11450</v>
      </c>
      <c r="D36" t="s">
        <v>11451</v>
      </c>
      <c r="E36">
        <v>730</v>
      </c>
      <c r="F36" t="s">
        <v>11452</v>
      </c>
    </row>
    <row r="37" spans="1:6" x14ac:dyDescent="0.3">
      <c r="A37" s="192" t="s">
        <v>11453</v>
      </c>
      <c r="B37" t="s">
        <v>11454</v>
      </c>
      <c r="C37" t="s">
        <v>11455</v>
      </c>
      <c r="D37" t="s">
        <v>11456</v>
      </c>
      <c r="E37">
        <v>365</v>
      </c>
      <c r="F37" t="s">
        <v>11425</v>
      </c>
    </row>
    <row r="38" spans="1:6" x14ac:dyDescent="0.3">
      <c r="A38" s="192" t="s">
        <v>11457</v>
      </c>
      <c r="B38" t="s">
        <v>11458</v>
      </c>
      <c r="C38" t="s">
        <v>11459</v>
      </c>
      <c r="D38" t="s">
        <v>11460</v>
      </c>
      <c r="E38">
        <v>180</v>
      </c>
      <c r="F38" t="s">
        <v>11461</v>
      </c>
    </row>
    <row r="39" spans="1:6" x14ac:dyDescent="0.3">
      <c r="A39" s="192" t="s">
        <v>11462</v>
      </c>
      <c r="B39" t="s">
        <v>11463</v>
      </c>
      <c r="C39" t="s">
        <v>11464</v>
      </c>
      <c r="D39" t="s">
        <v>11465</v>
      </c>
      <c r="E39">
        <v>730</v>
      </c>
      <c r="F39" t="s">
        <v>11466</v>
      </c>
    </row>
    <row r="40" spans="1:6" x14ac:dyDescent="0.3">
      <c r="A40" s="154" t="s">
        <v>11467</v>
      </c>
      <c r="B40" t="s">
        <v>11468</v>
      </c>
      <c r="C40" t="s">
        <v>11469</v>
      </c>
      <c r="D40" t="s">
        <v>11470</v>
      </c>
      <c r="E40">
        <v>365</v>
      </c>
      <c r="F40" t="s">
        <v>11471</v>
      </c>
    </row>
    <row r="41" spans="1:6" x14ac:dyDescent="0.3">
      <c r="A41" s="154" t="s">
        <v>11472</v>
      </c>
      <c r="B41" t="s">
        <v>11473</v>
      </c>
      <c r="C41" t="s">
        <v>11474</v>
      </c>
      <c r="D41" t="s">
        <v>11475</v>
      </c>
      <c r="E41">
        <v>730</v>
      </c>
      <c r="F41" t="s">
        <v>11476</v>
      </c>
    </row>
    <row r="43" spans="1:6" ht="15.6" x14ac:dyDescent="0.3">
      <c r="A43" s="211" t="s">
        <v>11477</v>
      </c>
      <c r="B43" s="133" t="s">
        <v>11324</v>
      </c>
      <c r="C43" s="133" t="s">
        <v>11478</v>
      </c>
      <c r="D43" s="133" t="s">
        <v>11215</v>
      </c>
      <c r="E43" s="133" t="s">
        <v>11479</v>
      </c>
      <c r="F43" s="133" t="s">
        <v>11480</v>
      </c>
    </row>
    <row r="44" spans="1:6" x14ac:dyDescent="0.3">
      <c r="A44" s="219" t="s">
        <v>11481</v>
      </c>
      <c r="B44" t="s">
        <v>11481</v>
      </c>
      <c r="C44" t="s">
        <v>11482</v>
      </c>
      <c r="D44" t="s">
        <v>10549</v>
      </c>
      <c r="E44" t="s">
        <v>11483</v>
      </c>
      <c r="F44" t="s">
        <v>11484</v>
      </c>
    </row>
    <row r="45" spans="1:6" x14ac:dyDescent="0.3">
      <c r="A45" s="219" t="s">
        <v>11485</v>
      </c>
      <c r="B45" t="s">
        <v>11485</v>
      </c>
      <c r="C45" t="s">
        <v>11486</v>
      </c>
      <c r="D45" t="s">
        <v>11487</v>
      </c>
      <c r="E45" t="s">
        <v>11488</v>
      </c>
      <c r="F45" t="s">
        <v>11489</v>
      </c>
    </row>
    <row r="46" spans="1:6" x14ac:dyDescent="0.3">
      <c r="A46" s="219" t="s">
        <v>11490</v>
      </c>
      <c r="B46" t="s">
        <v>11490</v>
      </c>
      <c r="C46" t="s">
        <v>11491</v>
      </c>
      <c r="D46" t="s">
        <v>11492</v>
      </c>
      <c r="E46" t="s">
        <v>11493</v>
      </c>
      <c r="F46" t="s">
        <v>11494</v>
      </c>
    </row>
    <row r="47" spans="1:6" x14ac:dyDescent="0.3">
      <c r="A47" s="219" t="s">
        <v>11495</v>
      </c>
      <c r="B47" t="s">
        <v>11495</v>
      </c>
      <c r="C47" t="s">
        <v>11496</v>
      </c>
      <c r="D47" t="s">
        <v>10555</v>
      </c>
      <c r="E47" t="s">
        <v>11497</v>
      </c>
      <c r="F47" t="s">
        <v>11498</v>
      </c>
    </row>
    <row r="48" spans="1:6" x14ac:dyDescent="0.3">
      <c r="A48" s="154" t="s">
        <v>11499</v>
      </c>
      <c r="B48" t="s">
        <v>11499</v>
      </c>
      <c r="C48" t="s">
        <v>11500</v>
      </c>
      <c r="D48" t="s">
        <v>11501</v>
      </c>
      <c r="E48" t="s">
        <v>11502</v>
      </c>
      <c r="F48" t="s">
        <v>11503</v>
      </c>
    </row>
    <row r="49" spans="1:6" x14ac:dyDescent="0.3">
      <c r="A49" s="201" t="s">
        <v>11504</v>
      </c>
      <c r="B49" s="274" t="s">
        <v>11505</v>
      </c>
    </row>
    <row r="51" spans="1:6" ht="15.6" x14ac:dyDescent="0.3">
      <c r="A51" s="221" t="s">
        <v>11506</v>
      </c>
      <c r="B51" s="133" t="s">
        <v>11324</v>
      </c>
      <c r="C51" s="133" t="s">
        <v>11507</v>
      </c>
      <c r="D51" s="133" t="s">
        <v>11215</v>
      </c>
    </row>
    <row r="52" spans="1:6" x14ac:dyDescent="0.3">
      <c r="A52" s="142" t="s">
        <v>10518</v>
      </c>
      <c r="B52" t="s">
        <v>11236</v>
      </c>
      <c r="C52" t="s">
        <v>11508</v>
      </c>
      <c r="D52" t="s">
        <v>11509</v>
      </c>
    </row>
    <row r="53" spans="1:6" x14ac:dyDescent="0.3">
      <c r="A53" s="267" t="s">
        <v>10522</v>
      </c>
      <c r="B53" t="s">
        <v>11510</v>
      </c>
      <c r="C53" t="s">
        <v>11511</v>
      </c>
      <c r="D53" t="s">
        <v>11512</v>
      </c>
    </row>
    <row r="54" spans="1:6" x14ac:dyDescent="0.3">
      <c r="A54" s="156" t="s">
        <v>11513</v>
      </c>
      <c r="B54" t="s">
        <v>11514</v>
      </c>
      <c r="C54" t="s">
        <v>11515</v>
      </c>
      <c r="D54" t="s">
        <v>11516</v>
      </c>
    </row>
    <row r="55" spans="1:6" x14ac:dyDescent="0.3">
      <c r="A55" s="192" t="s">
        <v>11517</v>
      </c>
      <c r="B55" t="s">
        <v>11518</v>
      </c>
      <c r="C55" t="s">
        <v>11519</v>
      </c>
      <c r="D55" t="s">
        <v>11520</v>
      </c>
    </row>
    <row r="57" spans="1:6" ht="15.6" x14ac:dyDescent="0.3">
      <c r="A57" s="169" t="s">
        <v>11521</v>
      </c>
      <c r="B57" s="133" t="s">
        <v>11324</v>
      </c>
      <c r="C57" s="133" t="s">
        <v>11216</v>
      </c>
      <c r="D57" s="133" t="s">
        <v>11215</v>
      </c>
      <c r="E57" s="133" t="s">
        <v>11522</v>
      </c>
      <c r="F57" s="133" t="s">
        <v>11523</v>
      </c>
    </row>
    <row r="58" spans="1:6" x14ac:dyDescent="0.3">
      <c r="A58" s="142" t="s">
        <v>11219</v>
      </c>
      <c r="B58" t="s">
        <v>11221</v>
      </c>
      <c r="C58" t="s">
        <v>11524</v>
      </c>
      <c r="D58" t="s">
        <v>11525</v>
      </c>
      <c r="E58" t="s">
        <v>11526</v>
      </c>
    </row>
    <row r="59" spans="1:6" x14ac:dyDescent="0.3">
      <c r="A59" s="156" t="s">
        <v>11224</v>
      </c>
      <c r="B59" t="s">
        <v>11226</v>
      </c>
      <c r="C59" t="s">
        <v>11527</v>
      </c>
      <c r="D59" t="s">
        <v>11528</v>
      </c>
      <c r="E59" t="s">
        <v>11529</v>
      </c>
    </row>
    <row r="60" spans="1:6" x14ac:dyDescent="0.3">
      <c r="A60" s="192" t="s">
        <v>11229</v>
      </c>
      <c r="B60" t="s">
        <v>11231</v>
      </c>
      <c r="C60" t="s">
        <v>11530</v>
      </c>
      <c r="D60" t="s">
        <v>11531</v>
      </c>
      <c r="E60" t="s">
        <v>11532</v>
      </c>
    </row>
    <row r="61" spans="1:6" x14ac:dyDescent="0.3">
      <c r="A61" s="138" t="s">
        <v>11234</v>
      </c>
      <c r="B61" t="s">
        <v>11236</v>
      </c>
      <c r="C61" t="s">
        <v>11533</v>
      </c>
      <c r="D61" t="s">
        <v>11534</v>
      </c>
      <c r="E61" t="s">
        <v>11535</v>
      </c>
    </row>
    <row r="63" spans="1:6" ht="15.6" x14ac:dyDescent="0.3">
      <c r="A63" s="193" t="s">
        <v>11639</v>
      </c>
      <c r="B63" s="133" t="s">
        <v>11324</v>
      </c>
      <c r="C63" s="133" t="s">
        <v>10996</v>
      </c>
      <c r="D63" s="133" t="s">
        <v>11215</v>
      </c>
      <c r="E63" s="133" t="s">
        <v>2198</v>
      </c>
    </row>
    <row r="64" spans="1:6" x14ac:dyDescent="0.3">
      <c r="A64" s="135" t="s">
        <v>11536</v>
      </c>
      <c r="B64" t="s">
        <v>11537</v>
      </c>
      <c r="C64" t="s">
        <v>11538</v>
      </c>
      <c r="E64" t="s">
        <v>2207</v>
      </c>
    </row>
    <row r="65" spans="1:5" x14ac:dyDescent="0.3">
      <c r="A65" s="135" t="s">
        <v>11539</v>
      </c>
      <c r="B65" t="s">
        <v>11537</v>
      </c>
      <c r="C65" t="s">
        <v>11540</v>
      </c>
      <c r="E65" t="s">
        <v>2207</v>
      </c>
    </row>
    <row r="66" spans="1:5" x14ac:dyDescent="0.3">
      <c r="A66" s="135" t="s">
        <v>11541</v>
      </c>
      <c r="B66" t="s">
        <v>11537</v>
      </c>
      <c r="C66" t="s">
        <v>11542</v>
      </c>
      <c r="E66" t="s">
        <v>2207</v>
      </c>
    </row>
    <row r="67" spans="1:5" x14ac:dyDescent="0.3">
      <c r="A67" s="135" t="s">
        <v>11374</v>
      </c>
      <c r="B67" t="s">
        <v>11537</v>
      </c>
      <c r="C67" t="s">
        <v>11543</v>
      </c>
      <c r="E67" t="s">
        <v>2204</v>
      </c>
    </row>
    <row r="68" spans="1:5" x14ac:dyDescent="0.3">
      <c r="A68" s="135" t="s">
        <v>11544</v>
      </c>
      <c r="B68" t="s">
        <v>11537</v>
      </c>
      <c r="C68" t="s">
        <v>11545</v>
      </c>
      <c r="E68" t="s">
        <v>11546</v>
      </c>
    </row>
    <row r="69" spans="1:5" x14ac:dyDescent="0.3">
      <c r="A69" s="135" t="s">
        <v>11547</v>
      </c>
      <c r="B69" t="s">
        <v>11537</v>
      </c>
      <c r="C69" t="s">
        <v>11548</v>
      </c>
      <c r="E69" t="s">
        <v>2219</v>
      </c>
    </row>
    <row r="70" spans="1:5" x14ac:dyDescent="0.3">
      <c r="A70" s="135" t="s">
        <v>11549</v>
      </c>
      <c r="B70" t="s">
        <v>11537</v>
      </c>
      <c r="C70" t="s">
        <v>11550</v>
      </c>
      <c r="E70" t="s">
        <v>11551</v>
      </c>
    </row>
    <row r="71" spans="1:5" x14ac:dyDescent="0.3">
      <c r="A71" s="135" t="s">
        <v>11552</v>
      </c>
      <c r="B71" t="s">
        <v>11082</v>
      </c>
      <c r="C71" t="s">
        <v>11553</v>
      </c>
      <c r="D71" t="s">
        <v>11554</v>
      </c>
      <c r="E71" t="s">
        <v>11555</v>
      </c>
    </row>
    <row r="72" spans="1:5" x14ac:dyDescent="0.3">
      <c r="A72" s="192" t="s">
        <v>1904</v>
      </c>
      <c r="B72" t="s">
        <v>11112</v>
      </c>
      <c r="C72" t="s">
        <v>2200</v>
      </c>
      <c r="E72" t="s">
        <v>2201</v>
      </c>
    </row>
    <row r="73" spans="1:5" x14ac:dyDescent="0.3">
      <c r="A73" s="192" t="s">
        <v>1960</v>
      </c>
      <c r="B73" t="s">
        <v>11112</v>
      </c>
      <c r="C73" t="s">
        <v>11556</v>
      </c>
      <c r="E73" t="s">
        <v>2210</v>
      </c>
    </row>
    <row r="74" spans="1:5" x14ac:dyDescent="0.3">
      <c r="A74" s="192" t="s">
        <v>10421</v>
      </c>
      <c r="B74" t="s">
        <v>11112</v>
      </c>
      <c r="C74" t="s">
        <v>11557</v>
      </c>
      <c r="E74" t="s">
        <v>11558</v>
      </c>
    </row>
    <row r="75" spans="1:5" x14ac:dyDescent="0.3">
      <c r="A75" s="192" t="s">
        <v>10545</v>
      </c>
      <c r="B75" t="s">
        <v>11112</v>
      </c>
      <c r="C75" t="s">
        <v>11559</v>
      </c>
      <c r="E75" t="s">
        <v>11560</v>
      </c>
    </row>
    <row r="76" spans="1:5" x14ac:dyDescent="0.3">
      <c r="A76" s="192" t="s">
        <v>11640</v>
      </c>
      <c r="B76" t="s">
        <v>11112</v>
      </c>
      <c r="C76" t="s">
        <v>11641</v>
      </c>
      <c r="D76" t="s">
        <v>11642</v>
      </c>
      <c r="E76" t="s">
        <v>11643</v>
      </c>
    </row>
    <row r="77" spans="1:5" ht="16.2" x14ac:dyDescent="0.35">
      <c r="A77" s="275" t="s">
        <v>11621</v>
      </c>
      <c r="B77" s="133" t="s">
        <v>11324</v>
      </c>
      <c r="C77" s="133" t="s">
        <v>10996</v>
      </c>
      <c r="D77" s="133" t="s">
        <v>11561</v>
      </c>
      <c r="E77" s="133" t="s">
        <v>11562</v>
      </c>
    </row>
    <row r="78" spans="1:5" x14ac:dyDescent="0.3">
      <c r="A78" s="192" t="s">
        <v>11563</v>
      </c>
      <c r="B78" t="s">
        <v>11537</v>
      </c>
      <c r="C78" t="s">
        <v>11564</v>
      </c>
      <c r="D78" t="s">
        <v>11565</v>
      </c>
    </row>
    <row r="79" spans="1:5" x14ac:dyDescent="0.3">
      <c r="A79" s="192" t="s">
        <v>11566</v>
      </c>
      <c r="B79" t="s">
        <v>11537</v>
      </c>
      <c r="C79" t="s">
        <v>11567</v>
      </c>
      <c r="D79" t="s">
        <v>11565</v>
      </c>
    </row>
    <row r="80" spans="1:5" x14ac:dyDescent="0.3">
      <c r="A80" s="192" t="s">
        <v>11568</v>
      </c>
      <c r="B80" t="s">
        <v>11537</v>
      </c>
      <c r="C80" t="s">
        <v>11569</v>
      </c>
      <c r="D80" t="s">
        <v>11570</v>
      </c>
    </row>
    <row r="81" spans="1:5" x14ac:dyDescent="0.3">
      <c r="A81" s="192" t="s">
        <v>11571</v>
      </c>
      <c r="B81" t="s">
        <v>11537</v>
      </c>
      <c r="C81" t="s">
        <v>11572</v>
      </c>
      <c r="D81" t="s">
        <v>11573</v>
      </c>
    </row>
    <row r="82" spans="1:5" x14ac:dyDescent="0.3">
      <c r="A82" s="192" t="s">
        <v>11574</v>
      </c>
      <c r="B82" t="s">
        <v>11537</v>
      </c>
      <c r="C82" t="s">
        <v>11575</v>
      </c>
      <c r="D82" t="s">
        <v>11576</v>
      </c>
    </row>
    <row r="83" spans="1:5" x14ac:dyDescent="0.3">
      <c r="A83" s="192" t="s">
        <v>11577</v>
      </c>
      <c r="B83" t="s">
        <v>11537</v>
      </c>
      <c r="C83" t="s">
        <v>11578</v>
      </c>
      <c r="D83" t="s">
        <v>11579</v>
      </c>
    </row>
    <row r="84" spans="1:5" x14ac:dyDescent="0.3">
      <c r="A84" s="154" t="s">
        <v>2283</v>
      </c>
      <c r="B84" t="s">
        <v>11537</v>
      </c>
      <c r="C84" t="s">
        <v>11580</v>
      </c>
      <c r="D84" t="s">
        <v>11581</v>
      </c>
    </row>
    <row r="85" spans="1:5" x14ac:dyDescent="0.3">
      <c r="A85" s="192" t="s">
        <v>2272</v>
      </c>
      <c r="B85" t="s">
        <v>11537</v>
      </c>
      <c r="C85" t="s">
        <v>11582</v>
      </c>
      <c r="D85" t="s">
        <v>11583</v>
      </c>
    </row>
    <row r="86" spans="1:5" x14ac:dyDescent="0.3">
      <c r="A86" s="192" t="s">
        <v>11584</v>
      </c>
      <c r="B86" t="s">
        <v>11537</v>
      </c>
      <c r="C86" t="s">
        <v>11585</v>
      </c>
      <c r="D86" t="s">
        <v>11586</v>
      </c>
    </row>
    <row r="87" spans="1:5" x14ac:dyDescent="0.3">
      <c r="A87" s="192" t="s">
        <v>2254</v>
      </c>
      <c r="B87" t="s">
        <v>11112</v>
      </c>
      <c r="C87" t="s">
        <v>2255</v>
      </c>
      <c r="D87" t="s">
        <v>11587</v>
      </c>
    </row>
    <row r="88" spans="1:5" x14ac:dyDescent="0.3">
      <c r="A88" s="192" t="s">
        <v>2257</v>
      </c>
      <c r="B88" t="s">
        <v>11112</v>
      </c>
      <c r="C88" t="s">
        <v>2258</v>
      </c>
      <c r="D88" t="s">
        <v>11588</v>
      </c>
    </row>
    <row r="89" spans="1:5" x14ac:dyDescent="0.3">
      <c r="A89" s="192" t="s">
        <v>2263</v>
      </c>
      <c r="B89" t="s">
        <v>11112</v>
      </c>
      <c r="C89" t="s">
        <v>2264</v>
      </c>
      <c r="D89" t="s">
        <v>11589</v>
      </c>
    </row>
    <row r="90" spans="1:5" x14ac:dyDescent="0.3">
      <c r="A90" s="154" t="s">
        <v>2277</v>
      </c>
      <c r="B90" t="s">
        <v>11112</v>
      </c>
      <c r="C90" t="s">
        <v>11590</v>
      </c>
      <c r="D90" t="s">
        <v>11591</v>
      </c>
    </row>
    <row r="91" spans="1:5" x14ac:dyDescent="0.3">
      <c r="A91" s="192" t="s">
        <v>11622</v>
      </c>
      <c r="B91" t="s">
        <v>11112</v>
      </c>
      <c r="C91" t="s">
        <v>11623</v>
      </c>
      <c r="D91" t="s">
        <v>11624</v>
      </c>
    </row>
    <row r="92" spans="1:5" ht="16.2" x14ac:dyDescent="0.35">
      <c r="A92" s="277" t="s">
        <v>11625</v>
      </c>
      <c r="B92" s="133" t="s">
        <v>11112</v>
      </c>
      <c r="C92" s="133" t="s">
        <v>11626</v>
      </c>
      <c r="D92" s="133" t="s">
        <v>11627</v>
      </c>
    </row>
    <row r="93" spans="1:5" x14ac:dyDescent="0.3">
      <c r="A93" s="192" t="s">
        <v>11628</v>
      </c>
      <c r="B93" t="s">
        <v>11112</v>
      </c>
      <c r="C93" t="s">
        <v>11629</v>
      </c>
      <c r="D93" t="s">
        <v>11630</v>
      </c>
    </row>
    <row r="94" spans="1:5" x14ac:dyDescent="0.3">
      <c r="A94" s="192" t="s">
        <v>11631</v>
      </c>
      <c r="B94" t="s">
        <v>11112</v>
      </c>
      <c r="C94" t="s">
        <v>11632</v>
      </c>
      <c r="D94" t="s">
        <v>11633</v>
      </c>
    </row>
    <row r="95" spans="1:5" x14ac:dyDescent="0.3">
      <c r="A95" s="270" t="s">
        <v>11634</v>
      </c>
      <c r="B95" t="s">
        <v>11112</v>
      </c>
      <c r="C95" t="s">
        <v>11635</v>
      </c>
      <c r="D95" t="s">
        <v>11636</v>
      </c>
      <c r="E95" t="s">
        <v>11637</v>
      </c>
    </row>
    <row r="96" spans="1:5" ht="16.2" x14ac:dyDescent="0.35">
      <c r="A96" s="276" t="s">
        <v>11638</v>
      </c>
      <c r="B96" s="133" t="s">
        <v>11324</v>
      </c>
      <c r="C96" s="133" t="s">
        <v>11592</v>
      </c>
      <c r="D96" s="133" t="s">
        <v>11593</v>
      </c>
    </row>
    <row r="97" spans="1:4" x14ac:dyDescent="0.3">
      <c r="A97" s="139" t="s">
        <v>11594</v>
      </c>
      <c r="C97" t="s">
        <v>11595</v>
      </c>
      <c r="D97" t="s">
        <v>11596</v>
      </c>
    </row>
    <row r="98" spans="1:4" x14ac:dyDescent="0.3">
      <c r="A98" s="269" t="s">
        <v>11597</v>
      </c>
      <c r="C98" t="s">
        <v>11598</v>
      </c>
      <c r="D98" t="s">
        <v>11599</v>
      </c>
    </row>
    <row r="99" spans="1:4" x14ac:dyDescent="0.3">
      <c r="A99" s="269" t="s">
        <v>11600</v>
      </c>
      <c r="C99" t="s">
        <v>11601</v>
      </c>
      <c r="D99" t="s">
        <v>11602</v>
      </c>
    </row>
    <row r="100" spans="1:4" x14ac:dyDescent="0.3">
      <c r="A100" s="259" t="s">
        <v>11603</v>
      </c>
      <c r="C100" t="s">
        <v>11604</v>
      </c>
      <c r="D100" t="s">
        <v>11605</v>
      </c>
    </row>
    <row r="101" spans="1:4" x14ac:dyDescent="0.3">
      <c r="A101" s="142" t="s">
        <v>11606</v>
      </c>
      <c r="C101" t="s">
        <v>11607</v>
      </c>
      <c r="D101" t="s">
        <v>11608</v>
      </c>
    </row>
    <row r="102" spans="1:4" x14ac:dyDescent="0.3">
      <c r="A102" s="154" t="s">
        <v>11609</v>
      </c>
      <c r="C102" t="s">
        <v>11610</v>
      </c>
      <c r="D102" t="s">
        <v>11611</v>
      </c>
    </row>
    <row r="103" spans="1:4" x14ac:dyDescent="0.3">
      <c r="A103" s="138" t="s">
        <v>11612</v>
      </c>
      <c r="C103" t="s">
        <v>11613</v>
      </c>
      <c r="D103" t="s">
        <v>11614</v>
      </c>
    </row>
    <row r="104" spans="1:4" x14ac:dyDescent="0.3">
      <c r="A104" s="138" t="s">
        <v>11612</v>
      </c>
      <c r="C104" t="s">
        <v>11613</v>
      </c>
      <c r="D104" t="s">
        <v>11614</v>
      </c>
    </row>
    <row r="106" spans="1:4" x14ac:dyDescent="0.3">
      <c r="A106" s="165" t="s">
        <v>11615</v>
      </c>
    </row>
    <row r="107" spans="1:4" x14ac:dyDescent="0.3">
      <c r="A107" t="s">
        <v>11616</v>
      </c>
      <c r="B107" t="s">
        <v>11795</v>
      </c>
    </row>
    <row r="108" spans="1:4" x14ac:dyDescent="0.3">
      <c r="A108" t="s">
        <v>10988</v>
      </c>
      <c r="B108" t="s">
        <v>11617</v>
      </c>
    </row>
    <row r="109" spans="1:4" x14ac:dyDescent="0.3">
      <c r="A109" t="s">
        <v>11618</v>
      </c>
      <c r="B109" t="s">
        <v>11796</v>
      </c>
    </row>
    <row r="110" spans="1:4" x14ac:dyDescent="0.3">
      <c r="A110" t="s">
        <v>11619</v>
      </c>
      <c r="B110" t="s">
        <v>11644</v>
      </c>
    </row>
    <row r="111" spans="1:4" x14ac:dyDescent="0.3">
      <c r="A111" t="s">
        <v>11645</v>
      </c>
      <c r="B111" t="s">
        <v>11797</v>
      </c>
    </row>
    <row r="112" spans="1:4" x14ac:dyDescent="0.3">
      <c r="A112" t="s">
        <v>10990</v>
      </c>
      <c r="B112" t="s">
        <v>11620</v>
      </c>
    </row>
    <row r="114" spans="1:3" x14ac:dyDescent="0.3">
      <c r="A114" s="278" t="s">
        <v>11646</v>
      </c>
    </row>
    <row r="116" spans="1:3" ht="15.6" x14ac:dyDescent="0.3">
      <c r="A116" s="279" t="s">
        <v>11647</v>
      </c>
      <c r="B116" s="133" t="s">
        <v>11324</v>
      </c>
      <c r="C116" s="133" t="s">
        <v>11215</v>
      </c>
    </row>
    <row r="117" spans="1:3" x14ac:dyDescent="0.3">
      <c r="A117" s="136" t="s">
        <v>11648</v>
      </c>
      <c r="C117" t="s">
        <v>11649</v>
      </c>
    </row>
    <row r="118" spans="1:3" x14ac:dyDescent="0.3">
      <c r="A118" s="136" t="s">
        <v>11650</v>
      </c>
      <c r="C118" t="s">
        <v>11651</v>
      </c>
    </row>
    <row r="119" spans="1:3" x14ac:dyDescent="0.3">
      <c r="A119" s="136" t="s">
        <v>11652</v>
      </c>
      <c r="C119" t="s">
        <v>11653</v>
      </c>
    </row>
    <row r="120" spans="1:3" x14ac:dyDescent="0.3">
      <c r="A120" s="136" t="s">
        <v>11654</v>
      </c>
      <c r="C120" t="s">
        <v>11655</v>
      </c>
    </row>
    <row r="121" spans="1:3" x14ac:dyDescent="0.3">
      <c r="A121" s="136" t="s">
        <v>11656</v>
      </c>
      <c r="C121" t="s">
        <v>11657</v>
      </c>
    </row>
    <row r="122" spans="1:3" x14ac:dyDescent="0.3">
      <c r="A122" s="136" t="s">
        <v>11658</v>
      </c>
      <c r="C122" t="s">
        <v>11659</v>
      </c>
    </row>
    <row r="123" spans="1:3" x14ac:dyDescent="0.3">
      <c r="A123" s="136" t="s">
        <v>11660</v>
      </c>
      <c r="C123" t="s">
        <v>11661</v>
      </c>
    </row>
    <row r="125" spans="1:3" ht="16.2" x14ac:dyDescent="0.35">
      <c r="A125" s="280" t="s">
        <v>11662</v>
      </c>
      <c r="B125" s="133" t="s">
        <v>11324</v>
      </c>
      <c r="C125" s="133" t="s">
        <v>11215</v>
      </c>
    </row>
    <row r="126" spans="1:3" x14ac:dyDescent="0.3">
      <c r="A126" s="136" t="s">
        <v>11663</v>
      </c>
      <c r="C126" t="s">
        <v>11664</v>
      </c>
    </row>
    <row r="127" spans="1:3" x14ac:dyDescent="0.3">
      <c r="A127" s="136" t="s">
        <v>11665</v>
      </c>
      <c r="C127" t="s">
        <v>11666</v>
      </c>
    </row>
    <row r="128" spans="1:3" x14ac:dyDescent="0.3">
      <c r="A128" s="136" t="s">
        <v>11667</v>
      </c>
      <c r="C128" t="s">
        <v>11668</v>
      </c>
    </row>
    <row r="129" spans="1:3" x14ac:dyDescent="0.3">
      <c r="A129" s="136" t="s">
        <v>11669</v>
      </c>
      <c r="C129" t="s">
        <v>11670</v>
      </c>
    </row>
    <row r="130" spans="1:3" x14ac:dyDescent="0.3">
      <c r="A130" s="136" t="s">
        <v>11671</v>
      </c>
      <c r="C130" t="s">
        <v>11672</v>
      </c>
    </row>
    <row r="131" spans="1:3" x14ac:dyDescent="0.3">
      <c r="A131" s="136" t="s">
        <v>11673</v>
      </c>
      <c r="C131" t="s">
        <v>11674</v>
      </c>
    </row>
    <row r="132" spans="1:3" x14ac:dyDescent="0.3">
      <c r="A132" s="136" t="s">
        <v>11675</v>
      </c>
      <c r="C132" t="s">
        <v>11676</v>
      </c>
    </row>
    <row r="133" spans="1:3" x14ac:dyDescent="0.3">
      <c r="A133" s="136" t="s">
        <v>11677</v>
      </c>
      <c r="C133" t="s">
        <v>11678</v>
      </c>
    </row>
    <row r="135" spans="1:3" ht="16.2" x14ac:dyDescent="0.35">
      <c r="A135" s="280" t="s">
        <v>11679</v>
      </c>
      <c r="B135" s="133" t="s">
        <v>11324</v>
      </c>
      <c r="C135" s="133" t="s">
        <v>11215</v>
      </c>
    </row>
    <row r="136" spans="1:3" x14ac:dyDescent="0.3">
      <c r="A136" s="142" t="s">
        <v>11680</v>
      </c>
      <c r="C136" t="s">
        <v>11681</v>
      </c>
    </row>
    <row r="137" spans="1:3" x14ac:dyDescent="0.3">
      <c r="A137" s="136" t="s">
        <v>11682</v>
      </c>
      <c r="C137" t="s">
        <v>11683</v>
      </c>
    </row>
    <row r="138" spans="1:3" x14ac:dyDescent="0.3">
      <c r="A138" s="136" t="s">
        <v>11684</v>
      </c>
      <c r="C138" t="s">
        <v>11685</v>
      </c>
    </row>
    <row r="139" spans="1:3" x14ac:dyDescent="0.3">
      <c r="A139" s="136" t="s">
        <v>11686</v>
      </c>
      <c r="C139" t="s">
        <v>11687</v>
      </c>
    </row>
    <row r="140" spans="1:3" x14ac:dyDescent="0.3">
      <c r="A140" s="136" t="s">
        <v>11688</v>
      </c>
      <c r="C140" t="s">
        <v>11689</v>
      </c>
    </row>
    <row r="141" spans="1:3" x14ac:dyDescent="0.3">
      <c r="A141" s="138" t="s">
        <v>11690</v>
      </c>
      <c r="C141" t="s">
        <v>11691</v>
      </c>
    </row>
    <row r="142" spans="1:3" x14ac:dyDescent="0.3">
      <c r="A142" s="154" t="s">
        <v>11692</v>
      </c>
      <c r="C142" t="s">
        <v>11693</v>
      </c>
    </row>
    <row r="143" spans="1:3" x14ac:dyDescent="0.3">
      <c r="A143" s="138" t="s">
        <v>11694</v>
      </c>
      <c r="C143" t="s">
        <v>11695</v>
      </c>
    </row>
    <row r="145" spans="1:5" ht="15.6" x14ac:dyDescent="0.3">
      <c r="A145" s="281" t="s">
        <v>11696</v>
      </c>
      <c r="B145" s="133" t="s">
        <v>11324</v>
      </c>
      <c r="C145" s="133" t="s">
        <v>11507</v>
      </c>
      <c r="D145" s="133" t="s">
        <v>11215</v>
      </c>
      <c r="E145" s="133" t="s">
        <v>11697</v>
      </c>
    </row>
    <row r="146" spans="1:5" x14ac:dyDescent="0.3">
      <c r="A146" s="142" t="s">
        <v>11698</v>
      </c>
      <c r="B146" t="s">
        <v>11236</v>
      </c>
      <c r="C146" t="s">
        <v>11508</v>
      </c>
      <c r="D146" t="s">
        <v>11699</v>
      </c>
      <c r="E146" t="s">
        <v>11700</v>
      </c>
    </row>
    <row r="147" spans="1:5" x14ac:dyDescent="0.3">
      <c r="A147" s="267" t="s">
        <v>11701</v>
      </c>
      <c r="B147" t="s">
        <v>11702</v>
      </c>
      <c r="C147" t="s">
        <v>11511</v>
      </c>
      <c r="D147" t="s">
        <v>11703</v>
      </c>
      <c r="E147" t="s">
        <v>11704</v>
      </c>
    </row>
    <row r="148" spans="1:5" x14ac:dyDescent="0.3">
      <c r="A148" s="156" t="s">
        <v>11705</v>
      </c>
      <c r="B148" t="s">
        <v>11706</v>
      </c>
      <c r="C148" t="s">
        <v>11519</v>
      </c>
      <c r="D148" t="s">
        <v>11707</v>
      </c>
      <c r="E148" t="s">
        <v>11708</v>
      </c>
    </row>
    <row r="149" spans="1:5" x14ac:dyDescent="0.3">
      <c r="A149" s="192" t="s">
        <v>11709</v>
      </c>
      <c r="B149" t="s">
        <v>11710</v>
      </c>
      <c r="C149" t="s">
        <v>11515</v>
      </c>
      <c r="D149" t="s">
        <v>11711</v>
      </c>
      <c r="E149" t="s">
        <v>11712</v>
      </c>
    </row>
    <row r="150" spans="1:5" x14ac:dyDescent="0.3">
      <c r="A150" s="154" t="s">
        <v>11713</v>
      </c>
      <c r="B150" t="s">
        <v>11714</v>
      </c>
      <c r="C150" t="s">
        <v>11715</v>
      </c>
      <c r="D150" t="s">
        <v>11716</v>
      </c>
      <c r="E150" t="s">
        <v>11717</v>
      </c>
    </row>
    <row r="151" spans="1:5" x14ac:dyDescent="0.3">
      <c r="A151" s="154" t="s">
        <v>11718</v>
      </c>
      <c r="B151" t="s">
        <v>11719</v>
      </c>
      <c r="C151" t="s">
        <v>11720</v>
      </c>
      <c r="D151" t="s">
        <v>11721</v>
      </c>
      <c r="E151" t="s">
        <v>11722</v>
      </c>
    </row>
    <row r="152" spans="1:5" x14ac:dyDescent="0.3">
      <c r="A152" s="138" t="s">
        <v>11694</v>
      </c>
      <c r="B152" t="s">
        <v>11723</v>
      </c>
      <c r="C152" t="s">
        <v>11724</v>
      </c>
      <c r="D152" t="s">
        <v>11725</v>
      </c>
      <c r="E152" t="s">
        <v>11726</v>
      </c>
    </row>
    <row r="153" spans="1:5" x14ac:dyDescent="0.3">
      <c r="A153" s="274" t="s">
        <v>11727</v>
      </c>
      <c r="B153" s="273" t="s">
        <v>11728</v>
      </c>
    </row>
    <row r="155" spans="1:5" ht="15.6" x14ac:dyDescent="0.3">
      <c r="A155" s="279" t="s">
        <v>11729</v>
      </c>
      <c r="B155" s="133" t="s">
        <v>11324</v>
      </c>
      <c r="C155" s="133" t="s">
        <v>11215</v>
      </c>
    </row>
    <row r="156" spans="1:5" x14ac:dyDescent="0.3">
      <c r="A156" s="136" t="s">
        <v>11730</v>
      </c>
      <c r="C156" t="s">
        <v>11731</v>
      </c>
    </row>
    <row r="157" spans="1:5" x14ac:dyDescent="0.3">
      <c r="A157" s="136" t="s">
        <v>11732</v>
      </c>
      <c r="C157" t="s">
        <v>11733</v>
      </c>
    </row>
    <row r="158" spans="1:5" x14ac:dyDescent="0.3">
      <c r="A158" s="136" t="s">
        <v>11734</v>
      </c>
      <c r="C158" t="s">
        <v>11735</v>
      </c>
    </row>
    <row r="159" spans="1:5" x14ac:dyDescent="0.3">
      <c r="A159" s="136" t="s">
        <v>11736</v>
      </c>
      <c r="C159" t="s">
        <v>11737</v>
      </c>
    </row>
    <row r="160" spans="1:5" x14ac:dyDescent="0.3">
      <c r="A160" s="136" t="s">
        <v>11738</v>
      </c>
      <c r="C160" t="s">
        <v>11739</v>
      </c>
    </row>
    <row r="161" spans="1:4" x14ac:dyDescent="0.3">
      <c r="A161" s="136" t="s">
        <v>11677</v>
      </c>
      <c r="C161" t="s">
        <v>11740</v>
      </c>
    </row>
    <row r="163" spans="1:4" ht="16.2" x14ac:dyDescent="0.35">
      <c r="A163" s="280" t="s">
        <v>11741</v>
      </c>
      <c r="B163" s="133" t="s">
        <v>11324</v>
      </c>
      <c r="C163" s="133" t="s">
        <v>11215</v>
      </c>
    </row>
    <row r="164" spans="1:4" x14ac:dyDescent="0.3">
      <c r="A164" s="154" t="s">
        <v>11742</v>
      </c>
      <c r="C164" t="s">
        <v>11743</v>
      </c>
    </row>
    <row r="165" spans="1:4" x14ac:dyDescent="0.3">
      <c r="A165" s="142" t="s">
        <v>11744</v>
      </c>
      <c r="C165" t="s">
        <v>11745</v>
      </c>
    </row>
    <row r="166" spans="1:4" x14ac:dyDescent="0.3">
      <c r="A166" s="142" t="s">
        <v>11746</v>
      </c>
      <c r="C166" t="s">
        <v>11747</v>
      </c>
    </row>
    <row r="167" spans="1:4" x14ac:dyDescent="0.3">
      <c r="A167" s="142" t="s">
        <v>11748</v>
      </c>
      <c r="C167" t="s">
        <v>11749</v>
      </c>
    </row>
    <row r="168" spans="1:4" x14ac:dyDescent="0.3">
      <c r="A168" s="142" t="s">
        <v>11750</v>
      </c>
      <c r="C168" t="s">
        <v>11751</v>
      </c>
    </row>
    <row r="169" spans="1:4" x14ac:dyDescent="0.3">
      <c r="A169" s="154" t="s">
        <v>11752</v>
      </c>
      <c r="C169" t="s">
        <v>11753</v>
      </c>
    </row>
    <row r="171" spans="1:4" ht="16.2" x14ac:dyDescent="0.35">
      <c r="A171" s="276" t="s">
        <v>11754</v>
      </c>
      <c r="B171" s="133" t="s">
        <v>11324</v>
      </c>
      <c r="C171" s="133" t="s">
        <v>11593</v>
      </c>
      <c r="D171" s="133" t="s">
        <v>11592</v>
      </c>
    </row>
    <row r="172" spans="1:4" x14ac:dyDescent="0.3">
      <c r="A172" s="138" t="s">
        <v>11755</v>
      </c>
      <c r="C172" t="s">
        <v>11756</v>
      </c>
      <c r="D172" t="s">
        <v>11757</v>
      </c>
    </row>
    <row r="173" spans="1:4" x14ac:dyDescent="0.3">
      <c r="A173" s="156" t="s">
        <v>11758</v>
      </c>
      <c r="C173" t="s">
        <v>11759</v>
      </c>
      <c r="D173" t="s">
        <v>11760</v>
      </c>
    </row>
    <row r="174" spans="1:4" x14ac:dyDescent="0.3">
      <c r="A174" s="156" t="s">
        <v>11761</v>
      </c>
      <c r="C174" t="s">
        <v>11762</v>
      </c>
      <c r="D174" t="s">
        <v>11763</v>
      </c>
    </row>
    <row r="175" spans="1:4" x14ac:dyDescent="0.3">
      <c r="A175" s="192" t="s">
        <v>11764</v>
      </c>
      <c r="C175" t="s">
        <v>11765</v>
      </c>
      <c r="D175" t="s">
        <v>11766</v>
      </c>
    </row>
    <row r="176" spans="1:4" x14ac:dyDescent="0.3">
      <c r="A176" s="267" t="s">
        <v>11767</v>
      </c>
      <c r="C176" t="s">
        <v>11768</v>
      </c>
      <c r="D176" t="s">
        <v>11769</v>
      </c>
    </row>
    <row r="177" spans="1:4" x14ac:dyDescent="0.3">
      <c r="A177" s="142" t="s">
        <v>11770</v>
      </c>
      <c r="C177" t="s">
        <v>11771</v>
      </c>
      <c r="D177" t="s">
        <v>11772</v>
      </c>
    </row>
    <row r="178" spans="1:4" x14ac:dyDescent="0.3">
      <c r="A178" s="142" t="s">
        <v>11773</v>
      </c>
      <c r="C178" t="s">
        <v>11774</v>
      </c>
      <c r="D178" t="s">
        <v>11775</v>
      </c>
    </row>
    <row r="179" spans="1:4" x14ac:dyDescent="0.3">
      <c r="A179" s="154" t="s">
        <v>11776</v>
      </c>
      <c r="C179" t="s">
        <v>11777</v>
      </c>
      <c r="D179" t="s">
        <v>11778</v>
      </c>
    </row>
    <row r="181" spans="1:4" ht="15.6" x14ac:dyDescent="0.3">
      <c r="A181" s="279" t="s">
        <v>11779</v>
      </c>
      <c r="B181" s="133" t="s">
        <v>11324</v>
      </c>
      <c r="C181" s="133" t="s">
        <v>11215</v>
      </c>
    </row>
    <row r="182" spans="1:4" x14ac:dyDescent="0.3">
      <c r="A182" s="136" t="s">
        <v>11780</v>
      </c>
      <c r="C182" t="s">
        <v>11781</v>
      </c>
    </row>
    <row r="183" spans="1:4" x14ac:dyDescent="0.3">
      <c r="A183" s="142" t="s">
        <v>11782</v>
      </c>
      <c r="C183" t="s">
        <v>11783</v>
      </c>
    </row>
    <row r="184" spans="1:4" x14ac:dyDescent="0.3">
      <c r="A184" s="136" t="s">
        <v>11784</v>
      </c>
      <c r="C184" t="s">
        <v>11785</v>
      </c>
    </row>
    <row r="185" spans="1:4" x14ac:dyDescent="0.3">
      <c r="A185" s="136" t="s">
        <v>11786</v>
      </c>
      <c r="C185" t="s">
        <v>11787</v>
      </c>
    </row>
    <row r="186" spans="1:4" x14ac:dyDescent="0.3">
      <c r="A186" s="219" t="s">
        <v>11788</v>
      </c>
      <c r="C186" t="s">
        <v>11789</v>
      </c>
    </row>
    <row r="187" spans="1:4" x14ac:dyDescent="0.3">
      <c r="A187" s="138" t="s">
        <v>11790</v>
      </c>
      <c r="C187" t="s">
        <v>11791</v>
      </c>
    </row>
    <row r="188" spans="1:4" x14ac:dyDescent="0.3">
      <c r="A188" s="138" t="s">
        <v>11792</v>
      </c>
      <c r="C188" t="s">
        <v>11793</v>
      </c>
    </row>
    <row r="189" spans="1:4" x14ac:dyDescent="0.3">
      <c r="A189" s="138" t="s">
        <v>11694</v>
      </c>
      <c r="C189" t="s">
        <v>11794</v>
      </c>
    </row>
    <row r="191" spans="1:4" x14ac:dyDescent="0.3">
      <c r="A191" s="288" t="s">
        <v>11906</v>
      </c>
    </row>
    <row r="193" spans="1:4" ht="15.6" x14ac:dyDescent="0.3">
      <c r="A193" s="169" t="s">
        <v>11907</v>
      </c>
      <c r="B193" s="133" t="s">
        <v>11324</v>
      </c>
      <c r="C193" s="133" t="s">
        <v>11215</v>
      </c>
      <c r="D193" s="133" t="s">
        <v>11908</v>
      </c>
    </row>
    <row r="194" spans="1:4" x14ac:dyDescent="0.3">
      <c r="A194" s="142" t="s">
        <v>11909</v>
      </c>
      <c r="C194" t="s">
        <v>11910</v>
      </c>
      <c r="D194" t="s">
        <v>11911</v>
      </c>
    </row>
    <row r="195" spans="1:4" x14ac:dyDescent="0.3">
      <c r="A195" s="156" t="s">
        <v>11912</v>
      </c>
      <c r="C195" t="s">
        <v>11913</v>
      </c>
      <c r="D195" t="s">
        <v>11914</v>
      </c>
    </row>
    <row r="196" spans="1:4" x14ac:dyDescent="0.3">
      <c r="A196" s="135" t="s">
        <v>11915</v>
      </c>
      <c r="C196" t="s">
        <v>11916</v>
      </c>
      <c r="D196" t="s">
        <v>11917</v>
      </c>
    </row>
    <row r="197" spans="1:4" x14ac:dyDescent="0.3">
      <c r="A197" s="138" t="s">
        <v>11918</v>
      </c>
      <c r="C197" t="s">
        <v>11919</v>
      </c>
      <c r="D197" t="s">
        <v>11920</v>
      </c>
    </row>
    <row r="199" spans="1:4" ht="15.6" x14ac:dyDescent="0.3">
      <c r="A199" s="169" t="s">
        <v>11921</v>
      </c>
      <c r="B199" s="133" t="s">
        <v>11324</v>
      </c>
      <c r="C199" s="133" t="s">
        <v>11215</v>
      </c>
      <c r="D199" s="133" t="s">
        <v>11922</v>
      </c>
    </row>
    <row r="200" spans="1:4" x14ac:dyDescent="0.3">
      <c r="A200" s="136" t="s">
        <v>11923</v>
      </c>
      <c r="C200" t="s">
        <v>11924</v>
      </c>
      <c r="D200" t="s">
        <v>11925</v>
      </c>
    </row>
    <row r="201" spans="1:4" x14ac:dyDescent="0.3">
      <c r="A201" s="136" t="s">
        <v>11926</v>
      </c>
      <c r="C201" t="s">
        <v>11927</v>
      </c>
      <c r="D201" t="s">
        <v>11928</v>
      </c>
    </row>
    <row r="202" spans="1:4" x14ac:dyDescent="0.3">
      <c r="A202" s="136" t="s">
        <v>11929</v>
      </c>
      <c r="C202" t="s">
        <v>11930</v>
      </c>
      <c r="D202" t="s">
        <v>11931</v>
      </c>
    </row>
    <row r="203" spans="1:4" x14ac:dyDescent="0.3">
      <c r="A203" s="136" t="s">
        <v>11932</v>
      </c>
      <c r="C203" t="s">
        <v>11933</v>
      </c>
      <c r="D203" t="s">
        <v>11934</v>
      </c>
    </row>
    <row r="204" spans="1:4" x14ac:dyDescent="0.3">
      <c r="A204" s="136" t="s">
        <v>11935</v>
      </c>
      <c r="C204" t="s">
        <v>11936</v>
      </c>
      <c r="D204" t="s">
        <v>11937</v>
      </c>
    </row>
    <row r="205" spans="1:4" x14ac:dyDescent="0.3">
      <c r="A205" s="138" t="s">
        <v>11938</v>
      </c>
      <c r="C205" t="s">
        <v>11939</v>
      </c>
      <c r="D205" t="s">
        <v>11940</v>
      </c>
    </row>
    <row r="207" spans="1:4" ht="16.2" x14ac:dyDescent="0.35">
      <c r="A207" s="276" t="s">
        <v>11941</v>
      </c>
      <c r="B207" s="133" t="s">
        <v>11324</v>
      </c>
      <c r="C207" s="133" t="s">
        <v>11215</v>
      </c>
      <c r="D207" s="133" t="s">
        <v>11942</v>
      </c>
    </row>
    <row r="208" spans="1:4" x14ac:dyDescent="0.3">
      <c r="A208" s="142" t="s">
        <v>11943</v>
      </c>
      <c r="C208" t="s">
        <v>11944</v>
      </c>
      <c r="D208" t="s">
        <v>11945</v>
      </c>
    </row>
    <row r="209" spans="1:4" x14ac:dyDescent="0.3">
      <c r="A209" s="136" t="s">
        <v>11946</v>
      </c>
      <c r="C209" t="s">
        <v>11947</v>
      </c>
      <c r="D209" t="s">
        <v>11948</v>
      </c>
    </row>
    <row r="210" spans="1:4" x14ac:dyDescent="0.3">
      <c r="A210" s="192" t="s">
        <v>11949</v>
      </c>
      <c r="C210" t="s">
        <v>11950</v>
      </c>
      <c r="D210" t="s">
        <v>11951</v>
      </c>
    </row>
    <row r="211" spans="1:4" x14ac:dyDescent="0.3">
      <c r="A211" s="154" t="s">
        <v>11952</v>
      </c>
      <c r="C211" t="s">
        <v>11953</v>
      </c>
      <c r="D211" t="s">
        <v>11954</v>
      </c>
    </row>
    <row r="212" spans="1:4" x14ac:dyDescent="0.3">
      <c r="A212" s="136" t="s">
        <v>10518</v>
      </c>
      <c r="C212" t="s">
        <v>11955</v>
      </c>
      <c r="D212" t="s">
        <v>11956</v>
      </c>
    </row>
    <row r="214" spans="1:4" ht="15.6" x14ac:dyDescent="0.3">
      <c r="A214" s="169" t="s">
        <v>11957</v>
      </c>
      <c r="B214" s="133" t="s">
        <v>11324</v>
      </c>
      <c r="C214" s="133" t="s">
        <v>11215</v>
      </c>
      <c r="D214" s="133" t="s">
        <v>11958</v>
      </c>
    </row>
    <row r="215" spans="1:4" x14ac:dyDescent="0.3">
      <c r="A215" s="142" t="s">
        <v>11959</v>
      </c>
      <c r="C215" t="s">
        <v>11960</v>
      </c>
      <c r="D215" t="s">
        <v>11961</v>
      </c>
    </row>
    <row r="216" spans="1:4" x14ac:dyDescent="0.3">
      <c r="A216" s="267" t="s">
        <v>11962</v>
      </c>
      <c r="C216" t="s">
        <v>11963</v>
      </c>
      <c r="D216" t="s">
        <v>11964</v>
      </c>
    </row>
    <row r="217" spans="1:4" x14ac:dyDescent="0.3">
      <c r="A217" s="156" t="s">
        <v>11965</v>
      </c>
      <c r="C217" t="s">
        <v>11966</v>
      </c>
      <c r="D217" t="s">
        <v>11967</v>
      </c>
    </row>
    <row r="218" spans="1:4" x14ac:dyDescent="0.3">
      <c r="A218" s="156" t="s">
        <v>11968</v>
      </c>
      <c r="C218" t="s">
        <v>11969</v>
      </c>
      <c r="D218" t="s">
        <v>11970</v>
      </c>
    </row>
    <row r="219" spans="1:4" x14ac:dyDescent="0.3">
      <c r="A219" s="192" t="s">
        <v>11971</v>
      </c>
      <c r="C219" t="s">
        <v>11972</v>
      </c>
      <c r="D219" t="s">
        <v>11973</v>
      </c>
    </row>
    <row r="220" spans="1:4" x14ac:dyDescent="0.3">
      <c r="A220" s="192" t="s">
        <v>11974</v>
      </c>
      <c r="C220" t="s">
        <v>11975</v>
      </c>
      <c r="D220" t="s">
        <v>11976</v>
      </c>
    </row>
    <row r="221" spans="1:4" x14ac:dyDescent="0.3">
      <c r="A221" s="138" t="s">
        <v>11977</v>
      </c>
      <c r="C221" t="s">
        <v>11978</v>
      </c>
      <c r="D221" t="s">
        <v>11979</v>
      </c>
    </row>
    <row r="223" spans="1:4" ht="15.6" x14ac:dyDescent="0.3">
      <c r="A223" s="169" t="s">
        <v>11980</v>
      </c>
      <c r="B223" s="133" t="s">
        <v>11324</v>
      </c>
      <c r="C223" s="133" t="s">
        <v>11215</v>
      </c>
      <c r="D223" s="150" t="s">
        <v>11981</v>
      </c>
    </row>
    <row r="224" spans="1:4" x14ac:dyDescent="0.3">
      <c r="A224" s="138" t="s">
        <v>11982</v>
      </c>
      <c r="C224" t="s">
        <v>11983</v>
      </c>
      <c r="D224" t="s">
        <v>11984</v>
      </c>
    </row>
    <row r="225" spans="1:4" x14ac:dyDescent="0.3">
      <c r="A225" s="142" t="s">
        <v>11985</v>
      </c>
      <c r="C225" t="s">
        <v>11986</v>
      </c>
      <c r="D225" t="s">
        <v>11987</v>
      </c>
    </row>
    <row r="226" spans="1:4" x14ac:dyDescent="0.3">
      <c r="A226" s="267" t="s">
        <v>11988</v>
      </c>
      <c r="C226" t="s">
        <v>11989</v>
      </c>
      <c r="D226" t="s">
        <v>11990</v>
      </c>
    </row>
    <row r="227" spans="1:4" x14ac:dyDescent="0.3">
      <c r="A227" s="154" t="s">
        <v>11991</v>
      </c>
      <c r="C227" t="s">
        <v>11992</v>
      </c>
      <c r="D227" t="s">
        <v>11993</v>
      </c>
    </row>
    <row r="228" spans="1:4" x14ac:dyDescent="0.3">
      <c r="A228" s="154" t="s">
        <v>11994</v>
      </c>
      <c r="C228" t="s">
        <v>11995</v>
      </c>
      <c r="D228" t="s">
        <v>11996</v>
      </c>
    </row>
    <row r="229" spans="1:4" x14ac:dyDescent="0.3">
      <c r="A229" s="138" t="s">
        <v>11997</v>
      </c>
      <c r="C229" t="s">
        <v>11998</v>
      </c>
      <c r="D229" t="s">
        <v>11999</v>
      </c>
    </row>
    <row r="231" spans="1:4" ht="15.6" x14ac:dyDescent="0.3">
      <c r="A231" s="281" t="s">
        <v>12000</v>
      </c>
      <c r="B231" s="133" t="s">
        <v>11324</v>
      </c>
      <c r="C231" s="133" t="s">
        <v>11215</v>
      </c>
      <c r="D231" s="133" t="s">
        <v>11942</v>
      </c>
    </row>
    <row r="232" spans="1:4" x14ac:dyDescent="0.3">
      <c r="A232" s="154" t="s">
        <v>12001</v>
      </c>
      <c r="C232" t="s">
        <v>12002</v>
      </c>
      <c r="D232" t="s">
        <v>12003</v>
      </c>
    </row>
    <row r="233" spans="1:4" x14ac:dyDescent="0.3">
      <c r="A233" s="156" t="s">
        <v>12004</v>
      </c>
      <c r="C233" t="s">
        <v>12005</v>
      </c>
      <c r="D233" t="s">
        <v>12006</v>
      </c>
    </row>
    <row r="234" spans="1:4" x14ac:dyDescent="0.3">
      <c r="A234" s="154" t="s">
        <v>12007</v>
      </c>
      <c r="C234" t="s">
        <v>12008</v>
      </c>
      <c r="D234" t="s">
        <v>12009</v>
      </c>
    </row>
    <row r="235" spans="1:4" x14ac:dyDescent="0.3">
      <c r="A235" s="154" t="s">
        <v>12010</v>
      </c>
      <c r="C235" t="s">
        <v>12011</v>
      </c>
      <c r="D235" t="s">
        <v>12012</v>
      </c>
    </row>
    <row r="236" spans="1:4" x14ac:dyDescent="0.3">
      <c r="A236" s="154" t="s">
        <v>2907</v>
      </c>
      <c r="C236" s="228" t="s">
        <v>12013</v>
      </c>
      <c r="D236" t="s">
        <v>12014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0705-35AC-468D-8459-CB38B31807C2}">
  <dimension ref="A1:E2782"/>
  <sheetViews>
    <sheetView tabSelected="1" topLeftCell="A528" workbookViewId="0">
      <selection sqref="A1:XFD1048576"/>
    </sheetView>
  </sheetViews>
  <sheetFormatPr defaultColWidth="40.33203125" defaultRowHeight="14.4" x14ac:dyDescent="0.3"/>
  <sheetData>
    <row r="1" spans="1:5" x14ac:dyDescent="0.3">
      <c r="A1" t="s">
        <v>10415</v>
      </c>
      <c r="B1" t="s">
        <v>10414</v>
      </c>
      <c r="C1" t="s">
        <v>6517</v>
      </c>
      <c r="D1" t="s">
        <v>6517</v>
      </c>
      <c r="E1" t="s">
        <v>6517</v>
      </c>
    </row>
    <row r="2" spans="1:5" x14ac:dyDescent="0.3">
      <c r="A2" t="s">
        <v>10413</v>
      </c>
      <c r="B2" t="s">
        <v>10412</v>
      </c>
      <c r="C2" t="s">
        <v>10411</v>
      </c>
      <c r="D2" t="s">
        <v>10410</v>
      </c>
      <c r="E2" t="s">
        <v>10409</v>
      </c>
    </row>
    <row r="3" spans="1:5" x14ac:dyDescent="0.3">
      <c r="A3" t="s">
        <v>14</v>
      </c>
      <c r="B3" t="s">
        <v>10408</v>
      </c>
      <c r="C3" t="s">
        <v>10408</v>
      </c>
      <c r="D3" t="s">
        <v>10407</v>
      </c>
      <c r="E3" t="s">
        <v>10406</v>
      </c>
    </row>
    <row r="4" spans="1:5" x14ac:dyDescent="0.3">
      <c r="A4" t="s">
        <v>14</v>
      </c>
      <c r="B4" t="s">
        <v>10405</v>
      </c>
      <c r="C4" t="s">
        <v>6517</v>
      </c>
      <c r="D4" t="s">
        <v>6517</v>
      </c>
      <c r="E4" t="s">
        <v>6517</v>
      </c>
    </row>
    <row r="5" spans="1:5" x14ac:dyDescent="0.3">
      <c r="A5" t="s">
        <v>14</v>
      </c>
      <c r="B5" t="s">
        <v>10404</v>
      </c>
      <c r="C5" t="s">
        <v>6517</v>
      </c>
      <c r="D5" t="s">
        <v>6517</v>
      </c>
      <c r="E5" t="s">
        <v>6517</v>
      </c>
    </row>
    <row r="6" spans="1:5" x14ac:dyDescent="0.3">
      <c r="A6" t="s">
        <v>14</v>
      </c>
      <c r="B6" t="s">
        <v>10403</v>
      </c>
      <c r="C6" t="s">
        <v>6517</v>
      </c>
      <c r="D6" t="s">
        <v>6517</v>
      </c>
      <c r="E6" t="s">
        <v>6517</v>
      </c>
    </row>
    <row r="7" spans="1:5" x14ac:dyDescent="0.3">
      <c r="A7" t="s">
        <v>14</v>
      </c>
      <c r="B7" t="s">
        <v>10402</v>
      </c>
      <c r="C7" t="s">
        <v>6517</v>
      </c>
      <c r="D7" t="s">
        <v>6517</v>
      </c>
      <c r="E7" t="s">
        <v>6517</v>
      </c>
    </row>
    <row r="8" spans="1:5" x14ac:dyDescent="0.3">
      <c r="A8" t="s">
        <v>24</v>
      </c>
      <c r="B8" t="s">
        <v>10401</v>
      </c>
      <c r="C8" t="s">
        <v>10401</v>
      </c>
      <c r="D8" t="s">
        <v>10400</v>
      </c>
      <c r="E8" t="s">
        <v>10399</v>
      </c>
    </row>
    <row r="9" spans="1:5" x14ac:dyDescent="0.3">
      <c r="A9" t="s">
        <v>24</v>
      </c>
      <c r="B9" t="s">
        <v>10398</v>
      </c>
      <c r="C9" t="s">
        <v>6517</v>
      </c>
      <c r="D9" t="s">
        <v>6517</v>
      </c>
      <c r="E9" t="s">
        <v>6517</v>
      </c>
    </row>
    <row r="10" spans="1:5" x14ac:dyDescent="0.3">
      <c r="A10" t="s">
        <v>24</v>
      </c>
      <c r="B10" t="s">
        <v>10397</v>
      </c>
      <c r="C10" t="s">
        <v>6517</v>
      </c>
      <c r="D10" t="s">
        <v>6517</v>
      </c>
      <c r="E10" t="s">
        <v>6517</v>
      </c>
    </row>
    <row r="11" spans="1:5" x14ac:dyDescent="0.3">
      <c r="A11" t="s">
        <v>24</v>
      </c>
      <c r="B11" t="s">
        <v>10396</v>
      </c>
      <c r="C11" t="s">
        <v>6517</v>
      </c>
      <c r="D11" t="s">
        <v>6517</v>
      </c>
      <c r="E11" t="s">
        <v>6517</v>
      </c>
    </row>
    <row r="12" spans="1:5" x14ac:dyDescent="0.3">
      <c r="A12" t="s">
        <v>24</v>
      </c>
      <c r="B12" t="s">
        <v>10395</v>
      </c>
      <c r="C12" t="s">
        <v>6517</v>
      </c>
      <c r="D12" t="s">
        <v>6517</v>
      </c>
      <c r="E12" t="s">
        <v>6517</v>
      </c>
    </row>
    <row r="13" spans="1:5" x14ac:dyDescent="0.3">
      <c r="A13" t="s">
        <v>33</v>
      </c>
      <c r="B13" t="s">
        <v>10394</v>
      </c>
      <c r="C13" t="s">
        <v>10394</v>
      </c>
      <c r="D13" t="s">
        <v>10393</v>
      </c>
      <c r="E13" t="s">
        <v>10392</v>
      </c>
    </row>
    <row r="14" spans="1:5" x14ac:dyDescent="0.3">
      <c r="A14" t="s">
        <v>33</v>
      </c>
      <c r="B14" t="s">
        <v>10391</v>
      </c>
      <c r="C14" t="s">
        <v>6517</v>
      </c>
      <c r="D14" t="s">
        <v>6517</v>
      </c>
      <c r="E14" t="s">
        <v>6517</v>
      </c>
    </row>
    <row r="15" spans="1:5" x14ac:dyDescent="0.3">
      <c r="A15" t="s">
        <v>33</v>
      </c>
      <c r="B15" t="s">
        <v>10390</v>
      </c>
      <c r="C15" t="s">
        <v>6517</v>
      </c>
      <c r="D15" t="s">
        <v>6517</v>
      </c>
      <c r="E15" t="s">
        <v>6517</v>
      </c>
    </row>
    <row r="16" spans="1:5" x14ac:dyDescent="0.3">
      <c r="A16" t="s">
        <v>33</v>
      </c>
      <c r="B16" t="s">
        <v>10389</v>
      </c>
      <c r="C16" t="s">
        <v>6517</v>
      </c>
      <c r="D16" t="s">
        <v>6517</v>
      </c>
      <c r="E16" t="s">
        <v>6517</v>
      </c>
    </row>
    <row r="17" spans="1:5" x14ac:dyDescent="0.3">
      <c r="A17" t="s">
        <v>33</v>
      </c>
      <c r="B17" t="s">
        <v>10388</v>
      </c>
      <c r="C17" t="s">
        <v>6517</v>
      </c>
      <c r="D17" t="s">
        <v>6517</v>
      </c>
      <c r="E17" t="s">
        <v>6517</v>
      </c>
    </row>
    <row r="18" spans="1:5" x14ac:dyDescent="0.3">
      <c r="A18" t="s">
        <v>43</v>
      </c>
      <c r="B18" t="s">
        <v>10387</v>
      </c>
      <c r="C18" t="s">
        <v>10387</v>
      </c>
      <c r="D18" t="s">
        <v>10386</v>
      </c>
      <c r="E18" t="s">
        <v>10385</v>
      </c>
    </row>
    <row r="19" spans="1:5" x14ac:dyDescent="0.3">
      <c r="A19" t="s">
        <v>43</v>
      </c>
      <c r="B19" t="s">
        <v>10384</v>
      </c>
      <c r="C19" t="s">
        <v>6517</v>
      </c>
      <c r="D19" t="s">
        <v>6517</v>
      </c>
      <c r="E19" t="s">
        <v>6517</v>
      </c>
    </row>
    <row r="20" spans="1:5" x14ac:dyDescent="0.3">
      <c r="A20" t="s">
        <v>43</v>
      </c>
      <c r="B20" t="s">
        <v>10383</v>
      </c>
      <c r="C20" t="s">
        <v>6517</v>
      </c>
      <c r="D20" t="s">
        <v>6517</v>
      </c>
      <c r="E20" t="s">
        <v>6517</v>
      </c>
    </row>
    <row r="21" spans="1:5" x14ac:dyDescent="0.3">
      <c r="A21" t="s">
        <v>43</v>
      </c>
      <c r="B21" t="s">
        <v>10382</v>
      </c>
      <c r="C21" t="s">
        <v>6517</v>
      </c>
      <c r="D21" t="s">
        <v>6517</v>
      </c>
      <c r="E21" t="s">
        <v>6517</v>
      </c>
    </row>
    <row r="22" spans="1:5" x14ac:dyDescent="0.3">
      <c r="A22" t="s">
        <v>43</v>
      </c>
      <c r="B22" t="s">
        <v>10381</v>
      </c>
      <c r="C22" t="s">
        <v>6517</v>
      </c>
      <c r="D22" t="s">
        <v>6517</v>
      </c>
      <c r="E22" t="s">
        <v>6517</v>
      </c>
    </row>
    <row r="23" spans="1:5" x14ac:dyDescent="0.3">
      <c r="A23" t="s">
        <v>52</v>
      </c>
      <c r="B23" t="s">
        <v>10380</v>
      </c>
      <c r="C23" t="s">
        <v>10380</v>
      </c>
      <c r="D23" t="s">
        <v>10379</v>
      </c>
      <c r="E23" t="s">
        <v>10378</v>
      </c>
    </row>
    <row r="24" spans="1:5" x14ac:dyDescent="0.3">
      <c r="A24" t="s">
        <v>52</v>
      </c>
      <c r="B24" t="s">
        <v>10377</v>
      </c>
      <c r="C24" t="s">
        <v>6517</v>
      </c>
      <c r="D24" t="s">
        <v>6517</v>
      </c>
      <c r="E24" t="s">
        <v>6517</v>
      </c>
    </row>
    <row r="25" spans="1:5" x14ac:dyDescent="0.3">
      <c r="A25" t="s">
        <v>52</v>
      </c>
      <c r="B25" t="s">
        <v>10376</v>
      </c>
      <c r="C25" t="s">
        <v>6517</v>
      </c>
      <c r="D25" t="s">
        <v>6517</v>
      </c>
      <c r="E25" t="s">
        <v>6517</v>
      </c>
    </row>
    <row r="26" spans="1:5" x14ac:dyDescent="0.3">
      <c r="A26" t="s">
        <v>52</v>
      </c>
      <c r="B26" t="s">
        <v>10375</v>
      </c>
      <c r="C26" t="s">
        <v>6517</v>
      </c>
      <c r="D26" t="s">
        <v>6517</v>
      </c>
      <c r="E26" t="s">
        <v>6517</v>
      </c>
    </row>
    <row r="27" spans="1:5" x14ac:dyDescent="0.3">
      <c r="A27" t="s">
        <v>52</v>
      </c>
      <c r="B27" t="s">
        <v>10374</v>
      </c>
      <c r="C27" t="s">
        <v>6517</v>
      </c>
      <c r="D27" t="s">
        <v>6517</v>
      </c>
      <c r="E27" t="s">
        <v>6517</v>
      </c>
    </row>
    <row r="28" spans="1:5" x14ac:dyDescent="0.3">
      <c r="A28" t="s">
        <v>60</v>
      </c>
      <c r="B28" t="s">
        <v>10373</v>
      </c>
      <c r="C28" t="s">
        <v>10373</v>
      </c>
      <c r="D28" t="s">
        <v>10372</v>
      </c>
      <c r="E28" t="s">
        <v>10371</v>
      </c>
    </row>
    <row r="29" spans="1:5" x14ac:dyDescent="0.3">
      <c r="A29" t="s">
        <v>60</v>
      </c>
      <c r="B29" t="s">
        <v>10370</v>
      </c>
      <c r="C29" t="s">
        <v>6517</v>
      </c>
      <c r="D29" t="s">
        <v>6517</v>
      </c>
      <c r="E29" t="s">
        <v>6517</v>
      </c>
    </row>
    <row r="30" spans="1:5" x14ac:dyDescent="0.3">
      <c r="A30" t="s">
        <v>60</v>
      </c>
      <c r="B30" t="s">
        <v>10369</v>
      </c>
      <c r="C30" t="s">
        <v>6517</v>
      </c>
      <c r="D30" t="s">
        <v>6517</v>
      </c>
      <c r="E30" t="s">
        <v>6517</v>
      </c>
    </row>
    <row r="31" spans="1:5" x14ac:dyDescent="0.3">
      <c r="A31" t="s">
        <v>60</v>
      </c>
      <c r="B31" t="s">
        <v>10368</v>
      </c>
      <c r="C31" t="s">
        <v>6517</v>
      </c>
      <c r="D31" t="s">
        <v>6517</v>
      </c>
      <c r="E31" t="s">
        <v>6517</v>
      </c>
    </row>
    <row r="32" spans="1:5" x14ac:dyDescent="0.3">
      <c r="A32" t="s">
        <v>60</v>
      </c>
      <c r="B32" t="s">
        <v>10367</v>
      </c>
      <c r="C32" t="s">
        <v>6517</v>
      </c>
      <c r="D32" t="s">
        <v>6517</v>
      </c>
      <c r="E32" t="s">
        <v>6517</v>
      </c>
    </row>
    <row r="33" spans="1:5" x14ac:dyDescent="0.3">
      <c r="A33" t="s">
        <v>69</v>
      </c>
      <c r="B33" t="s">
        <v>10366</v>
      </c>
      <c r="C33" t="s">
        <v>10366</v>
      </c>
      <c r="D33" t="s">
        <v>10365</v>
      </c>
      <c r="E33" t="s">
        <v>10364</v>
      </c>
    </row>
    <row r="34" spans="1:5" x14ac:dyDescent="0.3">
      <c r="A34" t="s">
        <v>69</v>
      </c>
      <c r="B34" t="s">
        <v>10363</v>
      </c>
      <c r="C34" t="s">
        <v>6517</v>
      </c>
      <c r="D34" t="s">
        <v>6517</v>
      </c>
      <c r="E34" t="s">
        <v>6517</v>
      </c>
    </row>
    <row r="35" spans="1:5" x14ac:dyDescent="0.3">
      <c r="A35" t="s">
        <v>69</v>
      </c>
      <c r="B35" t="s">
        <v>10362</v>
      </c>
      <c r="C35" t="s">
        <v>6517</v>
      </c>
      <c r="D35" t="s">
        <v>6517</v>
      </c>
      <c r="E35" t="s">
        <v>6517</v>
      </c>
    </row>
    <row r="36" spans="1:5" x14ac:dyDescent="0.3">
      <c r="A36" t="s">
        <v>69</v>
      </c>
      <c r="B36" t="s">
        <v>10361</v>
      </c>
      <c r="C36" t="s">
        <v>6517</v>
      </c>
      <c r="D36" t="s">
        <v>6517</v>
      </c>
      <c r="E36" t="s">
        <v>6517</v>
      </c>
    </row>
    <row r="37" spans="1:5" x14ac:dyDescent="0.3">
      <c r="A37" t="s">
        <v>69</v>
      </c>
      <c r="B37" t="s">
        <v>10360</v>
      </c>
      <c r="C37" t="s">
        <v>6517</v>
      </c>
      <c r="D37" t="s">
        <v>6517</v>
      </c>
      <c r="E37" t="s">
        <v>6517</v>
      </c>
    </row>
    <row r="38" spans="1:5" x14ac:dyDescent="0.3">
      <c r="A38" t="s">
        <v>78</v>
      </c>
      <c r="B38" t="s">
        <v>10359</v>
      </c>
      <c r="C38" t="s">
        <v>10359</v>
      </c>
      <c r="D38" t="s">
        <v>10358</v>
      </c>
      <c r="E38" t="s">
        <v>10357</v>
      </c>
    </row>
    <row r="39" spans="1:5" x14ac:dyDescent="0.3">
      <c r="A39" t="s">
        <v>78</v>
      </c>
      <c r="B39" t="s">
        <v>10356</v>
      </c>
      <c r="C39" t="s">
        <v>6517</v>
      </c>
      <c r="D39" t="s">
        <v>6517</v>
      </c>
      <c r="E39" t="s">
        <v>6517</v>
      </c>
    </row>
    <row r="40" spans="1:5" x14ac:dyDescent="0.3">
      <c r="A40" t="s">
        <v>78</v>
      </c>
      <c r="B40" t="s">
        <v>10355</v>
      </c>
      <c r="C40" t="s">
        <v>6517</v>
      </c>
      <c r="D40" t="s">
        <v>6517</v>
      </c>
      <c r="E40" t="s">
        <v>6517</v>
      </c>
    </row>
    <row r="41" spans="1:5" x14ac:dyDescent="0.3">
      <c r="A41" t="s">
        <v>78</v>
      </c>
      <c r="B41" t="s">
        <v>10354</v>
      </c>
      <c r="C41" t="s">
        <v>6517</v>
      </c>
      <c r="D41" t="s">
        <v>6517</v>
      </c>
      <c r="E41" t="s">
        <v>6517</v>
      </c>
    </row>
    <row r="42" spans="1:5" x14ac:dyDescent="0.3">
      <c r="A42" t="s">
        <v>78</v>
      </c>
      <c r="B42" t="s">
        <v>10353</v>
      </c>
      <c r="C42" t="s">
        <v>6517</v>
      </c>
      <c r="D42" t="s">
        <v>6517</v>
      </c>
      <c r="E42" t="s">
        <v>6517</v>
      </c>
    </row>
    <row r="43" spans="1:5" x14ac:dyDescent="0.3">
      <c r="A43" t="s">
        <v>84</v>
      </c>
      <c r="B43" t="s">
        <v>10352</v>
      </c>
      <c r="C43" t="s">
        <v>10352</v>
      </c>
      <c r="D43" t="s">
        <v>10351</v>
      </c>
      <c r="E43" t="s">
        <v>10350</v>
      </c>
    </row>
    <row r="44" spans="1:5" x14ac:dyDescent="0.3">
      <c r="A44" t="s">
        <v>84</v>
      </c>
      <c r="B44" t="s">
        <v>10349</v>
      </c>
      <c r="C44" t="s">
        <v>6517</v>
      </c>
      <c r="D44" t="s">
        <v>6517</v>
      </c>
      <c r="E44" t="s">
        <v>6517</v>
      </c>
    </row>
    <row r="45" spans="1:5" x14ac:dyDescent="0.3">
      <c r="A45" t="s">
        <v>84</v>
      </c>
      <c r="B45" t="s">
        <v>10348</v>
      </c>
      <c r="C45" t="s">
        <v>6517</v>
      </c>
      <c r="D45" t="s">
        <v>6517</v>
      </c>
      <c r="E45" t="s">
        <v>6517</v>
      </c>
    </row>
    <row r="46" spans="1:5" x14ac:dyDescent="0.3">
      <c r="A46" t="s">
        <v>84</v>
      </c>
      <c r="B46" t="s">
        <v>10347</v>
      </c>
      <c r="C46" t="s">
        <v>6517</v>
      </c>
      <c r="D46" t="s">
        <v>6517</v>
      </c>
      <c r="E46" t="s">
        <v>6517</v>
      </c>
    </row>
    <row r="47" spans="1:5" x14ac:dyDescent="0.3">
      <c r="A47" t="s">
        <v>84</v>
      </c>
      <c r="B47" t="s">
        <v>10346</v>
      </c>
      <c r="C47" t="s">
        <v>6517</v>
      </c>
      <c r="D47" t="s">
        <v>6517</v>
      </c>
      <c r="E47" t="s">
        <v>6517</v>
      </c>
    </row>
    <row r="48" spans="1:5" x14ac:dyDescent="0.3">
      <c r="A48" t="s">
        <v>92</v>
      </c>
      <c r="B48" t="s">
        <v>10345</v>
      </c>
      <c r="C48" t="s">
        <v>10345</v>
      </c>
      <c r="D48" t="s">
        <v>10344</v>
      </c>
      <c r="E48" t="s">
        <v>10343</v>
      </c>
    </row>
    <row r="49" spans="1:5" x14ac:dyDescent="0.3">
      <c r="A49" t="s">
        <v>92</v>
      </c>
      <c r="B49" t="s">
        <v>10342</v>
      </c>
      <c r="C49" t="s">
        <v>6517</v>
      </c>
      <c r="D49" t="s">
        <v>6517</v>
      </c>
      <c r="E49" t="s">
        <v>6517</v>
      </c>
    </row>
    <row r="50" spans="1:5" x14ac:dyDescent="0.3">
      <c r="A50" t="s">
        <v>92</v>
      </c>
      <c r="B50" t="s">
        <v>10341</v>
      </c>
      <c r="C50" t="s">
        <v>6517</v>
      </c>
      <c r="D50" t="s">
        <v>6517</v>
      </c>
      <c r="E50" t="s">
        <v>6517</v>
      </c>
    </row>
    <row r="51" spans="1:5" x14ac:dyDescent="0.3">
      <c r="A51" t="s">
        <v>92</v>
      </c>
      <c r="B51" t="s">
        <v>10340</v>
      </c>
      <c r="C51" t="s">
        <v>6517</v>
      </c>
      <c r="D51" t="s">
        <v>6517</v>
      </c>
      <c r="E51" t="s">
        <v>6517</v>
      </c>
    </row>
    <row r="52" spans="1:5" x14ac:dyDescent="0.3">
      <c r="A52" t="s">
        <v>92</v>
      </c>
      <c r="B52" t="s">
        <v>10339</v>
      </c>
      <c r="C52" t="s">
        <v>6517</v>
      </c>
      <c r="D52" t="s">
        <v>6517</v>
      </c>
      <c r="E52" t="s">
        <v>6517</v>
      </c>
    </row>
    <row r="53" spans="1:5" x14ac:dyDescent="0.3">
      <c r="A53" t="s">
        <v>98</v>
      </c>
      <c r="B53" t="s">
        <v>10338</v>
      </c>
      <c r="C53" t="s">
        <v>10338</v>
      </c>
      <c r="D53" t="s">
        <v>10337</v>
      </c>
      <c r="E53" t="s">
        <v>10336</v>
      </c>
    </row>
    <row r="54" spans="1:5" x14ac:dyDescent="0.3">
      <c r="A54" t="s">
        <v>98</v>
      </c>
      <c r="B54" t="s">
        <v>10335</v>
      </c>
      <c r="C54" t="s">
        <v>6517</v>
      </c>
      <c r="D54" t="s">
        <v>6517</v>
      </c>
      <c r="E54" t="s">
        <v>6517</v>
      </c>
    </row>
    <row r="55" spans="1:5" x14ac:dyDescent="0.3">
      <c r="A55" t="s">
        <v>98</v>
      </c>
      <c r="B55" t="s">
        <v>10334</v>
      </c>
      <c r="C55" t="s">
        <v>6517</v>
      </c>
      <c r="D55" t="s">
        <v>6517</v>
      </c>
      <c r="E55" t="s">
        <v>6517</v>
      </c>
    </row>
    <row r="56" spans="1:5" x14ac:dyDescent="0.3">
      <c r="A56" t="s">
        <v>98</v>
      </c>
      <c r="B56" t="s">
        <v>10333</v>
      </c>
      <c r="C56" t="s">
        <v>6517</v>
      </c>
      <c r="D56" t="s">
        <v>6517</v>
      </c>
      <c r="E56" t="s">
        <v>6517</v>
      </c>
    </row>
    <row r="57" spans="1:5" x14ac:dyDescent="0.3">
      <c r="A57" t="s">
        <v>98</v>
      </c>
      <c r="B57" t="s">
        <v>10332</v>
      </c>
      <c r="C57" t="s">
        <v>6517</v>
      </c>
      <c r="D57" t="s">
        <v>6517</v>
      </c>
      <c r="E57" t="s">
        <v>6517</v>
      </c>
    </row>
    <row r="58" spans="1:5" x14ac:dyDescent="0.3">
      <c r="A58" t="s">
        <v>105</v>
      </c>
      <c r="B58" t="s">
        <v>10331</v>
      </c>
      <c r="C58" t="s">
        <v>10331</v>
      </c>
      <c r="D58" t="s">
        <v>10330</v>
      </c>
      <c r="E58" t="s">
        <v>10329</v>
      </c>
    </row>
    <row r="59" spans="1:5" x14ac:dyDescent="0.3">
      <c r="A59" t="s">
        <v>105</v>
      </c>
      <c r="B59" t="s">
        <v>10328</v>
      </c>
      <c r="C59" t="s">
        <v>6517</v>
      </c>
      <c r="D59" t="s">
        <v>6517</v>
      </c>
      <c r="E59" t="s">
        <v>6517</v>
      </c>
    </row>
    <row r="60" spans="1:5" x14ac:dyDescent="0.3">
      <c r="A60" t="s">
        <v>105</v>
      </c>
      <c r="B60" t="s">
        <v>10327</v>
      </c>
      <c r="C60" t="s">
        <v>6517</v>
      </c>
      <c r="D60" t="s">
        <v>6517</v>
      </c>
      <c r="E60" t="s">
        <v>6517</v>
      </c>
    </row>
    <row r="61" spans="1:5" x14ac:dyDescent="0.3">
      <c r="A61" t="s">
        <v>105</v>
      </c>
      <c r="B61" t="s">
        <v>10326</v>
      </c>
      <c r="C61" t="s">
        <v>6517</v>
      </c>
      <c r="D61" t="s">
        <v>6517</v>
      </c>
      <c r="E61" t="s">
        <v>6517</v>
      </c>
    </row>
    <row r="62" spans="1:5" x14ac:dyDescent="0.3">
      <c r="A62" t="s">
        <v>105</v>
      </c>
      <c r="B62" t="s">
        <v>10325</v>
      </c>
      <c r="C62" t="s">
        <v>6517</v>
      </c>
      <c r="D62" t="s">
        <v>6517</v>
      </c>
      <c r="E62" t="s">
        <v>6517</v>
      </c>
    </row>
    <row r="63" spans="1:5" x14ac:dyDescent="0.3">
      <c r="A63" t="s">
        <v>114</v>
      </c>
      <c r="B63" t="s">
        <v>10324</v>
      </c>
      <c r="C63" t="s">
        <v>10324</v>
      </c>
      <c r="D63" t="s">
        <v>10323</v>
      </c>
      <c r="E63" t="s">
        <v>10322</v>
      </c>
    </row>
    <row r="64" spans="1:5" x14ac:dyDescent="0.3">
      <c r="A64" t="s">
        <v>114</v>
      </c>
      <c r="B64" t="s">
        <v>10321</v>
      </c>
      <c r="C64" t="s">
        <v>6517</v>
      </c>
      <c r="D64" t="s">
        <v>6517</v>
      </c>
      <c r="E64" t="s">
        <v>6517</v>
      </c>
    </row>
    <row r="65" spans="1:5" x14ac:dyDescent="0.3">
      <c r="A65" t="s">
        <v>114</v>
      </c>
      <c r="B65" t="s">
        <v>10320</v>
      </c>
      <c r="C65" t="s">
        <v>6517</v>
      </c>
      <c r="D65" t="s">
        <v>6517</v>
      </c>
      <c r="E65" t="s">
        <v>6517</v>
      </c>
    </row>
    <row r="66" spans="1:5" x14ac:dyDescent="0.3">
      <c r="A66" t="s">
        <v>114</v>
      </c>
      <c r="B66" t="s">
        <v>10319</v>
      </c>
      <c r="C66" t="s">
        <v>6517</v>
      </c>
      <c r="D66" t="s">
        <v>6517</v>
      </c>
      <c r="E66" t="s">
        <v>6517</v>
      </c>
    </row>
    <row r="67" spans="1:5" x14ac:dyDescent="0.3">
      <c r="A67" t="s">
        <v>114</v>
      </c>
      <c r="B67" t="s">
        <v>10318</v>
      </c>
      <c r="C67" t="s">
        <v>6517</v>
      </c>
      <c r="D67" t="s">
        <v>6517</v>
      </c>
      <c r="E67" t="s">
        <v>6517</v>
      </c>
    </row>
    <row r="68" spans="1:5" x14ac:dyDescent="0.3">
      <c r="A68" t="s">
        <v>123</v>
      </c>
      <c r="B68" t="s">
        <v>10317</v>
      </c>
      <c r="C68" t="s">
        <v>10317</v>
      </c>
      <c r="D68" t="s">
        <v>10316</v>
      </c>
      <c r="E68" t="s">
        <v>10315</v>
      </c>
    </row>
    <row r="69" spans="1:5" x14ac:dyDescent="0.3">
      <c r="A69" t="s">
        <v>123</v>
      </c>
      <c r="B69" t="s">
        <v>10314</v>
      </c>
      <c r="C69" t="s">
        <v>6517</v>
      </c>
      <c r="D69" t="s">
        <v>6517</v>
      </c>
      <c r="E69" t="s">
        <v>6517</v>
      </c>
    </row>
    <row r="70" spans="1:5" x14ac:dyDescent="0.3">
      <c r="A70" t="s">
        <v>123</v>
      </c>
      <c r="B70" t="s">
        <v>10313</v>
      </c>
      <c r="C70" t="s">
        <v>6517</v>
      </c>
      <c r="D70" t="s">
        <v>6517</v>
      </c>
      <c r="E70" t="s">
        <v>6517</v>
      </c>
    </row>
    <row r="71" spans="1:5" x14ac:dyDescent="0.3">
      <c r="A71" t="s">
        <v>123</v>
      </c>
      <c r="B71" t="s">
        <v>10312</v>
      </c>
      <c r="C71" t="s">
        <v>6517</v>
      </c>
      <c r="D71" t="s">
        <v>6517</v>
      </c>
      <c r="E71" t="s">
        <v>6517</v>
      </c>
    </row>
    <row r="72" spans="1:5" x14ac:dyDescent="0.3">
      <c r="A72" t="s">
        <v>123</v>
      </c>
      <c r="B72" t="s">
        <v>10311</v>
      </c>
      <c r="C72" t="s">
        <v>6517</v>
      </c>
      <c r="D72" t="s">
        <v>6517</v>
      </c>
      <c r="E72" t="s">
        <v>6517</v>
      </c>
    </row>
    <row r="73" spans="1:5" x14ac:dyDescent="0.3">
      <c r="A73" t="s">
        <v>131</v>
      </c>
      <c r="B73" t="s">
        <v>10310</v>
      </c>
      <c r="C73" t="s">
        <v>10310</v>
      </c>
      <c r="D73" t="s">
        <v>10309</v>
      </c>
      <c r="E73" t="s">
        <v>10308</v>
      </c>
    </row>
    <row r="74" spans="1:5" x14ac:dyDescent="0.3">
      <c r="A74" t="s">
        <v>131</v>
      </c>
      <c r="B74" t="s">
        <v>10307</v>
      </c>
      <c r="C74" t="s">
        <v>6517</v>
      </c>
      <c r="D74" t="s">
        <v>6517</v>
      </c>
      <c r="E74" t="s">
        <v>6517</v>
      </c>
    </row>
    <row r="75" spans="1:5" x14ac:dyDescent="0.3">
      <c r="A75" t="s">
        <v>131</v>
      </c>
      <c r="B75" t="s">
        <v>10306</v>
      </c>
      <c r="C75" t="s">
        <v>6517</v>
      </c>
      <c r="D75" t="s">
        <v>6517</v>
      </c>
      <c r="E75" t="s">
        <v>6517</v>
      </c>
    </row>
    <row r="76" spans="1:5" x14ac:dyDescent="0.3">
      <c r="A76" t="s">
        <v>131</v>
      </c>
      <c r="B76" t="s">
        <v>10305</v>
      </c>
      <c r="C76" t="s">
        <v>6517</v>
      </c>
      <c r="D76" t="s">
        <v>6517</v>
      </c>
      <c r="E76" t="s">
        <v>6517</v>
      </c>
    </row>
    <row r="77" spans="1:5" x14ac:dyDescent="0.3">
      <c r="A77" t="s">
        <v>131</v>
      </c>
      <c r="B77" t="s">
        <v>10304</v>
      </c>
      <c r="C77" t="s">
        <v>6517</v>
      </c>
      <c r="D77" t="s">
        <v>6517</v>
      </c>
      <c r="E77" t="s">
        <v>6517</v>
      </c>
    </row>
    <row r="78" spans="1:5" x14ac:dyDescent="0.3">
      <c r="A78" t="s">
        <v>138</v>
      </c>
      <c r="B78" t="s">
        <v>10303</v>
      </c>
      <c r="C78" t="s">
        <v>10303</v>
      </c>
      <c r="D78" t="s">
        <v>10302</v>
      </c>
      <c r="E78" t="s">
        <v>10301</v>
      </c>
    </row>
    <row r="79" spans="1:5" x14ac:dyDescent="0.3">
      <c r="A79" t="s">
        <v>138</v>
      </c>
      <c r="B79" t="s">
        <v>10300</v>
      </c>
      <c r="C79" t="s">
        <v>6517</v>
      </c>
      <c r="D79" t="s">
        <v>6517</v>
      </c>
      <c r="E79" t="s">
        <v>6517</v>
      </c>
    </row>
    <row r="80" spans="1:5" x14ac:dyDescent="0.3">
      <c r="A80" t="s">
        <v>138</v>
      </c>
      <c r="B80" t="s">
        <v>10299</v>
      </c>
      <c r="C80" t="s">
        <v>6517</v>
      </c>
      <c r="D80" t="s">
        <v>6517</v>
      </c>
      <c r="E80" t="s">
        <v>6517</v>
      </c>
    </row>
    <row r="81" spans="1:5" x14ac:dyDescent="0.3">
      <c r="A81" t="s">
        <v>138</v>
      </c>
      <c r="B81" t="s">
        <v>10298</v>
      </c>
      <c r="C81" t="s">
        <v>6517</v>
      </c>
      <c r="D81" t="s">
        <v>6517</v>
      </c>
      <c r="E81" t="s">
        <v>6517</v>
      </c>
    </row>
    <row r="82" spans="1:5" x14ac:dyDescent="0.3">
      <c r="A82" t="s">
        <v>138</v>
      </c>
      <c r="B82" t="s">
        <v>10297</v>
      </c>
      <c r="C82" t="s">
        <v>6517</v>
      </c>
      <c r="D82" t="s">
        <v>6517</v>
      </c>
      <c r="E82" t="s">
        <v>6517</v>
      </c>
    </row>
    <row r="83" spans="1:5" x14ac:dyDescent="0.3">
      <c r="A83" t="s">
        <v>144</v>
      </c>
      <c r="B83" t="s">
        <v>10296</v>
      </c>
      <c r="C83" t="s">
        <v>10296</v>
      </c>
      <c r="D83" t="s">
        <v>10295</v>
      </c>
      <c r="E83" t="s">
        <v>10294</v>
      </c>
    </row>
    <row r="84" spans="1:5" x14ac:dyDescent="0.3">
      <c r="A84" t="s">
        <v>144</v>
      </c>
      <c r="B84" t="s">
        <v>10293</v>
      </c>
      <c r="C84" t="s">
        <v>6517</v>
      </c>
      <c r="D84" t="s">
        <v>6517</v>
      </c>
      <c r="E84" t="s">
        <v>6517</v>
      </c>
    </row>
    <row r="85" spans="1:5" x14ac:dyDescent="0.3">
      <c r="A85" t="s">
        <v>144</v>
      </c>
      <c r="B85" t="s">
        <v>10292</v>
      </c>
      <c r="C85" t="s">
        <v>6517</v>
      </c>
      <c r="D85" t="s">
        <v>6517</v>
      </c>
      <c r="E85" t="s">
        <v>6517</v>
      </c>
    </row>
    <row r="86" spans="1:5" x14ac:dyDescent="0.3">
      <c r="A86" t="s">
        <v>144</v>
      </c>
      <c r="B86" t="s">
        <v>10291</v>
      </c>
      <c r="C86" t="s">
        <v>6517</v>
      </c>
      <c r="D86" t="s">
        <v>6517</v>
      </c>
      <c r="E86" t="s">
        <v>6517</v>
      </c>
    </row>
    <row r="87" spans="1:5" x14ac:dyDescent="0.3">
      <c r="A87" t="s">
        <v>144</v>
      </c>
      <c r="B87" t="s">
        <v>10290</v>
      </c>
      <c r="C87" t="s">
        <v>6517</v>
      </c>
      <c r="D87" t="s">
        <v>6517</v>
      </c>
      <c r="E87" t="s">
        <v>6517</v>
      </c>
    </row>
    <row r="88" spans="1:5" x14ac:dyDescent="0.3">
      <c r="A88" t="s">
        <v>151</v>
      </c>
      <c r="B88" t="s">
        <v>10289</v>
      </c>
      <c r="C88" t="s">
        <v>10289</v>
      </c>
      <c r="D88" t="s">
        <v>10288</v>
      </c>
      <c r="E88" t="s">
        <v>10287</v>
      </c>
    </row>
    <row r="89" spans="1:5" x14ac:dyDescent="0.3">
      <c r="A89" t="s">
        <v>151</v>
      </c>
      <c r="B89" t="s">
        <v>10286</v>
      </c>
      <c r="C89" t="s">
        <v>6517</v>
      </c>
      <c r="D89" t="s">
        <v>6517</v>
      </c>
      <c r="E89" t="s">
        <v>6517</v>
      </c>
    </row>
    <row r="90" spans="1:5" x14ac:dyDescent="0.3">
      <c r="A90" t="s">
        <v>151</v>
      </c>
      <c r="B90" t="s">
        <v>10285</v>
      </c>
      <c r="C90" t="s">
        <v>6517</v>
      </c>
      <c r="D90" t="s">
        <v>6517</v>
      </c>
      <c r="E90" t="s">
        <v>6517</v>
      </c>
    </row>
    <row r="91" spans="1:5" x14ac:dyDescent="0.3">
      <c r="A91" t="s">
        <v>151</v>
      </c>
      <c r="B91" t="s">
        <v>10284</v>
      </c>
      <c r="C91" t="s">
        <v>6517</v>
      </c>
      <c r="D91" t="s">
        <v>6517</v>
      </c>
      <c r="E91" t="s">
        <v>6517</v>
      </c>
    </row>
    <row r="92" spans="1:5" x14ac:dyDescent="0.3">
      <c r="A92" t="s">
        <v>151</v>
      </c>
      <c r="B92" t="s">
        <v>10283</v>
      </c>
      <c r="C92" t="s">
        <v>6517</v>
      </c>
      <c r="D92" t="s">
        <v>6517</v>
      </c>
      <c r="E92" t="s">
        <v>6517</v>
      </c>
    </row>
    <row r="93" spans="1:5" x14ac:dyDescent="0.3">
      <c r="A93" t="s">
        <v>158</v>
      </c>
      <c r="B93" t="s">
        <v>10282</v>
      </c>
      <c r="C93" t="s">
        <v>10282</v>
      </c>
      <c r="D93" t="s">
        <v>10281</v>
      </c>
      <c r="E93" t="s">
        <v>10280</v>
      </c>
    </row>
    <row r="94" spans="1:5" x14ac:dyDescent="0.3">
      <c r="A94" t="s">
        <v>158</v>
      </c>
      <c r="B94" t="s">
        <v>10279</v>
      </c>
      <c r="C94" t="s">
        <v>6517</v>
      </c>
      <c r="D94" t="s">
        <v>6517</v>
      </c>
      <c r="E94" t="s">
        <v>6517</v>
      </c>
    </row>
    <row r="95" spans="1:5" x14ac:dyDescent="0.3">
      <c r="A95" t="s">
        <v>158</v>
      </c>
      <c r="B95" t="s">
        <v>10278</v>
      </c>
      <c r="C95" t="s">
        <v>6517</v>
      </c>
      <c r="D95" t="s">
        <v>6517</v>
      </c>
      <c r="E95" t="s">
        <v>6517</v>
      </c>
    </row>
    <row r="96" spans="1:5" x14ac:dyDescent="0.3">
      <c r="A96" t="s">
        <v>158</v>
      </c>
      <c r="B96" t="s">
        <v>10277</v>
      </c>
      <c r="C96" t="s">
        <v>6517</v>
      </c>
      <c r="D96" t="s">
        <v>6517</v>
      </c>
      <c r="E96" t="s">
        <v>6517</v>
      </c>
    </row>
    <row r="97" spans="1:5" x14ac:dyDescent="0.3">
      <c r="A97" t="s">
        <v>158</v>
      </c>
      <c r="B97" t="s">
        <v>10276</v>
      </c>
      <c r="C97" t="s">
        <v>6517</v>
      </c>
      <c r="D97" t="s">
        <v>6517</v>
      </c>
      <c r="E97" t="s">
        <v>6517</v>
      </c>
    </row>
    <row r="98" spans="1:5" x14ac:dyDescent="0.3">
      <c r="A98" t="s">
        <v>165</v>
      </c>
      <c r="B98" t="s">
        <v>10275</v>
      </c>
      <c r="C98" t="s">
        <v>10275</v>
      </c>
      <c r="D98" t="s">
        <v>10274</v>
      </c>
      <c r="E98" t="s">
        <v>10273</v>
      </c>
    </row>
    <row r="99" spans="1:5" x14ac:dyDescent="0.3">
      <c r="A99" t="s">
        <v>165</v>
      </c>
      <c r="B99" t="s">
        <v>10272</v>
      </c>
      <c r="C99" t="s">
        <v>6517</v>
      </c>
      <c r="D99" t="s">
        <v>6517</v>
      </c>
      <c r="E99" t="s">
        <v>6517</v>
      </c>
    </row>
    <row r="100" spans="1:5" x14ac:dyDescent="0.3">
      <c r="A100" t="s">
        <v>165</v>
      </c>
      <c r="B100" t="s">
        <v>10271</v>
      </c>
      <c r="C100" t="s">
        <v>6517</v>
      </c>
      <c r="D100" t="s">
        <v>6517</v>
      </c>
      <c r="E100" t="s">
        <v>6517</v>
      </c>
    </row>
    <row r="101" spans="1:5" x14ac:dyDescent="0.3">
      <c r="A101" t="s">
        <v>165</v>
      </c>
      <c r="B101" t="s">
        <v>10270</v>
      </c>
      <c r="C101" t="s">
        <v>6517</v>
      </c>
      <c r="D101" t="s">
        <v>6517</v>
      </c>
      <c r="E101" t="s">
        <v>6517</v>
      </c>
    </row>
    <row r="102" spans="1:5" x14ac:dyDescent="0.3">
      <c r="A102" t="s">
        <v>165</v>
      </c>
      <c r="B102" t="s">
        <v>10269</v>
      </c>
      <c r="C102" t="s">
        <v>6517</v>
      </c>
      <c r="D102" t="s">
        <v>6517</v>
      </c>
      <c r="E102" t="s">
        <v>6517</v>
      </c>
    </row>
    <row r="103" spans="1:5" x14ac:dyDescent="0.3">
      <c r="A103" t="s">
        <v>172</v>
      </c>
      <c r="B103" t="s">
        <v>10268</v>
      </c>
      <c r="C103" t="s">
        <v>10268</v>
      </c>
      <c r="D103" t="s">
        <v>10267</v>
      </c>
      <c r="E103" t="s">
        <v>10266</v>
      </c>
    </row>
    <row r="104" spans="1:5" x14ac:dyDescent="0.3">
      <c r="A104" t="s">
        <v>172</v>
      </c>
      <c r="B104" t="s">
        <v>10265</v>
      </c>
      <c r="C104" t="s">
        <v>6517</v>
      </c>
      <c r="D104" t="s">
        <v>6517</v>
      </c>
      <c r="E104" t="s">
        <v>6517</v>
      </c>
    </row>
    <row r="105" spans="1:5" x14ac:dyDescent="0.3">
      <c r="A105" t="s">
        <v>172</v>
      </c>
      <c r="B105" t="s">
        <v>10264</v>
      </c>
      <c r="C105" t="s">
        <v>6517</v>
      </c>
      <c r="D105" t="s">
        <v>6517</v>
      </c>
      <c r="E105" t="s">
        <v>6517</v>
      </c>
    </row>
    <row r="106" spans="1:5" x14ac:dyDescent="0.3">
      <c r="A106" t="s">
        <v>172</v>
      </c>
      <c r="B106" t="s">
        <v>10263</v>
      </c>
      <c r="C106" t="s">
        <v>6517</v>
      </c>
      <c r="D106" t="s">
        <v>6517</v>
      </c>
      <c r="E106" t="s">
        <v>6517</v>
      </c>
    </row>
    <row r="107" spans="1:5" x14ac:dyDescent="0.3">
      <c r="A107" t="s">
        <v>172</v>
      </c>
      <c r="B107" t="s">
        <v>10262</v>
      </c>
      <c r="C107" t="s">
        <v>6517</v>
      </c>
      <c r="D107" t="s">
        <v>6517</v>
      </c>
      <c r="E107" t="s">
        <v>6517</v>
      </c>
    </row>
    <row r="108" spans="1:5" x14ac:dyDescent="0.3">
      <c r="A108" t="s">
        <v>180</v>
      </c>
      <c r="B108" t="s">
        <v>10261</v>
      </c>
      <c r="C108" t="s">
        <v>10261</v>
      </c>
      <c r="D108" t="s">
        <v>10260</v>
      </c>
      <c r="E108" t="s">
        <v>10259</v>
      </c>
    </row>
    <row r="109" spans="1:5" x14ac:dyDescent="0.3">
      <c r="A109" t="s">
        <v>180</v>
      </c>
      <c r="B109" t="s">
        <v>10258</v>
      </c>
      <c r="C109" t="s">
        <v>6517</v>
      </c>
      <c r="D109" t="s">
        <v>6517</v>
      </c>
      <c r="E109" t="s">
        <v>6517</v>
      </c>
    </row>
    <row r="110" spans="1:5" x14ac:dyDescent="0.3">
      <c r="A110" t="s">
        <v>180</v>
      </c>
      <c r="B110" t="s">
        <v>10257</v>
      </c>
      <c r="C110" t="s">
        <v>6517</v>
      </c>
      <c r="D110" t="s">
        <v>6517</v>
      </c>
      <c r="E110" t="s">
        <v>6517</v>
      </c>
    </row>
    <row r="111" spans="1:5" x14ac:dyDescent="0.3">
      <c r="A111" t="s">
        <v>180</v>
      </c>
      <c r="B111" t="s">
        <v>10256</v>
      </c>
      <c r="C111" t="s">
        <v>6517</v>
      </c>
      <c r="D111" t="s">
        <v>6517</v>
      </c>
      <c r="E111" t="s">
        <v>6517</v>
      </c>
    </row>
    <row r="112" spans="1:5" x14ac:dyDescent="0.3">
      <c r="A112" t="s">
        <v>180</v>
      </c>
      <c r="B112" t="s">
        <v>10255</v>
      </c>
      <c r="C112" t="s">
        <v>6517</v>
      </c>
      <c r="D112" t="s">
        <v>6517</v>
      </c>
      <c r="E112" t="s">
        <v>6517</v>
      </c>
    </row>
    <row r="113" spans="1:5" x14ac:dyDescent="0.3">
      <c r="A113" t="s">
        <v>187</v>
      </c>
      <c r="B113" t="s">
        <v>10254</v>
      </c>
      <c r="C113" t="s">
        <v>10254</v>
      </c>
      <c r="D113" t="s">
        <v>10253</v>
      </c>
      <c r="E113" t="s">
        <v>10252</v>
      </c>
    </row>
    <row r="114" spans="1:5" x14ac:dyDescent="0.3">
      <c r="A114" t="s">
        <v>187</v>
      </c>
      <c r="B114" t="s">
        <v>10251</v>
      </c>
      <c r="C114" t="s">
        <v>6517</v>
      </c>
      <c r="D114" t="s">
        <v>6517</v>
      </c>
      <c r="E114" t="s">
        <v>6517</v>
      </c>
    </row>
    <row r="115" spans="1:5" x14ac:dyDescent="0.3">
      <c r="A115" t="s">
        <v>187</v>
      </c>
      <c r="B115" t="s">
        <v>10250</v>
      </c>
      <c r="C115" t="s">
        <v>6517</v>
      </c>
      <c r="D115" t="s">
        <v>6517</v>
      </c>
      <c r="E115" t="s">
        <v>6517</v>
      </c>
    </row>
    <row r="116" spans="1:5" x14ac:dyDescent="0.3">
      <c r="A116" t="s">
        <v>187</v>
      </c>
      <c r="B116" t="s">
        <v>10249</v>
      </c>
      <c r="C116" t="s">
        <v>6517</v>
      </c>
      <c r="D116" t="s">
        <v>6517</v>
      </c>
      <c r="E116" t="s">
        <v>6517</v>
      </c>
    </row>
    <row r="117" spans="1:5" x14ac:dyDescent="0.3">
      <c r="A117" t="s">
        <v>187</v>
      </c>
      <c r="B117" t="s">
        <v>10248</v>
      </c>
      <c r="C117" t="s">
        <v>6517</v>
      </c>
      <c r="D117" t="s">
        <v>6517</v>
      </c>
      <c r="E117" t="s">
        <v>6517</v>
      </c>
    </row>
    <row r="118" spans="1:5" x14ac:dyDescent="0.3">
      <c r="A118" t="s">
        <v>193</v>
      </c>
      <c r="B118" t="s">
        <v>10247</v>
      </c>
      <c r="C118" t="s">
        <v>10247</v>
      </c>
      <c r="D118" t="s">
        <v>10246</v>
      </c>
      <c r="E118" t="s">
        <v>10245</v>
      </c>
    </row>
    <row r="119" spans="1:5" x14ac:dyDescent="0.3">
      <c r="A119" t="s">
        <v>193</v>
      </c>
      <c r="B119" t="s">
        <v>10244</v>
      </c>
      <c r="C119" t="s">
        <v>6517</v>
      </c>
      <c r="D119" t="s">
        <v>6517</v>
      </c>
      <c r="E119" t="s">
        <v>6517</v>
      </c>
    </row>
    <row r="120" spans="1:5" x14ac:dyDescent="0.3">
      <c r="A120" t="s">
        <v>193</v>
      </c>
      <c r="B120" t="s">
        <v>10243</v>
      </c>
      <c r="C120" t="s">
        <v>6517</v>
      </c>
      <c r="D120" t="s">
        <v>6517</v>
      </c>
      <c r="E120" t="s">
        <v>6517</v>
      </c>
    </row>
    <row r="121" spans="1:5" x14ac:dyDescent="0.3">
      <c r="A121" t="s">
        <v>193</v>
      </c>
      <c r="B121" t="s">
        <v>10242</v>
      </c>
      <c r="C121" t="s">
        <v>6517</v>
      </c>
      <c r="D121" t="s">
        <v>6517</v>
      </c>
      <c r="E121" t="s">
        <v>6517</v>
      </c>
    </row>
    <row r="122" spans="1:5" x14ac:dyDescent="0.3">
      <c r="A122" t="s">
        <v>193</v>
      </c>
      <c r="B122" t="s">
        <v>10241</v>
      </c>
      <c r="C122" t="s">
        <v>6517</v>
      </c>
      <c r="D122" t="s">
        <v>6517</v>
      </c>
      <c r="E122" t="s">
        <v>6517</v>
      </c>
    </row>
    <row r="123" spans="1:5" x14ac:dyDescent="0.3">
      <c r="A123" t="s">
        <v>200</v>
      </c>
      <c r="B123" t="s">
        <v>10240</v>
      </c>
      <c r="C123" t="s">
        <v>10240</v>
      </c>
      <c r="D123" t="s">
        <v>10239</v>
      </c>
      <c r="E123" t="s">
        <v>10238</v>
      </c>
    </row>
    <row r="124" spans="1:5" x14ac:dyDescent="0.3">
      <c r="A124" t="s">
        <v>200</v>
      </c>
      <c r="B124" t="s">
        <v>10237</v>
      </c>
      <c r="C124" t="s">
        <v>6517</v>
      </c>
      <c r="D124" t="s">
        <v>6517</v>
      </c>
      <c r="E124" t="s">
        <v>6517</v>
      </c>
    </row>
    <row r="125" spans="1:5" x14ac:dyDescent="0.3">
      <c r="A125" t="s">
        <v>200</v>
      </c>
      <c r="B125" t="s">
        <v>10236</v>
      </c>
      <c r="C125" t="s">
        <v>6517</v>
      </c>
      <c r="D125" t="s">
        <v>6517</v>
      </c>
      <c r="E125" t="s">
        <v>6517</v>
      </c>
    </row>
    <row r="126" spans="1:5" x14ac:dyDescent="0.3">
      <c r="A126" t="s">
        <v>200</v>
      </c>
      <c r="B126" t="s">
        <v>10235</v>
      </c>
      <c r="C126" t="s">
        <v>6517</v>
      </c>
      <c r="D126" t="s">
        <v>6517</v>
      </c>
      <c r="E126" t="s">
        <v>6517</v>
      </c>
    </row>
    <row r="127" spans="1:5" x14ac:dyDescent="0.3">
      <c r="A127" t="s">
        <v>200</v>
      </c>
      <c r="B127" t="s">
        <v>10234</v>
      </c>
      <c r="C127" t="s">
        <v>6517</v>
      </c>
      <c r="D127" t="s">
        <v>6517</v>
      </c>
      <c r="E127" t="s">
        <v>6517</v>
      </c>
    </row>
    <row r="128" spans="1:5" x14ac:dyDescent="0.3">
      <c r="A128" t="s">
        <v>207</v>
      </c>
      <c r="B128" t="s">
        <v>10233</v>
      </c>
      <c r="C128" t="s">
        <v>10233</v>
      </c>
      <c r="D128" t="s">
        <v>10232</v>
      </c>
      <c r="E128" t="s">
        <v>10231</v>
      </c>
    </row>
    <row r="129" spans="1:5" x14ac:dyDescent="0.3">
      <c r="A129" t="s">
        <v>207</v>
      </c>
      <c r="B129" t="s">
        <v>10230</v>
      </c>
      <c r="C129" t="s">
        <v>6517</v>
      </c>
      <c r="D129" t="s">
        <v>6517</v>
      </c>
      <c r="E129" t="s">
        <v>6517</v>
      </c>
    </row>
    <row r="130" spans="1:5" x14ac:dyDescent="0.3">
      <c r="A130" t="s">
        <v>207</v>
      </c>
      <c r="B130" t="s">
        <v>10229</v>
      </c>
      <c r="C130" t="s">
        <v>6517</v>
      </c>
      <c r="D130" t="s">
        <v>6517</v>
      </c>
      <c r="E130" t="s">
        <v>6517</v>
      </c>
    </row>
    <row r="131" spans="1:5" x14ac:dyDescent="0.3">
      <c r="A131" t="s">
        <v>207</v>
      </c>
      <c r="B131" t="s">
        <v>10228</v>
      </c>
      <c r="C131" t="s">
        <v>6517</v>
      </c>
      <c r="D131" t="s">
        <v>6517</v>
      </c>
      <c r="E131" t="s">
        <v>6517</v>
      </c>
    </row>
    <row r="132" spans="1:5" x14ac:dyDescent="0.3">
      <c r="A132" t="s">
        <v>207</v>
      </c>
      <c r="B132" t="s">
        <v>10227</v>
      </c>
      <c r="C132" t="s">
        <v>6517</v>
      </c>
      <c r="D132" t="s">
        <v>6517</v>
      </c>
      <c r="E132" t="s">
        <v>6517</v>
      </c>
    </row>
    <row r="133" spans="1:5" x14ac:dyDescent="0.3">
      <c r="A133" t="s">
        <v>214</v>
      </c>
      <c r="B133" t="s">
        <v>10226</v>
      </c>
      <c r="C133" t="s">
        <v>10226</v>
      </c>
      <c r="D133" t="s">
        <v>10225</v>
      </c>
      <c r="E133" t="s">
        <v>10224</v>
      </c>
    </row>
    <row r="134" spans="1:5" x14ac:dyDescent="0.3">
      <c r="A134" t="s">
        <v>214</v>
      </c>
      <c r="B134" t="s">
        <v>10223</v>
      </c>
      <c r="C134" t="s">
        <v>6517</v>
      </c>
      <c r="D134" t="s">
        <v>6517</v>
      </c>
      <c r="E134" t="s">
        <v>6517</v>
      </c>
    </row>
    <row r="135" spans="1:5" x14ac:dyDescent="0.3">
      <c r="A135" t="s">
        <v>214</v>
      </c>
      <c r="B135" t="s">
        <v>10222</v>
      </c>
      <c r="C135" t="s">
        <v>6517</v>
      </c>
      <c r="D135" t="s">
        <v>6517</v>
      </c>
      <c r="E135" t="s">
        <v>6517</v>
      </c>
    </row>
    <row r="136" spans="1:5" x14ac:dyDescent="0.3">
      <c r="A136" t="s">
        <v>214</v>
      </c>
      <c r="B136" t="s">
        <v>10221</v>
      </c>
      <c r="C136" t="s">
        <v>6517</v>
      </c>
      <c r="D136" t="s">
        <v>6517</v>
      </c>
      <c r="E136" t="s">
        <v>6517</v>
      </c>
    </row>
    <row r="137" spans="1:5" x14ac:dyDescent="0.3">
      <c r="A137" t="s">
        <v>214</v>
      </c>
      <c r="B137" t="s">
        <v>10220</v>
      </c>
      <c r="C137" t="s">
        <v>6517</v>
      </c>
      <c r="D137" t="s">
        <v>6517</v>
      </c>
      <c r="E137" t="s">
        <v>6517</v>
      </c>
    </row>
    <row r="138" spans="1:5" x14ac:dyDescent="0.3">
      <c r="A138" t="s">
        <v>220</v>
      </c>
      <c r="B138" t="s">
        <v>10219</v>
      </c>
      <c r="C138" t="s">
        <v>10219</v>
      </c>
      <c r="D138" t="s">
        <v>10218</v>
      </c>
      <c r="E138" t="s">
        <v>10217</v>
      </c>
    </row>
    <row r="139" spans="1:5" x14ac:dyDescent="0.3">
      <c r="A139" t="s">
        <v>220</v>
      </c>
      <c r="B139" t="s">
        <v>10216</v>
      </c>
      <c r="C139" t="s">
        <v>6517</v>
      </c>
      <c r="D139" t="s">
        <v>6517</v>
      </c>
      <c r="E139" t="s">
        <v>6517</v>
      </c>
    </row>
    <row r="140" spans="1:5" x14ac:dyDescent="0.3">
      <c r="A140" t="s">
        <v>220</v>
      </c>
      <c r="B140" t="s">
        <v>10215</v>
      </c>
      <c r="C140" t="s">
        <v>6517</v>
      </c>
      <c r="D140" t="s">
        <v>6517</v>
      </c>
      <c r="E140" t="s">
        <v>6517</v>
      </c>
    </row>
    <row r="141" spans="1:5" x14ac:dyDescent="0.3">
      <c r="A141" t="s">
        <v>220</v>
      </c>
      <c r="B141" t="s">
        <v>10214</v>
      </c>
      <c r="C141" t="s">
        <v>6517</v>
      </c>
      <c r="D141" t="s">
        <v>6517</v>
      </c>
      <c r="E141" t="s">
        <v>6517</v>
      </c>
    </row>
    <row r="142" spans="1:5" x14ac:dyDescent="0.3">
      <c r="A142" t="s">
        <v>220</v>
      </c>
      <c r="B142" t="s">
        <v>10213</v>
      </c>
      <c r="C142" t="s">
        <v>6517</v>
      </c>
      <c r="D142" t="s">
        <v>6517</v>
      </c>
      <c r="E142" t="s">
        <v>6517</v>
      </c>
    </row>
    <row r="143" spans="1:5" x14ac:dyDescent="0.3">
      <c r="A143" t="s">
        <v>227</v>
      </c>
      <c r="B143" t="s">
        <v>10212</v>
      </c>
      <c r="C143" t="s">
        <v>10212</v>
      </c>
      <c r="D143" t="s">
        <v>10211</v>
      </c>
      <c r="E143" t="s">
        <v>10210</v>
      </c>
    </row>
    <row r="144" spans="1:5" x14ac:dyDescent="0.3">
      <c r="A144" t="s">
        <v>227</v>
      </c>
      <c r="B144" t="s">
        <v>10209</v>
      </c>
      <c r="C144" t="s">
        <v>6517</v>
      </c>
      <c r="D144" t="s">
        <v>6517</v>
      </c>
      <c r="E144" t="s">
        <v>6517</v>
      </c>
    </row>
    <row r="145" spans="1:5" x14ac:dyDescent="0.3">
      <c r="A145" t="s">
        <v>227</v>
      </c>
      <c r="B145" t="s">
        <v>10208</v>
      </c>
      <c r="C145" t="s">
        <v>6517</v>
      </c>
      <c r="D145" t="s">
        <v>6517</v>
      </c>
      <c r="E145" t="s">
        <v>6517</v>
      </c>
    </row>
    <row r="146" spans="1:5" x14ac:dyDescent="0.3">
      <c r="A146" t="s">
        <v>227</v>
      </c>
      <c r="B146" t="s">
        <v>10207</v>
      </c>
      <c r="C146" t="s">
        <v>6517</v>
      </c>
      <c r="D146" t="s">
        <v>6517</v>
      </c>
      <c r="E146" t="s">
        <v>6517</v>
      </c>
    </row>
    <row r="147" spans="1:5" x14ac:dyDescent="0.3">
      <c r="A147" t="s">
        <v>227</v>
      </c>
      <c r="B147" t="s">
        <v>10206</v>
      </c>
      <c r="C147" t="s">
        <v>6517</v>
      </c>
      <c r="D147" t="s">
        <v>6517</v>
      </c>
      <c r="E147" t="s">
        <v>6517</v>
      </c>
    </row>
    <row r="148" spans="1:5" x14ac:dyDescent="0.3">
      <c r="A148" t="s">
        <v>233</v>
      </c>
      <c r="B148" t="s">
        <v>10205</v>
      </c>
      <c r="C148" t="s">
        <v>10205</v>
      </c>
      <c r="D148" t="s">
        <v>10204</v>
      </c>
      <c r="E148" t="s">
        <v>10203</v>
      </c>
    </row>
    <row r="149" spans="1:5" x14ac:dyDescent="0.3">
      <c r="A149" t="s">
        <v>233</v>
      </c>
      <c r="B149" t="s">
        <v>10202</v>
      </c>
      <c r="C149" t="s">
        <v>6517</v>
      </c>
      <c r="D149" t="s">
        <v>6517</v>
      </c>
      <c r="E149" t="s">
        <v>6517</v>
      </c>
    </row>
    <row r="150" spans="1:5" x14ac:dyDescent="0.3">
      <c r="A150" t="s">
        <v>233</v>
      </c>
      <c r="B150" t="s">
        <v>10201</v>
      </c>
      <c r="C150" t="s">
        <v>6517</v>
      </c>
      <c r="D150" t="s">
        <v>6517</v>
      </c>
      <c r="E150" t="s">
        <v>6517</v>
      </c>
    </row>
    <row r="151" spans="1:5" x14ac:dyDescent="0.3">
      <c r="A151" t="s">
        <v>233</v>
      </c>
      <c r="B151" t="s">
        <v>10200</v>
      </c>
      <c r="C151" t="s">
        <v>6517</v>
      </c>
      <c r="D151" t="s">
        <v>6517</v>
      </c>
      <c r="E151" t="s">
        <v>6517</v>
      </c>
    </row>
    <row r="152" spans="1:5" x14ac:dyDescent="0.3">
      <c r="A152" t="s">
        <v>233</v>
      </c>
      <c r="B152" t="s">
        <v>10199</v>
      </c>
      <c r="C152" t="s">
        <v>6517</v>
      </c>
      <c r="D152" t="s">
        <v>6517</v>
      </c>
      <c r="E152" t="s">
        <v>6517</v>
      </c>
    </row>
    <row r="153" spans="1:5" x14ac:dyDescent="0.3">
      <c r="A153" t="s">
        <v>240</v>
      </c>
      <c r="B153" t="s">
        <v>10198</v>
      </c>
      <c r="C153" t="s">
        <v>10198</v>
      </c>
      <c r="D153" t="s">
        <v>10197</v>
      </c>
      <c r="E153" t="s">
        <v>10196</v>
      </c>
    </row>
    <row r="154" spans="1:5" x14ac:dyDescent="0.3">
      <c r="A154" t="s">
        <v>240</v>
      </c>
      <c r="B154" t="s">
        <v>10195</v>
      </c>
      <c r="C154" t="s">
        <v>6517</v>
      </c>
      <c r="D154" t="s">
        <v>6517</v>
      </c>
      <c r="E154" t="s">
        <v>6517</v>
      </c>
    </row>
    <row r="155" spans="1:5" x14ac:dyDescent="0.3">
      <c r="A155" t="s">
        <v>240</v>
      </c>
      <c r="B155" t="s">
        <v>10194</v>
      </c>
      <c r="C155" t="s">
        <v>6517</v>
      </c>
      <c r="D155" t="s">
        <v>6517</v>
      </c>
      <c r="E155" t="s">
        <v>6517</v>
      </c>
    </row>
    <row r="156" spans="1:5" x14ac:dyDescent="0.3">
      <c r="A156" t="s">
        <v>240</v>
      </c>
      <c r="B156" t="s">
        <v>10193</v>
      </c>
      <c r="C156" t="s">
        <v>6517</v>
      </c>
      <c r="D156" t="s">
        <v>6517</v>
      </c>
      <c r="E156" t="s">
        <v>6517</v>
      </c>
    </row>
    <row r="157" spans="1:5" x14ac:dyDescent="0.3">
      <c r="A157" t="s">
        <v>240</v>
      </c>
      <c r="B157" t="s">
        <v>10192</v>
      </c>
      <c r="C157" t="s">
        <v>6517</v>
      </c>
      <c r="D157" t="s">
        <v>6517</v>
      </c>
      <c r="E157" t="s">
        <v>6517</v>
      </c>
    </row>
    <row r="158" spans="1:5" x14ac:dyDescent="0.3">
      <c r="A158" t="s">
        <v>246</v>
      </c>
      <c r="B158" t="s">
        <v>10191</v>
      </c>
      <c r="C158" t="s">
        <v>10191</v>
      </c>
      <c r="D158" t="s">
        <v>10190</v>
      </c>
      <c r="E158" t="s">
        <v>10189</v>
      </c>
    </row>
    <row r="159" spans="1:5" x14ac:dyDescent="0.3">
      <c r="A159" t="s">
        <v>246</v>
      </c>
      <c r="B159" t="s">
        <v>10188</v>
      </c>
      <c r="C159" t="s">
        <v>6517</v>
      </c>
      <c r="D159" t="s">
        <v>6517</v>
      </c>
      <c r="E159" t="s">
        <v>6517</v>
      </c>
    </row>
    <row r="160" spans="1:5" x14ac:dyDescent="0.3">
      <c r="A160" t="s">
        <v>246</v>
      </c>
      <c r="B160" t="s">
        <v>10187</v>
      </c>
      <c r="C160" t="s">
        <v>6517</v>
      </c>
      <c r="D160" t="s">
        <v>6517</v>
      </c>
      <c r="E160" t="s">
        <v>6517</v>
      </c>
    </row>
    <row r="161" spans="1:5" x14ac:dyDescent="0.3">
      <c r="A161" t="s">
        <v>246</v>
      </c>
      <c r="B161" t="s">
        <v>10186</v>
      </c>
      <c r="C161" t="s">
        <v>6517</v>
      </c>
      <c r="D161" t="s">
        <v>6517</v>
      </c>
      <c r="E161" t="s">
        <v>6517</v>
      </c>
    </row>
    <row r="162" spans="1:5" x14ac:dyDescent="0.3">
      <c r="A162" t="s">
        <v>246</v>
      </c>
      <c r="B162" t="s">
        <v>10185</v>
      </c>
      <c r="C162" t="s">
        <v>6517</v>
      </c>
      <c r="D162" t="s">
        <v>6517</v>
      </c>
      <c r="E162" t="s">
        <v>6517</v>
      </c>
    </row>
    <row r="163" spans="1:5" x14ac:dyDescent="0.3">
      <c r="A163" t="s">
        <v>253</v>
      </c>
      <c r="B163" t="s">
        <v>10184</v>
      </c>
      <c r="C163" t="s">
        <v>10184</v>
      </c>
      <c r="D163" t="s">
        <v>10183</v>
      </c>
      <c r="E163" t="s">
        <v>10182</v>
      </c>
    </row>
    <row r="164" spans="1:5" x14ac:dyDescent="0.3">
      <c r="A164" t="s">
        <v>253</v>
      </c>
      <c r="B164" t="s">
        <v>10181</v>
      </c>
      <c r="C164" t="s">
        <v>6517</v>
      </c>
      <c r="D164" t="s">
        <v>6517</v>
      </c>
      <c r="E164" t="s">
        <v>6517</v>
      </c>
    </row>
    <row r="165" spans="1:5" x14ac:dyDescent="0.3">
      <c r="A165" t="s">
        <v>253</v>
      </c>
      <c r="B165" t="s">
        <v>10180</v>
      </c>
      <c r="C165" t="s">
        <v>6517</v>
      </c>
      <c r="D165" t="s">
        <v>6517</v>
      </c>
      <c r="E165" t="s">
        <v>6517</v>
      </c>
    </row>
    <row r="166" spans="1:5" x14ac:dyDescent="0.3">
      <c r="A166" t="s">
        <v>253</v>
      </c>
      <c r="B166" t="s">
        <v>10179</v>
      </c>
      <c r="C166" t="s">
        <v>6517</v>
      </c>
      <c r="D166" t="s">
        <v>6517</v>
      </c>
      <c r="E166" t="s">
        <v>6517</v>
      </c>
    </row>
    <row r="167" spans="1:5" x14ac:dyDescent="0.3">
      <c r="A167" t="s">
        <v>253</v>
      </c>
      <c r="B167" t="s">
        <v>10178</v>
      </c>
      <c r="C167" t="s">
        <v>6517</v>
      </c>
      <c r="D167" t="s">
        <v>6517</v>
      </c>
      <c r="E167" t="s">
        <v>6517</v>
      </c>
    </row>
    <row r="168" spans="1:5" x14ac:dyDescent="0.3">
      <c r="A168" t="s">
        <v>259</v>
      </c>
      <c r="B168" t="s">
        <v>10177</v>
      </c>
      <c r="C168" t="s">
        <v>10177</v>
      </c>
      <c r="D168" t="s">
        <v>10176</v>
      </c>
      <c r="E168" t="s">
        <v>10175</v>
      </c>
    </row>
    <row r="169" spans="1:5" x14ac:dyDescent="0.3">
      <c r="A169" t="s">
        <v>259</v>
      </c>
      <c r="B169" t="s">
        <v>10174</v>
      </c>
      <c r="C169" t="s">
        <v>6517</v>
      </c>
      <c r="D169" t="s">
        <v>6517</v>
      </c>
      <c r="E169" t="s">
        <v>6517</v>
      </c>
    </row>
    <row r="170" spans="1:5" x14ac:dyDescent="0.3">
      <c r="A170" t="s">
        <v>259</v>
      </c>
      <c r="B170" t="s">
        <v>10173</v>
      </c>
      <c r="C170" t="s">
        <v>6517</v>
      </c>
      <c r="D170" t="s">
        <v>6517</v>
      </c>
      <c r="E170" t="s">
        <v>6517</v>
      </c>
    </row>
    <row r="171" spans="1:5" x14ac:dyDescent="0.3">
      <c r="A171" t="s">
        <v>259</v>
      </c>
      <c r="B171" t="s">
        <v>10172</v>
      </c>
      <c r="C171" t="s">
        <v>6517</v>
      </c>
      <c r="D171" t="s">
        <v>6517</v>
      </c>
      <c r="E171" t="s">
        <v>6517</v>
      </c>
    </row>
    <row r="172" spans="1:5" x14ac:dyDescent="0.3">
      <c r="A172" t="s">
        <v>259</v>
      </c>
      <c r="B172" t="s">
        <v>10171</v>
      </c>
      <c r="C172" t="s">
        <v>6517</v>
      </c>
      <c r="D172" t="s">
        <v>6517</v>
      </c>
      <c r="E172" t="s">
        <v>6517</v>
      </c>
    </row>
    <row r="173" spans="1:5" x14ac:dyDescent="0.3">
      <c r="A173" t="s">
        <v>266</v>
      </c>
      <c r="B173" t="s">
        <v>10170</v>
      </c>
      <c r="C173" t="s">
        <v>10170</v>
      </c>
      <c r="D173" t="s">
        <v>10169</v>
      </c>
      <c r="E173" t="s">
        <v>10168</v>
      </c>
    </row>
    <row r="174" spans="1:5" x14ac:dyDescent="0.3">
      <c r="A174" t="s">
        <v>266</v>
      </c>
      <c r="B174" t="s">
        <v>10167</v>
      </c>
      <c r="C174" t="s">
        <v>6517</v>
      </c>
      <c r="D174" t="s">
        <v>6517</v>
      </c>
      <c r="E174" t="s">
        <v>6517</v>
      </c>
    </row>
    <row r="175" spans="1:5" x14ac:dyDescent="0.3">
      <c r="A175" t="s">
        <v>266</v>
      </c>
      <c r="B175" t="s">
        <v>10166</v>
      </c>
      <c r="C175" t="s">
        <v>6517</v>
      </c>
      <c r="D175" t="s">
        <v>6517</v>
      </c>
      <c r="E175" t="s">
        <v>6517</v>
      </c>
    </row>
    <row r="176" spans="1:5" x14ac:dyDescent="0.3">
      <c r="A176" t="s">
        <v>266</v>
      </c>
      <c r="B176" t="s">
        <v>10165</v>
      </c>
      <c r="C176" t="s">
        <v>6517</v>
      </c>
      <c r="D176" t="s">
        <v>6517</v>
      </c>
      <c r="E176" t="s">
        <v>6517</v>
      </c>
    </row>
    <row r="177" spans="1:5" x14ac:dyDescent="0.3">
      <c r="A177" t="s">
        <v>266</v>
      </c>
      <c r="B177" t="s">
        <v>10164</v>
      </c>
      <c r="C177" t="s">
        <v>6517</v>
      </c>
      <c r="D177" t="s">
        <v>6517</v>
      </c>
      <c r="E177" t="s">
        <v>6517</v>
      </c>
    </row>
    <row r="178" spans="1:5" x14ac:dyDescent="0.3">
      <c r="A178" t="s">
        <v>272</v>
      </c>
      <c r="B178" t="s">
        <v>10163</v>
      </c>
      <c r="C178" t="s">
        <v>10163</v>
      </c>
      <c r="D178" t="s">
        <v>10162</v>
      </c>
      <c r="E178" t="s">
        <v>10161</v>
      </c>
    </row>
    <row r="179" spans="1:5" x14ac:dyDescent="0.3">
      <c r="A179" t="s">
        <v>272</v>
      </c>
      <c r="B179" t="s">
        <v>10160</v>
      </c>
      <c r="C179" t="s">
        <v>6517</v>
      </c>
      <c r="D179" t="s">
        <v>6517</v>
      </c>
      <c r="E179" t="s">
        <v>6517</v>
      </c>
    </row>
    <row r="180" spans="1:5" x14ac:dyDescent="0.3">
      <c r="A180" t="s">
        <v>272</v>
      </c>
      <c r="B180" t="s">
        <v>10159</v>
      </c>
      <c r="C180" t="s">
        <v>6517</v>
      </c>
      <c r="D180" t="s">
        <v>6517</v>
      </c>
      <c r="E180" t="s">
        <v>6517</v>
      </c>
    </row>
    <row r="181" spans="1:5" x14ac:dyDescent="0.3">
      <c r="A181" t="s">
        <v>272</v>
      </c>
      <c r="B181" t="s">
        <v>10158</v>
      </c>
      <c r="C181" t="s">
        <v>6517</v>
      </c>
      <c r="D181" t="s">
        <v>6517</v>
      </c>
      <c r="E181" t="s">
        <v>6517</v>
      </c>
    </row>
    <row r="182" spans="1:5" x14ac:dyDescent="0.3">
      <c r="A182" t="s">
        <v>272</v>
      </c>
      <c r="B182" t="s">
        <v>10157</v>
      </c>
      <c r="C182" t="s">
        <v>6517</v>
      </c>
      <c r="D182" t="s">
        <v>6517</v>
      </c>
      <c r="E182" t="s">
        <v>6517</v>
      </c>
    </row>
    <row r="183" spans="1:5" x14ac:dyDescent="0.3">
      <c r="A183" t="s">
        <v>278</v>
      </c>
      <c r="B183" t="s">
        <v>10156</v>
      </c>
      <c r="C183" t="s">
        <v>10156</v>
      </c>
      <c r="D183" t="s">
        <v>10155</v>
      </c>
      <c r="E183" t="s">
        <v>10154</v>
      </c>
    </row>
    <row r="184" spans="1:5" x14ac:dyDescent="0.3">
      <c r="A184" t="s">
        <v>278</v>
      </c>
      <c r="B184" t="s">
        <v>10153</v>
      </c>
      <c r="C184" t="s">
        <v>6517</v>
      </c>
      <c r="D184" t="s">
        <v>6517</v>
      </c>
      <c r="E184" t="s">
        <v>6517</v>
      </c>
    </row>
    <row r="185" spans="1:5" x14ac:dyDescent="0.3">
      <c r="A185" t="s">
        <v>278</v>
      </c>
      <c r="B185" t="s">
        <v>10152</v>
      </c>
      <c r="C185" t="s">
        <v>6517</v>
      </c>
      <c r="D185" t="s">
        <v>6517</v>
      </c>
      <c r="E185" t="s">
        <v>6517</v>
      </c>
    </row>
    <row r="186" spans="1:5" x14ac:dyDescent="0.3">
      <c r="A186" t="s">
        <v>278</v>
      </c>
      <c r="B186" t="s">
        <v>10151</v>
      </c>
      <c r="C186" t="s">
        <v>6517</v>
      </c>
      <c r="D186" t="s">
        <v>6517</v>
      </c>
      <c r="E186" t="s">
        <v>6517</v>
      </c>
    </row>
    <row r="187" spans="1:5" x14ac:dyDescent="0.3">
      <c r="A187" t="s">
        <v>278</v>
      </c>
      <c r="B187" t="s">
        <v>10150</v>
      </c>
      <c r="C187" t="s">
        <v>6517</v>
      </c>
      <c r="D187" t="s">
        <v>6517</v>
      </c>
      <c r="E187" t="s">
        <v>6517</v>
      </c>
    </row>
    <row r="188" spans="1:5" x14ac:dyDescent="0.3">
      <c r="A188" t="s">
        <v>286</v>
      </c>
      <c r="B188" t="s">
        <v>10149</v>
      </c>
      <c r="C188" t="s">
        <v>10149</v>
      </c>
      <c r="D188" t="s">
        <v>10148</v>
      </c>
      <c r="E188" t="s">
        <v>10147</v>
      </c>
    </row>
    <row r="189" spans="1:5" x14ac:dyDescent="0.3">
      <c r="A189" t="s">
        <v>286</v>
      </c>
      <c r="B189" t="s">
        <v>10146</v>
      </c>
      <c r="C189" t="s">
        <v>6517</v>
      </c>
      <c r="D189" t="s">
        <v>6517</v>
      </c>
      <c r="E189" t="s">
        <v>6517</v>
      </c>
    </row>
    <row r="190" spans="1:5" x14ac:dyDescent="0.3">
      <c r="A190" t="s">
        <v>286</v>
      </c>
      <c r="B190" t="s">
        <v>10145</v>
      </c>
      <c r="C190" t="s">
        <v>6517</v>
      </c>
      <c r="D190" t="s">
        <v>6517</v>
      </c>
      <c r="E190" t="s">
        <v>6517</v>
      </c>
    </row>
    <row r="191" spans="1:5" x14ac:dyDescent="0.3">
      <c r="A191" t="s">
        <v>286</v>
      </c>
      <c r="B191" t="s">
        <v>10144</v>
      </c>
      <c r="C191" t="s">
        <v>6517</v>
      </c>
      <c r="D191" t="s">
        <v>6517</v>
      </c>
      <c r="E191" t="s">
        <v>6517</v>
      </c>
    </row>
    <row r="192" spans="1:5" x14ac:dyDescent="0.3">
      <c r="A192" t="s">
        <v>286</v>
      </c>
      <c r="B192" t="s">
        <v>10143</v>
      </c>
      <c r="C192" t="s">
        <v>6517</v>
      </c>
      <c r="D192" t="s">
        <v>6517</v>
      </c>
      <c r="E192" t="s">
        <v>6517</v>
      </c>
    </row>
    <row r="193" spans="1:5" x14ac:dyDescent="0.3">
      <c r="A193" t="s">
        <v>292</v>
      </c>
      <c r="B193" t="s">
        <v>10142</v>
      </c>
      <c r="C193" t="s">
        <v>6517</v>
      </c>
      <c r="D193" t="s">
        <v>6517</v>
      </c>
      <c r="E193" t="s">
        <v>6517</v>
      </c>
    </row>
    <row r="194" spans="1:5" x14ac:dyDescent="0.3">
      <c r="A194" t="s">
        <v>292</v>
      </c>
      <c r="B194" t="s">
        <v>10141</v>
      </c>
      <c r="C194" t="s">
        <v>10141</v>
      </c>
      <c r="D194" t="s">
        <v>10140</v>
      </c>
      <c r="E194" t="s">
        <v>10139</v>
      </c>
    </row>
    <row r="195" spans="1:5" x14ac:dyDescent="0.3">
      <c r="A195" t="s">
        <v>292</v>
      </c>
      <c r="B195" t="s">
        <v>10138</v>
      </c>
      <c r="C195" t="s">
        <v>6517</v>
      </c>
      <c r="D195" t="s">
        <v>6517</v>
      </c>
      <c r="E195" t="s">
        <v>6517</v>
      </c>
    </row>
    <row r="196" spans="1:5" x14ac:dyDescent="0.3">
      <c r="A196" t="s">
        <v>292</v>
      </c>
      <c r="B196" t="s">
        <v>10137</v>
      </c>
      <c r="C196" t="s">
        <v>6517</v>
      </c>
      <c r="D196" t="s">
        <v>6517</v>
      </c>
      <c r="E196" t="s">
        <v>6517</v>
      </c>
    </row>
    <row r="197" spans="1:5" x14ac:dyDescent="0.3">
      <c r="A197" t="s">
        <v>292</v>
      </c>
      <c r="B197" t="s">
        <v>10136</v>
      </c>
      <c r="C197" t="s">
        <v>6517</v>
      </c>
      <c r="D197" t="s">
        <v>6517</v>
      </c>
      <c r="E197" t="s">
        <v>6517</v>
      </c>
    </row>
    <row r="198" spans="1:5" x14ac:dyDescent="0.3">
      <c r="A198" t="s">
        <v>298</v>
      </c>
      <c r="B198" t="s">
        <v>10135</v>
      </c>
      <c r="C198" t="s">
        <v>10135</v>
      </c>
      <c r="D198" t="s">
        <v>10134</v>
      </c>
      <c r="E198" t="s">
        <v>10133</v>
      </c>
    </row>
    <row r="199" spans="1:5" x14ac:dyDescent="0.3">
      <c r="A199" t="s">
        <v>298</v>
      </c>
      <c r="B199" t="s">
        <v>10132</v>
      </c>
      <c r="C199" t="s">
        <v>6517</v>
      </c>
      <c r="D199" t="s">
        <v>6517</v>
      </c>
      <c r="E199" t="s">
        <v>6517</v>
      </c>
    </row>
    <row r="200" spans="1:5" x14ac:dyDescent="0.3">
      <c r="A200" t="s">
        <v>298</v>
      </c>
      <c r="B200" t="s">
        <v>10131</v>
      </c>
      <c r="C200" t="s">
        <v>6517</v>
      </c>
      <c r="D200" t="s">
        <v>6517</v>
      </c>
      <c r="E200" t="s">
        <v>6517</v>
      </c>
    </row>
    <row r="201" spans="1:5" x14ac:dyDescent="0.3">
      <c r="A201" t="s">
        <v>298</v>
      </c>
      <c r="B201" t="s">
        <v>10130</v>
      </c>
      <c r="C201" t="s">
        <v>6517</v>
      </c>
      <c r="D201" t="s">
        <v>6517</v>
      </c>
      <c r="E201" t="s">
        <v>6517</v>
      </c>
    </row>
    <row r="202" spans="1:5" x14ac:dyDescent="0.3">
      <c r="A202" t="s">
        <v>298</v>
      </c>
      <c r="B202" t="s">
        <v>10129</v>
      </c>
      <c r="C202" t="s">
        <v>6517</v>
      </c>
      <c r="D202" t="s">
        <v>6517</v>
      </c>
      <c r="E202" t="s">
        <v>6517</v>
      </c>
    </row>
    <row r="203" spans="1:5" x14ac:dyDescent="0.3">
      <c r="A203" t="s">
        <v>304</v>
      </c>
      <c r="B203" t="s">
        <v>10128</v>
      </c>
      <c r="C203" t="s">
        <v>10128</v>
      </c>
      <c r="D203" t="s">
        <v>10127</v>
      </c>
      <c r="E203" t="s">
        <v>10126</v>
      </c>
    </row>
    <row r="204" spans="1:5" x14ac:dyDescent="0.3">
      <c r="A204" t="s">
        <v>304</v>
      </c>
      <c r="B204" t="s">
        <v>10125</v>
      </c>
      <c r="C204" t="s">
        <v>6517</v>
      </c>
      <c r="D204" t="s">
        <v>6517</v>
      </c>
      <c r="E204" t="s">
        <v>6517</v>
      </c>
    </row>
    <row r="205" spans="1:5" x14ac:dyDescent="0.3">
      <c r="A205" t="s">
        <v>304</v>
      </c>
      <c r="B205" t="s">
        <v>10124</v>
      </c>
      <c r="C205" t="s">
        <v>6517</v>
      </c>
      <c r="D205" t="s">
        <v>6517</v>
      </c>
      <c r="E205" t="s">
        <v>6517</v>
      </c>
    </row>
    <row r="206" spans="1:5" x14ac:dyDescent="0.3">
      <c r="A206" t="s">
        <v>304</v>
      </c>
      <c r="B206" t="s">
        <v>10123</v>
      </c>
      <c r="C206" t="s">
        <v>6517</v>
      </c>
      <c r="D206" t="s">
        <v>6517</v>
      </c>
      <c r="E206" t="s">
        <v>6517</v>
      </c>
    </row>
    <row r="207" spans="1:5" x14ac:dyDescent="0.3">
      <c r="A207" t="s">
        <v>304</v>
      </c>
      <c r="B207" t="s">
        <v>10122</v>
      </c>
      <c r="C207" t="s">
        <v>6517</v>
      </c>
      <c r="D207" t="s">
        <v>6517</v>
      </c>
      <c r="E207" t="s">
        <v>6517</v>
      </c>
    </row>
    <row r="208" spans="1:5" x14ac:dyDescent="0.3">
      <c r="A208" t="s">
        <v>311</v>
      </c>
      <c r="B208" t="s">
        <v>10121</v>
      </c>
      <c r="C208" t="s">
        <v>10121</v>
      </c>
      <c r="D208" t="s">
        <v>10120</v>
      </c>
      <c r="E208" t="s">
        <v>10119</v>
      </c>
    </row>
    <row r="209" spans="1:5" x14ac:dyDescent="0.3">
      <c r="A209" t="s">
        <v>311</v>
      </c>
      <c r="B209" t="s">
        <v>10118</v>
      </c>
      <c r="C209" t="s">
        <v>6517</v>
      </c>
      <c r="D209" t="s">
        <v>6517</v>
      </c>
      <c r="E209" t="s">
        <v>6517</v>
      </c>
    </row>
    <row r="210" spans="1:5" x14ac:dyDescent="0.3">
      <c r="A210" t="s">
        <v>311</v>
      </c>
      <c r="B210" t="s">
        <v>10117</v>
      </c>
      <c r="C210" t="s">
        <v>6517</v>
      </c>
      <c r="D210" t="s">
        <v>6517</v>
      </c>
      <c r="E210" t="s">
        <v>6517</v>
      </c>
    </row>
    <row r="211" spans="1:5" x14ac:dyDescent="0.3">
      <c r="A211" t="s">
        <v>311</v>
      </c>
      <c r="B211" t="s">
        <v>10116</v>
      </c>
      <c r="C211" t="s">
        <v>6517</v>
      </c>
      <c r="D211" t="s">
        <v>6517</v>
      </c>
      <c r="E211" t="s">
        <v>6517</v>
      </c>
    </row>
    <row r="212" spans="1:5" x14ac:dyDescent="0.3">
      <c r="A212" t="s">
        <v>311</v>
      </c>
      <c r="B212" t="s">
        <v>10115</v>
      </c>
      <c r="C212" t="s">
        <v>6517</v>
      </c>
      <c r="D212" t="s">
        <v>6517</v>
      </c>
      <c r="E212" t="s">
        <v>6517</v>
      </c>
    </row>
    <row r="213" spans="1:5" x14ac:dyDescent="0.3">
      <c r="A213" t="s">
        <v>317</v>
      </c>
      <c r="B213" t="s">
        <v>10114</v>
      </c>
      <c r="C213" t="s">
        <v>10114</v>
      </c>
      <c r="D213" t="s">
        <v>10113</v>
      </c>
      <c r="E213" t="s">
        <v>10112</v>
      </c>
    </row>
    <row r="214" spans="1:5" x14ac:dyDescent="0.3">
      <c r="A214" t="s">
        <v>317</v>
      </c>
      <c r="B214" t="s">
        <v>10111</v>
      </c>
      <c r="C214" t="s">
        <v>6517</v>
      </c>
      <c r="D214" t="s">
        <v>6517</v>
      </c>
      <c r="E214" t="s">
        <v>6517</v>
      </c>
    </row>
    <row r="215" spans="1:5" x14ac:dyDescent="0.3">
      <c r="A215" t="s">
        <v>317</v>
      </c>
      <c r="B215" t="s">
        <v>10110</v>
      </c>
      <c r="C215" t="s">
        <v>6517</v>
      </c>
      <c r="D215" t="s">
        <v>6517</v>
      </c>
      <c r="E215" t="s">
        <v>6517</v>
      </c>
    </row>
    <row r="216" spans="1:5" x14ac:dyDescent="0.3">
      <c r="A216" t="s">
        <v>317</v>
      </c>
      <c r="B216" t="s">
        <v>10109</v>
      </c>
      <c r="C216" t="s">
        <v>6517</v>
      </c>
      <c r="D216" t="s">
        <v>6517</v>
      </c>
      <c r="E216" t="s">
        <v>6517</v>
      </c>
    </row>
    <row r="217" spans="1:5" x14ac:dyDescent="0.3">
      <c r="A217" t="s">
        <v>317</v>
      </c>
      <c r="B217" t="s">
        <v>10108</v>
      </c>
      <c r="C217" t="s">
        <v>6517</v>
      </c>
      <c r="D217" t="s">
        <v>6517</v>
      </c>
      <c r="E217" t="s">
        <v>6517</v>
      </c>
    </row>
    <row r="218" spans="1:5" x14ac:dyDescent="0.3">
      <c r="A218" t="s">
        <v>323</v>
      </c>
      <c r="B218" t="s">
        <v>10107</v>
      </c>
      <c r="C218" t="s">
        <v>10107</v>
      </c>
      <c r="D218" t="s">
        <v>10106</v>
      </c>
      <c r="E218" t="s">
        <v>10105</v>
      </c>
    </row>
    <row r="219" spans="1:5" x14ac:dyDescent="0.3">
      <c r="A219" t="s">
        <v>323</v>
      </c>
      <c r="B219" t="s">
        <v>10104</v>
      </c>
      <c r="C219" t="s">
        <v>6517</v>
      </c>
      <c r="D219" t="s">
        <v>6517</v>
      </c>
      <c r="E219" t="s">
        <v>6517</v>
      </c>
    </row>
    <row r="220" spans="1:5" x14ac:dyDescent="0.3">
      <c r="A220" t="s">
        <v>323</v>
      </c>
      <c r="B220" t="s">
        <v>10103</v>
      </c>
      <c r="C220" t="s">
        <v>6517</v>
      </c>
      <c r="D220" t="s">
        <v>6517</v>
      </c>
      <c r="E220" t="s">
        <v>6517</v>
      </c>
    </row>
    <row r="221" spans="1:5" x14ac:dyDescent="0.3">
      <c r="A221" t="s">
        <v>323</v>
      </c>
      <c r="B221" t="s">
        <v>10102</v>
      </c>
      <c r="C221" t="s">
        <v>6517</v>
      </c>
      <c r="D221" t="s">
        <v>6517</v>
      </c>
      <c r="E221" t="s">
        <v>6517</v>
      </c>
    </row>
    <row r="222" spans="1:5" x14ac:dyDescent="0.3">
      <c r="A222" t="s">
        <v>323</v>
      </c>
      <c r="B222" t="s">
        <v>10101</v>
      </c>
      <c r="C222" t="s">
        <v>6517</v>
      </c>
      <c r="D222" t="s">
        <v>6517</v>
      </c>
      <c r="E222" t="s">
        <v>6517</v>
      </c>
    </row>
    <row r="223" spans="1:5" x14ac:dyDescent="0.3">
      <c r="A223" t="s">
        <v>330</v>
      </c>
      <c r="B223" t="s">
        <v>10100</v>
      </c>
      <c r="C223" t="s">
        <v>10100</v>
      </c>
      <c r="D223" t="s">
        <v>10099</v>
      </c>
      <c r="E223" t="s">
        <v>10098</v>
      </c>
    </row>
    <row r="224" spans="1:5" x14ac:dyDescent="0.3">
      <c r="A224" t="s">
        <v>330</v>
      </c>
      <c r="B224" t="s">
        <v>10097</v>
      </c>
      <c r="C224" t="s">
        <v>6517</v>
      </c>
      <c r="D224" t="s">
        <v>6517</v>
      </c>
      <c r="E224" t="s">
        <v>6517</v>
      </c>
    </row>
    <row r="225" spans="1:5" x14ac:dyDescent="0.3">
      <c r="A225" t="s">
        <v>330</v>
      </c>
      <c r="B225" t="s">
        <v>10096</v>
      </c>
      <c r="C225" t="s">
        <v>6517</v>
      </c>
      <c r="D225" t="s">
        <v>6517</v>
      </c>
      <c r="E225" t="s">
        <v>6517</v>
      </c>
    </row>
    <row r="226" spans="1:5" x14ac:dyDescent="0.3">
      <c r="A226" t="s">
        <v>330</v>
      </c>
      <c r="B226" t="s">
        <v>10095</v>
      </c>
      <c r="C226" t="s">
        <v>6517</v>
      </c>
      <c r="D226" t="s">
        <v>6517</v>
      </c>
      <c r="E226" t="s">
        <v>6517</v>
      </c>
    </row>
    <row r="227" spans="1:5" x14ac:dyDescent="0.3">
      <c r="A227" t="s">
        <v>330</v>
      </c>
      <c r="B227" t="s">
        <v>10094</v>
      </c>
      <c r="C227" t="s">
        <v>6517</v>
      </c>
      <c r="D227" t="s">
        <v>6517</v>
      </c>
      <c r="E227" t="s">
        <v>6517</v>
      </c>
    </row>
    <row r="228" spans="1:5" x14ac:dyDescent="0.3">
      <c r="A228" t="s">
        <v>336</v>
      </c>
      <c r="B228" t="s">
        <v>10093</v>
      </c>
      <c r="C228" t="s">
        <v>10093</v>
      </c>
      <c r="D228" t="s">
        <v>10092</v>
      </c>
      <c r="E228" t="s">
        <v>10091</v>
      </c>
    </row>
    <row r="229" spans="1:5" x14ac:dyDescent="0.3">
      <c r="A229" t="s">
        <v>336</v>
      </c>
      <c r="B229" t="s">
        <v>10090</v>
      </c>
      <c r="C229" t="s">
        <v>6517</v>
      </c>
      <c r="D229" t="s">
        <v>6517</v>
      </c>
      <c r="E229" t="s">
        <v>6517</v>
      </c>
    </row>
    <row r="230" spans="1:5" x14ac:dyDescent="0.3">
      <c r="A230" t="s">
        <v>336</v>
      </c>
      <c r="B230" t="s">
        <v>10089</v>
      </c>
      <c r="C230" t="s">
        <v>6517</v>
      </c>
      <c r="D230" t="s">
        <v>6517</v>
      </c>
      <c r="E230" t="s">
        <v>6517</v>
      </c>
    </row>
    <row r="231" spans="1:5" x14ac:dyDescent="0.3">
      <c r="A231" t="s">
        <v>336</v>
      </c>
      <c r="B231" t="s">
        <v>10088</v>
      </c>
      <c r="C231" t="s">
        <v>6517</v>
      </c>
      <c r="D231" t="s">
        <v>6517</v>
      </c>
      <c r="E231" t="s">
        <v>6517</v>
      </c>
    </row>
    <row r="232" spans="1:5" x14ac:dyDescent="0.3">
      <c r="A232" t="s">
        <v>336</v>
      </c>
      <c r="B232" t="s">
        <v>10087</v>
      </c>
      <c r="C232" t="s">
        <v>6517</v>
      </c>
      <c r="D232" t="s">
        <v>6517</v>
      </c>
      <c r="E232" t="s">
        <v>6517</v>
      </c>
    </row>
    <row r="233" spans="1:5" x14ac:dyDescent="0.3">
      <c r="A233" t="s">
        <v>343</v>
      </c>
      <c r="B233" t="s">
        <v>10086</v>
      </c>
      <c r="C233" t="s">
        <v>10086</v>
      </c>
      <c r="D233" t="s">
        <v>10085</v>
      </c>
      <c r="E233" t="s">
        <v>10084</v>
      </c>
    </row>
    <row r="234" spans="1:5" x14ac:dyDescent="0.3">
      <c r="A234" t="s">
        <v>343</v>
      </c>
      <c r="B234" t="s">
        <v>10083</v>
      </c>
      <c r="C234" t="s">
        <v>6517</v>
      </c>
      <c r="D234" t="s">
        <v>6517</v>
      </c>
      <c r="E234" t="s">
        <v>6517</v>
      </c>
    </row>
    <row r="235" spans="1:5" x14ac:dyDescent="0.3">
      <c r="A235" t="s">
        <v>343</v>
      </c>
      <c r="B235" t="s">
        <v>10082</v>
      </c>
      <c r="C235" t="s">
        <v>6517</v>
      </c>
      <c r="D235" t="s">
        <v>6517</v>
      </c>
      <c r="E235" t="s">
        <v>6517</v>
      </c>
    </row>
    <row r="236" spans="1:5" x14ac:dyDescent="0.3">
      <c r="A236" t="s">
        <v>343</v>
      </c>
      <c r="B236" t="s">
        <v>10081</v>
      </c>
      <c r="C236" t="s">
        <v>6517</v>
      </c>
      <c r="D236" t="s">
        <v>6517</v>
      </c>
      <c r="E236" t="s">
        <v>6517</v>
      </c>
    </row>
    <row r="237" spans="1:5" x14ac:dyDescent="0.3">
      <c r="A237" t="s">
        <v>343</v>
      </c>
      <c r="B237" t="s">
        <v>10080</v>
      </c>
      <c r="C237" t="s">
        <v>6517</v>
      </c>
      <c r="D237" t="s">
        <v>6517</v>
      </c>
      <c r="E237" t="s">
        <v>6517</v>
      </c>
    </row>
    <row r="238" spans="1:5" x14ac:dyDescent="0.3">
      <c r="A238" t="s">
        <v>349</v>
      </c>
      <c r="B238" t="s">
        <v>10079</v>
      </c>
      <c r="C238" t="s">
        <v>10079</v>
      </c>
      <c r="D238" t="s">
        <v>10078</v>
      </c>
      <c r="E238" t="s">
        <v>10077</v>
      </c>
    </row>
    <row r="239" spans="1:5" x14ac:dyDescent="0.3">
      <c r="A239" t="s">
        <v>349</v>
      </c>
      <c r="B239" t="s">
        <v>10076</v>
      </c>
      <c r="C239" t="s">
        <v>6517</v>
      </c>
      <c r="D239" t="s">
        <v>6517</v>
      </c>
      <c r="E239" t="s">
        <v>6517</v>
      </c>
    </row>
    <row r="240" spans="1:5" x14ac:dyDescent="0.3">
      <c r="A240" t="s">
        <v>349</v>
      </c>
      <c r="B240" t="s">
        <v>10075</v>
      </c>
      <c r="C240" t="s">
        <v>6517</v>
      </c>
      <c r="D240" t="s">
        <v>6517</v>
      </c>
      <c r="E240" t="s">
        <v>6517</v>
      </c>
    </row>
    <row r="241" spans="1:5" x14ac:dyDescent="0.3">
      <c r="A241" t="s">
        <v>349</v>
      </c>
      <c r="B241" t="s">
        <v>10074</v>
      </c>
      <c r="C241" t="s">
        <v>6517</v>
      </c>
      <c r="D241" t="s">
        <v>6517</v>
      </c>
      <c r="E241" t="s">
        <v>6517</v>
      </c>
    </row>
    <row r="242" spans="1:5" x14ac:dyDescent="0.3">
      <c r="A242" t="s">
        <v>349</v>
      </c>
      <c r="B242" t="s">
        <v>10073</v>
      </c>
      <c r="C242" t="s">
        <v>6517</v>
      </c>
      <c r="D242" t="s">
        <v>6517</v>
      </c>
      <c r="E242" t="s">
        <v>6517</v>
      </c>
    </row>
    <row r="243" spans="1:5" x14ac:dyDescent="0.3">
      <c r="A243" t="s">
        <v>356</v>
      </c>
      <c r="B243" t="s">
        <v>10072</v>
      </c>
      <c r="C243" t="s">
        <v>10072</v>
      </c>
      <c r="D243" t="s">
        <v>10071</v>
      </c>
      <c r="E243" t="s">
        <v>10070</v>
      </c>
    </row>
    <row r="244" spans="1:5" x14ac:dyDescent="0.3">
      <c r="A244" t="s">
        <v>356</v>
      </c>
      <c r="B244" t="s">
        <v>10069</v>
      </c>
      <c r="C244" t="s">
        <v>6517</v>
      </c>
      <c r="D244" t="s">
        <v>6517</v>
      </c>
      <c r="E244" t="s">
        <v>6517</v>
      </c>
    </row>
    <row r="245" spans="1:5" x14ac:dyDescent="0.3">
      <c r="A245" t="s">
        <v>356</v>
      </c>
      <c r="B245" t="s">
        <v>10068</v>
      </c>
      <c r="C245" t="s">
        <v>6517</v>
      </c>
      <c r="D245" t="s">
        <v>6517</v>
      </c>
      <c r="E245" t="s">
        <v>6517</v>
      </c>
    </row>
    <row r="246" spans="1:5" x14ac:dyDescent="0.3">
      <c r="A246" t="s">
        <v>356</v>
      </c>
      <c r="B246" t="s">
        <v>10067</v>
      </c>
      <c r="C246" t="s">
        <v>6517</v>
      </c>
      <c r="D246" t="s">
        <v>6517</v>
      </c>
      <c r="E246" t="s">
        <v>6517</v>
      </c>
    </row>
    <row r="247" spans="1:5" x14ac:dyDescent="0.3">
      <c r="A247" t="s">
        <v>356</v>
      </c>
      <c r="B247" t="s">
        <v>10066</v>
      </c>
      <c r="C247" t="s">
        <v>6517</v>
      </c>
      <c r="D247" t="s">
        <v>6517</v>
      </c>
      <c r="E247" t="s">
        <v>6517</v>
      </c>
    </row>
    <row r="248" spans="1:5" x14ac:dyDescent="0.3">
      <c r="A248" t="s">
        <v>362</v>
      </c>
      <c r="B248" t="s">
        <v>10065</v>
      </c>
      <c r="C248" t="s">
        <v>10065</v>
      </c>
      <c r="D248" t="s">
        <v>10064</v>
      </c>
      <c r="E248" t="s">
        <v>10063</v>
      </c>
    </row>
    <row r="249" spans="1:5" x14ac:dyDescent="0.3">
      <c r="A249" t="s">
        <v>362</v>
      </c>
      <c r="B249" t="s">
        <v>10062</v>
      </c>
      <c r="C249" t="s">
        <v>6517</v>
      </c>
      <c r="D249" t="s">
        <v>6517</v>
      </c>
      <c r="E249" t="s">
        <v>6517</v>
      </c>
    </row>
    <row r="250" spans="1:5" x14ac:dyDescent="0.3">
      <c r="A250" t="s">
        <v>362</v>
      </c>
      <c r="B250" t="s">
        <v>10061</v>
      </c>
      <c r="C250" t="s">
        <v>6517</v>
      </c>
      <c r="D250" t="s">
        <v>6517</v>
      </c>
      <c r="E250" t="s">
        <v>6517</v>
      </c>
    </row>
    <row r="251" spans="1:5" x14ac:dyDescent="0.3">
      <c r="A251" t="s">
        <v>362</v>
      </c>
      <c r="B251" t="s">
        <v>10060</v>
      </c>
      <c r="C251" t="s">
        <v>6517</v>
      </c>
      <c r="D251" t="s">
        <v>6517</v>
      </c>
      <c r="E251" t="s">
        <v>6517</v>
      </c>
    </row>
    <row r="252" spans="1:5" x14ac:dyDescent="0.3">
      <c r="A252" t="s">
        <v>362</v>
      </c>
      <c r="B252" t="s">
        <v>10059</v>
      </c>
      <c r="C252" t="s">
        <v>6517</v>
      </c>
      <c r="D252" t="s">
        <v>6517</v>
      </c>
      <c r="E252" t="s">
        <v>6517</v>
      </c>
    </row>
    <row r="253" spans="1:5" x14ac:dyDescent="0.3">
      <c r="A253" t="s">
        <v>368</v>
      </c>
      <c r="B253" t="s">
        <v>10058</v>
      </c>
      <c r="C253" t="s">
        <v>10058</v>
      </c>
      <c r="D253" t="s">
        <v>10057</v>
      </c>
      <c r="E253" t="s">
        <v>10056</v>
      </c>
    </row>
    <row r="254" spans="1:5" x14ac:dyDescent="0.3">
      <c r="A254" t="s">
        <v>368</v>
      </c>
      <c r="B254" t="s">
        <v>10055</v>
      </c>
      <c r="C254" t="s">
        <v>6517</v>
      </c>
      <c r="D254" t="s">
        <v>6517</v>
      </c>
      <c r="E254" t="s">
        <v>6517</v>
      </c>
    </row>
    <row r="255" spans="1:5" x14ac:dyDescent="0.3">
      <c r="A255" t="s">
        <v>368</v>
      </c>
      <c r="B255" t="s">
        <v>10054</v>
      </c>
      <c r="C255" t="s">
        <v>6517</v>
      </c>
      <c r="D255" t="s">
        <v>6517</v>
      </c>
      <c r="E255" t="s">
        <v>6517</v>
      </c>
    </row>
    <row r="256" spans="1:5" x14ac:dyDescent="0.3">
      <c r="A256" t="s">
        <v>368</v>
      </c>
      <c r="B256" t="s">
        <v>10053</v>
      </c>
      <c r="C256" t="s">
        <v>6517</v>
      </c>
      <c r="D256" t="s">
        <v>6517</v>
      </c>
      <c r="E256" t="s">
        <v>6517</v>
      </c>
    </row>
    <row r="257" spans="1:5" x14ac:dyDescent="0.3">
      <c r="A257" t="s">
        <v>368</v>
      </c>
      <c r="B257" t="s">
        <v>10052</v>
      </c>
      <c r="C257" t="s">
        <v>6517</v>
      </c>
      <c r="D257" t="s">
        <v>6517</v>
      </c>
      <c r="E257" t="s">
        <v>6517</v>
      </c>
    </row>
    <row r="258" spans="1:5" x14ac:dyDescent="0.3">
      <c r="A258" t="s">
        <v>375</v>
      </c>
      <c r="B258" t="s">
        <v>10051</v>
      </c>
      <c r="C258" t="s">
        <v>10051</v>
      </c>
      <c r="D258" t="s">
        <v>10050</v>
      </c>
      <c r="E258" t="s">
        <v>10049</v>
      </c>
    </row>
    <row r="259" spans="1:5" x14ac:dyDescent="0.3">
      <c r="A259" t="s">
        <v>375</v>
      </c>
      <c r="B259" t="s">
        <v>10048</v>
      </c>
      <c r="C259" t="s">
        <v>6517</v>
      </c>
      <c r="D259" t="s">
        <v>6517</v>
      </c>
      <c r="E259" t="s">
        <v>6517</v>
      </c>
    </row>
    <row r="260" spans="1:5" x14ac:dyDescent="0.3">
      <c r="A260" t="s">
        <v>375</v>
      </c>
      <c r="B260" t="s">
        <v>10047</v>
      </c>
      <c r="C260" t="s">
        <v>6517</v>
      </c>
      <c r="D260" t="s">
        <v>6517</v>
      </c>
      <c r="E260" t="s">
        <v>6517</v>
      </c>
    </row>
    <row r="261" spans="1:5" x14ac:dyDescent="0.3">
      <c r="A261" t="s">
        <v>375</v>
      </c>
      <c r="B261" t="s">
        <v>10046</v>
      </c>
      <c r="C261" t="s">
        <v>6517</v>
      </c>
      <c r="D261" t="s">
        <v>6517</v>
      </c>
      <c r="E261" t="s">
        <v>6517</v>
      </c>
    </row>
    <row r="262" spans="1:5" x14ac:dyDescent="0.3">
      <c r="A262" t="s">
        <v>375</v>
      </c>
      <c r="B262" t="s">
        <v>10045</v>
      </c>
      <c r="C262" t="s">
        <v>6517</v>
      </c>
      <c r="D262" t="s">
        <v>6517</v>
      </c>
      <c r="E262" t="s">
        <v>6517</v>
      </c>
    </row>
    <row r="263" spans="1:5" x14ac:dyDescent="0.3">
      <c r="A263" t="s">
        <v>381</v>
      </c>
      <c r="B263" t="s">
        <v>10044</v>
      </c>
      <c r="C263" t="s">
        <v>10044</v>
      </c>
      <c r="D263" t="s">
        <v>10043</v>
      </c>
      <c r="E263" t="s">
        <v>10042</v>
      </c>
    </row>
    <row r="264" spans="1:5" x14ac:dyDescent="0.3">
      <c r="A264" t="s">
        <v>381</v>
      </c>
      <c r="B264" t="s">
        <v>10041</v>
      </c>
      <c r="C264" t="s">
        <v>6517</v>
      </c>
      <c r="D264" t="s">
        <v>6517</v>
      </c>
      <c r="E264" t="s">
        <v>6517</v>
      </c>
    </row>
    <row r="265" spans="1:5" x14ac:dyDescent="0.3">
      <c r="A265" t="s">
        <v>381</v>
      </c>
      <c r="B265" t="s">
        <v>10040</v>
      </c>
      <c r="C265" t="s">
        <v>6517</v>
      </c>
      <c r="D265" t="s">
        <v>6517</v>
      </c>
      <c r="E265" t="s">
        <v>6517</v>
      </c>
    </row>
    <row r="266" spans="1:5" x14ac:dyDescent="0.3">
      <c r="A266" t="s">
        <v>381</v>
      </c>
      <c r="B266" t="s">
        <v>10039</v>
      </c>
      <c r="C266" t="s">
        <v>6517</v>
      </c>
      <c r="D266" t="s">
        <v>6517</v>
      </c>
      <c r="E266" t="s">
        <v>6517</v>
      </c>
    </row>
    <row r="267" spans="1:5" x14ac:dyDescent="0.3">
      <c r="A267" t="s">
        <v>381</v>
      </c>
      <c r="B267" t="s">
        <v>10038</v>
      </c>
      <c r="C267" t="s">
        <v>6517</v>
      </c>
      <c r="D267" t="s">
        <v>6517</v>
      </c>
      <c r="E267" t="s">
        <v>6517</v>
      </c>
    </row>
    <row r="268" spans="1:5" x14ac:dyDescent="0.3">
      <c r="A268" t="s">
        <v>387</v>
      </c>
      <c r="B268" t="s">
        <v>10037</v>
      </c>
      <c r="C268" t="s">
        <v>10037</v>
      </c>
      <c r="D268" t="s">
        <v>10036</v>
      </c>
      <c r="E268" t="s">
        <v>10035</v>
      </c>
    </row>
    <row r="269" spans="1:5" x14ac:dyDescent="0.3">
      <c r="A269" t="s">
        <v>387</v>
      </c>
      <c r="B269" t="s">
        <v>10034</v>
      </c>
      <c r="C269" t="s">
        <v>6517</v>
      </c>
      <c r="D269" t="s">
        <v>6517</v>
      </c>
      <c r="E269" t="s">
        <v>6517</v>
      </c>
    </row>
    <row r="270" spans="1:5" x14ac:dyDescent="0.3">
      <c r="A270" t="s">
        <v>387</v>
      </c>
      <c r="B270" t="s">
        <v>10033</v>
      </c>
      <c r="C270" t="s">
        <v>6517</v>
      </c>
      <c r="D270" t="s">
        <v>6517</v>
      </c>
      <c r="E270" t="s">
        <v>6517</v>
      </c>
    </row>
    <row r="271" spans="1:5" x14ac:dyDescent="0.3">
      <c r="A271" t="s">
        <v>387</v>
      </c>
      <c r="B271" t="s">
        <v>10032</v>
      </c>
      <c r="C271" t="s">
        <v>6517</v>
      </c>
      <c r="D271" t="s">
        <v>6517</v>
      </c>
      <c r="E271" t="s">
        <v>6517</v>
      </c>
    </row>
    <row r="272" spans="1:5" x14ac:dyDescent="0.3">
      <c r="A272" t="s">
        <v>387</v>
      </c>
      <c r="B272" t="s">
        <v>10031</v>
      </c>
      <c r="C272" t="s">
        <v>6517</v>
      </c>
      <c r="D272" t="s">
        <v>6517</v>
      </c>
      <c r="E272" t="s">
        <v>6517</v>
      </c>
    </row>
    <row r="273" spans="1:5" x14ac:dyDescent="0.3">
      <c r="A273" t="s">
        <v>393</v>
      </c>
      <c r="B273" t="s">
        <v>10030</v>
      </c>
      <c r="C273" t="s">
        <v>10030</v>
      </c>
      <c r="D273" t="s">
        <v>10029</v>
      </c>
      <c r="E273" t="s">
        <v>10028</v>
      </c>
    </row>
    <row r="274" spans="1:5" x14ac:dyDescent="0.3">
      <c r="A274" t="s">
        <v>393</v>
      </c>
      <c r="B274" t="s">
        <v>10027</v>
      </c>
      <c r="C274" t="s">
        <v>6517</v>
      </c>
      <c r="D274" t="s">
        <v>6517</v>
      </c>
      <c r="E274" t="s">
        <v>6517</v>
      </c>
    </row>
    <row r="275" spans="1:5" x14ac:dyDescent="0.3">
      <c r="A275" t="s">
        <v>393</v>
      </c>
      <c r="B275" t="s">
        <v>10026</v>
      </c>
      <c r="C275" t="s">
        <v>6517</v>
      </c>
      <c r="D275" t="s">
        <v>6517</v>
      </c>
      <c r="E275" t="s">
        <v>6517</v>
      </c>
    </row>
    <row r="276" spans="1:5" x14ac:dyDescent="0.3">
      <c r="A276" t="s">
        <v>393</v>
      </c>
      <c r="B276" t="s">
        <v>10025</v>
      </c>
      <c r="C276" t="s">
        <v>6517</v>
      </c>
      <c r="D276" t="s">
        <v>6517</v>
      </c>
      <c r="E276" t="s">
        <v>6517</v>
      </c>
    </row>
    <row r="277" spans="1:5" x14ac:dyDescent="0.3">
      <c r="A277" t="s">
        <v>393</v>
      </c>
      <c r="B277" t="s">
        <v>10024</v>
      </c>
      <c r="C277" t="s">
        <v>6517</v>
      </c>
      <c r="D277" t="s">
        <v>6517</v>
      </c>
      <c r="E277" t="s">
        <v>6517</v>
      </c>
    </row>
    <row r="278" spans="1:5" x14ac:dyDescent="0.3">
      <c r="A278" t="s">
        <v>400</v>
      </c>
      <c r="B278" t="s">
        <v>10023</v>
      </c>
      <c r="C278" t="s">
        <v>6517</v>
      </c>
      <c r="D278" t="s">
        <v>6517</v>
      </c>
      <c r="E278" t="s">
        <v>6517</v>
      </c>
    </row>
    <row r="279" spans="1:5" x14ac:dyDescent="0.3">
      <c r="A279" t="s">
        <v>400</v>
      </c>
      <c r="B279" t="s">
        <v>10022</v>
      </c>
      <c r="C279" t="s">
        <v>6517</v>
      </c>
      <c r="D279" t="s">
        <v>6517</v>
      </c>
      <c r="E279" t="s">
        <v>6517</v>
      </c>
    </row>
    <row r="280" spans="1:5" x14ac:dyDescent="0.3">
      <c r="A280" t="s">
        <v>400</v>
      </c>
      <c r="B280" t="s">
        <v>10021</v>
      </c>
      <c r="C280" t="s">
        <v>10021</v>
      </c>
      <c r="D280" t="s">
        <v>10020</v>
      </c>
      <c r="E280" t="s">
        <v>10019</v>
      </c>
    </row>
    <row r="281" spans="1:5" x14ac:dyDescent="0.3">
      <c r="A281" t="s">
        <v>400</v>
      </c>
      <c r="B281" t="s">
        <v>10018</v>
      </c>
      <c r="C281" t="s">
        <v>6517</v>
      </c>
      <c r="D281" t="s">
        <v>6517</v>
      </c>
      <c r="E281" t="s">
        <v>6517</v>
      </c>
    </row>
    <row r="282" spans="1:5" x14ac:dyDescent="0.3">
      <c r="A282" t="s">
        <v>400</v>
      </c>
      <c r="B282" t="s">
        <v>10017</v>
      </c>
      <c r="C282" t="s">
        <v>6517</v>
      </c>
      <c r="D282" t="s">
        <v>6517</v>
      </c>
      <c r="E282" t="s">
        <v>6517</v>
      </c>
    </row>
    <row r="283" spans="1:5" x14ac:dyDescent="0.3">
      <c r="A283" t="s">
        <v>407</v>
      </c>
      <c r="B283" t="s">
        <v>10016</v>
      </c>
      <c r="C283" t="s">
        <v>10016</v>
      </c>
      <c r="D283" t="s">
        <v>10015</v>
      </c>
      <c r="E283" t="s">
        <v>10014</v>
      </c>
    </row>
    <row r="284" spans="1:5" x14ac:dyDescent="0.3">
      <c r="A284" t="s">
        <v>407</v>
      </c>
      <c r="B284" t="s">
        <v>10013</v>
      </c>
      <c r="C284" t="s">
        <v>6517</v>
      </c>
      <c r="D284" t="s">
        <v>6517</v>
      </c>
      <c r="E284" t="s">
        <v>6517</v>
      </c>
    </row>
    <row r="285" spans="1:5" x14ac:dyDescent="0.3">
      <c r="A285" t="s">
        <v>407</v>
      </c>
      <c r="B285" t="s">
        <v>10012</v>
      </c>
      <c r="C285" t="s">
        <v>6517</v>
      </c>
      <c r="D285" t="s">
        <v>6517</v>
      </c>
      <c r="E285" t="s">
        <v>6517</v>
      </c>
    </row>
    <row r="286" spans="1:5" x14ac:dyDescent="0.3">
      <c r="A286" t="s">
        <v>407</v>
      </c>
      <c r="B286" t="s">
        <v>10011</v>
      </c>
      <c r="C286" t="s">
        <v>6517</v>
      </c>
      <c r="D286" t="s">
        <v>6517</v>
      </c>
      <c r="E286" t="s">
        <v>6517</v>
      </c>
    </row>
    <row r="287" spans="1:5" x14ac:dyDescent="0.3">
      <c r="A287" t="s">
        <v>407</v>
      </c>
      <c r="B287" t="s">
        <v>10010</v>
      </c>
      <c r="C287" t="s">
        <v>6517</v>
      </c>
      <c r="D287" t="s">
        <v>6517</v>
      </c>
      <c r="E287" t="s">
        <v>6517</v>
      </c>
    </row>
    <row r="288" spans="1:5" x14ac:dyDescent="0.3">
      <c r="A288" t="s">
        <v>413</v>
      </c>
      <c r="B288" t="s">
        <v>10009</v>
      </c>
      <c r="C288" t="s">
        <v>10009</v>
      </c>
      <c r="D288" t="s">
        <v>10008</v>
      </c>
      <c r="E288" t="s">
        <v>10007</v>
      </c>
    </row>
    <row r="289" spans="1:5" x14ac:dyDescent="0.3">
      <c r="A289" t="s">
        <v>413</v>
      </c>
      <c r="B289" t="s">
        <v>10006</v>
      </c>
      <c r="C289" t="s">
        <v>6517</v>
      </c>
      <c r="D289" t="s">
        <v>6517</v>
      </c>
      <c r="E289" t="s">
        <v>6517</v>
      </c>
    </row>
    <row r="290" spans="1:5" x14ac:dyDescent="0.3">
      <c r="A290" t="s">
        <v>413</v>
      </c>
      <c r="B290" t="s">
        <v>10005</v>
      </c>
      <c r="C290" t="s">
        <v>6517</v>
      </c>
      <c r="D290" t="s">
        <v>6517</v>
      </c>
      <c r="E290" t="s">
        <v>6517</v>
      </c>
    </row>
    <row r="291" spans="1:5" x14ac:dyDescent="0.3">
      <c r="A291" t="s">
        <v>413</v>
      </c>
      <c r="B291" t="s">
        <v>10004</v>
      </c>
      <c r="C291" t="s">
        <v>6517</v>
      </c>
      <c r="D291" t="s">
        <v>6517</v>
      </c>
      <c r="E291" t="s">
        <v>6517</v>
      </c>
    </row>
    <row r="292" spans="1:5" x14ac:dyDescent="0.3">
      <c r="A292" t="s">
        <v>413</v>
      </c>
      <c r="B292" t="s">
        <v>10003</v>
      </c>
      <c r="C292" t="s">
        <v>6517</v>
      </c>
      <c r="D292" t="s">
        <v>6517</v>
      </c>
      <c r="E292" t="s">
        <v>6517</v>
      </c>
    </row>
    <row r="293" spans="1:5" x14ac:dyDescent="0.3">
      <c r="A293" t="s">
        <v>421</v>
      </c>
      <c r="B293" t="s">
        <v>10002</v>
      </c>
      <c r="C293" t="s">
        <v>10002</v>
      </c>
      <c r="D293" t="s">
        <v>10001</v>
      </c>
      <c r="E293" t="s">
        <v>10000</v>
      </c>
    </row>
    <row r="294" spans="1:5" x14ac:dyDescent="0.3">
      <c r="A294" t="s">
        <v>421</v>
      </c>
      <c r="B294" t="s">
        <v>9999</v>
      </c>
      <c r="C294" t="s">
        <v>6517</v>
      </c>
      <c r="D294" t="s">
        <v>6517</v>
      </c>
      <c r="E294" t="s">
        <v>6517</v>
      </c>
    </row>
    <row r="295" spans="1:5" x14ac:dyDescent="0.3">
      <c r="A295" t="s">
        <v>421</v>
      </c>
      <c r="B295" t="s">
        <v>9998</v>
      </c>
      <c r="C295" t="s">
        <v>6517</v>
      </c>
      <c r="D295" t="s">
        <v>6517</v>
      </c>
      <c r="E295" t="s">
        <v>6517</v>
      </c>
    </row>
    <row r="296" spans="1:5" x14ac:dyDescent="0.3">
      <c r="A296" t="s">
        <v>421</v>
      </c>
      <c r="B296" t="s">
        <v>9997</v>
      </c>
      <c r="C296" t="s">
        <v>6517</v>
      </c>
      <c r="D296" t="s">
        <v>6517</v>
      </c>
      <c r="E296" t="s">
        <v>6517</v>
      </c>
    </row>
    <row r="297" spans="1:5" x14ac:dyDescent="0.3">
      <c r="A297" t="s">
        <v>421</v>
      </c>
      <c r="B297" t="s">
        <v>9996</v>
      </c>
      <c r="C297" t="s">
        <v>6517</v>
      </c>
      <c r="D297" t="s">
        <v>6517</v>
      </c>
      <c r="E297" t="s">
        <v>6517</v>
      </c>
    </row>
    <row r="298" spans="1:5" x14ac:dyDescent="0.3">
      <c r="A298" t="s">
        <v>427</v>
      </c>
      <c r="B298" t="s">
        <v>9995</v>
      </c>
      <c r="C298" t="s">
        <v>9995</v>
      </c>
      <c r="D298" t="s">
        <v>9994</v>
      </c>
      <c r="E298" t="s">
        <v>9993</v>
      </c>
    </row>
    <row r="299" spans="1:5" x14ac:dyDescent="0.3">
      <c r="A299" t="s">
        <v>427</v>
      </c>
      <c r="B299" t="s">
        <v>9992</v>
      </c>
      <c r="C299" t="s">
        <v>6517</v>
      </c>
      <c r="D299" t="s">
        <v>6517</v>
      </c>
      <c r="E299" t="s">
        <v>6517</v>
      </c>
    </row>
    <row r="300" spans="1:5" x14ac:dyDescent="0.3">
      <c r="A300" t="s">
        <v>427</v>
      </c>
      <c r="B300" t="s">
        <v>9991</v>
      </c>
      <c r="C300" t="s">
        <v>6517</v>
      </c>
      <c r="D300" t="s">
        <v>6517</v>
      </c>
      <c r="E300" t="s">
        <v>6517</v>
      </c>
    </row>
    <row r="301" spans="1:5" x14ac:dyDescent="0.3">
      <c r="A301" t="s">
        <v>427</v>
      </c>
      <c r="B301" t="s">
        <v>9990</v>
      </c>
      <c r="C301" t="s">
        <v>6517</v>
      </c>
      <c r="D301" t="s">
        <v>6517</v>
      </c>
      <c r="E301" t="s">
        <v>6517</v>
      </c>
    </row>
    <row r="302" spans="1:5" x14ac:dyDescent="0.3">
      <c r="A302" t="s">
        <v>427</v>
      </c>
      <c r="B302" t="s">
        <v>9989</v>
      </c>
      <c r="C302" t="s">
        <v>6517</v>
      </c>
      <c r="D302" t="s">
        <v>6517</v>
      </c>
      <c r="E302" t="s">
        <v>6517</v>
      </c>
    </row>
    <row r="303" spans="1:5" x14ac:dyDescent="0.3">
      <c r="A303" t="s">
        <v>433</v>
      </c>
      <c r="B303" t="s">
        <v>9988</v>
      </c>
      <c r="C303" t="s">
        <v>9988</v>
      </c>
      <c r="D303" t="s">
        <v>9987</v>
      </c>
      <c r="E303" t="s">
        <v>9986</v>
      </c>
    </row>
    <row r="304" spans="1:5" x14ac:dyDescent="0.3">
      <c r="A304" t="s">
        <v>433</v>
      </c>
      <c r="B304" t="s">
        <v>9985</v>
      </c>
      <c r="C304" t="s">
        <v>6517</v>
      </c>
      <c r="D304" t="s">
        <v>6517</v>
      </c>
      <c r="E304" t="s">
        <v>6517</v>
      </c>
    </row>
    <row r="305" spans="1:5" x14ac:dyDescent="0.3">
      <c r="A305" t="s">
        <v>433</v>
      </c>
      <c r="B305" t="s">
        <v>9984</v>
      </c>
      <c r="C305" t="s">
        <v>6517</v>
      </c>
      <c r="D305" t="s">
        <v>6517</v>
      </c>
      <c r="E305" t="s">
        <v>6517</v>
      </c>
    </row>
    <row r="306" spans="1:5" x14ac:dyDescent="0.3">
      <c r="A306" t="s">
        <v>433</v>
      </c>
      <c r="B306" t="s">
        <v>9983</v>
      </c>
      <c r="C306" t="s">
        <v>6517</v>
      </c>
      <c r="D306" t="s">
        <v>6517</v>
      </c>
      <c r="E306" t="s">
        <v>6517</v>
      </c>
    </row>
    <row r="307" spans="1:5" x14ac:dyDescent="0.3">
      <c r="A307" t="s">
        <v>433</v>
      </c>
      <c r="B307" t="s">
        <v>9982</v>
      </c>
      <c r="C307" t="s">
        <v>6517</v>
      </c>
      <c r="D307" t="s">
        <v>6517</v>
      </c>
      <c r="E307" t="s">
        <v>6517</v>
      </c>
    </row>
    <row r="308" spans="1:5" x14ac:dyDescent="0.3">
      <c r="A308" t="s">
        <v>440</v>
      </c>
      <c r="B308" t="s">
        <v>9981</v>
      </c>
      <c r="C308" t="s">
        <v>9981</v>
      </c>
      <c r="D308" t="s">
        <v>9980</v>
      </c>
      <c r="E308" t="s">
        <v>9979</v>
      </c>
    </row>
    <row r="309" spans="1:5" x14ac:dyDescent="0.3">
      <c r="A309" t="s">
        <v>440</v>
      </c>
      <c r="B309" t="s">
        <v>9978</v>
      </c>
      <c r="C309" t="s">
        <v>6517</v>
      </c>
      <c r="D309" t="s">
        <v>6517</v>
      </c>
      <c r="E309" t="s">
        <v>6517</v>
      </c>
    </row>
    <row r="310" spans="1:5" x14ac:dyDescent="0.3">
      <c r="A310" t="s">
        <v>440</v>
      </c>
      <c r="B310" t="s">
        <v>9977</v>
      </c>
      <c r="C310" t="s">
        <v>6517</v>
      </c>
      <c r="D310" t="s">
        <v>6517</v>
      </c>
      <c r="E310" t="s">
        <v>6517</v>
      </c>
    </row>
    <row r="311" spans="1:5" x14ac:dyDescent="0.3">
      <c r="A311" t="s">
        <v>440</v>
      </c>
      <c r="B311" t="s">
        <v>9976</v>
      </c>
      <c r="C311" t="s">
        <v>6517</v>
      </c>
      <c r="D311" t="s">
        <v>6517</v>
      </c>
      <c r="E311" t="s">
        <v>6517</v>
      </c>
    </row>
    <row r="312" spans="1:5" x14ac:dyDescent="0.3">
      <c r="A312" t="s">
        <v>440</v>
      </c>
      <c r="B312" t="s">
        <v>9975</v>
      </c>
      <c r="C312" t="s">
        <v>6517</v>
      </c>
      <c r="D312" t="s">
        <v>6517</v>
      </c>
      <c r="E312" t="s">
        <v>6517</v>
      </c>
    </row>
    <row r="313" spans="1:5" x14ac:dyDescent="0.3">
      <c r="A313" t="s">
        <v>446</v>
      </c>
      <c r="B313" t="s">
        <v>9974</v>
      </c>
      <c r="C313" t="s">
        <v>9974</v>
      </c>
      <c r="D313" t="s">
        <v>9973</v>
      </c>
      <c r="E313" t="s">
        <v>9972</v>
      </c>
    </row>
    <row r="314" spans="1:5" x14ac:dyDescent="0.3">
      <c r="A314" t="s">
        <v>446</v>
      </c>
      <c r="B314" t="s">
        <v>9971</v>
      </c>
      <c r="C314" t="s">
        <v>6517</v>
      </c>
      <c r="D314" t="s">
        <v>6517</v>
      </c>
      <c r="E314" t="s">
        <v>6517</v>
      </c>
    </row>
    <row r="315" spans="1:5" x14ac:dyDescent="0.3">
      <c r="A315" t="s">
        <v>446</v>
      </c>
      <c r="B315" t="s">
        <v>9970</v>
      </c>
      <c r="C315" t="s">
        <v>6517</v>
      </c>
      <c r="D315" t="s">
        <v>6517</v>
      </c>
      <c r="E315" t="s">
        <v>6517</v>
      </c>
    </row>
    <row r="316" spans="1:5" x14ac:dyDescent="0.3">
      <c r="A316" t="s">
        <v>446</v>
      </c>
      <c r="B316" t="s">
        <v>9969</v>
      </c>
      <c r="C316" t="s">
        <v>6517</v>
      </c>
      <c r="D316" t="s">
        <v>6517</v>
      </c>
      <c r="E316" t="s">
        <v>6517</v>
      </c>
    </row>
    <row r="317" spans="1:5" x14ac:dyDescent="0.3">
      <c r="A317" t="s">
        <v>446</v>
      </c>
      <c r="B317" t="s">
        <v>9968</v>
      </c>
      <c r="C317" t="s">
        <v>6517</v>
      </c>
      <c r="D317" t="s">
        <v>6517</v>
      </c>
      <c r="E317" t="s">
        <v>6517</v>
      </c>
    </row>
    <row r="318" spans="1:5" x14ac:dyDescent="0.3">
      <c r="A318" t="s">
        <v>452</v>
      </c>
      <c r="B318" t="s">
        <v>9967</v>
      </c>
      <c r="C318" t="s">
        <v>9967</v>
      </c>
      <c r="D318" t="s">
        <v>9966</v>
      </c>
      <c r="E318" t="s">
        <v>9965</v>
      </c>
    </row>
    <row r="319" spans="1:5" x14ac:dyDescent="0.3">
      <c r="A319" t="s">
        <v>452</v>
      </c>
      <c r="B319" t="s">
        <v>9964</v>
      </c>
      <c r="C319" t="s">
        <v>6517</v>
      </c>
      <c r="D319" t="s">
        <v>6517</v>
      </c>
      <c r="E319" t="s">
        <v>6517</v>
      </c>
    </row>
    <row r="320" spans="1:5" x14ac:dyDescent="0.3">
      <c r="A320" t="s">
        <v>452</v>
      </c>
      <c r="B320" t="s">
        <v>9963</v>
      </c>
      <c r="C320" t="s">
        <v>6517</v>
      </c>
      <c r="D320" t="s">
        <v>6517</v>
      </c>
      <c r="E320" t="s">
        <v>6517</v>
      </c>
    </row>
    <row r="321" spans="1:5" x14ac:dyDescent="0.3">
      <c r="A321" t="s">
        <v>452</v>
      </c>
      <c r="B321" t="s">
        <v>9962</v>
      </c>
      <c r="C321" t="s">
        <v>6517</v>
      </c>
      <c r="D321" t="s">
        <v>6517</v>
      </c>
      <c r="E321" t="s">
        <v>6517</v>
      </c>
    </row>
    <row r="322" spans="1:5" x14ac:dyDescent="0.3">
      <c r="A322" t="s">
        <v>452</v>
      </c>
      <c r="B322" t="s">
        <v>9961</v>
      </c>
      <c r="C322" t="s">
        <v>6517</v>
      </c>
      <c r="D322" t="s">
        <v>6517</v>
      </c>
      <c r="E322" t="s">
        <v>6517</v>
      </c>
    </row>
    <row r="323" spans="1:5" x14ac:dyDescent="0.3">
      <c r="A323" t="s">
        <v>458</v>
      </c>
      <c r="B323" t="s">
        <v>9960</v>
      </c>
      <c r="C323" t="s">
        <v>9960</v>
      </c>
      <c r="D323" t="s">
        <v>9959</v>
      </c>
      <c r="E323" t="s">
        <v>9958</v>
      </c>
    </row>
    <row r="324" spans="1:5" x14ac:dyDescent="0.3">
      <c r="A324" t="s">
        <v>458</v>
      </c>
      <c r="B324" t="s">
        <v>9957</v>
      </c>
      <c r="C324" t="s">
        <v>6517</v>
      </c>
      <c r="D324" t="s">
        <v>6517</v>
      </c>
      <c r="E324" t="s">
        <v>6517</v>
      </c>
    </row>
    <row r="325" spans="1:5" x14ac:dyDescent="0.3">
      <c r="A325" t="s">
        <v>458</v>
      </c>
      <c r="B325" t="s">
        <v>9956</v>
      </c>
      <c r="C325" t="s">
        <v>6517</v>
      </c>
      <c r="D325" t="s">
        <v>6517</v>
      </c>
      <c r="E325" t="s">
        <v>6517</v>
      </c>
    </row>
    <row r="326" spans="1:5" x14ac:dyDescent="0.3">
      <c r="A326" t="s">
        <v>458</v>
      </c>
      <c r="B326" t="s">
        <v>9955</v>
      </c>
      <c r="C326" t="s">
        <v>6517</v>
      </c>
      <c r="D326" t="s">
        <v>6517</v>
      </c>
      <c r="E326" t="s">
        <v>6517</v>
      </c>
    </row>
    <row r="327" spans="1:5" x14ac:dyDescent="0.3">
      <c r="A327" t="s">
        <v>458</v>
      </c>
      <c r="B327" t="s">
        <v>9954</v>
      </c>
      <c r="C327" t="s">
        <v>6517</v>
      </c>
      <c r="D327" t="s">
        <v>6517</v>
      </c>
      <c r="E327" t="s">
        <v>6517</v>
      </c>
    </row>
    <row r="328" spans="1:5" x14ac:dyDescent="0.3">
      <c r="A328" t="s">
        <v>465</v>
      </c>
      <c r="B328" t="s">
        <v>9953</v>
      </c>
      <c r="C328" t="s">
        <v>9953</v>
      </c>
      <c r="D328" t="s">
        <v>9952</v>
      </c>
      <c r="E328" t="s">
        <v>9951</v>
      </c>
    </row>
    <row r="329" spans="1:5" x14ac:dyDescent="0.3">
      <c r="A329" t="s">
        <v>465</v>
      </c>
      <c r="B329" t="s">
        <v>9950</v>
      </c>
      <c r="C329" t="s">
        <v>6517</v>
      </c>
      <c r="D329" t="s">
        <v>6517</v>
      </c>
      <c r="E329" t="s">
        <v>6517</v>
      </c>
    </row>
    <row r="330" spans="1:5" x14ac:dyDescent="0.3">
      <c r="A330" t="s">
        <v>465</v>
      </c>
      <c r="B330" t="s">
        <v>9949</v>
      </c>
      <c r="C330" t="s">
        <v>6517</v>
      </c>
      <c r="D330" t="s">
        <v>6517</v>
      </c>
      <c r="E330" t="s">
        <v>6517</v>
      </c>
    </row>
    <row r="331" spans="1:5" x14ac:dyDescent="0.3">
      <c r="A331" t="s">
        <v>465</v>
      </c>
      <c r="B331" t="s">
        <v>9948</v>
      </c>
      <c r="C331" t="s">
        <v>6517</v>
      </c>
      <c r="D331" t="s">
        <v>6517</v>
      </c>
      <c r="E331" t="s">
        <v>6517</v>
      </c>
    </row>
    <row r="332" spans="1:5" x14ac:dyDescent="0.3">
      <c r="A332" t="s">
        <v>465</v>
      </c>
      <c r="B332" t="s">
        <v>9947</v>
      </c>
      <c r="C332" t="s">
        <v>6517</v>
      </c>
      <c r="D332" t="s">
        <v>6517</v>
      </c>
      <c r="E332" t="s">
        <v>6517</v>
      </c>
    </row>
    <row r="333" spans="1:5" x14ac:dyDescent="0.3">
      <c r="A333" t="s">
        <v>472</v>
      </c>
      <c r="B333" t="s">
        <v>9946</v>
      </c>
      <c r="C333" t="s">
        <v>9946</v>
      </c>
      <c r="D333" t="s">
        <v>9945</v>
      </c>
      <c r="E333" t="s">
        <v>9944</v>
      </c>
    </row>
    <row r="334" spans="1:5" x14ac:dyDescent="0.3">
      <c r="A334" t="s">
        <v>472</v>
      </c>
      <c r="B334" t="s">
        <v>9943</v>
      </c>
      <c r="C334" t="s">
        <v>6517</v>
      </c>
      <c r="D334" t="s">
        <v>6517</v>
      </c>
      <c r="E334" t="s">
        <v>6517</v>
      </c>
    </row>
    <row r="335" spans="1:5" x14ac:dyDescent="0.3">
      <c r="A335" t="s">
        <v>472</v>
      </c>
      <c r="B335" t="s">
        <v>9942</v>
      </c>
      <c r="C335" t="s">
        <v>6517</v>
      </c>
      <c r="D335" t="s">
        <v>6517</v>
      </c>
      <c r="E335" t="s">
        <v>6517</v>
      </c>
    </row>
    <row r="336" spans="1:5" x14ac:dyDescent="0.3">
      <c r="A336" t="s">
        <v>472</v>
      </c>
      <c r="B336" t="s">
        <v>9941</v>
      </c>
      <c r="C336" t="s">
        <v>6517</v>
      </c>
      <c r="D336" t="s">
        <v>6517</v>
      </c>
      <c r="E336" t="s">
        <v>6517</v>
      </c>
    </row>
    <row r="337" spans="1:5" x14ac:dyDescent="0.3">
      <c r="A337" t="s">
        <v>472</v>
      </c>
      <c r="B337" t="s">
        <v>9940</v>
      </c>
      <c r="C337" t="s">
        <v>6517</v>
      </c>
      <c r="D337" t="s">
        <v>6517</v>
      </c>
      <c r="E337" t="s">
        <v>6517</v>
      </c>
    </row>
    <row r="338" spans="1:5" x14ac:dyDescent="0.3">
      <c r="A338" t="s">
        <v>479</v>
      </c>
      <c r="B338" t="s">
        <v>9939</v>
      </c>
      <c r="C338" t="s">
        <v>9939</v>
      </c>
      <c r="D338" t="s">
        <v>9938</v>
      </c>
      <c r="E338" t="s">
        <v>9937</v>
      </c>
    </row>
    <row r="339" spans="1:5" x14ac:dyDescent="0.3">
      <c r="A339" t="s">
        <v>479</v>
      </c>
      <c r="B339" t="s">
        <v>9936</v>
      </c>
      <c r="C339" t="s">
        <v>6517</v>
      </c>
      <c r="D339" t="s">
        <v>6517</v>
      </c>
      <c r="E339" t="s">
        <v>6517</v>
      </c>
    </row>
    <row r="340" spans="1:5" x14ac:dyDescent="0.3">
      <c r="A340" t="s">
        <v>479</v>
      </c>
      <c r="B340" t="s">
        <v>9935</v>
      </c>
      <c r="C340" t="s">
        <v>6517</v>
      </c>
      <c r="D340" t="s">
        <v>6517</v>
      </c>
      <c r="E340" t="s">
        <v>6517</v>
      </c>
    </row>
    <row r="341" spans="1:5" x14ac:dyDescent="0.3">
      <c r="A341" t="s">
        <v>479</v>
      </c>
      <c r="B341" t="s">
        <v>9934</v>
      </c>
      <c r="C341" t="s">
        <v>6517</v>
      </c>
      <c r="D341" t="s">
        <v>6517</v>
      </c>
      <c r="E341" t="s">
        <v>6517</v>
      </c>
    </row>
    <row r="342" spans="1:5" x14ac:dyDescent="0.3">
      <c r="A342" t="s">
        <v>479</v>
      </c>
      <c r="B342" t="s">
        <v>9933</v>
      </c>
      <c r="C342" t="s">
        <v>6517</v>
      </c>
      <c r="D342" t="s">
        <v>6517</v>
      </c>
      <c r="E342" t="s">
        <v>6517</v>
      </c>
    </row>
    <row r="343" spans="1:5" x14ac:dyDescent="0.3">
      <c r="A343" t="s">
        <v>486</v>
      </c>
      <c r="B343" t="s">
        <v>9932</v>
      </c>
      <c r="C343" t="s">
        <v>9932</v>
      </c>
      <c r="D343" t="s">
        <v>9931</v>
      </c>
      <c r="E343" t="s">
        <v>9930</v>
      </c>
    </row>
    <row r="344" spans="1:5" x14ac:dyDescent="0.3">
      <c r="A344" t="s">
        <v>486</v>
      </c>
      <c r="B344" t="s">
        <v>9929</v>
      </c>
      <c r="C344" t="s">
        <v>6517</v>
      </c>
      <c r="D344" t="s">
        <v>6517</v>
      </c>
      <c r="E344" t="s">
        <v>6517</v>
      </c>
    </row>
    <row r="345" spans="1:5" x14ac:dyDescent="0.3">
      <c r="A345" t="s">
        <v>486</v>
      </c>
      <c r="B345" t="s">
        <v>9928</v>
      </c>
      <c r="C345" t="s">
        <v>6517</v>
      </c>
      <c r="D345" t="s">
        <v>6517</v>
      </c>
      <c r="E345" t="s">
        <v>6517</v>
      </c>
    </row>
    <row r="346" spans="1:5" x14ac:dyDescent="0.3">
      <c r="A346" t="s">
        <v>486</v>
      </c>
      <c r="B346" t="s">
        <v>9927</v>
      </c>
      <c r="C346" t="s">
        <v>6517</v>
      </c>
      <c r="D346" t="s">
        <v>6517</v>
      </c>
      <c r="E346" t="s">
        <v>6517</v>
      </c>
    </row>
    <row r="347" spans="1:5" x14ac:dyDescent="0.3">
      <c r="A347" t="s">
        <v>486</v>
      </c>
      <c r="B347" t="s">
        <v>9926</v>
      </c>
      <c r="C347" t="s">
        <v>6517</v>
      </c>
      <c r="D347" t="s">
        <v>6517</v>
      </c>
      <c r="E347" t="s">
        <v>6517</v>
      </c>
    </row>
    <row r="348" spans="1:5" x14ac:dyDescent="0.3">
      <c r="A348" t="s">
        <v>492</v>
      </c>
      <c r="B348" t="s">
        <v>9925</v>
      </c>
      <c r="C348" t="s">
        <v>9925</v>
      </c>
      <c r="D348" t="s">
        <v>9924</v>
      </c>
      <c r="E348" t="s">
        <v>9923</v>
      </c>
    </row>
    <row r="349" spans="1:5" x14ac:dyDescent="0.3">
      <c r="A349" t="s">
        <v>492</v>
      </c>
      <c r="B349" t="s">
        <v>9922</v>
      </c>
      <c r="C349" t="s">
        <v>6517</v>
      </c>
      <c r="D349" t="s">
        <v>6517</v>
      </c>
      <c r="E349" t="s">
        <v>6517</v>
      </c>
    </row>
    <row r="350" spans="1:5" x14ac:dyDescent="0.3">
      <c r="A350" t="s">
        <v>492</v>
      </c>
      <c r="B350" t="s">
        <v>9921</v>
      </c>
      <c r="C350" t="s">
        <v>6517</v>
      </c>
      <c r="D350" t="s">
        <v>6517</v>
      </c>
      <c r="E350" t="s">
        <v>6517</v>
      </c>
    </row>
    <row r="351" spans="1:5" x14ac:dyDescent="0.3">
      <c r="A351" t="s">
        <v>492</v>
      </c>
      <c r="B351" t="s">
        <v>9920</v>
      </c>
      <c r="C351" t="s">
        <v>6517</v>
      </c>
      <c r="D351" t="s">
        <v>6517</v>
      </c>
      <c r="E351" t="s">
        <v>6517</v>
      </c>
    </row>
    <row r="352" spans="1:5" x14ac:dyDescent="0.3">
      <c r="A352" t="s">
        <v>492</v>
      </c>
      <c r="B352" t="s">
        <v>9919</v>
      </c>
      <c r="C352" t="s">
        <v>6517</v>
      </c>
      <c r="D352" t="s">
        <v>6517</v>
      </c>
      <c r="E352" t="s">
        <v>6517</v>
      </c>
    </row>
    <row r="353" spans="1:5" x14ac:dyDescent="0.3">
      <c r="A353" t="s">
        <v>498</v>
      </c>
      <c r="B353" t="s">
        <v>9918</v>
      </c>
      <c r="C353" t="s">
        <v>9918</v>
      </c>
      <c r="D353" t="s">
        <v>9917</v>
      </c>
      <c r="E353" t="s">
        <v>9916</v>
      </c>
    </row>
    <row r="354" spans="1:5" x14ac:dyDescent="0.3">
      <c r="A354" t="s">
        <v>498</v>
      </c>
      <c r="B354" t="s">
        <v>9915</v>
      </c>
      <c r="C354" t="s">
        <v>6517</v>
      </c>
      <c r="D354" t="s">
        <v>6517</v>
      </c>
      <c r="E354" t="s">
        <v>6517</v>
      </c>
    </row>
    <row r="355" spans="1:5" x14ac:dyDescent="0.3">
      <c r="A355" t="s">
        <v>498</v>
      </c>
      <c r="B355" t="s">
        <v>9914</v>
      </c>
      <c r="C355" t="s">
        <v>6517</v>
      </c>
      <c r="D355" t="s">
        <v>6517</v>
      </c>
      <c r="E355" t="s">
        <v>6517</v>
      </c>
    </row>
    <row r="356" spans="1:5" x14ac:dyDescent="0.3">
      <c r="A356" t="s">
        <v>498</v>
      </c>
      <c r="B356" t="s">
        <v>9913</v>
      </c>
      <c r="C356" t="s">
        <v>6517</v>
      </c>
      <c r="D356" t="s">
        <v>6517</v>
      </c>
      <c r="E356" t="s">
        <v>6517</v>
      </c>
    </row>
    <row r="357" spans="1:5" x14ac:dyDescent="0.3">
      <c r="A357" t="s">
        <v>498</v>
      </c>
      <c r="B357" t="s">
        <v>9912</v>
      </c>
      <c r="C357" t="s">
        <v>6517</v>
      </c>
      <c r="D357" t="s">
        <v>6517</v>
      </c>
      <c r="E357" t="s">
        <v>6517</v>
      </c>
    </row>
    <row r="358" spans="1:5" x14ac:dyDescent="0.3">
      <c r="A358" t="s">
        <v>504</v>
      </c>
      <c r="B358" t="s">
        <v>9911</v>
      </c>
      <c r="C358" t="s">
        <v>9911</v>
      </c>
      <c r="D358" t="s">
        <v>9910</v>
      </c>
      <c r="E358" t="s">
        <v>9909</v>
      </c>
    </row>
    <row r="359" spans="1:5" x14ac:dyDescent="0.3">
      <c r="A359" t="s">
        <v>504</v>
      </c>
      <c r="B359" t="s">
        <v>9908</v>
      </c>
      <c r="C359" t="s">
        <v>6517</v>
      </c>
      <c r="D359" t="s">
        <v>6517</v>
      </c>
      <c r="E359" t="s">
        <v>6517</v>
      </c>
    </row>
    <row r="360" spans="1:5" x14ac:dyDescent="0.3">
      <c r="A360" t="s">
        <v>504</v>
      </c>
      <c r="B360" t="s">
        <v>9907</v>
      </c>
      <c r="C360" t="s">
        <v>6517</v>
      </c>
      <c r="D360" t="s">
        <v>6517</v>
      </c>
      <c r="E360" t="s">
        <v>6517</v>
      </c>
    </row>
    <row r="361" spans="1:5" x14ac:dyDescent="0.3">
      <c r="A361" t="s">
        <v>504</v>
      </c>
      <c r="B361" t="s">
        <v>9906</v>
      </c>
      <c r="C361" t="s">
        <v>6517</v>
      </c>
      <c r="D361" t="s">
        <v>6517</v>
      </c>
      <c r="E361" t="s">
        <v>6517</v>
      </c>
    </row>
    <row r="362" spans="1:5" x14ac:dyDescent="0.3">
      <c r="A362" t="s">
        <v>504</v>
      </c>
      <c r="B362" t="s">
        <v>9905</v>
      </c>
      <c r="C362" t="s">
        <v>6517</v>
      </c>
      <c r="D362" t="s">
        <v>6517</v>
      </c>
      <c r="E362" t="s">
        <v>6517</v>
      </c>
    </row>
    <row r="363" spans="1:5" x14ac:dyDescent="0.3">
      <c r="A363" t="s">
        <v>510</v>
      </c>
      <c r="B363" t="s">
        <v>9904</v>
      </c>
      <c r="C363" t="s">
        <v>9904</v>
      </c>
      <c r="D363" t="s">
        <v>9903</v>
      </c>
      <c r="E363" t="s">
        <v>9902</v>
      </c>
    </row>
    <row r="364" spans="1:5" x14ac:dyDescent="0.3">
      <c r="A364" t="s">
        <v>510</v>
      </c>
      <c r="B364" t="s">
        <v>9901</v>
      </c>
      <c r="C364" t="s">
        <v>6517</v>
      </c>
      <c r="D364" t="s">
        <v>6517</v>
      </c>
      <c r="E364" t="s">
        <v>6517</v>
      </c>
    </row>
    <row r="365" spans="1:5" x14ac:dyDescent="0.3">
      <c r="A365" t="s">
        <v>510</v>
      </c>
      <c r="B365" t="s">
        <v>9900</v>
      </c>
      <c r="C365" t="s">
        <v>6517</v>
      </c>
      <c r="D365" t="s">
        <v>6517</v>
      </c>
      <c r="E365" t="s">
        <v>6517</v>
      </c>
    </row>
    <row r="366" spans="1:5" x14ac:dyDescent="0.3">
      <c r="A366" t="s">
        <v>510</v>
      </c>
      <c r="B366" t="s">
        <v>9899</v>
      </c>
      <c r="C366" t="s">
        <v>6517</v>
      </c>
      <c r="D366" t="s">
        <v>6517</v>
      </c>
      <c r="E366" t="s">
        <v>6517</v>
      </c>
    </row>
    <row r="367" spans="1:5" x14ac:dyDescent="0.3">
      <c r="A367" t="s">
        <v>510</v>
      </c>
      <c r="B367" t="s">
        <v>9898</v>
      </c>
      <c r="C367" t="s">
        <v>6517</v>
      </c>
      <c r="D367" t="s">
        <v>6517</v>
      </c>
      <c r="E367" t="s">
        <v>6517</v>
      </c>
    </row>
    <row r="368" spans="1:5" x14ac:dyDescent="0.3">
      <c r="A368" t="s">
        <v>516</v>
      </c>
      <c r="B368" t="s">
        <v>9897</v>
      </c>
      <c r="C368" t="s">
        <v>9897</v>
      </c>
      <c r="D368" t="s">
        <v>9896</v>
      </c>
      <c r="E368" t="s">
        <v>9895</v>
      </c>
    </row>
    <row r="369" spans="1:5" x14ac:dyDescent="0.3">
      <c r="A369" t="s">
        <v>516</v>
      </c>
      <c r="B369" t="s">
        <v>9894</v>
      </c>
      <c r="C369" t="s">
        <v>6517</v>
      </c>
      <c r="D369" t="s">
        <v>6517</v>
      </c>
      <c r="E369" t="s">
        <v>6517</v>
      </c>
    </row>
    <row r="370" spans="1:5" x14ac:dyDescent="0.3">
      <c r="A370" t="s">
        <v>516</v>
      </c>
      <c r="B370" t="s">
        <v>9893</v>
      </c>
      <c r="C370" t="s">
        <v>6517</v>
      </c>
      <c r="D370" t="s">
        <v>6517</v>
      </c>
      <c r="E370" t="s">
        <v>6517</v>
      </c>
    </row>
    <row r="371" spans="1:5" x14ac:dyDescent="0.3">
      <c r="A371" t="s">
        <v>516</v>
      </c>
      <c r="B371" t="s">
        <v>9892</v>
      </c>
      <c r="C371" t="s">
        <v>6517</v>
      </c>
      <c r="D371" t="s">
        <v>6517</v>
      </c>
      <c r="E371" t="s">
        <v>6517</v>
      </c>
    </row>
    <row r="372" spans="1:5" x14ac:dyDescent="0.3">
      <c r="A372" t="s">
        <v>516</v>
      </c>
      <c r="B372" t="s">
        <v>9891</v>
      </c>
      <c r="C372" t="s">
        <v>6517</v>
      </c>
      <c r="D372" t="s">
        <v>6517</v>
      </c>
      <c r="E372" t="s">
        <v>6517</v>
      </c>
    </row>
    <row r="373" spans="1:5" x14ac:dyDescent="0.3">
      <c r="A373" t="s">
        <v>522</v>
      </c>
      <c r="B373" t="s">
        <v>9890</v>
      </c>
      <c r="C373" t="s">
        <v>9890</v>
      </c>
      <c r="D373" t="s">
        <v>9889</v>
      </c>
      <c r="E373" t="s">
        <v>9888</v>
      </c>
    </row>
    <row r="374" spans="1:5" x14ac:dyDescent="0.3">
      <c r="A374" t="s">
        <v>522</v>
      </c>
      <c r="B374" t="s">
        <v>9887</v>
      </c>
      <c r="C374" t="s">
        <v>6517</v>
      </c>
      <c r="D374" t="s">
        <v>6517</v>
      </c>
      <c r="E374" t="s">
        <v>6517</v>
      </c>
    </row>
    <row r="375" spans="1:5" x14ac:dyDescent="0.3">
      <c r="A375" t="s">
        <v>522</v>
      </c>
      <c r="B375" t="s">
        <v>9886</v>
      </c>
      <c r="C375" t="s">
        <v>6517</v>
      </c>
      <c r="D375" t="s">
        <v>6517</v>
      </c>
      <c r="E375" t="s">
        <v>6517</v>
      </c>
    </row>
    <row r="376" spans="1:5" x14ac:dyDescent="0.3">
      <c r="A376" t="s">
        <v>522</v>
      </c>
      <c r="B376" t="s">
        <v>9885</v>
      </c>
      <c r="C376" t="s">
        <v>6517</v>
      </c>
      <c r="D376" t="s">
        <v>6517</v>
      </c>
      <c r="E376" t="s">
        <v>6517</v>
      </c>
    </row>
    <row r="377" spans="1:5" x14ac:dyDescent="0.3">
      <c r="A377" t="s">
        <v>522</v>
      </c>
      <c r="B377" t="s">
        <v>9884</v>
      </c>
      <c r="C377" t="s">
        <v>6517</v>
      </c>
      <c r="D377" t="s">
        <v>6517</v>
      </c>
      <c r="E377" t="s">
        <v>6517</v>
      </c>
    </row>
    <row r="378" spans="1:5" x14ac:dyDescent="0.3">
      <c r="A378" t="s">
        <v>528</v>
      </c>
      <c r="B378" t="s">
        <v>9883</v>
      </c>
      <c r="C378" t="s">
        <v>9883</v>
      </c>
      <c r="D378" t="s">
        <v>9882</v>
      </c>
      <c r="E378" t="s">
        <v>9881</v>
      </c>
    </row>
    <row r="379" spans="1:5" x14ac:dyDescent="0.3">
      <c r="A379" t="s">
        <v>528</v>
      </c>
      <c r="B379" t="s">
        <v>9880</v>
      </c>
      <c r="C379" t="s">
        <v>6517</v>
      </c>
      <c r="D379" t="s">
        <v>6517</v>
      </c>
      <c r="E379" t="s">
        <v>6517</v>
      </c>
    </row>
    <row r="380" spans="1:5" x14ac:dyDescent="0.3">
      <c r="A380" t="s">
        <v>528</v>
      </c>
      <c r="B380" t="s">
        <v>9879</v>
      </c>
      <c r="C380" t="s">
        <v>6517</v>
      </c>
      <c r="D380" t="s">
        <v>6517</v>
      </c>
      <c r="E380" t="s">
        <v>6517</v>
      </c>
    </row>
    <row r="381" spans="1:5" x14ac:dyDescent="0.3">
      <c r="A381" t="s">
        <v>528</v>
      </c>
      <c r="B381" t="s">
        <v>9878</v>
      </c>
      <c r="C381" t="s">
        <v>6517</v>
      </c>
      <c r="D381" t="s">
        <v>6517</v>
      </c>
      <c r="E381" t="s">
        <v>6517</v>
      </c>
    </row>
    <row r="382" spans="1:5" x14ac:dyDescent="0.3">
      <c r="A382" t="s">
        <v>528</v>
      </c>
      <c r="B382" t="s">
        <v>9877</v>
      </c>
      <c r="C382" t="s">
        <v>6517</v>
      </c>
      <c r="D382" t="s">
        <v>6517</v>
      </c>
      <c r="E382" t="s">
        <v>6517</v>
      </c>
    </row>
    <row r="383" spans="1:5" x14ac:dyDescent="0.3">
      <c r="A383" t="s">
        <v>535</v>
      </c>
      <c r="B383" t="s">
        <v>9876</v>
      </c>
      <c r="C383" t="s">
        <v>9876</v>
      </c>
      <c r="D383" t="s">
        <v>9875</v>
      </c>
      <c r="E383" t="s">
        <v>9874</v>
      </c>
    </row>
    <row r="384" spans="1:5" x14ac:dyDescent="0.3">
      <c r="A384" t="s">
        <v>535</v>
      </c>
      <c r="B384" t="s">
        <v>9873</v>
      </c>
      <c r="C384" t="s">
        <v>6517</v>
      </c>
      <c r="D384" t="s">
        <v>6517</v>
      </c>
      <c r="E384" t="s">
        <v>6517</v>
      </c>
    </row>
    <row r="385" spans="1:5" x14ac:dyDescent="0.3">
      <c r="A385" t="s">
        <v>535</v>
      </c>
      <c r="B385" t="s">
        <v>9872</v>
      </c>
      <c r="C385" t="s">
        <v>6517</v>
      </c>
      <c r="D385" t="s">
        <v>6517</v>
      </c>
      <c r="E385" t="s">
        <v>6517</v>
      </c>
    </row>
    <row r="386" spans="1:5" x14ac:dyDescent="0.3">
      <c r="A386" t="s">
        <v>535</v>
      </c>
      <c r="B386" t="s">
        <v>9871</v>
      </c>
      <c r="C386" t="s">
        <v>6517</v>
      </c>
      <c r="D386" t="s">
        <v>6517</v>
      </c>
      <c r="E386" t="s">
        <v>6517</v>
      </c>
    </row>
    <row r="387" spans="1:5" x14ac:dyDescent="0.3">
      <c r="A387" t="s">
        <v>535</v>
      </c>
      <c r="B387" t="s">
        <v>9870</v>
      </c>
      <c r="C387" t="s">
        <v>6517</v>
      </c>
      <c r="D387" t="s">
        <v>6517</v>
      </c>
      <c r="E387" t="s">
        <v>6517</v>
      </c>
    </row>
    <row r="388" spans="1:5" x14ac:dyDescent="0.3">
      <c r="A388" t="s">
        <v>541</v>
      </c>
      <c r="B388" t="s">
        <v>9869</v>
      </c>
      <c r="C388" t="s">
        <v>9869</v>
      </c>
      <c r="D388" t="s">
        <v>9868</v>
      </c>
      <c r="E388" t="s">
        <v>9867</v>
      </c>
    </row>
    <row r="389" spans="1:5" x14ac:dyDescent="0.3">
      <c r="A389" t="s">
        <v>541</v>
      </c>
      <c r="B389" t="s">
        <v>9866</v>
      </c>
      <c r="C389" t="s">
        <v>6517</v>
      </c>
      <c r="D389" t="s">
        <v>6517</v>
      </c>
      <c r="E389" t="s">
        <v>6517</v>
      </c>
    </row>
    <row r="390" spans="1:5" x14ac:dyDescent="0.3">
      <c r="A390" t="s">
        <v>541</v>
      </c>
      <c r="B390" t="s">
        <v>9865</v>
      </c>
      <c r="C390" t="s">
        <v>6517</v>
      </c>
      <c r="D390" t="s">
        <v>6517</v>
      </c>
      <c r="E390" t="s">
        <v>6517</v>
      </c>
    </row>
    <row r="391" spans="1:5" x14ac:dyDescent="0.3">
      <c r="A391" t="s">
        <v>541</v>
      </c>
      <c r="B391" t="s">
        <v>9864</v>
      </c>
      <c r="C391" t="s">
        <v>6517</v>
      </c>
      <c r="D391" t="s">
        <v>6517</v>
      </c>
      <c r="E391" t="s">
        <v>6517</v>
      </c>
    </row>
    <row r="392" spans="1:5" x14ac:dyDescent="0.3">
      <c r="A392" t="s">
        <v>541</v>
      </c>
      <c r="B392" t="s">
        <v>9863</v>
      </c>
      <c r="C392" t="s">
        <v>6517</v>
      </c>
      <c r="D392" t="s">
        <v>6517</v>
      </c>
      <c r="E392" t="s">
        <v>6517</v>
      </c>
    </row>
    <row r="393" spans="1:5" x14ac:dyDescent="0.3">
      <c r="A393" t="s">
        <v>547</v>
      </c>
      <c r="B393" t="s">
        <v>9862</v>
      </c>
      <c r="C393" t="s">
        <v>9862</v>
      </c>
      <c r="D393" t="s">
        <v>9861</v>
      </c>
      <c r="E393" t="s">
        <v>9860</v>
      </c>
    </row>
    <row r="394" spans="1:5" x14ac:dyDescent="0.3">
      <c r="A394" t="s">
        <v>547</v>
      </c>
      <c r="B394" t="s">
        <v>9859</v>
      </c>
      <c r="C394" t="s">
        <v>6517</v>
      </c>
      <c r="D394" t="s">
        <v>6517</v>
      </c>
      <c r="E394" t="s">
        <v>6517</v>
      </c>
    </row>
    <row r="395" spans="1:5" x14ac:dyDescent="0.3">
      <c r="A395" t="s">
        <v>547</v>
      </c>
      <c r="B395" t="s">
        <v>9858</v>
      </c>
      <c r="C395" t="s">
        <v>6517</v>
      </c>
      <c r="D395" t="s">
        <v>6517</v>
      </c>
      <c r="E395" t="s">
        <v>6517</v>
      </c>
    </row>
    <row r="396" spans="1:5" x14ac:dyDescent="0.3">
      <c r="A396" t="s">
        <v>547</v>
      </c>
      <c r="B396" t="s">
        <v>9857</v>
      </c>
      <c r="C396" t="s">
        <v>6517</v>
      </c>
      <c r="D396" t="s">
        <v>6517</v>
      </c>
      <c r="E396" t="s">
        <v>6517</v>
      </c>
    </row>
    <row r="397" spans="1:5" x14ac:dyDescent="0.3">
      <c r="A397" t="s">
        <v>547</v>
      </c>
      <c r="B397" t="s">
        <v>9856</v>
      </c>
      <c r="C397" t="s">
        <v>6517</v>
      </c>
      <c r="D397" t="s">
        <v>6517</v>
      </c>
      <c r="E397" t="s">
        <v>6517</v>
      </c>
    </row>
    <row r="398" spans="1:5" x14ac:dyDescent="0.3">
      <c r="A398" t="s">
        <v>554</v>
      </c>
      <c r="B398" t="s">
        <v>9855</v>
      </c>
      <c r="C398" t="s">
        <v>9855</v>
      </c>
      <c r="D398" t="s">
        <v>9854</v>
      </c>
      <c r="E398" t="s">
        <v>9853</v>
      </c>
    </row>
    <row r="399" spans="1:5" x14ac:dyDescent="0.3">
      <c r="A399" t="s">
        <v>554</v>
      </c>
      <c r="B399" t="s">
        <v>9852</v>
      </c>
      <c r="C399" t="s">
        <v>6517</v>
      </c>
      <c r="D399" t="s">
        <v>6517</v>
      </c>
      <c r="E399" t="s">
        <v>6517</v>
      </c>
    </row>
    <row r="400" spans="1:5" x14ac:dyDescent="0.3">
      <c r="A400" t="s">
        <v>554</v>
      </c>
      <c r="B400" t="s">
        <v>9851</v>
      </c>
      <c r="C400" t="s">
        <v>6517</v>
      </c>
      <c r="D400" t="s">
        <v>6517</v>
      </c>
      <c r="E400" t="s">
        <v>6517</v>
      </c>
    </row>
    <row r="401" spans="1:5" x14ac:dyDescent="0.3">
      <c r="A401" t="s">
        <v>554</v>
      </c>
      <c r="B401" t="s">
        <v>9850</v>
      </c>
      <c r="C401" t="s">
        <v>6517</v>
      </c>
      <c r="D401" t="s">
        <v>6517</v>
      </c>
      <c r="E401" t="s">
        <v>6517</v>
      </c>
    </row>
    <row r="402" spans="1:5" x14ac:dyDescent="0.3">
      <c r="A402" t="s">
        <v>554</v>
      </c>
      <c r="B402" t="s">
        <v>9849</v>
      </c>
      <c r="C402" t="s">
        <v>6517</v>
      </c>
      <c r="D402" t="s">
        <v>6517</v>
      </c>
      <c r="E402" t="s">
        <v>6517</v>
      </c>
    </row>
    <row r="403" spans="1:5" x14ac:dyDescent="0.3">
      <c r="A403" t="s">
        <v>560</v>
      </c>
      <c r="B403" t="s">
        <v>9848</v>
      </c>
      <c r="C403" t="s">
        <v>9848</v>
      </c>
      <c r="D403" t="s">
        <v>9847</v>
      </c>
      <c r="E403" t="s">
        <v>9846</v>
      </c>
    </row>
    <row r="404" spans="1:5" x14ac:dyDescent="0.3">
      <c r="A404" t="s">
        <v>560</v>
      </c>
      <c r="B404" t="s">
        <v>9845</v>
      </c>
      <c r="C404" t="s">
        <v>6517</v>
      </c>
      <c r="D404" t="s">
        <v>6517</v>
      </c>
      <c r="E404" t="s">
        <v>6517</v>
      </c>
    </row>
    <row r="405" spans="1:5" x14ac:dyDescent="0.3">
      <c r="A405" t="s">
        <v>560</v>
      </c>
      <c r="B405" t="s">
        <v>9844</v>
      </c>
      <c r="C405" t="s">
        <v>6517</v>
      </c>
      <c r="D405" t="s">
        <v>6517</v>
      </c>
      <c r="E405" t="s">
        <v>6517</v>
      </c>
    </row>
    <row r="406" spans="1:5" x14ac:dyDescent="0.3">
      <c r="A406" t="s">
        <v>560</v>
      </c>
      <c r="B406" t="s">
        <v>9843</v>
      </c>
      <c r="C406" t="s">
        <v>6517</v>
      </c>
      <c r="D406" t="s">
        <v>6517</v>
      </c>
      <c r="E406" t="s">
        <v>6517</v>
      </c>
    </row>
    <row r="407" spans="1:5" x14ac:dyDescent="0.3">
      <c r="A407" t="s">
        <v>560</v>
      </c>
      <c r="B407" t="s">
        <v>9842</v>
      </c>
      <c r="C407" t="s">
        <v>6517</v>
      </c>
      <c r="D407" t="s">
        <v>6517</v>
      </c>
      <c r="E407" t="s">
        <v>6517</v>
      </c>
    </row>
    <row r="408" spans="1:5" x14ac:dyDescent="0.3">
      <c r="A408" t="s">
        <v>567</v>
      </c>
      <c r="B408" t="s">
        <v>9841</v>
      </c>
      <c r="C408" t="s">
        <v>6517</v>
      </c>
      <c r="D408" t="s">
        <v>6517</v>
      </c>
      <c r="E408" t="s">
        <v>6517</v>
      </c>
    </row>
    <row r="409" spans="1:5" x14ac:dyDescent="0.3">
      <c r="A409" t="s">
        <v>567</v>
      </c>
      <c r="B409" t="s">
        <v>9840</v>
      </c>
      <c r="C409" t="s">
        <v>9840</v>
      </c>
      <c r="D409" t="s">
        <v>9839</v>
      </c>
      <c r="E409" t="s">
        <v>9838</v>
      </c>
    </row>
    <row r="410" spans="1:5" x14ac:dyDescent="0.3">
      <c r="A410" t="s">
        <v>567</v>
      </c>
      <c r="B410" t="s">
        <v>9837</v>
      </c>
      <c r="C410" t="s">
        <v>6517</v>
      </c>
      <c r="D410" t="s">
        <v>6517</v>
      </c>
      <c r="E410" t="s">
        <v>6517</v>
      </c>
    </row>
    <row r="411" spans="1:5" x14ac:dyDescent="0.3">
      <c r="A411" t="s">
        <v>567</v>
      </c>
      <c r="B411" t="s">
        <v>9836</v>
      </c>
      <c r="C411" t="s">
        <v>6517</v>
      </c>
      <c r="D411" t="s">
        <v>6517</v>
      </c>
      <c r="E411" t="s">
        <v>6517</v>
      </c>
    </row>
    <row r="412" spans="1:5" x14ac:dyDescent="0.3">
      <c r="A412" t="s">
        <v>567</v>
      </c>
      <c r="B412" t="s">
        <v>9835</v>
      </c>
      <c r="C412" t="s">
        <v>6517</v>
      </c>
      <c r="D412" t="s">
        <v>6517</v>
      </c>
      <c r="E412" t="s">
        <v>6517</v>
      </c>
    </row>
    <row r="413" spans="1:5" x14ac:dyDescent="0.3">
      <c r="A413" t="s">
        <v>573</v>
      </c>
      <c r="B413" t="s">
        <v>9834</v>
      </c>
      <c r="C413" t="s">
        <v>9834</v>
      </c>
      <c r="D413" t="s">
        <v>9833</v>
      </c>
      <c r="E413" t="s">
        <v>9832</v>
      </c>
    </row>
    <row r="414" spans="1:5" x14ac:dyDescent="0.3">
      <c r="A414" t="s">
        <v>573</v>
      </c>
      <c r="B414" t="s">
        <v>9831</v>
      </c>
      <c r="C414" t="s">
        <v>6517</v>
      </c>
      <c r="D414" t="s">
        <v>6517</v>
      </c>
      <c r="E414" t="s">
        <v>6517</v>
      </c>
    </row>
    <row r="415" spans="1:5" x14ac:dyDescent="0.3">
      <c r="A415" t="s">
        <v>573</v>
      </c>
      <c r="B415" t="s">
        <v>9830</v>
      </c>
      <c r="C415" t="s">
        <v>6517</v>
      </c>
      <c r="D415" t="s">
        <v>6517</v>
      </c>
      <c r="E415" t="s">
        <v>6517</v>
      </c>
    </row>
    <row r="416" spans="1:5" x14ac:dyDescent="0.3">
      <c r="A416" t="s">
        <v>573</v>
      </c>
      <c r="B416" t="s">
        <v>9829</v>
      </c>
      <c r="C416" t="s">
        <v>6517</v>
      </c>
      <c r="D416" t="s">
        <v>6517</v>
      </c>
      <c r="E416" t="s">
        <v>6517</v>
      </c>
    </row>
    <row r="417" spans="1:5" x14ac:dyDescent="0.3">
      <c r="A417" t="s">
        <v>573</v>
      </c>
      <c r="B417" t="s">
        <v>9828</v>
      </c>
      <c r="C417" t="s">
        <v>6517</v>
      </c>
      <c r="D417" t="s">
        <v>6517</v>
      </c>
      <c r="E417" t="s">
        <v>6517</v>
      </c>
    </row>
    <row r="418" spans="1:5" x14ac:dyDescent="0.3">
      <c r="A418" t="s">
        <v>579</v>
      </c>
      <c r="B418" t="s">
        <v>9827</v>
      </c>
      <c r="C418" t="s">
        <v>9827</v>
      </c>
      <c r="D418" t="s">
        <v>9826</v>
      </c>
      <c r="E418" t="s">
        <v>9825</v>
      </c>
    </row>
    <row r="419" spans="1:5" x14ac:dyDescent="0.3">
      <c r="A419" t="s">
        <v>579</v>
      </c>
      <c r="B419" t="s">
        <v>9824</v>
      </c>
      <c r="C419" t="s">
        <v>6517</v>
      </c>
      <c r="D419" t="s">
        <v>6517</v>
      </c>
      <c r="E419" t="s">
        <v>6517</v>
      </c>
    </row>
    <row r="420" spans="1:5" x14ac:dyDescent="0.3">
      <c r="A420" t="s">
        <v>579</v>
      </c>
      <c r="B420" t="s">
        <v>9823</v>
      </c>
      <c r="C420" t="s">
        <v>6517</v>
      </c>
      <c r="D420" t="s">
        <v>6517</v>
      </c>
      <c r="E420" t="s">
        <v>6517</v>
      </c>
    </row>
    <row r="421" spans="1:5" x14ac:dyDescent="0.3">
      <c r="A421" t="s">
        <v>579</v>
      </c>
      <c r="B421" t="s">
        <v>9822</v>
      </c>
      <c r="C421" t="s">
        <v>6517</v>
      </c>
      <c r="D421" t="s">
        <v>6517</v>
      </c>
      <c r="E421" t="s">
        <v>6517</v>
      </c>
    </row>
    <row r="422" spans="1:5" x14ac:dyDescent="0.3">
      <c r="A422" t="s">
        <v>579</v>
      </c>
      <c r="B422" t="s">
        <v>9821</v>
      </c>
      <c r="C422" t="s">
        <v>6517</v>
      </c>
      <c r="D422" t="s">
        <v>6517</v>
      </c>
      <c r="E422" t="s">
        <v>6517</v>
      </c>
    </row>
    <row r="423" spans="1:5" x14ac:dyDescent="0.3">
      <c r="A423" t="s">
        <v>585</v>
      </c>
      <c r="B423" t="s">
        <v>9820</v>
      </c>
      <c r="C423" t="s">
        <v>9820</v>
      </c>
      <c r="D423" t="s">
        <v>9819</v>
      </c>
      <c r="E423" t="s">
        <v>9818</v>
      </c>
    </row>
    <row r="424" spans="1:5" x14ac:dyDescent="0.3">
      <c r="A424" t="s">
        <v>585</v>
      </c>
      <c r="B424" t="s">
        <v>9817</v>
      </c>
      <c r="C424" t="s">
        <v>6517</v>
      </c>
      <c r="D424" t="s">
        <v>6517</v>
      </c>
      <c r="E424" t="s">
        <v>6517</v>
      </c>
    </row>
    <row r="425" spans="1:5" x14ac:dyDescent="0.3">
      <c r="A425" t="s">
        <v>585</v>
      </c>
      <c r="B425" t="s">
        <v>9816</v>
      </c>
      <c r="C425" t="s">
        <v>6517</v>
      </c>
      <c r="D425" t="s">
        <v>6517</v>
      </c>
      <c r="E425" t="s">
        <v>6517</v>
      </c>
    </row>
    <row r="426" spans="1:5" x14ac:dyDescent="0.3">
      <c r="A426" t="s">
        <v>585</v>
      </c>
      <c r="B426" t="s">
        <v>9815</v>
      </c>
      <c r="C426" t="s">
        <v>6517</v>
      </c>
      <c r="D426" t="s">
        <v>6517</v>
      </c>
      <c r="E426" t="s">
        <v>6517</v>
      </c>
    </row>
    <row r="427" spans="1:5" x14ac:dyDescent="0.3">
      <c r="A427" t="s">
        <v>585</v>
      </c>
      <c r="B427" t="s">
        <v>9814</v>
      </c>
      <c r="C427" t="s">
        <v>6517</v>
      </c>
      <c r="D427" t="s">
        <v>6517</v>
      </c>
      <c r="E427" t="s">
        <v>6517</v>
      </c>
    </row>
    <row r="428" spans="1:5" x14ac:dyDescent="0.3">
      <c r="A428" t="s">
        <v>591</v>
      </c>
      <c r="B428" t="s">
        <v>9813</v>
      </c>
      <c r="C428" t="s">
        <v>9813</v>
      </c>
      <c r="D428" t="s">
        <v>9812</v>
      </c>
      <c r="E428" t="s">
        <v>9811</v>
      </c>
    </row>
    <row r="429" spans="1:5" x14ac:dyDescent="0.3">
      <c r="A429" t="s">
        <v>591</v>
      </c>
      <c r="B429" t="s">
        <v>9810</v>
      </c>
      <c r="C429" t="s">
        <v>6517</v>
      </c>
      <c r="D429" t="s">
        <v>6517</v>
      </c>
      <c r="E429" t="s">
        <v>6517</v>
      </c>
    </row>
    <row r="430" spans="1:5" x14ac:dyDescent="0.3">
      <c r="A430" t="s">
        <v>591</v>
      </c>
      <c r="B430" t="s">
        <v>9809</v>
      </c>
      <c r="C430" t="s">
        <v>6517</v>
      </c>
      <c r="D430" t="s">
        <v>6517</v>
      </c>
      <c r="E430" t="s">
        <v>6517</v>
      </c>
    </row>
    <row r="431" spans="1:5" x14ac:dyDescent="0.3">
      <c r="A431" t="s">
        <v>591</v>
      </c>
      <c r="B431" t="s">
        <v>9808</v>
      </c>
      <c r="C431" t="s">
        <v>6517</v>
      </c>
      <c r="D431" t="s">
        <v>6517</v>
      </c>
      <c r="E431" t="s">
        <v>6517</v>
      </c>
    </row>
    <row r="432" spans="1:5" x14ac:dyDescent="0.3">
      <c r="A432" t="s">
        <v>591</v>
      </c>
      <c r="B432" t="s">
        <v>9807</v>
      </c>
      <c r="C432" t="s">
        <v>6517</v>
      </c>
      <c r="D432" t="s">
        <v>6517</v>
      </c>
      <c r="E432" t="s">
        <v>6517</v>
      </c>
    </row>
    <row r="433" spans="1:5" x14ac:dyDescent="0.3">
      <c r="A433" t="s">
        <v>598</v>
      </c>
      <c r="B433" t="s">
        <v>9806</v>
      </c>
      <c r="C433" t="s">
        <v>9806</v>
      </c>
      <c r="D433" t="s">
        <v>9805</v>
      </c>
      <c r="E433" t="s">
        <v>9804</v>
      </c>
    </row>
    <row r="434" spans="1:5" x14ac:dyDescent="0.3">
      <c r="A434" t="s">
        <v>598</v>
      </c>
      <c r="B434" t="s">
        <v>9803</v>
      </c>
      <c r="C434" t="s">
        <v>6517</v>
      </c>
      <c r="D434" t="s">
        <v>6517</v>
      </c>
      <c r="E434" t="s">
        <v>6517</v>
      </c>
    </row>
    <row r="435" spans="1:5" x14ac:dyDescent="0.3">
      <c r="A435" t="s">
        <v>598</v>
      </c>
      <c r="B435" t="s">
        <v>9802</v>
      </c>
      <c r="C435" t="s">
        <v>6517</v>
      </c>
      <c r="D435" t="s">
        <v>6517</v>
      </c>
      <c r="E435" t="s">
        <v>6517</v>
      </c>
    </row>
    <row r="436" spans="1:5" x14ac:dyDescent="0.3">
      <c r="A436" t="s">
        <v>598</v>
      </c>
      <c r="B436" t="s">
        <v>9801</v>
      </c>
      <c r="C436" t="s">
        <v>6517</v>
      </c>
      <c r="D436" t="s">
        <v>6517</v>
      </c>
      <c r="E436" t="s">
        <v>6517</v>
      </c>
    </row>
    <row r="437" spans="1:5" x14ac:dyDescent="0.3">
      <c r="A437" t="s">
        <v>598</v>
      </c>
      <c r="B437" t="s">
        <v>9800</v>
      </c>
      <c r="C437" t="s">
        <v>6517</v>
      </c>
      <c r="D437" t="s">
        <v>6517</v>
      </c>
      <c r="E437" t="s">
        <v>6517</v>
      </c>
    </row>
    <row r="438" spans="1:5" x14ac:dyDescent="0.3">
      <c r="A438" t="s">
        <v>604</v>
      </c>
      <c r="B438" t="s">
        <v>9799</v>
      </c>
      <c r="C438" t="s">
        <v>9799</v>
      </c>
      <c r="D438" t="s">
        <v>9798</v>
      </c>
      <c r="E438" t="s">
        <v>9797</v>
      </c>
    </row>
    <row r="439" spans="1:5" x14ac:dyDescent="0.3">
      <c r="A439" t="s">
        <v>604</v>
      </c>
      <c r="B439" t="s">
        <v>9796</v>
      </c>
      <c r="C439" t="s">
        <v>6517</v>
      </c>
      <c r="D439" t="s">
        <v>6517</v>
      </c>
      <c r="E439" t="s">
        <v>6517</v>
      </c>
    </row>
    <row r="440" spans="1:5" x14ac:dyDescent="0.3">
      <c r="A440" t="s">
        <v>604</v>
      </c>
      <c r="B440" t="s">
        <v>9795</v>
      </c>
      <c r="C440" t="s">
        <v>6517</v>
      </c>
      <c r="D440" t="s">
        <v>6517</v>
      </c>
      <c r="E440" t="s">
        <v>6517</v>
      </c>
    </row>
    <row r="441" spans="1:5" x14ac:dyDescent="0.3">
      <c r="A441" t="s">
        <v>604</v>
      </c>
      <c r="B441" t="s">
        <v>9794</v>
      </c>
      <c r="C441" t="s">
        <v>6517</v>
      </c>
      <c r="D441" t="s">
        <v>6517</v>
      </c>
      <c r="E441" t="s">
        <v>6517</v>
      </c>
    </row>
    <row r="442" spans="1:5" x14ac:dyDescent="0.3">
      <c r="A442" t="s">
        <v>604</v>
      </c>
      <c r="B442" t="s">
        <v>9793</v>
      </c>
      <c r="C442" t="s">
        <v>6517</v>
      </c>
      <c r="D442" t="s">
        <v>6517</v>
      </c>
      <c r="E442" t="s">
        <v>6517</v>
      </c>
    </row>
    <row r="443" spans="1:5" x14ac:dyDescent="0.3">
      <c r="A443" t="s">
        <v>610</v>
      </c>
      <c r="B443" t="s">
        <v>9792</v>
      </c>
      <c r="C443" t="s">
        <v>9792</v>
      </c>
      <c r="D443" t="s">
        <v>9791</v>
      </c>
      <c r="E443" t="s">
        <v>9790</v>
      </c>
    </row>
    <row r="444" spans="1:5" x14ac:dyDescent="0.3">
      <c r="A444" t="s">
        <v>610</v>
      </c>
      <c r="B444" t="s">
        <v>9789</v>
      </c>
      <c r="C444" t="s">
        <v>6517</v>
      </c>
      <c r="D444" t="s">
        <v>6517</v>
      </c>
      <c r="E444" t="s">
        <v>6517</v>
      </c>
    </row>
    <row r="445" spans="1:5" x14ac:dyDescent="0.3">
      <c r="A445" t="s">
        <v>610</v>
      </c>
      <c r="B445" t="s">
        <v>9788</v>
      </c>
      <c r="C445" t="s">
        <v>6517</v>
      </c>
      <c r="D445" t="s">
        <v>6517</v>
      </c>
      <c r="E445" t="s">
        <v>6517</v>
      </c>
    </row>
    <row r="446" spans="1:5" x14ac:dyDescent="0.3">
      <c r="A446" t="s">
        <v>610</v>
      </c>
      <c r="B446" t="s">
        <v>9787</v>
      </c>
      <c r="C446" t="s">
        <v>6517</v>
      </c>
      <c r="D446" t="s">
        <v>6517</v>
      </c>
      <c r="E446" t="s">
        <v>6517</v>
      </c>
    </row>
    <row r="447" spans="1:5" x14ac:dyDescent="0.3">
      <c r="A447" t="s">
        <v>610</v>
      </c>
      <c r="B447" t="s">
        <v>9786</v>
      </c>
      <c r="C447" t="s">
        <v>6517</v>
      </c>
      <c r="D447" t="s">
        <v>6517</v>
      </c>
      <c r="E447" t="s">
        <v>6517</v>
      </c>
    </row>
    <row r="448" spans="1:5" x14ac:dyDescent="0.3">
      <c r="A448" t="s">
        <v>616</v>
      </c>
      <c r="B448" t="s">
        <v>9785</v>
      </c>
      <c r="C448" t="s">
        <v>9785</v>
      </c>
      <c r="D448" t="s">
        <v>9784</v>
      </c>
      <c r="E448" t="s">
        <v>9783</v>
      </c>
    </row>
    <row r="449" spans="1:5" x14ac:dyDescent="0.3">
      <c r="A449" t="s">
        <v>616</v>
      </c>
      <c r="B449" t="s">
        <v>9782</v>
      </c>
      <c r="C449" t="s">
        <v>6517</v>
      </c>
      <c r="D449" t="s">
        <v>6517</v>
      </c>
      <c r="E449" t="s">
        <v>6517</v>
      </c>
    </row>
    <row r="450" spans="1:5" x14ac:dyDescent="0.3">
      <c r="A450" t="s">
        <v>616</v>
      </c>
      <c r="B450" t="s">
        <v>9781</v>
      </c>
      <c r="C450" t="s">
        <v>6517</v>
      </c>
      <c r="D450" t="s">
        <v>6517</v>
      </c>
      <c r="E450" t="s">
        <v>6517</v>
      </c>
    </row>
    <row r="451" spans="1:5" x14ac:dyDescent="0.3">
      <c r="A451" t="s">
        <v>616</v>
      </c>
      <c r="B451" t="s">
        <v>9780</v>
      </c>
      <c r="C451" t="s">
        <v>6517</v>
      </c>
      <c r="D451" t="s">
        <v>6517</v>
      </c>
      <c r="E451" t="s">
        <v>6517</v>
      </c>
    </row>
    <row r="452" spans="1:5" x14ac:dyDescent="0.3">
      <c r="A452" t="s">
        <v>616</v>
      </c>
      <c r="B452" t="s">
        <v>9779</v>
      </c>
      <c r="C452" t="s">
        <v>6517</v>
      </c>
      <c r="D452" t="s">
        <v>6517</v>
      </c>
      <c r="E452" t="s">
        <v>6517</v>
      </c>
    </row>
    <row r="453" spans="1:5" x14ac:dyDescent="0.3">
      <c r="A453" t="s">
        <v>622</v>
      </c>
      <c r="B453" t="s">
        <v>9778</v>
      </c>
      <c r="C453" t="s">
        <v>9778</v>
      </c>
      <c r="D453" t="s">
        <v>9777</v>
      </c>
      <c r="E453" t="s">
        <v>9776</v>
      </c>
    </row>
    <row r="454" spans="1:5" x14ac:dyDescent="0.3">
      <c r="A454" t="s">
        <v>622</v>
      </c>
      <c r="B454" t="s">
        <v>9775</v>
      </c>
      <c r="C454" t="s">
        <v>6517</v>
      </c>
      <c r="D454" t="s">
        <v>6517</v>
      </c>
      <c r="E454" t="s">
        <v>6517</v>
      </c>
    </row>
    <row r="455" spans="1:5" x14ac:dyDescent="0.3">
      <c r="A455" t="s">
        <v>622</v>
      </c>
      <c r="B455" t="s">
        <v>9774</v>
      </c>
      <c r="C455" t="s">
        <v>6517</v>
      </c>
      <c r="D455" t="s">
        <v>6517</v>
      </c>
      <c r="E455" t="s">
        <v>6517</v>
      </c>
    </row>
    <row r="456" spans="1:5" x14ac:dyDescent="0.3">
      <c r="A456" t="s">
        <v>622</v>
      </c>
      <c r="B456" t="s">
        <v>9773</v>
      </c>
      <c r="C456" t="s">
        <v>6517</v>
      </c>
      <c r="D456" t="s">
        <v>6517</v>
      </c>
      <c r="E456" t="s">
        <v>6517</v>
      </c>
    </row>
    <row r="457" spans="1:5" x14ac:dyDescent="0.3">
      <c r="A457" t="s">
        <v>622</v>
      </c>
      <c r="B457" t="s">
        <v>9772</v>
      </c>
      <c r="C457" t="s">
        <v>6517</v>
      </c>
      <c r="D457" t="s">
        <v>6517</v>
      </c>
      <c r="E457" t="s">
        <v>6517</v>
      </c>
    </row>
    <row r="458" spans="1:5" x14ac:dyDescent="0.3">
      <c r="A458" t="s">
        <v>629</v>
      </c>
      <c r="B458" t="s">
        <v>9771</v>
      </c>
      <c r="C458" t="s">
        <v>9771</v>
      </c>
      <c r="D458" t="s">
        <v>9770</v>
      </c>
      <c r="E458" t="s">
        <v>9769</v>
      </c>
    </row>
    <row r="459" spans="1:5" x14ac:dyDescent="0.3">
      <c r="A459" t="s">
        <v>629</v>
      </c>
      <c r="B459" t="s">
        <v>9768</v>
      </c>
      <c r="C459" t="s">
        <v>6517</v>
      </c>
      <c r="D459" t="s">
        <v>6517</v>
      </c>
      <c r="E459" t="s">
        <v>6517</v>
      </c>
    </row>
    <row r="460" spans="1:5" x14ac:dyDescent="0.3">
      <c r="A460" t="s">
        <v>629</v>
      </c>
      <c r="B460" t="s">
        <v>9767</v>
      </c>
      <c r="C460" t="s">
        <v>6517</v>
      </c>
      <c r="D460" t="s">
        <v>6517</v>
      </c>
      <c r="E460" t="s">
        <v>6517</v>
      </c>
    </row>
    <row r="461" spans="1:5" x14ac:dyDescent="0.3">
      <c r="A461" t="s">
        <v>629</v>
      </c>
      <c r="B461" t="s">
        <v>9766</v>
      </c>
      <c r="C461" t="s">
        <v>6517</v>
      </c>
      <c r="D461" t="s">
        <v>6517</v>
      </c>
      <c r="E461" t="s">
        <v>6517</v>
      </c>
    </row>
    <row r="462" spans="1:5" x14ac:dyDescent="0.3">
      <c r="A462" t="s">
        <v>629</v>
      </c>
      <c r="B462" t="s">
        <v>9765</v>
      </c>
      <c r="C462" t="s">
        <v>6517</v>
      </c>
      <c r="D462" t="s">
        <v>6517</v>
      </c>
      <c r="E462" t="s">
        <v>6517</v>
      </c>
    </row>
    <row r="463" spans="1:5" x14ac:dyDescent="0.3">
      <c r="A463" t="s">
        <v>635</v>
      </c>
      <c r="B463" t="s">
        <v>9764</v>
      </c>
      <c r="C463" t="s">
        <v>9764</v>
      </c>
      <c r="D463" t="s">
        <v>9763</v>
      </c>
      <c r="E463" t="s">
        <v>9762</v>
      </c>
    </row>
    <row r="464" spans="1:5" x14ac:dyDescent="0.3">
      <c r="A464" t="s">
        <v>635</v>
      </c>
      <c r="B464" t="s">
        <v>9761</v>
      </c>
      <c r="C464" t="s">
        <v>6517</v>
      </c>
      <c r="D464" t="s">
        <v>6517</v>
      </c>
      <c r="E464" t="s">
        <v>6517</v>
      </c>
    </row>
    <row r="465" spans="1:5" x14ac:dyDescent="0.3">
      <c r="A465" t="s">
        <v>635</v>
      </c>
      <c r="B465" t="s">
        <v>9760</v>
      </c>
      <c r="C465" t="s">
        <v>6517</v>
      </c>
      <c r="D465" t="s">
        <v>6517</v>
      </c>
      <c r="E465" t="s">
        <v>6517</v>
      </c>
    </row>
    <row r="466" spans="1:5" x14ac:dyDescent="0.3">
      <c r="A466" t="s">
        <v>635</v>
      </c>
      <c r="B466" t="s">
        <v>9759</v>
      </c>
      <c r="C466" t="s">
        <v>6517</v>
      </c>
      <c r="D466" t="s">
        <v>6517</v>
      </c>
      <c r="E466" t="s">
        <v>6517</v>
      </c>
    </row>
    <row r="467" spans="1:5" x14ac:dyDescent="0.3">
      <c r="A467" t="s">
        <v>635</v>
      </c>
      <c r="B467" t="s">
        <v>9758</v>
      </c>
      <c r="C467" t="s">
        <v>6517</v>
      </c>
      <c r="D467" t="s">
        <v>6517</v>
      </c>
      <c r="E467" t="s">
        <v>6517</v>
      </c>
    </row>
    <row r="468" spans="1:5" x14ac:dyDescent="0.3">
      <c r="A468" t="s">
        <v>641</v>
      </c>
      <c r="B468" t="s">
        <v>9757</v>
      </c>
      <c r="C468" t="s">
        <v>9757</v>
      </c>
      <c r="D468" t="s">
        <v>9756</v>
      </c>
      <c r="E468" t="s">
        <v>9755</v>
      </c>
    </row>
    <row r="469" spans="1:5" x14ac:dyDescent="0.3">
      <c r="A469" t="s">
        <v>641</v>
      </c>
      <c r="B469" t="s">
        <v>9754</v>
      </c>
      <c r="C469" t="s">
        <v>6517</v>
      </c>
      <c r="D469" t="s">
        <v>6517</v>
      </c>
      <c r="E469" t="s">
        <v>6517</v>
      </c>
    </row>
    <row r="470" spans="1:5" x14ac:dyDescent="0.3">
      <c r="A470" t="s">
        <v>641</v>
      </c>
      <c r="B470" t="s">
        <v>9753</v>
      </c>
      <c r="C470" t="s">
        <v>6517</v>
      </c>
      <c r="D470" t="s">
        <v>6517</v>
      </c>
      <c r="E470" t="s">
        <v>6517</v>
      </c>
    </row>
    <row r="471" spans="1:5" x14ac:dyDescent="0.3">
      <c r="A471" t="s">
        <v>641</v>
      </c>
      <c r="B471" t="s">
        <v>9752</v>
      </c>
      <c r="C471" t="s">
        <v>6517</v>
      </c>
      <c r="D471" t="s">
        <v>6517</v>
      </c>
      <c r="E471" t="s">
        <v>6517</v>
      </c>
    </row>
    <row r="472" spans="1:5" x14ac:dyDescent="0.3">
      <c r="A472" t="s">
        <v>641</v>
      </c>
      <c r="B472" t="s">
        <v>9751</v>
      </c>
      <c r="C472" t="s">
        <v>6517</v>
      </c>
      <c r="D472" t="s">
        <v>6517</v>
      </c>
      <c r="E472" t="s">
        <v>6517</v>
      </c>
    </row>
    <row r="473" spans="1:5" x14ac:dyDescent="0.3">
      <c r="A473" t="s">
        <v>647</v>
      </c>
      <c r="B473" t="s">
        <v>9750</v>
      </c>
      <c r="C473" t="s">
        <v>9750</v>
      </c>
      <c r="D473" t="s">
        <v>9749</v>
      </c>
      <c r="E473" t="s">
        <v>9748</v>
      </c>
    </row>
    <row r="474" spans="1:5" x14ac:dyDescent="0.3">
      <c r="A474" t="s">
        <v>647</v>
      </c>
      <c r="B474" t="s">
        <v>9747</v>
      </c>
      <c r="C474" t="s">
        <v>6517</v>
      </c>
      <c r="D474" t="s">
        <v>6517</v>
      </c>
      <c r="E474" t="s">
        <v>6517</v>
      </c>
    </row>
    <row r="475" spans="1:5" x14ac:dyDescent="0.3">
      <c r="A475" t="s">
        <v>647</v>
      </c>
      <c r="B475" t="s">
        <v>9746</v>
      </c>
      <c r="C475" t="s">
        <v>6517</v>
      </c>
      <c r="D475" t="s">
        <v>6517</v>
      </c>
      <c r="E475" t="s">
        <v>6517</v>
      </c>
    </row>
    <row r="476" spans="1:5" x14ac:dyDescent="0.3">
      <c r="A476" t="s">
        <v>647</v>
      </c>
      <c r="B476" t="s">
        <v>9745</v>
      </c>
      <c r="C476" t="s">
        <v>6517</v>
      </c>
      <c r="D476" t="s">
        <v>6517</v>
      </c>
      <c r="E476" t="s">
        <v>6517</v>
      </c>
    </row>
    <row r="477" spans="1:5" x14ac:dyDescent="0.3">
      <c r="A477" t="s">
        <v>647</v>
      </c>
      <c r="B477" t="s">
        <v>9744</v>
      </c>
      <c r="C477" t="s">
        <v>6517</v>
      </c>
      <c r="D477" t="s">
        <v>6517</v>
      </c>
      <c r="E477" t="s">
        <v>6517</v>
      </c>
    </row>
    <row r="478" spans="1:5" x14ac:dyDescent="0.3">
      <c r="A478" t="s">
        <v>653</v>
      </c>
      <c r="B478" t="s">
        <v>9743</v>
      </c>
      <c r="C478" t="s">
        <v>9743</v>
      </c>
      <c r="D478" t="s">
        <v>9742</v>
      </c>
      <c r="E478" t="s">
        <v>9741</v>
      </c>
    </row>
    <row r="479" spans="1:5" x14ac:dyDescent="0.3">
      <c r="A479" t="s">
        <v>653</v>
      </c>
      <c r="B479" t="s">
        <v>9740</v>
      </c>
      <c r="C479" t="s">
        <v>6517</v>
      </c>
      <c r="D479" t="s">
        <v>6517</v>
      </c>
      <c r="E479" t="s">
        <v>6517</v>
      </c>
    </row>
    <row r="480" spans="1:5" x14ac:dyDescent="0.3">
      <c r="A480" t="s">
        <v>653</v>
      </c>
      <c r="B480" t="s">
        <v>9739</v>
      </c>
      <c r="C480" t="s">
        <v>6517</v>
      </c>
      <c r="D480" t="s">
        <v>6517</v>
      </c>
      <c r="E480" t="s">
        <v>6517</v>
      </c>
    </row>
    <row r="481" spans="1:5" x14ac:dyDescent="0.3">
      <c r="A481" t="s">
        <v>653</v>
      </c>
      <c r="B481" t="s">
        <v>9738</v>
      </c>
      <c r="C481" t="s">
        <v>6517</v>
      </c>
      <c r="D481" t="s">
        <v>6517</v>
      </c>
      <c r="E481" t="s">
        <v>6517</v>
      </c>
    </row>
    <row r="482" spans="1:5" x14ac:dyDescent="0.3">
      <c r="A482" t="s">
        <v>653</v>
      </c>
      <c r="B482" t="s">
        <v>9737</v>
      </c>
      <c r="C482" t="s">
        <v>6517</v>
      </c>
      <c r="D482" t="s">
        <v>6517</v>
      </c>
      <c r="E482" t="s">
        <v>6517</v>
      </c>
    </row>
    <row r="483" spans="1:5" x14ac:dyDescent="0.3">
      <c r="A483" t="s">
        <v>659</v>
      </c>
      <c r="B483" t="s">
        <v>9736</v>
      </c>
      <c r="C483" t="s">
        <v>9736</v>
      </c>
      <c r="D483" t="s">
        <v>9735</v>
      </c>
      <c r="E483" t="s">
        <v>9734</v>
      </c>
    </row>
    <row r="484" spans="1:5" x14ac:dyDescent="0.3">
      <c r="A484" t="s">
        <v>659</v>
      </c>
      <c r="B484" t="s">
        <v>9733</v>
      </c>
      <c r="C484" t="s">
        <v>6517</v>
      </c>
      <c r="D484" t="s">
        <v>6517</v>
      </c>
      <c r="E484" t="s">
        <v>6517</v>
      </c>
    </row>
    <row r="485" spans="1:5" x14ac:dyDescent="0.3">
      <c r="A485" t="s">
        <v>659</v>
      </c>
      <c r="B485" t="s">
        <v>9732</v>
      </c>
      <c r="C485" t="s">
        <v>6517</v>
      </c>
      <c r="D485" t="s">
        <v>6517</v>
      </c>
      <c r="E485" t="s">
        <v>6517</v>
      </c>
    </row>
    <row r="486" spans="1:5" x14ac:dyDescent="0.3">
      <c r="A486" t="s">
        <v>659</v>
      </c>
      <c r="B486" t="s">
        <v>9731</v>
      </c>
      <c r="C486" t="s">
        <v>6517</v>
      </c>
      <c r="D486" t="s">
        <v>6517</v>
      </c>
      <c r="E486" t="s">
        <v>6517</v>
      </c>
    </row>
    <row r="487" spans="1:5" x14ac:dyDescent="0.3">
      <c r="A487" t="s">
        <v>659</v>
      </c>
      <c r="B487" t="s">
        <v>9730</v>
      </c>
      <c r="C487" t="s">
        <v>6517</v>
      </c>
      <c r="D487" t="s">
        <v>6517</v>
      </c>
      <c r="E487" t="s">
        <v>6517</v>
      </c>
    </row>
    <row r="488" spans="1:5" x14ac:dyDescent="0.3">
      <c r="A488" t="s">
        <v>665</v>
      </c>
      <c r="B488" t="s">
        <v>9729</v>
      </c>
      <c r="C488" t="s">
        <v>9729</v>
      </c>
      <c r="D488" t="s">
        <v>9728</v>
      </c>
      <c r="E488" t="s">
        <v>9727</v>
      </c>
    </row>
    <row r="489" spans="1:5" x14ac:dyDescent="0.3">
      <c r="A489" t="s">
        <v>665</v>
      </c>
      <c r="B489" t="s">
        <v>9726</v>
      </c>
      <c r="C489" t="s">
        <v>6517</v>
      </c>
      <c r="D489" t="s">
        <v>6517</v>
      </c>
      <c r="E489" t="s">
        <v>6517</v>
      </c>
    </row>
    <row r="490" spans="1:5" x14ac:dyDescent="0.3">
      <c r="A490" t="s">
        <v>665</v>
      </c>
      <c r="B490" t="s">
        <v>9725</v>
      </c>
      <c r="C490" t="s">
        <v>6517</v>
      </c>
      <c r="D490" t="s">
        <v>6517</v>
      </c>
      <c r="E490" t="s">
        <v>6517</v>
      </c>
    </row>
    <row r="491" spans="1:5" x14ac:dyDescent="0.3">
      <c r="A491" t="s">
        <v>665</v>
      </c>
      <c r="B491" t="s">
        <v>9724</v>
      </c>
      <c r="C491" t="s">
        <v>6517</v>
      </c>
      <c r="D491" t="s">
        <v>6517</v>
      </c>
      <c r="E491" t="s">
        <v>6517</v>
      </c>
    </row>
    <row r="492" spans="1:5" x14ac:dyDescent="0.3">
      <c r="A492" t="s">
        <v>665</v>
      </c>
      <c r="B492" t="s">
        <v>9723</v>
      </c>
      <c r="C492" t="s">
        <v>6517</v>
      </c>
      <c r="D492" t="s">
        <v>6517</v>
      </c>
      <c r="E492" t="s">
        <v>6517</v>
      </c>
    </row>
    <row r="493" spans="1:5" x14ac:dyDescent="0.3">
      <c r="A493" t="s">
        <v>672</v>
      </c>
      <c r="B493" t="s">
        <v>9722</v>
      </c>
      <c r="C493" t="s">
        <v>9722</v>
      </c>
      <c r="D493" t="s">
        <v>9721</v>
      </c>
      <c r="E493" t="s">
        <v>9720</v>
      </c>
    </row>
    <row r="494" spans="1:5" x14ac:dyDescent="0.3">
      <c r="A494" t="s">
        <v>672</v>
      </c>
      <c r="B494" t="s">
        <v>9719</v>
      </c>
      <c r="C494" t="s">
        <v>6517</v>
      </c>
      <c r="D494" t="s">
        <v>6517</v>
      </c>
      <c r="E494" t="s">
        <v>6517</v>
      </c>
    </row>
    <row r="495" spans="1:5" x14ac:dyDescent="0.3">
      <c r="A495" t="s">
        <v>672</v>
      </c>
      <c r="B495" t="s">
        <v>9718</v>
      </c>
      <c r="C495" t="s">
        <v>6517</v>
      </c>
      <c r="D495" t="s">
        <v>6517</v>
      </c>
      <c r="E495" t="s">
        <v>6517</v>
      </c>
    </row>
    <row r="496" spans="1:5" x14ac:dyDescent="0.3">
      <c r="A496" t="s">
        <v>672</v>
      </c>
      <c r="B496" t="s">
        <v>9717</v>
      </c>
      <c r="C496" t="s">
        <v>6517</v>
      </c>
      <c r="D496" t="s">
        <v>6517</v>
      </c>
      <c r="E496" t="s">
        <v>6517</v>
      </c>
    </row>
    <row r="497" spans="1:5" x14ac:dyDescent="0.3">
      <c r="A497" t="s">
        <v>672</v>
      </c>
      <c r="B497" t="s">
        <v>9716</v>
      </c>
      <c r="C497" t="s">
        <v>6517</v>
      </c>
      <c r="D497" t="s">
        <v>6517</v>
      </c>
      <c r="E497" t="s">
        <v>6517</v>
      </c>
    </row>
    <row r="498" spans="1:5" x14ac:dyDescent="0.3">
      <c r="A498" t="s">
        <v>678</v>
      </c>
      <c r="B498" t="s">
        <v>9715</v>
      </c>
      <c r="C498" t="s">
        <v>9715</v>
      </c>
      <c r="D498" t="s">
        <v>9714</v>
      </c>
      <c r="E498" t="s">
        <v>9713</v>
      </c>
    </row>
    <row r="499" spans="1:5" x14ac:dyDescent="0.3">
      <c r="A499" t="s">
        <v>678</v>
      </c>
      <c r="B499" t="s">
        <v>9712</v>
      </c>
      <c r="C499" t="s">
        <v>6517</v>
      </c>
      <c r="D499" t="s">
        <v>6517</v>
      </c>
      <c r="E499" t="s">
        <v>6517</v>
      </c>
    </row>
    <row r="500" spans="1:5" x14ac:dyDescent="0.3">
      <c r="A500" t="s">
        <v>678</v>
      </c>
      <c r="B500" t="s">
        <v>9711</v>
      </c>
      <c r="C500" t="s">
        <v>6517</v>
      </c>
      <c r="D500" t="s">
        <v>6517</v>
      </c>
      <c r="E500" t="s">
        <v>6517</v>
      </c>
    </row>
    <row r="501" spans="1:5" x14ac:dyDescent="0.3">
      <c r="A501" t="s">
        <v>678</v>
      </c>
      <c r="B501" t="s">
        <v>9710</v>
      </c>
      <c r="C501" t="s">
        <v>6517</v>
      </c>
      <c r="D501" t="s">
        <v>6517</v>
      </c>
      <c r="E501" t="s">
        <v>6517</v>
      </c>
    </row>
    <row r="502" spans="1:5" x14ac:dyDescent="0.3">
      <c r="A502" t="s">
        <v>678</v>
      </c>
      <c r="B502" t="s">
        <v>9709</v>
      </c>
      <c r="C502" t="s">
        <v>6517</v>
      </c>
      <c r="D502" t="s">
        <v>6517</v>
      </c>
      <c r="E502" t="s">
        <v>6517</v>
      </c>
    </row>
    <row r="503" spans="1:5" x14ac:dyDescent="0.3">
      <c r="A503" t="s">
        <v>684</v>
      </c>
      <c r="B503" t="s">
        <v>9708</v>
      </c>
      <c r="C503" t="s">
        <v>9708</v>
      </c>
      <c r="D503" t="s">
        <v>9707</v>
      </c>
      <c r="E503" t="s">
        <v>9706</v>
      </c>
    </row>
    <row r="504" spans="1:5" x14ac:dyDescent="0.3">
      <c r="A504" t="s">
        <v>684</v>
      </c>
      <c r="B504" t="s">
        <v>9705</v>
      </c>
      <c r="C504" t="s">
        <v>6517</v>
      </c>
      <c r="D504" t="s">
        <v>6517</v>
      </c>
      <c r="E504" t="s">
        <v>6517</v>
      </c>
    </row>
    <row r="505" spans="1:5" x14ac:dyDescent="0.3">
      <c r="A505" t="s">
        <v>684</v>
      </c>
      <c r="B505" t="s">
        <v>9704</v>
      </c>
      <c r="C505" t="s">
        <v>6517</v>
      </c>
      <c r="D505" t="s">
        <v>6517</v>
      </c>
      <c r="E505" t="s">
        <v>6517</v>
      </c>
    </row>
    <row r="506" spans="1:5" x14ac:dyDescent="0.3">
      <c r="A506" t="s">
        <v>684</v>
      </c>
      <c r="B506" t="s">
        <v>9703</v>
      </c>
      <c r="C506" t="s">
        <v>6517</v>
      </c>
      <c r="D506" t="s">
        <v>6517</v>
      </c>
      <c r="E506" t="s">
        <v>6517</v>
      </c>
    </row>
    <row r="507" spans="1:5" x14ac:dyDescent="0.3">
      <c r="A507" t="s">
        <v>684</v>
      </c>
      <c r="B507" t="s">
        <v>9702</v>
      </c>
      <c r="C507" t="s">
        <v>6517</v>
      </c>
      <c r="D507" t="s">
        <v>6517</v>
      </c>
      <c r="E507" t="s">
        <v>6517</v>
      </c>
    </row>
    <row r="508" spans="1:5" x14ac:dyDescent="0.3">
      <c r="A508" t="s">
        <v>691</v>
      </c>
      <c r="B508" t="s">
        <v>9701</v>
      </c>
      <c r="C508" t="s">
        <v>9701</v>
      </c>
      <c r="D508" t="s">
        <v>9700</v>
      </c>
      <c r="E508" t="s">
        <v>9699</v>
      </c>
    </row>
    <row r="509" spans="1:5" x14ac:dyDescent="0.3">
      <c r="A509" t="s">
        <v>691</v>
      </c>
      <c r="B509" t="s">
        <v>9698</v>
      </c>
      <c r="C509" t="s">
        <v>6517</v>
      </c>
      <c r="D509" t="s">
        <v>6517</v>
      </c>
      <c r="E509" t="s">
        <v>6517</v>
      </c>
    </row>
    <row r="510" spans="1:5" x14ac:dyDescent="0.3">
      <c r="A510" t="s">
        <v>691</v>
      </c>
      <c r="B510" t="s">
        <v>9697</v>
      </c>
      <c r="C510" t="s">
        <v>6517</v>
      </c>
      <c r="D510" t="s">
        <v>6517</v>
      </c>
      <c r="E510" t="s">
        <v>6517</v>
      </c>
    </row>
    <row r="511" spans="1:5" x14ac:dyDescent="0.3">
      <c r="A511" t="s">
        <v>691</v>
      </c>
      <c r="B511" t="s">
        <v>9696</v>
      </c>
      <c r="C511" t="s">
        <v>6517</v>
      </c>
      <c r="D511" t="s">
        <v>6517</v>
      </c>
      <c r="E511" t="s">
        <v>6517</v>
      </c>
    </row>
    <row r="512" spans="1:5" x14ac:dyDescent="0.3">
      <c r="A512" t="s">
        <v>691</v>
      </c>
      <c r="B512" t="s">
        <v>9695</v>
      </c>
      <c r="C512" t="s">
        <v>6517</v>
      </c>
      <c r="D512" t="s">
        <v>6517</v>
      </c>
      <c r="E512" t="s">
        <v>6517</v>
      </c>
    </row>
    <row r="513" spans="1:5" x14ac:dyDescent="0.3">
      <c r="A513" t="s">
        <v>697</v>
      </c>
      <c r="B513" t="s">
        <v>9694</v>
      </c>
      <c r="C513" t="s">
        <v>9694</v>
      </c>
      <c r="D513" t="s">
        <v>9693</v>
      </c>
      <c r="E513" t="s">
        <v>9692</v>
      </c>
    </row>
    <row r="514" spans="1:5" x14ac:dyDescent="0.3">
      <c r="A514" t="s">
        <v>697</v>
      </c>
      <c r="B514" t="s">
        <v>9691</v>
      </c>
      <c r="C514" t="s">
        <v>6517</v>
      </c>
      <c r="D514" t="s">
        <v>6517</v>
      </c>
      <c r="E514" t="s">
        <v>6517</v>
      </c>
    </row>
    <row r="515" spans="1:5" x14ac:dyDescent="0.3">
      <c r="A515" t="s">
        <v>697</v>
      </c>
      <c r="B515" t="s">
        <v>9690</v>
      </c>
      <c r="C515" t="s">
        <v>6517</v>
      </c>
      <c r="D515" t="s">
        <v>6517</v>
      </c>
      <c r="E515" t="s">
        <v>6517</v>
      </c>
    </row>
    <row r="516" spans="1:5" x14ac:dyDescent="0.3">
      <c r="A516" t="s">
        <v>697</v>
      </c>
      <c r="B516" t="s">
        <v>9689</v>
      </c>
      <c r="C516" t="s">
        <v>6517</v>
      </c>
      <c r="D516" t="s">
        <v>6517</v>
      </c>
      <c r="E516" t="s">
        <v>6517</v>
      </c>
    </row>
    <row r="517" spans="1:5" x14ac:dyDescent="0.3">
      <c r="A517" t="s">
        <v>697</v>
      </c>
      <c r="B517" t="s">
        <v>9688</v>
      </c>
      <c r="C517" t="s">
        <v>6517</v>
      </c>
      <c r="D517" t="s">
        <v>6517</v>
      </c>
      <c r="E517" t="s">
        <v>6517</v>
      </c>
    </row>
    <row r="518" spans="1:5" x14ac:dyDescent="0.3">
      <c r="A518" t="s">
        <v>703</v>
      </c>
      <c r="B518" t="s">
        <v>9687</v>
      </c>
      <c r="C518" t="s">
        <v>9687</v>
      </c>
      <c r="D518" t="s">
        <v>9686</v>
      </c>
      <c r="E518" t="s">
        <v>9685</v>
      </c>
    </row>
    <row r="519" spans="1:5" x14ac:dyDescent="0.3">
      <c r="A519" t="s">
        <v>703</v>
      </c>
      <c r="B519" t="s">
        <v>9684</v>
      </c>
      <c r="C519" t="s">
        <v>6517</v>
      </c>
      <c r="D519" t="s">
        <v>6517</v>
      </c>
      <c r="E519" t="s">
        <v>6517</v>
      </c>
    </row>
    <row r="520" spans="1:5" x14ac:dyDescent="0.3">
      <c r="A520" t="s">
        <v>703</v>
      </c>
      <c r="B520" t="s">
        <v>9683</v>
      </c>
      <c r="C520" t="s">
        <v>6517</v>
      </c>
      <c r="D520" t="s">
        <v>6517</v>
      </c>
      <c r="E520" t="s">
        <v>6517</v>
      </c>
    </row>
    <row r="521" spans="1:5" x14ac:dyDescent="0.3">
      <c r="A521" t="s">
        <v>703</v>
      </c>
      <c r="B521" t="s">
        <v>9682</v>
      </c>
      <c r="C521" t="s">
        <v>6517</v>
      </c>
      <c r="D521" t="s">
        <v>6517</v>
      </c>
      <c r="E521" t="s">
        <v>6517</v>
      </c>
    </row>
    <row r="522" spans="1:5" x14ac:dyDescent="0.3">
      <c r="A522" t="s">
        <v>703</v>
      </c>
      <c r="B522" t="s">
        <v>9681</v>
      </c>
      <c r="C522" t="s">
        <v>6517</v>
      </c>
      <c r="D522" t="s">
        <v>6517</v>
      </c>
      <c r="E522" t="s">
        <v>6517</v>
      </c>
    </row>
    <row r="523" spans="1:5" x14ac:dyDescent="0.3">
      <c r="A523" t="s">
        <v>709</v>
      </c>
      <c r="B523" t="s">
        <v>9680</v>
      </c>
      <c r="C523" t="s">
        <v>9680</v>
      </c>
      <c r="D523" t="s">
        <v>9679</v>
      </c>
      <c r="E523" t="s">
        <v>9678</v>
      </c>
    </row>
    <row r="524" spans="1:5" x14ac:dyDescent="0.3">
      <c r="A524" t="s">
        <v>709</v>
      </c>
      <c r="B524" t="s">
        <v>9677</v>
      </c>
      <c r="C524" t="s">
        <v>6517</v>
      </c>
      <c r="D524" t="s">
        <v>6517</v>
      </c>
      <c r="E524" t="s">
        <v>6517</v>
      </c>
    </row>
    <row r="525" spans="1:5" x14ac:dyDescent="0.3">
      <c r="A525" t="s">
        <v>709</v>
      </c>
      <c r="B525" t="s">
        <v>9676</v>
      </c>
      <c r="C525" t="s">
        <v>6517</v>
      </c>
      <c r="D525" t="s">
        <v>6517</v>
      </c>
      <c r="E525" t="s">
        <v>6517</v>
      </c>
    </row>
    <row r="526" spans="1:5" x14ac:dyDescent="0.3">
      <c r="A526" t="s">
        <v>709</v>
      </c>
      <c r="B526" t="s">
        <v>9675</v>
      </c>
      <c r="C526" t="s">
        <v>6517</v>
      </c>
      <c r="D526" t="s">
        <v>6517</v>
      </c>
      <c r="E526" t="s">
        <v>6517</v>
      </c>
    </row>
    <row r="527" spans="1:5" x14ac:dyDescent="0.3">
      <c r="A527" t="s">
        <v>709</v>
      </c>
      <c r="B527" t="s">
        <v>9674</v>
      </c>
      <c r="C527" t="s">
        <v>6517</v>
      </c>
      <c r="D527" t="s">
        <v>6517</v>
      </c>
      <c r="E527" t="s">
        <v>6517</v>
      </c>
    </row>
    <row r="528" spans="1:5" x14ac:dyDescent="0.3">
      <c r="A528" t="s">
        <v>715</v>
      </c>
      <c r="B528" t="s">
        <v>9673</v>
      </c>
      <c r="C528" t="s">
        <v>9673</v>
      </c>
      <c r="D528" t="s">
        <v>9672</v>
      </c>
      <c r="E528" t="s">
        <v>9671</v>
      </c>
    </row>
    <row r="529" spans="1:5" x14ac:dyDescent="0.3">
      <c r="A529" t="s">
        <v>715</v>
      </c>
      <c r="B529" t="s">
        <v>9670</v>
      </c>
      <c r="C529" t="s">
        <v>6517</v>
      </c>
      <c r="D529" t="s">
        <v>6517</v>
      </c>
      <c r="E529" t="s">
        <v>6517</v>
      </c>
    </row>
    <row r="530" spans="1:5" x14ac:dyDescent="0.3">
      <c r="A530" t="s">
        <v>715</v>
      </c>
      <c r="B530" t="s">
        <v>9669</v>
      </c>
      <c r="C530" t="s">
        <v>6517</v>
      </c>
      <c r="D530" t="s">
        <v>6517</v>
      </c>
      <c r="E530" t="s">
        <v>6517</v>
      </c>
    </row>
    <row r="531" spans="1:5" x14ac:dyDescent="0.3">
      <c r="A531" t="s">
        <v>715</v>
      </c>
      <c r="B531" t="s">
        <v>9668</v>
      </c>
      <c r="C531" t="s">
        <v>6517</v>
      </c>
      <c r="D531" t="s">
        <v>6517</v>
      </c>
      <c r="E531" t="s">
        <v>6517</v>
      </c>
    </row>
    <row r="532" spans="1:5" x14ac:dyDescent="0.3">
      <c r="A532" t="s">
        <v>715</v>
      </c>
      <c r="B532" t="s">
        <v>9667</v>
      </c>
      <c r="C532" t="s">
        <v>6517</v>
      </c>
      <c r="D532" t="s">
        <v>6517</v>
      </c>
      <c r="E532" t="s">
        <v>6517</v>
      </c>
    </row>
    <row r="533" spans="1:5" x14ac:dyDescent="0.3">
      <c r="A533" t="s">
        <v>722</v>
      </c>
      <c r="B533" t="s">
        <v>9666</v>
      </c>
      <c r="C533" t="s">
        <v>9666</v>
      </c>
      <c r="D533" t="s">
        <v>9665</v>
      </c>
      <c r="E533" t="s">
        <v>9664</v>
      </c>
    </row>
    <row r="534" spans="1:5" x14ac:dyDescent="0.3">
      <c r="A534" t="s">
        <v>722</v>
      </c>
      <c r="B534" t="s">
        <v>9663</v>
      </c>
      <c r="C534" t="s">
        <v>6517</v>
      </c>
      <c r="D534" t="s">
        <v>6517</v>
      </c>
      <c r="E534" t="s">
        <v>6517</v>
      </c>
    </row>
    <row r="535" spans="1:5" x14ac:dyDescent="0.3">
      <c r="A535" t="s">
        <v>722</v>
      </c>
      <c r="B535" t="s">
        <v>9662</v>
      </c>
      <c r="C535" t="s">
        <v>6517</v>
      </c>
      <c r="D535" t="s">
        <v>6517</v>
      </c>
      <c r="E535" t="s">
        <v>6517</v>
      </c>
    </row>
    <row r="536" spans="1:5" x14ac:dyDescent="0.3">
      <c r="A536" t="s">
        <v>722</v>
      </c>
      <c r="B536" t="s">
        <v>9661</v>
      </c>
      <c r="C536" t="s">
        <v>6517</v>
      </c>
      <c r="D536" t="s">
        <v>6517</v>
      </c>
      <c r="E536" t="s">
        <v>6517</v>
      </c>
    </row>
    <row r="537" spans="1:5" x14ac:dyDescent="0.3">
      <c r="A537" t="s">
        <v>722</v>
      </c>
      <c r="B537" t="s">
        <v>9660</v>
      </c>
      <c r="C537" t="s">
        <v>6517</v>
      </c>
      <c r="D537" t="s">
        <v>6517</v>
      </c>
      <c r="E537" t="s">
        <v>6517</v>
      </c>
    </row>
    <row r="538" spans="1:5" x14ac:dyDescent="0.3">
      <c r="A538" t="s">
        <v>728</v>
      </c>
      <c r="B538" t="s">
        <v>9659</v>
      </c>
      <c r="C538" t="s">
        <v>9659</v>
      </c>
      <c r="D538" t="s">
        <v>9658</v>
      </c>
      <c r="E538" t="s">
        <v>9657</v>
      </c>
    </row>
    <row r="539" spans="1:5" x14ac:dyDescent="0.3">
      <c r="A539" t="s">
        <v>728</v>
      </c>
      <c r="B539" t="s">
        <v>9656</v>
      </c>
      <c r="C539" t="s">
        <v>6517</v>
      </c>
      <c r="D539" t="s">
        <v>6517</v>
      </c>
      <c r="E539" t="s">
        <v>6517</v>
      </c>
    </row>
    <row r="540" spans="1:5" x14ac:dyDescent="0.3">
      <c r="A540" t="s">
        <v>728</v>
      </c>
      <c r="B540" t="s">
        <v>9655</v>
      </c>
      <c r="C540" t="s">
        <v>6517</v>
      </c>
      <c r="D540" t="s">
        <v>6517</v>
      </c>
      <c r="E540" t="s">
        <v>6517</v>
      </c>
    </row>
    <row r="541" spans="1:5" x14ac:dyDescent="0.3">
      <c r="A541" t="s">
        <v>728</v>
      </c>
      <c r="B541" t="s">
        <v>9654</v>
      </c>
      <c r="C541" t="s">
        <v>6517</v>
      </c>
      <c r="D541" t="s">
        <v>6517</v>
      </c>
      <c r="E541" t="s">
        <v>6517</v>
      </c>
    </row>
    <row r="542" spans="1:5" x14ac:dyDescent="0.3">
      <c r="A542" t="s">
        <v>728</v>
      </c>
      <c r="B542" t="s">
        <v>9653</v>
      </c>
      <c r="C542" t="s">
        <v>6517</v>
      </c>
      <c r="D542" t="s">
        <v>6517</v>
      </c>
      <c r="E542" t="s">
        <v>6517</v>
      </c>
    </row>
    <row r="543" spans="1:5" x14ac:dyDescent="0.3">
      <c r="A543" t="s">
        <v>734</v>
      </c>
      <c r="B543" t="s">
        <v>9652</v>
      </c>
      <c r="C543" t="s">
        <v>9652</v>
      </c>
      <c r="D543" t="s">
        <v>9651</v>
      </c>
      <c r="E543" t="s">
        <v>9650</v>
      </c>
    </row>
    <row r="544" spans="1:5" x14ac:dyDescent="0.3">
      <c r="A544" t="s">
        <v>734</v>
      </c>
      <c r="B544" t="s">
        <v>9649</v>
      </c>
      <c r="C544" t="s">
        <v>6517</v>
      </c>
      <c r="D544" t="s">
        <v>6517</v>
      </c>
      <c r="E544" t="s">
        <v>6517</v>
      </c>
    </row>
    <row r="545" spans="1:5" x14ac:dyDescent="0.3">
      <c r="A545" t="s">
        <v>734</v>
      </c>
      <c r="B545" t="s">
        <v>9648</v>
      </c>
      <c r="C545" t="s">
        <v>6517</v>
      </c>
      <c r="D545" t="s">
        <v>6517</v>
      </c>
      <c r="E545" t="s">
        <v>6517</v>
      </c>
    </row>
    <row r="546" spans="1:5" x14ac:dyDescent="0.3">
      <c r="A546" t="s">
        <v>734</v>
      </c>
      <c r="B546" t="s">
        <v>9647</v>
      </c>
      <c r="C546" t="s">
        <v>6517</v>
      </c>
      <c r="D546" t="s">
        <v>6517</v>
      </c>
      <c r="E546" t="s">
        <v>6517</v>
      </c>
    </row>
    <row r="547" spans="1:5" x14ac:dyDescent="0.3">
      <c r="A547" t="s">
        <v>734</v>
      </c>
      <c r="B547" t="s">
        <v>9646</v>
      </c>
      <c r="C547" t="s">
        <v>6517</v>
      </c>
      <c r="D547" t="s">
        <v>6517</v>
      </c>
      <c r="E547" t="s">
        <v>6517</v>
      </c>
    </row>
    <row r="548" spans="1:5" x14ac:dyDescent="0.3">
      <c r="A548" t="s">
        <v>740</v>
      </c>
      <c r="B548" t="s">
        <v>9645</v>
      </c>
      <c r="C548" t="s">
        <v>9645</v>
      </c>
      <c r="D548" t="s">
        <v>9644</v>
      </c>
      <c r="E548" t="s">
        <v>9643</v>
      </c>
    </row>
    <row r="549" spans="1:5" x14ac:dyDescent="0.3">
      <c r="A549" t="s">
        <v>740</v>
      </c>
      <c r="B549" t="s">
        <v>9642</v>
      </c>
      <c r="C549" t="s">
        <v>6517</v>
      </c>
      <c r="D549" t="s">
        <v>6517</v>
      </c>
      <c r="E549" t="s">
        <v>6517</v>
      </c>
    </row>
    <row r="550" spans="1:5" x14ac:dyDescent="0.3">
      <c r="A550" t="s">
        <v>740</v>
      </c>
      <c r="B550" t="s">
        <v>9641</v>
      </c>
      <c r="C550" t="s">
        <v>6517</v>
      </c>
      <c r="D550" t="s">
        <v>6517</v>
      </c>
      <c r="E550" t="s">
        <v>6517</v>
      </c>
    </row>
    <row r="551" spans="1:5" x14ac:dyDescent="0.3">
      <c r="A551" t="s">
        <v>740</v>
      </c>
      <c r="B551" t="s">
        <v>9640</v>
      </c>
      <c r="C551" t="s">
        <v>6517</v>
      </c>
      <c r="D551" t="s">
        <v>6517</v>
      </c>
      <c r="E551" t="s">
        <v>6517</v>
      </c>
    </row>
    <row r="552" spans="1:5" x14ac:dyDescent="0.3">
      <c r="A552" t="s">
        <v>740</v>
      </c>
      <c r="B552" t="s">
        <v>9639</v>
      </c>
      <c r="C552" t="s">
        <v>6517</v>
      </c>
      <c r="D552" t="s">
        <v>6517</v>
      </c>
      <c r="E552" t="s">
        <v>6517</v>
      </c>
    </row>
    <row r="553" spans="1:5" x14ac:dyDescent="0.3">
      <c r="A553" t="s">
        <v>746</v>
      </c>
      <c r="B553" t="s">
        <v>9638</v>
      </c>
      <c r="C553" t="s">
        <v>9638</v>
      </c>
      <c r="D553" t="s">
        <v>9637</v>
      </c>
      <c r="E553" t="s">
        <v>9636</v>
      </c>
    </row>
    <row r="554" spans="1:5" x14ac:dyDescent="0.3">
      <c r="A554" t="s">
        <v>746</v>
      </c>
      <c r="B554" t="s">
        <v>9635</v>
      </c>
      <c r="C554" t="s">
        <v>6517</v>
      </c>
      <c r="D554" t="s">
        <v>6517</v>
      </c>
      <c r="E554" t="s">
        <v>6517</v>
      </c>
    </row>
    <row r="555" spans="1:5" x14ac:dyDescent="0.3">
      <c r="A555" t="s">
        <v>746</v>
      </c>
      <c r="B555" t="s">
        <v>9634</v>
      </c>
      <c r="C555" t="s">
        <v>6517</v>
      </c>
      <c r="D555" t="s">
        <v>6517</v>
      </c>
      <c r="E555" t="s">
        <v>6517</v>
      </c>
    </row>
    <row r="556" spans="1:5" x14ac:dyDescent="0.3">
      <c r="A556" t="s">
        <v>746</v>
      </c>
      <c r="B556" t="s">
        <v>9633</v>
      </c>
      <c r="C556" t="s">
        <v>6517</v>
      </c>
      <c r="D556" t="s">
        <v>6517</v>
      </c>
      <c r="E556" t="s">
        <v>6517</v>
      </c>
    </row>
    <row r="557" spans="1:5" x14ac:dyDescent="0.3">
      <c r="A557" t="s">
        <v>746</v>
      </c>
      <c r="B557" t="s">
        <v>9632</v>
      </c>
      <c r="C557" t="s">
        <v>6517</v>
      </c>
      <c r="D557" t="s">
        <v>6517</v>
      </c>
      <c r="E557" t="s">
        <v>6517</v>
      </c>
    </row>
    <row r="558" spans="1:5" x14ac:dyDescent="0.3">
      <c r="A558" t="s">
        <v>752</v>
      </c>
      <c r="B558" t="s">
        <v>9631</v>
      </c>
      <c r="C558" t="s">
        <v>9631</v>
      </c>
      <c r="D558" t="s">
        <v>9630</v>
      </c>
      <c r="E558" t="s">
        <v>9629</v>
      </c>
    </row>
    <row r="559" spans="1:5" x14ac:dyDescent="0.3">
      <c r="A559" t="s">
        <v>752</v>
      </c>
      <c r="B559" t="s">
        <v>9628</v>
      </c>
      <c r="C559" t="s">
        <v>6517</v>
      </c>
      <c r="D559" t="s">
        <v>6517</v>
      </c>
      <c r="E559" t="s">
        <v>6517</v>
      </c>
    </row>
    <row r="560" spans="1:5" x14ac:dyDescent="0.3">
      <c r="A560" t="s">
        <v>752</v>
      </c>
      <c r="B560" t="s">
        <v>9627</v>
      </c>
      <c r="C560" t="s">
        <v>6517</v>
      </c>
      <c r="D560" t="s">
        <v>6517</v>
      </c>
      <c r="E560" t="s">
        <v>6517</v>
      </c>
    </row>
    <row r="561" spans="1:5" x14ac:dyDescent="0.3">
      <c r="A561" t="s">
        <v>752</v>
      </c>
      <c r="B561" t="s">
        <v>9626</v>
      </c>
      <c r="C561" t="s">
        <v>6517</v>
      </c>
      <c r="D561" t="s">
        <v>6517</v>
      </c>
      <c r="E561" t="s">
        <v>6517</v>
      </c>
    </row>
    <row r="562" spans="1:5" x14ac:dyDescent="0.3">
      <c r="A562" t="s">
        <v>752</v>
      </c>
      <c r="B562" t="s">
        <v>9625</v>
      </c>
      <c r="C562" t="s">
        <v>6517</v>
      </c>
      <c r="D562" t="s">
        <v>6517</v>
      </c>
      <c r="E562" t="s">
        <v>6517</v>
      </c>
    </row>
    <row r="563" spans="1:5" x14ac:dyDescent="0.3">
      <c r="A563" t="s">
        <v>758</v>
      </c>
      <c r="B563" t="s">
        <v>9624</v>
      </c>
      <c r="C563" t="s">
        <v>9624</v>
      </c>
      <c r="D563" t="s">
        <v>9623</v>
      </c>
      <c r="E563" t="s">
        <v>9622</v>
      </c>
    </row>
    <row r="564" spans="1:5" x14ac:dyDescent="0.3">
      <c r="A564" t="s">
        <v>758</v>
      </c>
      <c r="B564" t="s">
        <v>9621</v>
      </c>
      <c r="C564" t="s">
        <v>6517</v>
      </c>
      <c r="D564" t="s">
        <v>6517</v>
      </c>
      <c r="E564" t="s">
        <v>6517</v>
      </c>
    </row>
    <row r="565" spans="1:5" x14ac:dyDescent="0.3">
      <c r="A565" t="s">
        <v>758</v>
      </c>
      <c r="B565" t="s">
        <v>9620</v>
      </c>
      <c r="C565" t="s">
        <v>6517</v>
      </c>
      <c r="D565" t="s">
        <v>6517</v>
      </c>
      <c r="E565" t="s">
        <v>6517</v>
      </c>
    </row>
    <row r="566" spans="1:5" x14ac:dyDescent="0.3">
      <c r="A566" t="s">
        <v>758</v>
      </c>
      <c r="B566" t="s">
        <v>9619</v>
      </c>
      <c r="C566" t="s">
        <v>6517</v>
      </c>
      <c r="D566" t="s">
        <v>6517</v>
      </c>
      <c r="E566" t="s">
        <v>6517</v>
      </c>
    </row>
    <row r="567" spans="1:5" x14ac:dyDescent="0.3">
      <c r="A567" t="s">
        <v>758</v>
      </c>
      <c r="B567" t="s">
        <v>9618</v>
      </c>
      <c r="C567" t="s">
        <v>6517</v>
      </c>
      <c r="D567" t="s">
        <v>6517</v>
      </c>
      <c r="E567" t="s">
        <v>6517</v>
      </c>
    </row>
    <row r="568" spans="1:5" x14ac:dyDescent="0.3">
      <c r="A568" t="s">
        <v>764</v>
      </c>
      <c r="B568" t="s">
        <v>9617</v>
      </c>
      <c r="C568" t="s">
        <v>9617</v>
      </c>
      <c r="D568" t="s">
        <v>9616</v>
      </c>
      <c r="E568" t="s">
        <v>9615</v>
      </c>
    </row>
    <row r="569" spans="1:5" x14ac:dyDescent="0.3">
      <c r="A569" t="s">
        <v>764</v>
      </c>
      <c r="B569" t="s">
        <v>9614</v>
      </c>
      <c r="C569" t="s">
        <v>6517</v>
      </c>
      <c r="D569" t="s">
        <v>6517</v>
      </c>
      <c r="E569" t="s">
        <v>6517</v>
      </c>
    </row>
    <row r="570" spans="1:5" x14ac:dyDescent="0.3">
      <c r="A570" t="s">
        <v>764</v>
      </c>
      <c r="B570" t="s">
        <v>9613</v>
      </c>
      <c r="C570" t="s">
        <v>6517</v>
      </c>
      <c r="D570" t="s">
        <v>6517</v>
      </c>
      <c r="E570" t="s">
        <v>6517</v>
      </c>
    </row>
    <row r="571" spans="1:5" x14ac:dyDescent="0.3">
      <c r="A571" t="s">
        <v>764</v>
      </c>
      <c r="B571" t="s">
        <v>9612</v>
      </c>
      <c r="C571" t="s">
        <v>6517</v>
      </c>
      <c r="D571" t="s">
        <v>6517</v>
      </c>
      <c r="E571" t="s">
        <v>6517</v>
      </c>
    </row>
    <row r="572" spans="1:5" x14ac:dyDescent="0.3">
      <c r="A572" t="s">
        <v>764</v>
      </c>
      <c r="B572" t="s">
        <v>9611</v>
      </c>
      <c r="C572" t="s">
        <v>6517</v>
      </c>
      <c r="D572" t="s">
        <v>6517</v>
      </c>
      <c r="E572" t="s">
        <v>6517</v>
      </c>
    </row>
    <row r="573" spans="1:5" x14ac:dyDescent="0.3">
      <c r="A573" t="s">
        <v>770</v>
      </c>
      <c r="B573" t="s">
        <v>9610</v>
      </c>
      <c r="C573" t="s">
        <v>9610</v>
      </c>
      <c r="D573" t="s">
        <v>9609</v>
      </c>
      <c r="E573" t="s">
        <v>9608</v>
      </c>
    </row>
    <row r="574" spans="1:5" x14ac:dyDescent="0.3">
      <c r="A574" t="s">
        <v>770</v>
      </c>
      <c r="B574" t="s">
        <v>9607</v>
      </c>
      <c r="C574" t="s">
        <v>6517</v>
      </c>
      <c r="D574" t="s">
        <v>6517</v>
      </c>
      <c r="E574" t="s">
        <v>6517</v>
      </c>
    </row>
    <row r="575" spans="1:5" x14ac:dyDescent="0.3">
      <c r="A575" t="s">
        <v>770</v>
      </c>
      <c r="B575" t="s">
        <v>9606</v>
      </c>
      <c r="C575" t="s">
        <v>6517</v>
      </c>
      <c r="D575" t="s">
        <v>6517</v>
      </c>
      <c r="E575" t="s">
        <v>6517</v>
      </c>
    </row>
    <row r="576" spans="1:5" x14ac:dyDescent="0.3">
      <c r="A576" t="s">
        <v>770</v>
      </c>
      <c r="B576" t="s">
        <v>9605</v>
      </c>
      <c r="C576" t="s">
        <v>6517</v>
      </c>
      <c r="D576" t="s">
        <v>6517</v>
      </c>
      <c r="E576" t="s">
        <v>6517</v>
      </c>
    </row>
    <row r="577" spans="1:5" x14ac:dyDescent="0.3">
      <c r="A577" t="s">
        <v>770</v>
      </c>
      <c r="B577" t="s">
        <v>9604</v>
      </c>
      <c r="C577" t="s">
        <v>6517</v>
      </c>
      <c r="D577" t="s">
        <v>6517</v>
      </c>
      <c r="E577" t="s">
        <v>6517</v>
      </c>
    </row>
    <row r="578" spans="1:5" x14ac:dyDescent="0.3">
      <c r="A578" t="s">
        <v>776</v>
      </c>
      <c r="B578" t="s">
        <v>9603</v>
      </c>
      <c r="C578" t="s">
        <v>9603</v>
      </c>
      <c r="D578" t="s">
        <v>9602</v>
      </c>
      <c r="E578" t="s">
        <v>9601</v>
      </c>
    </row>
    <row r="579" spans="1:5" x14ac:dyDescent="0.3">
      <c r="A579" t="s">
        <v>776</v>
      </c>
      <c r="B579" t="s">
        <v>9600</v>
      </c>
      <c r="C579" t="s">
        <v>6517</v>
      </c>
      <c r="D579" t="s">
        <v>6517</v>
      </c>
      <c r="E579" t="s">
        <v>6517</v>
      </c>
    </row>
    <row r="580" spans="1:5" x14ac:dyDescent="0.3">
      <c r="A580" t="s">
        <v>776</v>
      </c>
      <c r="B580" t="s">
        <v>9599</v>
      </c>
      <c r="C580" t="s">
        <v>6517</v>
      </c>
      <c r="D580" t="s">
        <v>6517</v>
      </c>
      <c r="E580" t="s">
        <v>6517</v>
      </c>
    </row>
    <row r="581" spans="1:5" x14ac:dyDescent="0.3">
      <c r="A581" t="s">
        <v>776</v>
      </c>
      <c r="B581" t="s">
        <v>9598</v>
      </c>
      <c r="C581" t="s">
        <v>6517</v>
      </c>
      <c r="D581" t="s">
        <v>6517</v>
      </c>
      <c r="E581" t="s">
        <v>6517</v>
      </c>
    </row>
    <row r="582" spans="1:5" x14ac:dyDescent="0.3">
      <c r="A582" t="s">
        <v>776</v>
      </c>
      <c r="B582" t="s">
        <v>9597</v>
      </c>
      <c r="C582" t="s">
        <v>6517</v>
      </c>
      <c r="D582" t="s">
        <v>6517</v>
      </c>
      <c r="E582" t="s">
        <v>6517</v>
      </c>
    </row>
    <row r="583" spans="1:5" x14ac:dyDescent="0.3">
      <c r="A583" t="s">
        <v>782</v>
      </c>
      <c r="B583" t="s">
        <v>9596</v>
      </c>
      <c r="C583" t="s">
        <v>9596</v>
      </c>
      <c r="D583" t="s">
        <v>9595</v>
      </c>
      <c r="E583" t="s">
        <v>9594</v>
      </c>
    </row>
    <row r="584" spans="1:5" x14ac:dyDescent="0.3">
      <c r="A584" t="s">
        <v>782</v>
      </c>
      <c r="B584" t="s">
        <v>9593</v>
      </c>
      <c r="C584" t="s">
        <v>6517</v>
      </c>
      <c r="D584" t="s">
        <v>6517</v>
      </c>
      <c r="E584" t="s">
        <v>6517</v>
      </c>
    </row>
    <row r="585" spans="1:5" x14ac:dyDescent="0.3">
      <c r="A585" t="s">
        <v>782</v>
      </c>
      <c r="B585" t="s">
        <v>9592</v>
      </c>
      <c r="C585" t="s">
        <v>6517</v>
      </c>
      <c r="D585" t="s">
        <v>6517</v>
      </c>
      <c r="E585" t="s">
        <v>6517</v>
      </c>
    </row>
    <row r="586" spans="1:5" x14ac:dyDescent="0.3">
      <c r="A586" t="s">
        <v>782</v>
      </c>
      <c r="B586" t="s">
        <v>9591</v>
      </c>
      <c r="C586" t="s">
        <v>6517</v>
      </c>
      <c r="D586" t="s">
        <v>6517</v>
      </c>
      <c r="E586" t="s">
        <v>6517</v>
      </c>
    </row>
    <row r="587" spans="1:5" x14ac:dyDescent="0.3">
      <c r="A587" t="s">
        <v>782</v>
      </c>
      <c r="B587" t="s">
        <v>9590</v>
      </c>
      <c r="C587" t="s">
        <v>6517</v>
      </c>
      <c r="D587" t="s">
        <v>6517</v>
      </c>
      <c r="E587" t="s">
        <v>6517</v>
      </c>
    </row>
    <row r="588" spans="1:5" x14ac:dyDescent="0.3">
      <c r="A588" t="s">
        <v>788</v>
      </c>
      <c r="B588" t="s">
        <v>9589</v>
      </c>
      <c r="C588" t="s">
        <v>9589</v>
      </c>
      <c r="D588" t="s">
        <v>9588</v>
      </c>
      <c r="E588" t="s">
        <v>9587</v>
      </c>
    </row>
    <row r="589" spans="1:5" x14ac:dyDescent="0.3">
      <c r="A589" t="s">
        <v>788</v>
      </c>
      <c r="B589" t="s">
        <v>9586</v>
      </c>
      <c r="C589" t="s">
        <v>6517</v>
      </c>
      <c r="D589" t="s">
        <v>6517</v>
      </c>
      <c r="E589" t="s">
        <v>6517</v>
      </c>
    </row>
    <row r="590" spans="1:5" x14ac:dyDescent="0.3">
      <c r="A590" t="s">
        <v>788</v>
      </c>
      <c r="B590" t="s">
        <v>9585</v>
      </c>
      <c r="C590" t="s">
        <v>6517</v>
      </c>
      <c r="D590" t="s">
        <v>6517</v>
      </c>
      <c r="E590" t="s">
        <v>6517</v>
      </c>
    </row>
    <row r="591" spans="1:5" x14ac:dyDescent="0.3">
      <c r="A591" t="s">
        <v>788</v>
      </c>
      <c r="B591" t="s">
        <v>9584</v>
      </c>
      <c r="C591" t="s">
        <v>6517</v>
      </c>
      <c r="D591" t="s">
        <v>6517</v>
      </c>
      <c r="E591" t="s">
        <v>6517</v>
      </c>
    </row>
    <row r="592" spans="1:5" x14ac:dyDescent="0.3">
      <c r="A592" t="s">
        <v>788</v>
      </c>
      <c r="B592" t="s">
        <v>9583</v>
      </c>
      <c r="C592" t="s">
        <v>6517</v>
      </c>
      <c r="D592" t="s">
        <v>6517</v>
      </c>
      <c r="E592" t="s">
        <v>6517</v>
      </c>
    </row>
    <row r="593" spans="1:5" x14ac:dyDescent="0.3">
      <c r="A593" t="s">
        <v>794</v>
      </c>
      <c r="B593" t="s">
        <v>9582</v>
      </c>
      <c r="C593" t="s">
        <v>9582</v>
      </c>
      <c r="D593" t="s">
        <v>9581</v>
      </c>
      <c r="E593" t="s">
        <v>9580</v>
      </c>
    </row>
    <row r="594" spans="1:5" x14ac:dyDescent="0.3">
      <c r="A594" t="s">
        <v>794</v>
      </c>
      <c r="B594" t="s">
        <v>9579</v>
      </c>
      <c r="C594" t="s">
        <v>6517</v>
      </c>
      <c r="D594" t="s">
        <v>6517</v>
      </c>
      <c r="E594" t="s">
        <v>6517</v>
      </c>
    </row>
    <row r="595" spans="1:5" x14ac:dyDescent="0.3">
      <c r="A595" t="s">
        <v>794</v>
      </c>
      <c r="B595" t="s">
        <v>9578</v>
      </c>
      <c r="C595" t="s">
        <v>6517</v>
      </c>
      <c r="D595" t="s">
        <v>6517</v>
      </c>
      <c r="E595" t="s">
        <v>6517</v>
      </c>
    </row>
    <row r="596" spans="1:5" x14ac:dyDescent="0.3">
      <c r="A596" t="s">
        <v>794</v>
      </c>
      <c r="B596" t="s">
        <v>9577</v>
      </c>
      <c r="C596" t="s">
        <v>6517</v>
      </c>
      <c r="D596" t="s">
        <v>6517</v>
      </c>
      <c r="E596" t="s">
        <v>6517</v>
      </c>
    </row>
    <row r="597" spans="1:5" x14ac:dyDescent="0.3">
      <c r="A597" t="s">
        <v>794</v>
      </c>
      <c r="B597" t="s">
        <v>9576</v>
      </c>
      <c r="C597" t="s">
        <v>6517</v>
      </c>
      <c r="D597" t="s">
        <v>6517</v>
      </c>
      <c r="E597" t="s">
        <v>6517</v>
      </c>
    </row>
    <row r="598" spans="1:5" x14ac:dyDescent="0.3">
      <c r="A598" t="s">
        <v>800</v>
      </c>
      <c r="B598" t="s">
        <v>9575</v>
      </c>
      <c r="C598" t="s">
        <v>9575</v>
      </c>
      <c r="D598" t="s">
        <v>9574</v>
      </c>
      <c r="E598" t="s">
        <v>9573</v>
      </c>
    </row>
    <row r="599" spans="1:5" x14ac:dyDescent="0.3">
      <c r="A599" t="s">
        <v>800</v>
      </c>
      <c r="B599" t="s">
        <v>9572</v>
      </c>
      <c r="C599" t="s">
        <v>6517</v>
      </c>
      <c r="D599" t="s">
        <v>6517</v>
      </c>
      <c r="E599" t="s">
        <v>6517</v>
      </c>
    </row>
    <row r="600" spans="1:5" x14ac:dyDescent="0.3">
      <c r="A600" t="s">
        <v>800</v>
      </c>
      <c r="B600" t="s">
        <v>9571</v>
      </c>
      <c r="C600" t="s">
        <v>6517</v>
      </c>
      <c r="D600" t="s">
        <v>6517</v>
      </c>
      <c r="E600" t="s">
        <v>6517</v>
      </c>
    </row>
    <row r="601" spans="1:5" x14ac:dyDescent="0.3">
      <c r="A601" t="s">
        <v>800</v>
      </c>
      <c r="B601" t="s">
        <v>9570</v>
      </c>
      <c r="C601" t="s">
        <v>6517</v>
      </c>
      <c r="D601" t="s">
        <v>6517</v>
      </c>
      <c r="E601" t="s">
        <v>6517</v>
      </c>
    </row>
    <row r="602" spans="1:5" x14ac:dyDescent="0.3">
      <c r="A602" t="s">
        <v>800</v>
      </c>
      <c r="B602" t="s">
        <v>9569</v>
      </c>
      <c r="C602" t="s">
        <v>6517</v>
      </c>
      <c r="D602" t="s">
        <v>6517</v>
      </c>
      <c r="E602" t="s">
        <v>6517</v>
      </c>
    </row>
    <row r="603" spans="1:5" x14ac:dyDescent="0.3">
      <c r="A603" t="s">
        <v>806</v>
      </c>
      <c r="B603" t="s">
        <v>9568</v>
      </c>
      <c r="C603" t="s">
        <v>6517</v>
      </c>
      <c r="D603" t="s">
        <v>6517</v>
      </c>
      <c r="E603" t="s">
        <v>6517</v>
      </c>
    </row>
    <row r="604" spans="1:5" x14ac:dyDescent="0.3">
      <c r="A604" t="s">
        <v>806</v>
      </c>
      <c r="B604" t="s">
        <v>9567</v>
      </c>
      <c r="C604" t="s">
        <v>6517</v>
      </c>
      <c r="D604" t="s">
        <v>6517</v>
      </c>
      <c r="E604" t="s">
        <v>6517</v>
      </c>
    </row>
    <row r="605" spans="1:5" x14ac:dyDescent="0.3">
      <c r="A605" t="s">
        <v>806</v>
      </c>
      <c r="B605" t="s">
        <v>9566</v>
      </c>
      <c r="C605" t="s">
        <v>6517</v>
      </c>
      <c r="D605" t="s">
        <v>6517</v>
      </c>
      <c r="E605" t="s">
        <v>6517</v>
      </c>
    </row>
    <row r="606" spans="1:5" x14ac:dyDescent="0.3">
      <c r="A606" t="s">
        <v>806</v>
      </c>
      <c r="B606" t="s">
        <v>9565</v>
      </c>
      <c r="C606" t="s">
        <v>6517</v>
      </c>
      <c r="D606" t="s">
        <v>6517</v>
      </c>
      <c r="E606" t="s">
        <v>6517</v>
      </c>
    </row>
    <row r="607" spans="1:5" x14ac:dyDescent="0.3">
      <c r="A607" t="s">
        <v>806</v>
      </c>
      <c r="B607" t="s">
        <v>9564</v>
      </c>
      <c r="C607" t="s">
        <v>9564</v>
      </c>
      <c r="D607" t="s">
        <v>9563</v>
      </c>
      <c r="E607" t="s">
        <v>9562</v>
      </c>
    </row>
    <row r="608" spans="1:5" x14ac:dyDescent="0.3">
      <c r="A608" t="s">
        <v>813</v>
      </c>
      <c r="B608" t="s">
        <v>9561</v>
      </c>
      <c r="C608" t="s">
        <v>9561</v>
      </c>
      <c r="D608" t="s">
        <v>9560</v>
      </c>
      <c r="E608" t="s">
        <v>9559</v>
      </c>
    </row>
    <row r="609" spans="1:5" x14ac:dyDescent="0.3">
      <c r="A609" t="s">
        <v>813</v>
      </c>
      <c r="B609" t="s">
        <v>9558</v>
      </c>
      <c r="C609" t="s">
        <v>6517</v>
      </c>
      <c r="D609" t="s">
        <v>6517</v>
      </c>
      <c r="E609" t="s">
        <v>6517</v>
      </c>
    </row>
    <row r="610" spans="1:5" x14ac:dyDescent="0.3">
      <c r="A610" t="s">
        <v>813</v>
      </c>
      <c r="B610" t="s">
        <v>9557</v>
      </c>
      <c r="C610" t="s">
        <v>6517</v>
      </c>
      <c r="D610" t="s">
        <v>6517</v>
      </c>
      <c r="E610" t="s">
        <v>6517</v>
      </c>
    </row>
    <row r="611" spans="1:5" x14ac:dyDescent="0.3">
      <c r="A611" t="s">
        <v>813</v>
      </c>
      <c r="B611" t="s">
        <v>9556</v>
      </c>
      <c r="C611" t="s">
        <v>6517</v>
      </c>
      <c r="D611" t="s">
        <v>6517</v>
      </c>
      <c r="E611" t="s">
        <v>6517</v>
      </c>
    </row>
    <row r="612" spans="1:5" x14ac:dyDescent="0.3">
      <c r="A612" t="s">
        <v>813</v>
      </c>
      <c r="B612" t="s">
        <v>9555</v>
      </c>
      <c r="C612" t="s">
        <v>6517</v>
      </c>
      <c r="D612" t="s">
        <v>6517</v>
      </c>
      <c r="E612" t="s">
        <v>6517</v>
      </c>
    </row>
    <row r="613" spans="1:5" x14ac:dyDescent="0.3">
      <c r="A613" t="s">
        <v>819</v>
      </c>
      <c r="B613" t="s">
        <v>9554</v>
      </c>
      <c r="C613" t="s">
        <v>9554</v>
      </c>
      <c r="D613" t="s">
        <v>9553</v>
      </c>
      <c r="E613" t="s">
        <v>9552</v>
      </c>
    </row>
    <row r="614" spans="1:5" x14ac:dyDescent="0.3">
      <c r="A614" t="s">
        <v>819</v>
      </c>
      <c r="B614" t="s">
        <v>9551</v>
      </c>
      <c r="C614" t="s">
        <v>6517</v>
      </c>
      <c r="D614" t="s">
        <v>6517</v>
      </c>
      <c r="E614" t="s">
        <v>6517</v>
      </c>
    </row>
    <row r="615" spans="1:5" x14ac:dyDescent="0.3">
      <c r="A615" t="s">
        <v>819</v>
      </c>
      <c r="B615" t="s">
        <v>9550</v>
      </c>
      <c r="C615" t="s">
        <v>6517</v>
      </c>
      <c r="D615" t="s">
        <v>6517</v>
      </c>
      <c r="E615" t="s">
        <v>6517</v>
      </c>
    </row>
    <row r="616" spans="1:5" x14ac:dyDescent="0.3">
      <c r="A616" t="s">
        <v>819</v>
      </c>
      <c r="B616" t="s">
        <v>9549</v>
      </c>
      <c r="C616" t="s">
        <v>6517</v>
      </c>
      <c r="D616" t="s">
        <v>6517</v>
      </c>
      <c r="E616" t="s">
        <v>6517</v>
      </c>
    </row>
    <row r="617" spans="1:5" x14ac:dyDescent="0.3">
      <c r="A617" t="s">
        <v>819</v>
      </c>
      <c r="B617" t="s">
        <v>9548</v>
      </c>
      <c r="C617" t="s">
        <v>6517</v>
      </c>
      <c r="D617" t="s">
        <v>6517</v>
      </c>
      <c r="E617" t="s">
        <v>6517</v>
      </c>
    </row>
    <row r="618" spans="1:5" x14ac:dyDescent="0.3">
      <c r="A618" t="s">
        <v>825</v>
      </c>
      <c r="B618" t="s">
        <v>9547</v>
      </c>
      <c r="C618" t="s">
        <v>9547</v>
      </c>
      <c r="D618" t="s">
        <v>9546</v>
      </c>
      <c r="E618" t="s">
        <v>9545</v>
      </c>
    </row>
    <row r="619" spans="1:5" x14ac:dyDescent="0.3">
      <c r="A619" t="s">
        <v>825</v>
      </c>
      <c r="B619" t="s">
        <v>9544</v>
      </c>
      <c r="C619" t="s">
        <v>6517</v>
      </c>
      <c r="D619" t="s">
        <v>6517</v>
      </c>
      <c r="E619" t="s">
        <v>6517</v>
      </c>
    </row>
    <row r="620" spans="1:5" x14ac:dyDescent="0.3">
      <c r="A620" t="s">
        <v>825</v>
      </c>
      <c r="B620" t="s">
        <v>9543</v>
      </c>
      <c r="C620" t="s">
        <v>6517</v>
      </c>
      <c r="D620" t="s">
        <v>6517</v>
      </c>
      <c r="E620" t="s">
        <v>6517</v>
      </c>
    </row>
    <row r="621" spans="1:5" x14ac:dyDescent="0.3">
      <c r="A621" t="s">
        <v>825</v>
      </c>
      <c r="B621" t="s">
        <v>9542</v>
      </c>
      <c r="C621" t="s">
        <v>6517</v>
      </c>
      <c r="D621" t="s">
        <v>6517</v>
      </c>
      <c r="E621" t="s">
        <v>6517</v>
      </c>
    </row>
    <row r="622" spans="1:5" x14ac:dyDescent="0.3">
      <c r="A622" t="s">
        <v>825</v>
      </c>
      <c r="B622" t="s">
        <v>9541</v>
      </c>
      <c r="C622" t="s">
        <v>6517</v>
      </c>
      <c r="D622" t="s">
        <v>6517</v>
      </c>
      <c r="E622" t="s">
        <v>6517</v>
      </c>
    </row>
    <row r="623" spans="1:5" x14ac:dyDescent="0.3">
      <c r="A623" t="s">
        <v>832</v>
      </c>
      <c r="B623" t="s">
        <v>9540</v>
      </c>
      <c r="C623" t="s">
        <v>9540</v>
      </c>
      <c r="D623" t="s">
        <v>9539</v>
      </c>
      <c r="E623" t="s">
        <v>9538</v>
      </c>
    </row>
    <row r="624" spans="1:5" x14ac:dyDescent="0.3">
      <c r="A624" t="s">
        <v>832</v>
      </c>
      <c r="B624" t="s">
        <v>9537</v>
      </c>
      <c r="C624" t="s">
        <v>6517</v>
      </c>
      <c r="D624" t="s">
        <v>6517</v>
      </c>
      <c r="E624" t="s">
        <v>6517</v>
      </c>
    </row>
    <row r="625" spans="1:5" x14ac:dyDescent="0.3">
      <c r="A625" t="s">
        <v>832</v>
      </c>
      <c r="B625" t="s">
        <v>9536</v>
      </c>
      <c r="C625" t="s">
        <v>6517</v>
      </c>
      <c r="D625" t="s">
        <v>6517</v>
      </c>
      <c r="E625" t="s">
        <v>6517</v>
      </c>
    </row>
    <row r="626" spans="1:5" x14ac:dyDescent="0.3">
      <c r="A626" t="s">
        <v>832</v>
      </c>
      <c r="B626" t="s">
        <v>9535</v>
      </c>
      <c r="C626" t="s">
        <v>6517</v>
      </c>
      <c r="D626" t="s">
        <v>6517</v>
      </c>
      <c r="E626" t="s">
        <v>6517</v>
      </c>
    </row>
    <row r="627" spans="1:5" x14ac:dyDescent="0.3">
      <c r="A627" t="s">
        <v>832</v>
      </c>
      <c r="B627" t="s">
        <v>9534</v>
      </c>
      <c r="C627" t="s">
        <v>6517</v>
      </c>
      <c r="D627" t="s">
        <v>6517</v>
      </c>
      <c r="E627" t="s">
        <v>6517</v>
      </c>
    </row>
    <row r="628" spans="1:5" x14ac:dyDescent="0.3">
      <c r="A628" t="s">
        <v>838</v>
      </c>
      <c r="B628" t="s">
        <v>9533</v>
      </c>
      <c r="C628" t="s">
        <v>9533</v>
      </c>
      <c r="D628" t="s">
        <v>9532</v>
      </c>
      <c r="E628" t="s">
        <v>9531</v>
      </c>
    </row>
    <row r="629" spans="1:5" x14ac:dyDescent="0.3">
      <c r="A629" t="s">
        <v>838</v>
      </c>
      <c r="B629" t="s">
        <v>9530</v>
      </c>
      <c r="C629" t="s">
        <v>6517</v>
      </c>
      <c r="D629" t="s">
        <v>6517</v>
      </c>
      <c r="E629" t="s">
        <v>6517</v>
      </c>
    </row>
    <row r="630" spans="1:5" x14ac:dyDescent="0.3">
      <c r="A630" t="s">
        <v>838</v>
      </c>
      <c r="B630" t="s">
        <v>9529</v>
      </c>
      <c r="C630" t="s">
        <v>6517</v>
      </c>
      <c r="D630" t="s">
        <v>6517</v>
      </c>
      <c r="E630" t="s">
        <v>6517</v>
      </c>
    </row>
    <row r="631" spans="1:5" x14ac:dyDescent="0.3">
      <c r="A631" t="s">
        <v>838</v>
      </c>
      <c r="B631" t="s">
        <v>9528</v>
      </c>
      <c r="C631" t="s">
        <v>6517</v>
      </c>
      <c r="D631" t="s">
        <v>6517</v>
      </c>
      <c r="E631" t="s">
        <v>6517</v>
      </c>
    </row>
    <row r="632" spans="1:5" x14ac:dyDescent="0.3">
      <c r="A632" t="s">
        <v>838</v>
      </c>
      <c r="B632" t="s">
        <v>9527</v>
      </c>
      <c r="C632" t="s">
        <v>6517</v>
      </c>
      <c r="D632" t="s">
        <v>6517</v>
      </c>
      <c r="E632" t="s">
        <v>6517</v>
      </c>
    </row>
    <row r="633" spans="1:5" x14ac:dyDescent="0.3">
      <c r="A633" t="s">
        <v>844</v>
      </c>
      <c r="B633" t="s">
        <v>9526</v>
      </c>
      <c r="C633" t="s">
        <v>9526</v>
      </c>
      <c r="D633" t="s">
        <v>9525</v>
      </c>
      <c r="E633" t="s">
        <v>9524</v>
      </c>
    </row>
    <row r="634" spans="1:5" x14ac:dyDescent="0.3">
      <c r="A634" t="s">
        <v>844</v>
      </c>
      <c r="B634" t="s">
        <v>9523</v>
      </c>
      <c r="C634" t="s">
        <v>6517</v>
      </c>
      <c r="D634" t="s">
        <v>6517</v>
      </c>
      <c r="E634" t="s">
        <v>6517</v>
      </c>
    </row>
    <row r="635" spans="1:5" x14ac:dyDescent="0.3">
      <c r="A635" t="s">
        <v>844</v>
      </c>
      <c r="B635" t="s">
        <v>9522</v>
      </c>
      <c r="C635" t="s">
        <v>6517</v>
      </c>
      <c r="D635" t="s">
        <v>6517</v>
      </c>
      <c r="E635" t="s">
        <v>6517</v>
      </c>
    </row>
    <row r="636" spans="1:5" x14ac:dyDescent="0.3">
      <c r="A636" t="s">
        <v>844</v>
      </c>
      <c r="B636" t="s">
        <v>9521</v>
      </c>
      <c r="C636" t="s">
        <v>6517</v>
      </c>
      <c r="D636" t="s">
        <v>6517</v>
      </c>
      <c r="E636" t="s">
        <v>6517</v>
      </c>
    </row>
    <row r="637" spans="1:5" x14ac:dyDescent="0.3">
      <c r="A637" t="s">
        <v>844</v>
      </c>
      <c r="B637" t="s">
        <v>9520</v>
      </c>
      <c r="C637" t="s">
        <v>6517</v>
      </c>
      <c r="D637" t="s">
        <v>6517</v>
      </c>
      <c r="E637" t="s">
        <v>6517</v>
      </c>
    </row>
    <row r="638" spans="1:5" x14ac:dyDescent="0.3">
      <c r="A638" t="s">
        <v>850</v>
      </c>
      <c r="B638" t="s">
        <v>9519</v>
      </c>
      <c r="C638" t="s">
        <v>6517</v>
      </c>
      <c r="D638" t="s">
        <v>6517</v>
      </c>
      <c r="E638" t="s">
        <v>6517</v>
      </c>
    </row>
    <row r="639" spans="1:5" x14ac:dyDescent="0.3">
      <c r="A639" t="s">
        <v>850</v>
      </c>
      <c r="B639" t="s">
        <v>9518</v>
      </c>
      <c r="C639" t="s">
        <v>6517</v>
      </c>
      <c r="D639" t="s">
        <v>6517</v>
      </c>
      <c r="E639" t="s">
        <v>6517</v>
      </c>
    </row>
    <row r="640" spans="1:5" x14ac:dyDescent="0.3">
      <c r="A640" t="s">
        <v>850</v>
      </c>
      <c r="B640" t="s">
        <v>9517</v>
      </c>
      <c r="C640" t="s">
        <v>9517</v>
      </c>
      <c r="D640" t="s">
        <v>9516</v>
      </c>
      <c r="E640" t="s">
        <v>9515</v>
      </c>
    </row>
    <row r="641" spans="1:5" x14ac:dyDescent="0.3">
      <c r="A641" t="s">
        <v>850</v>
      </c>
      <c r="B641" t="s">
        <v>9514</v>
      </c>
      <c r="C641" t="s">
        <v>6517</v>
      </c>
      <c r="D641" t="s">
        <v>6517</v>
      </c>
      <c r="E641" t="s">
        <v>6517</v>
      </c>
    </row>
    <row r="642" spans="1:5" x14ac:dyDescent="0.3">
      <c r="A642" t="s">
        <v>850</v>
      </c>
      <c r="B642" t="s">
        <v>9513</v>
      </c>
      <c r="C642" t="s">
        <v>6517</v>
      </c>
      <c r="D642" t="s">
        <v>6517</v>
      </c>
      <c r="E642" t="s">
        <v>6517</v>
      </c>
    </row>
    <row r="643" spans="1:5" x14ac:dyDescent="0.3">
      <c r="A643" t="s">
        <v>856</v>
      </c>
      <c r="B643" t="s">
        <v>9512</v>
      </c>
      <c r="C643" t="s">
        <v>9512</v>
      </c>
      <c r="D643" t="s">
        <v>9511</v>
      </c>
      <c r="E643" t="s">
        <v>9510</v>
      </c>
    </row>
    <row r="644" spans="1:5" x14ac:dyDescent="0.3">
      <c r="A644" t="s">
        <v>856</v>
      </c>
      <c r="B644" t="s">
        <v>9509</v>
      </c>
      <c r="C644" t="s">
        <v>6517</v>
      </c>
      <c r="D644" t="s">
        <v>6517</v>
      </c>
      <c r="E644" t="s">
        <v>6517</v>
      </c>
    </row>
    <row r="645" spans="1:5" x14ac:dyDescent="0.3">
      <c r="A645" t="s">
        <v>856</v>
      </c>
      <c r="B645" t="s">
        <v>9508</v>
      </c>
      <c r="C645" t="s">
        <v>6517</v>
      </c>
      <c r="D645" t="s">
        <v>6517</v>
      </c>
      <c r="E645" t="s">
        <v>6517</v>
      </c>
    </row>
    <row r="646" spans="1:5" x14ac:dyDescent="0.3">
      <c r="A646" t="s">
        <v>856</v>
      </c>
      <c r="B646" t="s">
        <v>9507</v>
      </c>
      <c r="C646" t="s">
        <v>6517</v>
      </c>
      <c r="D646" t="s">
        <v>6517</v>
      </c>
      <c r="E646" t="s">
        <v>6517</v>
      </c>
    </row>
    <row r="647" spans="1:5" x14ac:dyDescent="0.3">
      <c r="A647" t="s">
        <v>856</v>
      </c>
      <c r="B647" t="s">
        <v>9506</v>
      </c>
      <c r="C647" t="s">
        <v>6517</v>
      </c>
      <c r="D647" t="s">
        <v>6517</v>
      </c>
      <c r="E647" t="s">
        <v>6517</v>
      </c>
    </row>
    <row r="648" spans="1:5" x14ac:dyDescent="0.3">
      <c r="A648" t="s">
        <v>862</v>
      </c>
      <c r="B648" t="s">
        <v>9505</v>
      </c>
      <c r="C648" t="s">
        <v>9505</v>
      </c>
      <c r="D648" t="s">
        <v>9504</v>
      </c>
      <c r="E648" t="s">
        <v>9503</v>
      </c>
    </row>
    <row r="649" spans="1:5" x14ac:dyDescent="0.3">
      <c r="A649" t="s">
        <v>862</v>
      </c>
      <c r="B649" t="s">
        <v>9502</v>
      </c>
      <c r="C649" t="s">
        <v>6517</v>
      </c>
      <c r="D649" t="s">
        <v>6517</v>
      </c>
      <c r="E649" t="s">
        <v>6517</v>
      </c>
    </row>
    <row r="650" spans="1:5" x14ac:dyDescent="0.3">
      <c r="A650" t="s">
        <v>862</v>
      </c>
      <c r="B650" t="s">
        <v>9501</v>
      </c>
      <c r="C650" t="s">
        <v>6517</v>
      </c>
      <c r="D650" t="s">
        <v>6517</v>
      </c>
      <c r="E650" t="s">
        <v>6517</v>
      </c>
    </row>
    <row r="651" spans="1:5" x14ac:dyDescent="0.3">
      <c r="A651" t="s">
        <v>862</v>
      </c>
      <c r="B651" t="s">
        <v>9500</v>
      </c>
      <c r="C651" t="s">
        <v>6517</v>
      </c>
      <c r="D651" t="s">
        <v>6517</v>
      </c>
      <c r="E651" t="s">
        <v>6517</v>
      </c>
    </row>
    <row r="652" spans="1:5" x14ac:dyDescent="0.3">
      <c r="A652" t="s">
        <v>862</v>
      </c>
      <c r="B652" t="s">
        <v>9499</v>
      </c>
      <c r="C652" t="s">
        <v>6517</v>
      </c>
      <c r="D652" t="s">
        <v>6517</v>
      </c>
      <c r="E652" t="s">
        <v>6517</v>
      </c>
    </row>
    <row r="653" spans="1:5" x14ac:dyDescent="0.3">
      <c r="A653" t="s">
        <v>868</v>
      </c>
      <c r="B653" t="s">
        <v>9498</v>
      </c>
      <c r="C653" t="s">
        <v>9498</v>
      </c>
      <c r="D653" t="s">
        <v>9497</v>
      </c>
      <c r="E653" t="s">
        <v>9496</v>
      </c>
    </row>
    <row r="654" spans="1:5" x14ac:dyDescent="0.3">
      <c r="A654" t="s">
        <v>868</v>
      </c>
      <c r="B654" t="s">
        <v>9495</v>
      </c>
      <c r="C654" t="s">
        <v>6517</v>
      </c>
      <c r="D654" t="s">
        <v>6517</v>
      </c>
      <c r="E654" t="s">
        <v>6517</v>
      </c>
    </row>
    <row r="655" spans="1:5" x14ac:dyDescent="0.3">
      <c r="A655" t="s">
        <v>868</v>
      </c>
      <c r="B655" t="s">
        <v>9494</v>
      </c>
      <c r="C655" t="s">
        <v>6517</v>
      </c>
      <c r="D655" t="s">
        <v>6517</v>
      </c>
      <c r="E655" t="s">
        <v>6517</v>
      </c>
    </row>
    <row r="656" spans="1:5" x14ac:dyDescent="0.3">
      <c r="A656" t="s">
        <v>868</v>
      </c>
      <c r="B656" t="s">
        <v>9493</v>
      </c>
      <c r="C656" t="s">
        <v>6517</v>
      </c>
      <c r="D656" t="s">
        <v>6517</v>
      </c>
      <c r="E656" t="s">
        <v>6517</v>
      </c>
    </row>
    <row r="657" spans="1:5" x14ac:dyDescent="0.3">
      <c r="A657" t="s">
        <v>868</v>
      </c>
      <c r="B657" t="s">
        <v>9492</v>
      </c>
      <c r="C657" t="s">
        <v>6517</v>
      </c>
      <c r="D657" t="s">
        <v>6517</v>
      </c>
      <c r="E657" t="s">
        <v>6517</v>
      </c>
    </row>
    <row r="658" spans="1:5" x14ac:dyDescent="0.3">
      <c r="A658" t="s">
        <v>874</v>
      </c>
      <c r="B658" t="s">
        <v>9491</v>
      </c>
      <c r="C658" t="s">
        <v>9491</v>
      </c>
      <c r="D658" t="s">
        <v>9490</v>
      </c>
      <c r="E658" t="s">
        <v>9489</v>
      </c>
    </row>
    <row r="659" spans="1:5" x14ac:dyDescent="0.3">
      <c r="A659" t="s">
        <v>874</v>
      </c>
      <c r="B659" t="s">
        <v>9488</v>
      </c>
      <c r="C659" t="s">
        <v>6517</v>
      </c>
      <c r="D659" t="s">
        <v>6517</v>
      </c>
      <c r="E659" t="s">
        <v>6517</v>
      </c>
    </row>
    <row r="660" spans="1:5" x14ac:dyDescent="0.3">
      <c r="A660" t="s">
        <v>874</v>
      </c>
      <c r="B660" t="s">
        <v>9487</v>
      </c>
      <c r="C660" t="s">
        <v>6517</v>
      </c>
      <c r="D660" t="s">
        <v>6517</v>
      </c>
      <c r="E660" t="s">
        <v>6517</v>
      </c>
    </row>
    <row r="661" spans="1:5" x14ac:dyDescent="0.3">
      <c r="A661" t="s">
        <v>874</v>
      </c>
      <c r="B661" t="s">
        <v>9486</v>
      </c>
      <c r="C661" t="s">
        <v>6517</v>
      </c>
      <c r="D661" t="s">
        <v>6517</v>
      </c>
      <c r="E661" t="s">
        <v>6517</v>
      </c>
    </row>
    <row r="662" spans="1:5" x14ac:dyDescent="0.3">
      <c r="A662" t="s">
        <v>874</v>
      </c>
      <c r="B662" t="s">
        <v>9485</v>
      </c>
      <c r="C662" t="s">
        <v>6517</v>
      </c>
      <c r="D662" t="s">
        <v>6517</v>
      </c>
      <c r="E662" t="s">
        <v>6517</v>
      </c>
    </row>
    <row r="663" spans="1:5" x14ac:dyDescent="0.3">
      <c r="A663" t="s">
        <v>880</v>
      </c>
      <c r="B663" t="s">
        <v>9484</v>
      </c>
      <c r="C663" t="s">
        <v>9484</v>
      </c>
      <c r="D663" t="s">
        <v>9483</v>
      </c>
      <c r="E663" t="s">
        <v>9482</v>
      </c>
    </row>
    <row r="664" spans="1:5" x14ac:dyDescent="0.3">
      <c r="A664" t="s">
        <v>880</v>
      </c>
      <c r="B664" t="s">
        <v>9481</v>
      </c>
      <c r="C664" t="s">
        <v>6517</v>
      </c>
      <c r="D664" t="s">
        <v>6517</v>
      </c>
      <c r="E664" t="s">
        <v>6517</v>
      </c>
    </row>
    <row r="665" spans="1:5" x14ac:dyDescent="0.3">
      <c r="A665" t="s">
        <v>880</v>
      </c>
      <c r="B665" t="s">
        <v>9480</v>
      </c>
      <c r="C665" t="s">
        <v>6517</v>
      </c>
      <c r="D665" t="s">
        <v>6517</v>
      </c>
      <c r="E665" t="s">
        <v>6517</v>
      </c>
    </row>
    <row r="666" spans="1:5" x14ac:dyDescent="0.3">
      <c r="A666" t="s">
        <v>880</v>
      </c>
      <c r="B666" t="s">
        <v>9479</v>
      </c>
      <c r="C666" t="s">
        <v>6517</v>
      </c>
      <c r="D666" t="s">
        <v>6517</v>
      </c>
      <c r="E666" t="s">
        <v>6517</v>
      </c>
    </row>
    <row r="667" spans="1:5" x14ac:dyDescent="0.3">
      <c r="A667" t="s">
        <v>880</v>
      </c>
      <c r="B667" t="s">
        <v>9478</v>
      </c>
      <c r="C667" t="s">
        <v>6517</v>
      </c>
      <c r="D667" t="s">
        <v>6517</v>
      </c>
      <c r="E667" t="s">
        <v>6517</v>
      </c>
    </row>
    <row r="668" spans="1:5" x14ac:dyDescent="0.3">
      <c r="A668" t="s">
        <v>886</v>
      </c>
      <c r="B668" t="s">
        <v>9477</v>
      </c>
      <c r="C668" t="s">
        <v>9477</v>
      </c>
      <c r="D668" t="s">
        <v>9476</v>
      </c>
      <c r="E668" t="s">
        <v>9475</v>
      </c>
    </row>
    <row r="669" spans="1:5" x14ac:dyDescent="0.3">
      <c r="A669" t="s">
        <v>886</v>
      </c>
      <c r="B669" t="s">
        <v>9474</v>
      </c>
      <c r="C669" t="s">
        <v>6517</v>
      </c>
      <c r="D669" t="s">
        <v>6517</v>
      </c>
      <c r="E669" t="s">
        <v>6517</v>
      </c>
    </row>
    <row r="670" spans="1:5" x14ac:dyDescent="0.3">
      <c r="A670" t="s">
        <v>886</v>
      </c>
      <c r="B670" t="s">
        <v>9473</v>
      </c>
      <c r="C670" t="s">
        <v>6517</v>
      </c>
      <c r="D670" t="s">
        <v>6517</v>
      </c>
      <c r="E670" t="s">
        <v>6517</v>
      </c>
    </row>
    <row r="671" spans="1:5" x14ac:dyDescent="0.3">
      <c r="A671" t="s">
        <v>886</v>
      </c>
      <c r="B671" t="s">
        <v>9472</v>
      </c>
      <c r="C671" t="s">
        <v>6517</v>
      </c>
      <c r="D671" t="s">
        <v>6517</v>
      </c>
      <c r="E671" t="s">
        <v>6517</v>
      </c>
    </row>
    <row r="672" spans="1:5" x14ac:dyDescent="0.3">
      <c r="A672" t="s">
        <v>886</v>
      </c>
      <c r="B672" t="s">
        <v>9471</v>
      </c>
      <c r="C672" t="s">
        <v>6517</v>
      </c>
      <c r="D672" t="s">
        <v>6517</v>
      </c>
      <c r="E672" t="s">
        <v>6517</v>
      </c>
    </row>
    <row r="673" spans="1:5" x14ac:dyDescent="0.3">
      <c r="A673" t="s">
        <v>892</v>
      </c>
      <c r="B673" t="s">
        <v>9470</v>
      </c>
      <c r="C673" t="s">
        <v>9470</v>
      </c>
      <c r="D673" t="s">
        <v>9469</v>
      </c>
      <c r="E673" t="s">
        <v>9468</v>
      </c>
    </row>
    <row r="674" spans="1:5" x14ac:dyDescent="0.3">
      <c r="A674" t="s">
        <v>892</v>
      </c>
      <c r="B674" t="s">
        <v>9467</v>
      </c>
      <c r="C674" t="s">
        <v>6517</v>
      </c>
      <c r="D674" t="s">
        <v>6517</v>
      </c>
      <c r="E674" t="s">
        <v>6517</v>
      </c>
    </row>
    <row r="675" spans="1:5" x14ac:dyDescent="0.3">
      <c r="A675" t="s">
        <v>892</v>
      </c>
      <c r="B675" t="s">
        <v>9466</v>
      </c>
      <c r="C675" t="s">
        <v>6517</v>
      </c>
      <c r="D675" t="s">
        <v>6517</v>
      </c>
      <c r="E675" t="s">
        <v>6517</v>
      </c>
    </row>
    <row r="676" spans="1:5" x14ac:dyDescent="0.3">
      <c r="A676" t="s">
        <v>892</v>
      </c>
      <c r="B676" t="s">
        <v>9465</v>
      </c>
      <c r="C676" t="s">
        <v>6517</v>
      </c>
      <c r="D676" t="s">
        <v>6517</v>
      </c>
      <c r="E676" t="s">
        <v>6517</v>
      </c>
    </row>
    <row r="677" spans="1:5" x14ac:dyDescent="0.3">
      <c r="A677" t="s">
        <v>892</v>
      </c>
      <c r="B677" t="s">
        <v>9464</v>
      </c>
      <c r="C677" t="s">
        <v>6517</v>
      </c>
      <c r="D677" t="s">
        <v>6517</v>
      </c>
      <c r="E677" t="s">
        <v>6517</v>
      </c>
    </row>
    <row r="678" spans="1:5" x14ac:dyDescent="0.3">
      <c r="A678" t="s">
        <v>898</v>
      </c>
      <c r="B678" t="s">
        <v>9463</v>
      </c>
      <c r="C678" t="s">
        <v>9463</v>
      </c>
      <c r="D678" t="s">
        <v>9462</v>
      </c>
      <c r="E678" t="s">
        <v>9461</v>
      </c>
    </row>
    <row r="679" spans="1:5" x14ac:dyDescent="0.3">
      <c r="A679" t="s">
        <v>898</v>
      </c>
      <c r="B679" t="s">
        <v>9460</v>
      </c>
      <c r="C679" t="s">
        <v>6517</v>
      </c>
      <c r="D679" t="s">
        <v>6517</v>
      </c>
      <c r="E679" t="s">
        <v>6517</v>
      </c>
    </row>
    <row r="680" spans="1:5" x14ac:dyDescent="0.3">
      <c r="A680" t="s">
        <v>898</v>
      </c>
      <c r="B680" t="s">
        <v>9459</v>
      </c>
      <c r="C680" t="s">
        <v>6517</v>
      </c>
      <c r="D680" t="s">
        <v>6517</v>
      </c>
      <c r="E680" t="s">
        <v>6517</v>
      </c>
    </row>
    <row r="681" spans="1:5" x14ac:dyDescent="0.3">
      <c r="A681" t="s">
        <v>898</v>
      </c>
      <c r="B681" t="s">
        <v>9458</v>
      </c>
      <c r="C681" t="s">
        <v>6517</v>
      </c>
      <c r="D681" t="s">
        <v>6517</v>
      </c>
      <c r="E681" t="s">
        <v>6517</v>
      </c>
    </row>
    <row r="682" spans="1:5" x14ac:dyDescent="0.3">
      <c r="A682" t="s">
        <v>898</v>
      </c>
      <c r="B682" t="s">
        <v>9457</v>
      </c>
      <c r="C682" t="s">
        <v>6517</v>
      </c>
      <c r="D682" t="s">
        <v>6517</v>
      </c>
      <c r="E682" t="s">
        <v>6517</v>
      </c>
    </row>
    <row r="683" spans="1:5" x14ac:dyDescent="0.3">
      <c r="A683" t="s">
        <v>904</v>
      </c>
      <c r="B683" t="s">
        <v>9456</v>
      </c>
      <c r="C683" t="s">
        <v>6517</v>
      </c>
      <c r="D683" t="s">
        <v>6517</v>
      </c>
      <c r="E683" t="s">
        <v>6517</v>
      </c>
    </row>
    <row r="684" spans="1:5" x14ac:dyDescent="0.3">
      <c r="A684" t="s">
        <v>904</v>
      </c>
      <c r="B684" t="s">
        <v>9455</v>
      </c>
      <c r="C684" t="s">
        <v>9455</v>
      </c>
      <c r="D684" t="s">
        <v>9454</v>
      </c>
      <c r="E684" t="s">
        <v>9453</v>
      </c>
    </row>
    <row r="685" spans="1:5" x14ac:dyDescent="0.3">
      <c r="A685" t="s">
        <v>904</v>
      </c>
      <c r="B685" t="s">
        <v>9452</v>
      </c>
      <c r="C685" t="s">
        <v>6517</v>
      </c>
      <c r="D685" t="s">
        <v>6517</v>
      </c>
      <c r="E685" t="s">
        <v>6517</v>
      </c>
    </row>
    <row r="686" spans="1:5" x14ac:dyDescent="0.3">
      <c r="A686" t="s">
        <v>904</v>
      </c>
      <c r="B686" t="s">
        <v>9451</v>
      </c>
      <c r="C686" t="s">
        <v>6517</v>
      </c>
      <c r="D686" t="s">
        <v>6517</v>
      </c>
      <c r="E686" t="s">
        <v>6517</v>
      </c>
    </row>
    <row r="687" spans="1:5" x14ac:dyDescent="0.3">
      <c r="A687" t="s">
        <v>904</v>
      </c>
      <c r="B687" t="s">
        <v>9450</v>
      </c>
      <c r="C687" t="s">
        <v>6517</v>
      </c>
      <c r="D687" t="s">
        <v>6517</v>
      </c>
      <c r="E687" t="s">
        <v>6517</v>
      </c>
    </row>
    <row r="688" spans="1:5" x14ac:dyDescent="0.3">
      <c r="A688" t="s">
        <v>911</v>
      </c>
      <c r="B688" t="s">
        <v>9449</v>
      </c>
      <c r="C688" t="s">
        <v>9449</v>
      </c>
      <c r="D688" t="s">
        <v>9448</v>
      </c>
      <c r="E688" t="s">
        <v>9447</v>
      </c>
    </row>
    <row r="689" spans="1:5" x14ac:dyDescent="0.3">
      <c r="A689" t="s">
        <v>911</v>
      </c>
      <c r="B689" t="s">
        <v>9446</v>
      </c>
      <c r="C689" t="s">
        <v>6517</v>
      </c>
      <c r="D689" t="s">
        <v>6517</v>
      </c>
      <c r="E689" t="s">
        <v>6517</v>
      </c>
    </row>
    <row r="690" spans="1:5" x14ac:dyDescent="0.3">
      <c r="A690" t="s">
        <v>911</v>
      </c>
      <c r="B690" t="s">
        <v>9445</v>
      </c>
      <c r="C690" t="s">
        <v>6517</v>
      </c>
      <c r="D690" t="s">
        <v>6517</v>
      </c>
      <c r="E690" t="s">
        <v>6517</v>
      </c>
    </row>
    <row r="691" spans="1:5" x14ac:dyDescent="0.3">
      <c r="A691" t="s">
        <v>911</v>
      </c>
      <c r="B691" t="s">
        <v>9444</v>
      </c>
      <c r="C691" t="s">
        <v>6517</v>
      </c>
      <c r="D691" t="s">
        <v>6517</v>
      </c>
      <c r="E691" t="s">
        <v>6517</v>
      </c>
    </row>
    <row r="692" spans="1:5" x14ac:dyDescent="0.3">
      <c r="A692" t="s">
        <v>911</v>
      </c>
      <c r="B692" t="s">
        <v>9443</v>
      </c>
      <c r="C692" t="s">
        <v>6517</v>
      </c>
      <c r="D692" t="s">
        <v>6517</v>
      </c>
      <c r="E692" t="s">
        <v>6517</v>
      </c>
    </row>
    <row r="693" spans="1:5" x14ac:dyDescent="0.3">
      <c r="A693" t="s">
        <v>917</v>
      </c>
      <c r="B693" t="s">
        <v>9442</v>
      </c>
      <c r="C693" t="s">
        <v>9442</v>
      </c>
      <c r="D693" t="s">
        <v>9441</v>
      </c>
      <c r="E693" t="s">
        <v>9440</v>
      </c>
    </row>
    <row r="694" spans="1:5" x14ac:dyDescent="0.3">
      <c r="A694" t="s">
        <v>917</v>
      </c>
      <c r="B694" t="s">
        <v>9439</v>
      </c>
      <c r="C694" t="s">
        <v>6517</v>
      </c>
      <c r="D694" t="s">
        <v>6517</v>
      </c>
      <c r="E694" t="s">
        <v>6517</v>
      </c>
    </row>
    <row r="695" spans="1:5" x14ac:dyDescent="0.3">
      <c r="A695" t="s">
        <v>917</v>
      </c>
      <c r="B695" t="s">
        <v>9438</v>
      </c>
      <c r="C695" t="s">
        <v>6517</v>
      </c>
      <c r="D695" t="s">
        <v>6517</v>
      </c>
      <c r="E695" t="s">
        <v>6517</v>
      </c>
    </row>
    <row r="696" spans="1:5" x14ac:dyDescent="0.3">
      <c r="A696" t="s">
        <v>917</v>
      </c>
      <c r="B696" t="s">
        <v>9437</v>
      </c>
      <c r="C696" t="s">
        <v>6517</v>
      </c>
      <c r="D696" t="s">
        <v>6517</v>
      </c>
      <c r="E696" t="s">
        <v>6517</v>
      </c>
    </row>
    <row r="697" spans="1:5" x14ac:dyDescent="0.3">
      <c r="A697" t="s">
        <v>917</v>
      </c>
      <c r="B697" t="s">
        <v>9436</v>
      </c>
      <c r="C697" t="s">
        <v>6517</v>
      </c>
      <c r="D697" t="s">
        <v>6517</v>
      </c>
      <c r="E697" t="s">
        <v>6517</v>
      </c>
    </row>
    <row r="698" spans="1:5" x14ac:dyDescent="0.3">
      <c r="A698" t="s">
        <v>923</v>
      </c>
      <c r="B698" t="s">
        <v>9435</v>
      </c>
      <c r="C698" t="s">
        <v>9435</v>
      </c>
      <c r="D698" t="s">
        <v>9434</v>
      </c>
      <c r="E698" t="s">
        <v>9433</v>
      </c>
    </row>
    <row r="699" spans="1:5" x14ac:dyDescent="0.3">
      <c r="A699" t="s">
        <v>923</v>
      </c>
      <c r="B699" t="s">
        <v>9432</v>
      </c>
      <c r="C699" t="s">
        <v>6517</v>
      </c>
      <c r="D699" t="s">
        <v>6517</v>
      </c>
      <c r="E699" t="s">
        <v>6517</v>
      </c>
    </row>
    <row r="700" spans="1:5" x14ac:dyDescent="0.3">
      <c r="A700" t="s">
        <v>923</v>
      </c>
      <c r="B700" t="s">
        <v>9431</v>
      </c>
      <c r="C700" t="s">
        <v>6517</v>
      </c>
      <c r="D700" t="s">
        <v>6517</v>
      </c>
      <c r="E700" t="s">
        <v>6517</v>
      </c>
    </row>
    <row r="701" spans="1:5" x14ac:dyDescent="0.3">
      <c r="A701" t="s">
        <v>923</v>
      </c>
      <c r="B701" t="s">
        <v>9430</v>
      </c>
      <c r="C701" t="s">
        <v>6517</v>
      </c>
      <c r="D701" t="s">
        <v>6517</v>
      </c>
      <c r="E701" t="s">
        <v>6517</v>
      </c>
    </row>
    <row r="702" spans="1:5" x14ac:dyDescent="0.3">
      <c r="A702" t="s">
        <v>923</v>
      </c>
      <c r="B702" t="s">
        <v>9429</v>
      </c>
      <c r="C702" t="s">
        <v>6517</v>
      </c>
      <c r="D702" t="s">
        <v>6517</v>
      </c>
      <c r="E702" t="s">
        <v>6517</v>
      </c>
    </row>
    <row r="703" spans="1:5" x14ac:dyDescent="0.3">
      <c r="A703" t="s">
        <v>929</v>
      </c>
      <c r="B703" t="s">
        <v>9428</v>
      </c>
      <c r="C703" t="s">
        <v>6517</v>
      </c>
      <c r="D703" t="s">
        <v>6517</v>
      </c>
      <c r="E703" t="s">
        <v>6517</v>
      </c>
    </row>
    <row r="704" spans="1:5" x14ac:dyDescent="0.3">
      <c r="A704" t="s">
        <v>929</v>
      </c>
      <c r="B704" t="s">
        <v>9427</v>
      </c>
      <c r="C704" t="s">
        <v>9427</v>
      </c>
      <c r="D704" t="s">
        <v>9426</v>
      </c>
      <c r="E704" t="s">
        <v>9425</v>
      </c>
    </row>
    <row r="705" spans="1:5" x14ac:dyDescent="0.3">
      <c r="A705" t="s">
        <v>929</v>
      </c>
      <c r="B705" t="s">
        <v>9424</v>
      </c>
      <c r="C705" t="s">
        <v>6517</v>
      </c>
      <c r="D705" t="s">
        <v>6517</v>
      </c>
      <c r="E705" t="s">
        <v>6517</v>
      </c>
    </row>
    <row r="706" spans="1:5" x14ac:dyDescent="0.3">
      <c r="A706" t="s">
        <v>929</v>
      </c>
      <c r="B706" t="s">
        <v>9423</v>
      </c>
      <c r="C706" t="s">
        <v>6517</v>
      </c>
      <c r="D706" t="s">
        <v>6517</v>
      </c>
      <c r="E706" t="s">
        <v>6517</v>
      </c>
    </row>
    <row r="707" spans="1:5" x14ac:dyDescent="0.3">
      <c r="A707" t="s">
        <v>929</v>
      </c>
      <c r="B707" t="s">
        <v>9422</v>
      </c>
      <c r="C707" t="s">
        <v>6517</v>
      </c>
      <c r="D707" t="s">
        <v>6517</v>
      </c>
      <c r="E707" t="s">
        <v>6517</v>
      </c>
    </row>
    <row r="708" spans="1:5" x14ac:dyDescent="0.3">
      <c r="A708" t="s">
        <v>935</v>
      </c>
      <c r="B708" t="s">
        <v>9421</v>
      </c>
      <c r="C708" t="s">
        <v>9421</v>
      </c>
      <c r="D708" t="s">
        <v>9420</v>
      </c>
      <c r="E708" t="s">
        <v>9419</v>
      </c>
    </row>
    <row r="709" spans="1:5" x14ac:dyDescent="0.3">
      <c r="A709" t="s">
        <v>935</v>
      </c>
      <c r="B709" t="s">
        <v>9418</v>
      </c>
      <c r="C709" t="s">
        <v>6517</v>
      </c>
      <c r="D709" t="s">
        <v>6517</v>
      </c>
      <c r="E709" t="s">
        <v>6517</v>
      </c>
    </row>
    <row r="710" spans="1:5" x14ac:dyDescent="0.3">
      <c r="A710" t="s">
        <v>935</v>
      </c>
      <c r="B710" t="s">
        <v>9417</v>
      </c>
      <c r="C710" t="s">
        <v>6517</v>
      </c>
      <c r="D710" t="s">
        <v>6517</v>
      </c>
      <c r="E710" t="s">
        <v>6517</v>
      </c>
    </row>
    <row r="711" spans="1:5" x14ac:dyDescent="0.3">
      <c r="A711" t="s">
        <v>935</v>
      </c>
      <c r="B711" t="s">
        <v>9416</v>
      </c>
      <c r="C711" t="s">
        <v>6517</v>
      </c>
      <c r="D711" t="s">
        <v>6517</v>
      </c>
      <c r="E711" t="s">
        <v>6517</v>
      </c>
    </row>
    <row r="712" spans="1:5" x14ac:dyDescent="0.3">
      <c r="A712" t="s">
        <v>935</v>
      </c>
      <c r="B712" t="s">
        <v>9415</v>
      </c>
      <c r="C712" t="s">
        <v>6517</v>
      </c>
      <c r="D712" t="s">
        <v>6517</v>
      </c>
      <c r="E712" t="s">
        <v>6517</v>
      </c>
    </row>
    <row r="713" spans="1:5" x14ac:dyDescent="0.3">
      <c r="A713" t="s">
        <v>941</v>
      </c>
      <c r="B713" t="s">
        <v>9414</v>
      </c>
      <c r="C713" t="s">
        <v>9414</v>
      </c>
      <c r="D713" t="s">
        <v>9413</v>
      </c>
      <c r="E713" t="s">
        <v>9412</v>
      </c>
    </row>
    <row r="714" spans="1:5" x14ac:dyDescent="0.3">
      <c r="A714" t="s">
        <v>941</v>
      </c>
      <c r="B714" t="s">
        <v>9411</v>
      </c>
      <c r="C714" t="s">
        <v>6517</v>
      </c>
      <c r="D714" t="s">
        <v>6517</v>
      </c>
      <c r="E714" t="s">
        <v>6517</v>
      </c>
    </row>
    <row r="715" spans="1:5" x14ac:dyDescent="0.3">
      <c r="A715" t="s">
        <v>941</v>
      </c>
      <c r="B715" t="s">
        <v>9410</v>
      </c>
      <c r="C715" t="s">
        <v>6517</v>
      </c>
      <c r="D715" t="s">
        <v>6517</v>
      </c>
      <c r="E715" t="s">
        <v>6517</v>
      </c>
    </row>
    <row r="716" spans="1:5" x14ac:dyDescent="0.3">
      <c r="A716" t="s">
        <v>941</v>
      </c>
      <c r="B716" t="s">
        <v>9409</v>
      </c>
      <c r="C716" t="s">
        <v>6517</v>
      </c>
      <c r="D716" t="s">
        <v>6517</v>
      </c>
      <c r="E716" t="s">
        <v>6517</v>
      </c>
    </row>
    <row r="717" spans="1:5" x14ac:dyDescent="0.3">
      <c r="A717" t="s">
        <v>941</v>
      </c>
      <c r="B717" t="s">
        <v>9408</v>
      </c>
      <c r="C717" t="s">
        <v>6517</v>
      </c>
      <c r="D717" t="s">
        <v>6517</v>
      </c>
      <c r="E717" t="s">
        <v>6517</v>
      </c>
    </row>
    <row r="718" spans="1:5" x14ac:dyDescent="0.3">
      <c r="A718" t="s">
        <v>947</v>
      </c>
      <c r="B718" t="s">
        <v>9407</v>
      </c>
      <c r="C718" t="s">
        <v>9407</v>
      </c>
      <c r="D718" t="s">
        <v>9406</v>
      </c>
      <c r="E718" t="s">
        <v>9405</v>
      </c>
    </row>
    <row r="719" spans="1:5" x14ac:dyDescent="0.3">
      <c r="A719" t="s">
        <v>947</v>
      </c>
      <c r="B719" t="s">
        <v>9404</v>
      </c>
      <c r="C719" t="s">
        <v>6517</v>
      </c>
      <c r="D719" t="s">
        <v>6517</v>
      </c>
      <c r="E719" t="s">
        <v>6517</v>
      </c>
    </row>
    <row r="720" spans="1:5" x14ac:dyDescent="0.3">
      <c r="A720" t="s">
        <v>947</v>
      </c>
      <c r="B720" t="s">
        <v>9403</v>
      </c>
      <c r="C720" t="s">
        <v>6517</v>
      </c>
      <c r="D720" t="s">
        <v>6517</v>
      </c>
      <c r="E720" t="s">
        <v>6517</v>
      </c>
    </row>
    <row r="721" spans="1:5" x14ac:dyDescent="0.3">
      <c r="A721" t="s">
        <v>947</v>
      </c>
      <c r="B721" t="s">
        <v>9402</v>
      </c>
      <c r="C721" t="s">
        <v>6517</v>
      </c>
      <c r="D721" t="s">
        <v>6517</v>
      </c>
      <c r="E721" t="s">
        <v>6517</v>
      </c>
    </row>
    <row r="722" spans="1:5" x14ac:dyDescent="0.3">
      <c r="A722" t="s">
        <v>947</v>
      </c>
      <c r="B722" t="s">
        <v>9401</v>
      </c>
      <c r="C722" t="s">
        <v>6517</v>
      </c>
      <c r="D722" t="s">
        <v>6517</v>
      </c>
      <c r="E722" t="s">
        <v>6517</v>
      </c>
    </row>
    <row r="723" spans="1:5" x14ac:dyDescent="0.3">
      <c r="A723" t="s">
        <v>953</v>
      </c>
      <c r="B723" t="s">
        <v>9400</v>
      </c>
      <c r="C723" t="s">
        <v>9400</v>
      </c>
      <c r="D723" t="s">
        <v>9399</v>
      </c>
      <c r="E723" t="s">
        <v>9398</v>
      </c>
    </row>
    <row r="724" spans="1:5" x14ac:dyDescent="0.3">
      <c r="A724" t="s">
        <v>953</v>
      </c>
      <c r="B724" t="s">
        <v>9397</v>
      </c>
      <c r="C724" t="s">
        <v>6517</v>
      </c>
      <c r="D724" t="s">
        <v>6517</v>
      </c>
      <c r="E724" t="s">
        <v>6517</v>
      </c>
    </row>
    <row r="725" spans="1:5" x14ac:dyDescent="0.3">
      <c r="A725" t="s">
        <v>953</v>
      </c>
      <c r="B725" t="s">
        <v>9396</v>
      </c>
      <c r="C725" t="s">
        <v>6517</v>
      </c>
      <c r="D725" t="s">
        <v>6517</v>
      </c>
      <c r="E725" t="s">
        <v>6517</v>
      </c>
    </row>
    <row r="726" spans="1:5" x14ac:dyDescent="0.3">
      <c r="A726" t="s">
        <v>953</v>
      </c>
      <c r="B726" t="s">
        <v>9395</v>
      </c>
      <c r="C726" t="s">
        <v>6517</v>
      </c>
      <c r="D726" t="s">
        <v>6517</v>
      </c>
      <c r="E726" t="s">
        <v>6517</v>
      </c>
    </row>
    <row r="727" spans="1:5" x14ac:dyDescent="0.3">
      <c r="A727" t="s">
        <v>953</v>
      </c>
      <c r="B727" t="s">
        <v>9394</v>
      </c>
      <c r="C727" t="s">
        <v>6517</v>
      </c>
      <c r="D727" t="s">
        <v>6517</v>
      </c>
      <c r="E727" t="s">
        <v>6517</v>
      </c>
    </row>
    <row r="728" spans="1:5" x14ac:dyDescent="0.3">
      <c r="A728" t="s">
        <v>959</v>
      </c>
      <c r="B728" t="s">
        <v>9393</v>
      </c>
      <c r="C728" t="s">
        <v>9393</v>
      </c>
      <c r="D728" t="s">
        <v>9392</v>
      </c>
      <c r="E728" t="s">
        <v>9391</v>
      </c>
    </row>
    <row r="729" spans="1:5" x14ac:dyDescent="0.3">
      <c r="A729" t="s">
        <v>959</v>
      </c>
      <c r="B729" t="s">
        <v>9390</v>
      </c>
      <c r="C729" t="s">
        <v>6517</v>
      </c>
      <c r="D729" t="s">
        <v>6517</v>
      </c>
      <c r="E729" t="s">
        <v>6517</v>
      </c>
    </row>
    <row r="730" spans="1:5" x14ac:dyDescent="0.3">
      <c r="A730" t="s">
        <v>959</v>
      </c>
      <c r="B730" t="s">
        <v>9389</v>
      </c>
      <c r="C730" t="s">
        <v>6517</v>
      </c>
      <c r="D730" t="s">
        <v>6517</v>
      </c>
      <c r="E730" t="s">
        <v>6517</v>
      </c>
    </row>
    <row r="731" spans="1:5" x14ac:dyDescent="0.3">
      <c r="A731" t="s">
        <v>959</v>
      </c>
      <c r="B731" t="s">
        <v>9388</v>
      </c>
      <c r="C731" t="s">
        <v>6517</v>
      </c>
      <c r="D731" t="s">
        <v>6517</v>
      </c>
      <c r="E731" t="s">
        <v>6517</v>
      </c>
    </row>
    <row r="732" spans="1:5" x14ac:dyDescent="0.3">
      <c r="A732" t="s">
        <v>959</v>
      </c>
      <c r="B732" t="s">
        <v>9387</v>
      </c>
      <c r="C732" t="s">
        <v>6517</v>
      </c>
      <c r="D732" t="s">
        <v>6517</v>
      </c>
      <c r="E732" t="s">
        <v>6517</v>
      </c>
    </row>
    <row r="733" spans="1:5" x14ac:dyDescent="0.3">
      <c r="A733" t="s">
        <v>965</v>
      </c>
      <c r="B733" t="s">
        <v>9386</v>
      </c>
      <c r="C733" t="s">
        <v>9386</v>
      </c>
      <c r="D733" t="s">
        <v>9385</v>
      </c>
      <c r="E733" t="s">
        <v>9384</v>
      </c>
    </row>
    <row r="734" spans="1:5" x14ac:dyDescent="0.3">
      <c r="A734" t="s">
        <v>965</v>
      </c>
      <c r="B734" t="s">
        <v>9383</v>
      </c>
      <c r="C734" t="s">
        <v>6517</v>
      </c>
      <c r="D734" t="s">
        <v>6517</v>
      </c>
      <c r="E734" t="s">
        <v>6517</v>
      </c>
    </row>
    <row r="735" spans="1:5" x14ac:dyDescent="0.3">
      <c r="A735" t="s">
        <v>965</v>
      </c>
      <c r="B735" t="s">
        <v>9382</v>
      </c>
      <c r="C735" t="s">
        <v>6517</v>
      </c>
      <c r="D735" t="s">
        <v>6517</v>
      </c>
      <c r="E735" t="s">
        <v>6517</v>
      </c>
    </row>
    <row r="736" spans="1:5" x14ac:dyDescent="0.3">
      <c r="A736" t="s">
        <v>965</v>
      </c>
      <c r="B736" t="s">
        <v>9381</v>
      </c>
      <c r="C736" t="s">
        <v>6517</v>
      </c>
      <c r="D736" t="s">
        <v>6517</v>
      </c>
      <c r="E736" t="s">
        <v>6517</v>
      </c>
    </row>
    <row r="737" spans="1:5" x14ac:dyDescent="0.3">
      <c r="A737" t="s">
        <v>965</v>
      </c>
      <c r="B737" t="s">
        <v>9380</v>
      </c>
      <c r="C737" t="s">
        <v>6517</v>
      </c>
      <c r="D737" t="s">
        <v>6517</v>
      </c>
      <c r="E737" t="s">
        <v>6517</v>
      </c>
    </row>
    <row r="738" spans="1:5" x14ac:dyDescent="0.3">
      <c r="A738" t="s">
        <v>971</v>
      </c>
      <c r="B738" t="s">
        <v>9379</v>
      </c>
      <c r="C738" t="s">
        <v>9379</v>
      </c>
      <c r="D738" t="s">
        <v>9378</v>
      </c>
      <c r="E738" t="s">
        <v>9377</v>
      </c>
    </row>
    <row r="739" spans="1:5" x14ac:dyDescent="0.3">
      <c r="A739" t="s">
        <v>971</v>
      </c>
      <c r="B739" t="s">
        <v>9376</v>
      </c>
      <c r="C739" t="s">
        <v>6517</v>
      </c>
      <c r="D739" t="s">
        <v>6517</v>
      </c>
      <c r="E739" t="s">
        <v>6517</v>
      </c>
    </row>
    <row r="740" spans="1:5" x14ac:dyDescent="0.3">
      <c r="A740" t="s">
        <v>971</v>
      </c>
      <c r="B740" t="s">
        <v>9375</v>
      </c>
      <c r="C740" t="s">
        <v>6517</v>
      </c>
      <c r="D740" t="s">
        <v>6517</v>
      </c>
      <c r="E740" t="s">
        <v>6517</v>
      </c>
    </row>
    <row r="741" spans="1:5" x14ac:dyDescent="0.3">
      <c r="A741" t="s">
        <v>971</v>
      </c>
      <c r="B741" t="s">
        <v>9374</v>
      </c>
      <c r="C741" t="s">
        <v>6517</v>
      </c>
      <c r="D741" t="s">
        <v>6517</v>
      </c>
      <c r="E741" t="s">
        <v>6517</v>
      </c>
    </row>
    <row r="742" spans="1:5" x14ac:dyDescent="0.3">
      <c r="A742" t="s">
        <v>971</v>
      </c>
      <c r="B742" t="s">
        <v>9373</v>
      </c>
      <c r="C742" t="s">
        <v>6517</v>
      </c>
      <c r="D742" t="s">
        <v>6517</v>
      </c>
      <c r="E742" t="s">
        <v>6517</v>
      </c>
    </row>
    <row r="743" spans="1:5" x14ac:dyDescent="0.3">
      <c r="A743" t="s">
        <v>977</v>
      </c>
      <c r="B743" t="s">
        <v>9372</v>
      </c>
      <c r="C743" t="s">
        <v>9372</v>
      </c>
      <c r="D743" t="s">
        <v>9371</v>
      </c>
      <c r="E743" t="s">
        <v>9370</v>
      </c>
    </row>
    <row r="744" spans="1:5" x14ac:dyDescent="0.3">
      <c r="A744" t="s">
        <v>977</v>
      </c>
      <c r="B744" t="s">
        <v>9369</v>
      </c>
      <c r="C744" t="s">
        <v>6517</v>
      </c>
      <c r="D744" t="s">
        <v>6517</v>
      </c>
      <c r="E744" t="s">
        <v>6517</v>
      </c>
    </row>
    <row r="745" spans="1:5" x14ac:dyDescent="0.3">
      <c r="A745" t="s">
        <v>977</v>
      </c>
      <c r="B745" t="s">
        <v>9368</v>
      </c>
      <c r="C745" t="s">
        <v>6517</v>
      </c>
      <c r="D745" t="s">
        <v>6517</v>
      </c>
      <c r="E745" t="s">
        <v>6517</v>
      </c>
    </row>
    <row r="746" spans="1:5" x14ac:dyDescent="0.3">
      <c r="A746" t="s">
        <v>977</v>
      </c>
      <c r="B746" t="s">
        <v>9367</v>
      </c>
      <c r="C746" t="s">
        <v>6517</v>
      </c>
      <c r="D746" t="s">
        <v>6517</v>
      </c>
      <c r="E746" t="s">
        <v>6517</v>
      </c>
    </row>
    <row r="747" spans="1:5" x14ac:dyDescent="0.3">
      <c r="A747" t="s">
        <v>977</v>
      </c>
      <c r="B747" t="s">
        <v>9366</v>
      </c>
      <c r="C747" t="s">
        <v>6517</v>
      </c>
      <c r="D747" t="s">
        <v>6517</v>
      </c>
      <c r="E747" t="s">
        <v>6517</v>
      </c>
    </row>
    <row r="748" spans="1:5" x14ac:dyDescent="0.3">
      <c r="A748" t="s">
        <v>983</v>
      </c>
      <c r="B748" t="s">
        <v>9365</v>
      </c>
      <c r="C748" t="s">
        <v>9365</v>
      </c>
      <c r="D748" t="s">
        <v>9364</v>
      </c>
      <c r="E748" t="s">
        <v>9363</v>
      </c>
    </row>
    <row r="749" spans="1:5" x14ac:dyDescent="0.3">
      <c r="A749" t="s">
        <v>983</v>
      </c>
      <c r="B749" t="s">
        <v>9362</v>
      </c>
      <c r="C749" t="s">
        <v>6517</v>
      </c>
      <c r="D749" t="s">
        <v>6517</v>
      </c>
      <c r="E749" t="s">
        <v>6517</v>
      </c>
    </row>
    <row r="750" spans="1:5" x14ac:dyDescent="0.3">
      <c r="A750" t="s">
        <v>983</v>
      </c>
      <c r="B750" t="s">
        <v>9361</v>
      </c>
      <c r="C750" t="s">
        <v>6517</v>
      </c>
      <c r="D750" t="s">
        <v>6517</v>
      </c>
      <c r="E750" t="s">
        <v>6517</v>
      </c>
    </row>
    <row r="751" spans="1:5" x14ac:dyDescent="0.3">
      <c r="A751" t="s">
        <v>983</v>
      </c>
      <c r="B751" t="s">
        <v>9360</v>
      </c>
      <c r="C751" t="s">
        <v>6517</v>
      </c>
      <c r="D751" t="s">
        <v>6517</v>
      </c>
      <c r="E751" t="s">
        <v>6517</v>
      </c>
    </row>
    <row r="752" spans="1:5" x14ac:dyDescent="0.3">
      <c r="A752" t="s">
        <v>983</v>
      </c>
      <c r="B752" t="s">
        <v>9359</v>
      </c>
      <c r="C752" t="s">
        <v>6517</v>
      </c>
      <c r="D752" t="s">
        <v>6517</v>
      </c>
      <c r="E752" t="s">
        <v>6517</v>
      </c>
    </row>
    <row r="753" spans="1:5" x14ac:dyDescent="0.3">
      <c r="A753" t="s">
        <v>989</v>
      </c>
      <c r="B753" t="s">
        <v>9358</v>
      </c>
      <c r="C753" t="s">
        <v>9358</v>
      </c>
      <c r="D753" t="s">
        <v>9357</v>
      </c>
      <c r="E753" t="s">
        <v>9356</v>
      </c>
    </row>
    <row r="754" spans="1:5" x14ac:dyDescent="0.3">
      <c r="A754" t="s">
        <v>989</v>
      </c>
      <c r="B754" t="s">
        <v>9355</v>
      </c>
      <c r="C754" t="s">
        <v>6517</v>
      </c>
      <c r="D754" t="s">
        <v>6517</v>
      </c>
      <c r="E754" t="s">
        <v>6517</v>
      </c>
    </row>
    <row r="755" spans="1:5" x14ac:dyDescent="0.3">
      <c r="A755" t="s">
        <v>989</v>
      </c>
      <c r="B755" t="s">
        <v>9354</v>
      </c>
      <c r="C755" t="s">
        <v>6517</v>
      </c>
      <c r="D755" t="s">
        <v>6517</v>
      </c>
      <c r="E755" t="s">
        <v>6517</v>
      </c>
    </row>
    <row r="756" spans="1:5" x14ac:dyDescent="0.3">
      <c r="A756" t="s">
        <v>989</v>
      </c>
      <c r="B756" t="s">
        <v>9353</v>
      </c>
      <c r="C756" t="s">
        <v>6517</v>
      </c>
      <c r="D756" t="s">
        <v>6517</v>
      </c>
      <c r="E756" t="s">
        <v>6517</v>
      </c>
    </row>
    <row r="757" spans="1:5" x14ac:dyDescent="0.3">
      <c r="A757" t="s">
        <v>989</v>
      </c>
      <c r="B757" t="s">
        <v>9352</v>
      </c>
      <c r="C757" t="s">
        <v>6517</v>
      </c>
      <c r="D757" t="s">
        <v>6517</v>
      </c>
      <c r="E757" t="s">
        <v>6517</v>
      </c>
    </row>
    <row r="758" spans="1:5" x14ac:dyDescent="0.3">
      <c r="A758" t="s">
        <v>996</v>
      </c>
      <c r="B758" t="s">
        <v>9351</v>
      </c>
      <c r="C758" t="s">
        <v>9351</v>
      </c>
      <c r="D758" t="s">
        <v>9350</v>
      </c>
      <c r="E758" t="s">
        <v>9349</v>
      </c>
    </row>
    <row r="759" spans="1:5" x14ac:dyDescent="0.3">
      <c r="A759" t="s">
        <v>996</v>
      </c>
      <c r="B759" t="s">
        <v>9348</v>
      </c>
      <c r="C759" t="s">
        <v>6517</v>
      </c>
      <c r="D759" t="s">
        <v>6517</v>
      </c>
      <c r="E759" t="s">
        <v>6517</v>
      </c>
    </row>
    <row r="760" spans="1:5" x14ac:dyDescent="0.3">
      <c r="A760" t="s">
        <v>996</v>
      </c>
      <c r="B760" t="s">
        <v>9347</v>
      </c>
      <c r="C760" t="s">
        <v>6517</v>
      </c>
      <c r="D760" t="s">
        <v>6517</v>
      </c>
      <c r="E760" t="s">
        <v>6517</v>
      </c>
    </row>
    <row r="761" spans="1:5" x14ac:dyDescent="0.3">
      <c r="A761" t="s">
        <v>996</v>
      </c>
      <c r="B761" t="s">
        <v>9346</v>
      </c>
      <c r="C761" t="s">
        <v>6517</v>
      </c>
      <c r="D761" t="s">
        <v>6517</v>
      </c>
      <c r="E761" t="s">
        <v>6517</v>
      </c>
    </row>
    <row r="762" spans="1:5" x14ac:dyDescent="0.3">
      <c r="A762" t="s">
        <v>996</v>
      </c>
      <c r="B762" t="s">
        <v>9345</v>
      </c>
      <c r="C762" t="s">
        <v>6517</v>
      </c>
      <c r="D762" t="s">
        <v>6517</v>
      </c>
      <c r="E762" t="s">
        <v>6517</v>
      </c>
    </row>
    <row r="763" spans="1:5" x14ac:dyDescent="0.3">
      <c r="A763" t="s">
        <v>1002</v>
      </c>
      <c r="B763" t="s">
        <v>9344</v>
      </c>
      <c r="C763" t="s">
        <v>9344</v>
      </c>
      <c r="D763" t="s">
        <v>9343</v>
      </c>
      <c r="E763" t="s">
        <v>9342</v>
      </c>
    </row>
    <row r="764" spans="1:5" x14ac:dyDescent="0.3">
      <c r="A764" t="s">
        <v>1002</v>
      </c>
      <c r="B764" t="s">
        <v>9341</v>
      </c>
      <c r="C764" t="s">
        <v>6517</v>
      </c>
      <c r="D764" t="s">
        <v>6517</v>
      </c>
      <c r="E764" t="s">
        <v>6517</v>
      </c>
    </row>
    <row r="765" spans="1:5" x14ac:dyDescent="0.3">
      <c r="A765" t="s">
        <v>1002</v>
      </c>
      <c r="B765" t="s">
        <v>9340</v>
      </c>
      <c r="C765" t="s">
        <v>6517</v>
      </c>
      <c r="D765" t="s">
        <v>6517</v>
      </c>
      <c r="E765" t="s">
        <v>6517</v>
      </c>
    </row>
    <row r="766" spans="1:5" x14ac:dyDescent="0.3">
      <c r="A766" t="s">
        <v>1002</v>
      </c>
      <c r="B766" t="s">
        <v>9339</v>
      </c>
      <c r="C766" t="s">
        <v>6517</v>
      </c>
      <c r="D766" t="s">
        <v>6517</v>
      </c>
      <c r="E766" t="s">
        <v>6517</v>
      </c>
    </row>
    <row r="767" spans="1:5" x14ac:dyDescent="0.3">
      <c r="A767" t="s">
        <v>1002</v>
      </c>
      <c r="B767" t="s">
        <v>9338</v>
      </c>
      <c r="C767" t="s">
        <v>6517</v>
      </c>
      <c r="D767" t="s">
        <v>6517</v>
      </c>
      <c r="E767" t="s">
        <v>6517</v>
      </c>
    </row>
    <row r="768" spans="1:5" x14ac:dyDescent="0.3">
      <c r="A768" t="s">
        <v>1008</v>
      </c>
      <c r="B768" t="s">
        <v>9337</v>
      </c>
      <c r="C768" t="s">
        <v>9337</v>
      </c>
      <c r="D768" t="s">
        <v>9336</v>
      </c>
      <c r="E768" t="s">
        <v>9335</v>
      </c>
    </row>
    <row r="769" spans="1:5" x14ac:dyDescent="0.3">
      <c r="A769" t="s">
        <v>1008</v>
      </c>
      <c r="B769" t="s">
        <v>9334</v>
      </c>
      <c r="C769" t="s">
        <v>6517</v>
      </c>
      <c r="D769" t="s">
        <v>6517</v>
      </c>
      <c r="E769" t="s">
        <v>6517</v>
      </c>
    </row>
    <row r="770" spans="1:5" x14ac:dyDescent="0.3">
      <c r="A770" t="s">
        <v>1008</v>
      </c>
      <c r="B770" t="s">
        <v>9333</v>
      </c>
      <c r="C770" t="s">
        <v>6517</v>
      </c>
      <c r="D770" t="s">
        <v>6517</v>
      </c>
      <c r="E770" t="s">
        <v>6517</v>
      </c>
    </row>
    <row r="771" spans="1:5" x14ac:dyDescent="0.3">
      <c r="A771" t="s">
        <v>1008</v>
      </c>
      <c r="B771" t="s">
        <v>9332</v>
      </c>
      <c r="C771" t="s">
        <v>6517</v>
      </c>
      <c r="D771" t="s">
        <v>6517</v>
      </c>
      <c r="E771" t="s">
        <v>6517</v>
      </c>
    </row>
    <row r="772" spans="1:5" x14ac:dyDescent="0.3">
      <c r="A772" t="s">
        <v>1008</v>
      </c>
      <c r="B772" t="s">
        <v>9331</v>
      </c>
      <c r="C772" t="s">
        <v>6517</v>
      </c>
      <c r="D772" t="s">
        <v>6517</v>
      </c>
      <c r="E772" t="s">
        <v>6517</v>
      </c>
    </row>
    <row r="773" spans="1:5" x14ac:dyDescent="0.3">
      <c r="A773" t="s">
        <v>1014</v>
      </c>
      <c r="B773" t="s">
        <v>9330</v>
      </c>
      <c r="C773" t="s">
        <v>9330</v>
      </c>
      <c r="D773" t="s">
        <v>9329</v>
      </c>
      <c r="E773" t="s">
        <v>9328</v>
      </c>
    </row>
    <row r="774" spans="1:5" x14ac:dyDescent="0.3">
      <c r="A774" t="s">
        <v>1014</v>
      </c>
      <c r="B774" t="s">
        <v>9327</v>
      </c>
      <c r="C774" t="s">
        <v>6517</v>
      </c>
      <c r="D774" t="s">
        <v>6517</v>
      </c>
      <c r="E774" t="s">
        <v>6517</v>
      </c>
    </row>
    <row r="775" spans="1:5" x14ac:dyDescent="0.3">
      <c r="A775" t="s">
        <v>1014</v>
      </c>
      <c r="B775" t="s">
        <v>9326</v>
      </c>
      <c r="C775" t="s">
        <v>6517</v>
      </c>
      <c r="D775" t="s">
        <v>6517</v>
      </c>
      <c r="E775" t="s">
        <v>6517</v>
      </c>
    </row>
    <row r="776" spans="1:5" x14ac:dyDescent="0.3">
      <c r="A776" t="s">
        <v>1014</v>
      </c>
      <c r="B776" t="s">
        <v>9325</v>
      </c>
      <c r="C776" t="s">
        <v>6517</v>
      </c>
      <c r="D776" t="s">
        <v>6517</v>
      </c>
      <c r="E776" t="s">
        <v>6517</v>
      </c>
    </row>
    <row r="777" spans="1:5" x14ac:dyDescent="0.3">
      <c r="A777" t="s">
        <v>1014</v>
      </c>
      <c r="B777" t="s">
        <v>9324</v>
      </c>
      <c r="C777" t="s">
        <v>6517</v>
      </c>
      <c r="D777" t="s">
        <v>6517</v>
      </c>
      <c r="E777" t="s">
        <v>6517</v>
      </c>
    </row>
    <row r="778" spans="1:5" x14ac:dyDescent="0.3">
      <c r="A778" t="s">
        <v>1020</v>
      </c>
      <c r="B778" t="s">
        <v>9323</v>
      </c>
      <c r="C778" t="s">
        <v>9323</v>
      </c>
      <c r="D778" t="s">
        <v>9322</v>
      </c>
      <c r="E778" t="s">
        <v>9321</v>
      </c>
    </row>
    <row r="779" spans="1:5" x14ac:dyDescent="0.3">
      <c r="A779" t="s">
        <v>1020</v>
      </c>
      <c r="B779" t="s">
        <v>9320</v>
      </c>
      <c r="C779" t="s">
        <v>6517</v>
      </c>
      <c r="D779" t="s">
        <v>6517</v>
      </c>
      <c r="E779" t="s">
        <v>6517</v>
      </c>
    </row>
    <row r="780" spans="1:5" x14ac:dyDescent="0.3">
      <c r="A780" t="s">
        <v>1020</v>
      </c>
      <c r="B780" t="s">
        <v>9319</v>
      </c>
      <c r="C780" t="s">
        <v>6517</v>
      </c>
      <c r="D780" t="s">
        <v>6517</v>
      </c>
      <c r="E780" t="s">
        <v>6517</v>
      </c>
    </row>
    <row r="781" spans="1:5" x14ac:dyDescent="0.3">
      <c r="A781" t="s">
        <v>1020</v>
      </c>
      <c r="B781" t="s">
        <v>9318</v>
      </c>
      <c r="C781" t="s">
        <v>6517</v>
      </c>
      <c r="D781" t="s">
        <v>6517</v>
      </c>
      <c r="E781" t="s">
        <v>6517</v>
      </c>
    </row>
    <row r="782" spans="1:5" x14ac:dyDescent="0.3">
      <c r="A782" t="s">
        <v>1020</v>
      </c>
      <c r="B782" t="s">
        <v>9317</v>
      </c>
      <c r="C782" t="s">
        <v>6517</v>
      </c>
      <c r="D782" t="s">
        <v>6517</v>
      </c>
      <c r="E782" t="s">
        <v>6517</v>
      </c>
    </row>
    <row r="783" spans="1:5" x14ac:dyDescent="0.3">
      <c r="A783" t="s">
        <v>1026</v>
      </c>
      <c r="B783" t="s">
        <v>9316</v>
      </c>
      <c r="C783" t="s">
        <v>9316</v>
      </c>
      <c r="D783" t="s">
        <v>9315</v>
      </c>
      <c r="E783" t="s">
        <v>9314</v>
      </c>
    </row>
    <row r="784" spans="1:5" x14ac:dyDescent="0.3">
      <c r="A784" t="s">
        <v>1026</v>
      </c>
      <c r="B784" t="s">
        <v>9313</v>
      </c>
      <c r="C784" t="s">
        <v>6517</v>
      </c>
      <c r="D784" t="s">
        <v>6517</v>
      </c>
      <c r="E784" t="s">
        <v>6517</v>
      </c>
    </row>
    <row r="785" spans="1:5" x14ac:dyDescent="0.3">
      <c r="A785" t="s">
        <v>1026</v>
      </c>
      <c r="B785" t="s">
        <v>9312</v>
      </c>
      <c r="C785" t="s">
        <v>6517</v>
      </c>
      <c r="D785" t="s">
        <v>6517</v>
      </c>
      <c r="E785" t="s">
        <v>6517</v>
      </c>
    </row>
    <row r="786" spans="1:5" x14ac:dyDescent="0.3">
      <c r="A786" t="s">
        <v>1026</v>
      </c>
      <c r="B786" t="s">
        <v>9311</v>
      </c>
      <c r="C786" t="s">
        <v>6517</v>
      </c>
      <c r="D786" t="s">
        <v>6517</v>
      </c>
      <c r="E786" t="s">
        <v>6517</v>
      </c>
    </row>
    <row r="787" spans="1:5" x14ac:dyDescent="0.3">
      <c r="A787" t="s">
        <v>1026</v>
      </c>
      <c r="B787" t="s">
        <v>9310</v>
      </c>
      <c r="C787" t="s">
        <v>6517</v>
      </c>
      <c r="D787" t="s">
        <v>6517</v>
      </c>
      <c r="E787" t="s">
        <v>6517</v>
      </c>
    </row>
    <row r="788" spans="1:5" x14ac:dyDescent="0.3">
      <c r="A788" t="s">
        <v>1032</v>
      </c>
      <c r="B788" t="s">
        <v>9309</v>
      </c>
      <c r="C788" t="s">
        <v>9309</v>
      </c>
      <c r="D788" t="s">
        <v>9308</v>
      </c>
      <c r="E788" t="s">
        <v>9307</v>
      </c>
    </row>
    <row r="789" spans="1:5" x14ac:dyDescent="0.3">
      <c r="A789" t="s">
        <v>1032</v>
      </c>
      <c r="B789" t="s">
        <v>9306</v>
      </c>
      <c r="C789" t="s">
        <v>6517</v>
      </c>
      <c r="D789" t="s">
        <v>6517</v>
      </c>
      <c r="E789" t="s">
        <v>6517</v>
      </c>
    </row>
    <row r="790" spans="1:5" x14ac:dyDescent="0.3">
      <c r="A790" t="s">
        <v>1032</v>
      </c>
      <c r="B790" t="s">
        <v>9305</v>
      </c>
      <c r="C790" t="s">
        <v>6517</v>
      </c>
      <c r="D790" t="s">
        <v>6517</v>
      </c>
      <c r="E790" t="s">
        <v>6517</v>
      </c>
    </row>
    <row r="791" spans="1:5" x14ac:dyDescent="0.3">
      <c r="A791" t="s">
        <v>1032</v>
      </c>
      <c r="B791" t="s">
        <v>9304</v>
      </c>
      <c r="C791" t="s">
        <v>6517</v>
      </c>
      <c r="D791" t="s">
        <v>6517</v>
      </c>
      <c r="E791" t="s">
        <v>6517</v>
      </c>
    </row>
    <row r="792" spans="1:5" x14ac:dyDescent="0.3">
      <c r="A792" t="s">
        <v>1032</v>
      </c>
      <c r="B792" t="s">
        <v>9303</v>
      </c>
      <c r="C792" t="s">
        <v>6517</v>
      </c>
      <c r="D792" t="s">
        <v>6517</v>
      </c>
      <c r="E792" t="s">
        <v>6517</v>
      </c>
    </row>
    <row r="793" spans="1:5" x14ac:dyDescent="0.3">
      <c r="A793" t="s">
        <v>1039</v>
      </c>
      <c r="B793" t="s">
        <v>9302</v>
      </c>
      <c r="C793" t="s">
        <v>9302</v>
      </c>
      <c r="D793" t="s">
        <v>9301</v>
      </c>
      <c r="E793" t="s">
        <v>9300</v>
      </c>
    </row>
    <row r="794" spans="1:5" x14ac:dyDescent="0.3">
      <c r="A794" t="s">
        <v>1039</v>
      </c>
      <c r="B794" t="s">
        <v>9299</v>
      </c>
      <c r="C794" t="s">
        <v>6517</v>
      </c>
      <c r="D794" t="s">
        <v>6517</v>
      </c>
      <c r="E794" t="s">
        <v>6517</v>
      </c>
    </row>
    <row r="795" spans="1:5" x14ac:dyDescent="0.3">
      <c r="A795" t="s">
        <v>1039</v>
      </c>
      <c r="B795" t="s">
        <v>9298</v>
      </c>
      <c r="C795" t="s">
        <v>6517</v>
      </c>
      <c r="D795" t="s">
        <v>6517</v>
      </c>
      <c r="E795" t="s">
        <v>6517</v>
      </c>
    </row>
    <row r="796" spans="1:5" x14ac:dyDescent="0.3">
      <c r="A796" t="s">
        <v>1039</v>
      </c>
      <c r="B796" t="s">
        <v>9297</v>
      </c>
      <c r="C796" t="s">
        <v>6517</v>
      </c>
      <c r="D796" t="s">
        <v>6517</v>
      </c>
      <c r="E796" t="s">
        <v>6517</v>
      </c>
    </row>
    <row r="797" spans="1:5" x14ac:dyDescent="0.3">
      <c r="A797" t="s">
        <v>1039</v>
      </c>
      <c r="B797" t="s">
        <v>9296</v>
      </c>
      <c r="C797" t="s">
        <v>6517</v>
      </c>
      <c r="D797" t="s">
        <v>6517</v>
      </c>
      <c r="E797" t="s">
        <v>6517</v>
      </c>
    </row>
    <row r="798" spans="1:5" x14ac:dyDescent="0.3">
      <c r="A798" t="s">
        <v>1045</v>
      </c>
      <c r="B798" t="s">
        <v>9295</v>
      </c>
      <c r="C798" t="s">
        <v>9295</v>
      </c>
      <c r="D798" t="s">
        <v>9294</v>
      </c>
      <c r="E798" t="s">
        <v>9293</v>
      </c>
    </row>
    <row r="799" spans="1:5" x14ac:dyDescent="0.3">
      <c r="A799" t="s">
        <v>1045</v>
      </c>
      <c r="B799" t="s">
        <v>9292</v>
      </c>
      <c r="C799" t="s">
        <v>6517</v>
      </c>
      <c r="D799" t="s">
        <v>6517</v>
      </c>
      <c r="E799" t="s">
        <v>6517</v>
      </c>
    </row>
    <row r="800" spans="1:5" x14ac:dyDescent="0.3">
      <c r="A800" t="s">
        <v>1045</v>
      </c>
      <c r="B800" t="s">
        <v>9291</v>
      </c>
      <c r="C800" t="s">
        <v>6517</v>
      </c>
      <c r="D800" t="s">
        <v>6517</v>
      </c>
      <c r="E800" t="s">
        <v>6517</v>
      </c>
    </row>
    <row r="801" spans="1:5" x14ac:dyDescent="0.3">
      <c r="A801" t="s">
        <v>1045</v>
      </c>
      <c r="B801" t="s">
        <v>9290</v>
      </c>
      <c r="C801" t="s">
        <v>6517</v>
      </c>
      <c r="D801" t="s">
        <v>6517</v>
      </c>
      <c r="E801" t="s">
        <v>6517</v>
      </c>
    </row>
    <row r="802" spans="1:5" x14ac:dyDescent="0.3">
      <c r="A802" t="s">
        <v>1045</v>
      </c>
      <c r="B802" t="s">
        <v>9289</v>
      </c>
      <c r="C802" t="s">
        <v>6517</v>
      </c>
      <c r="D802" t="s">
        <v>6517</v>
      </c>
      <c r="E802" t="s">
        <v>6517</v>
      </c>
    </row>
    <row r="803" spans="1:5" x14ac:dyDescent="0.3">
      <c r="A803" t="s">
        <v>1051</v>
      </c>
      <c r="B803" t="s">
        <v>9288</v>
      </c>
      <c r="C803" t="s">
        <v>9288</v>
      </c>
      <c r="D803" t="s">
        <v>9287</v>
      </c>
      <c r="E803" t="s">
        <v>9286</v>
      </c>
    </row>
    <row r="804" spans="1:5" x14ac:dyDescent="0.3">
      <c r="A804" t="s">
        <v>1051</v>
      </c>
      <c r="B804" t="s">
        <v>9285</v>
      </c>
      <c r="C804" t="s">
        <v>6517</v>
      </c>
      <c r="D804" t="s">
        <v>6517</v>
      </c>
      <c r="E804" t="s">
        <v>6517</v>
      </c>
    </row>
    <row r="805" spans="1:5" x14ac:dyDescent="0.3">
      <c r="A805" t="s">
        <v>1051</v>
      </c>
      <c r="B805" t="s">
        <v>9284</v>
      </c>
      <c r="C805" t="s">
        <v>6517</v>
      </c>
      <c r="D805" t="s">
        <v>6517</v>
      </c>
      <c r="E805" t="s">
        <v>6517</v>
      </c>
    </row>
    <row r="806" spans="1:5" x14ac:dyDescent="0.3">
      <c r="A806" t="s">
        <v>1051</v>
      </c>
      <c r="B806" t="s">
        <v>9283</v>
      </c>
      <c r="C806" t="s">
        <v>6517</v>
      </c>
      <c r="D806" t="s">
        <v>6517</v>
      </c>
      <c r="E806" t="s">
        <v>6517</v>
      </c>
    </row>
    <row r="807" spans="1:5" x14ac:dyDescent="0.3">
      <c r="A807" t="s">
        <v>1051</v>
      </c>
      <c r="B807" t="s">
        <v>9282</v>
      </c>
      <c r="C807" t="s">
        <v>6517</v>
      </c>
      <c r="D807" t="s">
        <v>6517</v>
      </c>
      <c r="E807" t="s">
        <v>6517</v>
      </c>
    </row>
    <row r="808" spans="1:5" x14ac:dyDescent="0.3">
      <c r="A808" t="s">
        <v>1057</v>
      </c>
      <c r="B808" t="s">
        <v>9281</v>
      </c>
      <c r="C808" t="s">
        <v>9281</v>
      </c>
      <c r="D808" t="s">
        <v>9280</v>
      </c>
      <c r="E808" t="s">
        <v>9279</v>
      </c>
    </row>
    <row r="809" spans="1:5" x14ac:dyDescent="0.3">
      <c r="A809" t="s">
        <v>1057</v>
      </c>
      <c r="B809" t="s">
        <v>9278</v>
      </c>
      <c r="C809" t="s">
        <v>6517</v>
      </c>
      <c r="D809" t="s">
        <v>6517</v>
      </c>
      <c r="E809" t="s">
        <v>6517</v>
      </c>
    </row>
    <row r="810" spans="1:5" x14ac:dyDescent="0.3">
      <c r="A810" t="s">
        <v>1057</v>
      </c>
      <c r="B810" t="s">
        <v>9277</v>
      </c>
      <c r="C810" t="s">
        <v>6517</v>
      </c>
      <c r="D810" t="s">
        <v>6517</v>
      </c>
      <c r="E810" t="s">
        <v>6517</v>
      </c>
    </row>
    <row r="811" spans="1:5" x14ac:dyDescent="0.3">
      <c r="A811" t="s">
        <v>1057</v>
      </c>
      <c r="B811" t="s">
        <v>9276</v>
      </c>
      <c r="C811" t="s">
        <v>6517</v>
      </c>
      <c r="D811" t="s">
        <v>6517</v>
      </c>
      <c r="E811" t="s">
        <v>6517</v>
      </c>
    </row>
    <row r="812" spans="1:5" x14ac:dyDescent="0.3">
      <c r="A812" t="s">
        <v>1057</v>
      </c>
      <c r="B812" t="s">
        <v>9275</v>
      </c>
      <c r="C812" t="s">
        <v>6517</v>
      </c>
      <c r="D812" t="s">
        <v>6517</v>
      </c>
      <c r="E812" t="s">
        <v>6517</v>
      </c>
    </row>
    <row r="813" spans="1:5" x14ac:dyDescent="0.3">
      <c r="A813" t="s">
        <v>1063</v>
      </c>
      <c r="B813" t="s">
        <v>9274</v>
      </c>
      <c r="C813" t="s">
        <v>9274</v>
      </c>
      <c r="D813" t="s">
        <v>9273</v>
      </c>
      <c r="E813" t="s">
        <v>9272</v>
      </c>
    </row>
    <row r="814" spans="1:5" x14ac:dyDescent="0.3">
      <c r="A814" t="s">
        <v>1063</v>
      </c>
      <c r="B814" t="s">
        <v>9271</v>
      </c>
      <c r="C814" t="s">
        <v>6517</v>
      </c>
      <c r="D814" t="s">
        <v>6517</v>
      </c>
      <c r="E814" t="s">
        <v>6517</v>
      </c>
    </row>
    <row r="815" spans="1:5" x14ac:dyDescent="0.3">
      <c r="A815" t="s">
        <v>1063</v>
      </c>
      <c r="B815" t="s">
        <v>9270</v>
      </c>
      <c r="C815" t="s">
        <v>6517</v>
      </c>
      <c r="D815" t="s">
        <v>6517</v>
      </c>
      <c r="E815" t="s">
        <v>6517</v>
      </c>
    </row>
    <row r="816" spans="1:5" x14ac:dyDescent="0.3">
      <c r="A816" t="s">
        <v>1063</v>
      </c>
      <c r="B816" t="s">
        <v>9269</v>
      </c>
      <c r="C816" t="s">
        <v>6517</v>
      </c>
      <c r="D816" t="s">
        <v>6517</v>
      </c>
      <c r="E816" t="s">
        <v>6517</v>
      </c>
    </row>
    <row r="817" spans="1:5" x14ac:dyDescent="0.3">
      <c r="A817" t="s">
        <v>1063</v>
      </c>
      <c r="B817" t="s">
        <v>9268</v>
      </c>
      <c r="C817" t="s">
        <v>6517</v>
      </c>
      <c r="D817" t="s">
        <v>6517</v>
      </c>
      <c r="E817" t="s">
        <v>6517</v>
      </c>
    </row>
    <row r="818" spans="1:5" x14ac:dyDescent="0.3">
      <c r="A818" t="s">
        <v>1069</v>
      </c>
      <c r="B818" t="s">
        <v>9267</v>
      </c>
      <c r="C818" t="s">
        <v>9267</v>
      </c>
      <c r="D818" t="s">
        <v>9266</v>
      </c>
      <c r="E818" t="s">
        <v>9265</v>
      </c>
    </row>
    <row r="819" spans="1:5" x14ac:dyDescent="0.3">
      <c r="A819" t="s">
        <v>1069</v>
      </c>
      <c r="B819" t="s">
        <v>9264</v>
      </c>
      <c r="C819" t="s">
        <v>6517</v>
      </c>
      <c r="D819" t="s">
        <v>6517</v>
      </c>
      <c r="E819" t="s">
        <v>6517</v>
      </c>
    </row>
    <row r="820" spans="1:5" x14ac:dyDescent="0.3">
      <c r="A820" t="s">
        <v>1069</v>
      </c>
      <c r="B820" t="s">
        <v>9263</v>
      </c>
      <c r="C820" t="s">
        <v>6517</v>
      </c>
      <c r="D820" t="s">
        <v>6517</v>
      </c>
      <c r="E820" t="s">
        <v>6517</v>
      </c>
    </row>
    <row r="821" spans="1:5" x14ac:dyDescent="0.3">
      <c r="A821" t="s">
        <v>1069</v>
      </c>
      <c r="B821" t="s">
        <v>9262</v>
      </c>
      <c r="C821" t="s">
        <v>6517</v>
      </c>
      <c r="D821" t="s">
        <v>6517</v>
      </c>
      <c r="E821" t="s">
        <v>6517</v>
      </c>
    </row>
    <row r="822" spans="1:5" x14ac:dyDescent="0.3">
      <c r="A822" t="s">
        <v>1069</v>
      </c>
      <c r="B822" t="s">
        <v>9261</v>
      </c>
      <c r="C822" t="s">
        <v>6517</v>
      </c>
      <c r="D822" t="s">
        <v>6517</v>
      </c>
      <c r="E822" t="s">
        <v>6517</v>
      </c>
    </row>
    <row r="823" spans="1:5" x14ac:dyDescent="0.3">
      <c r="A823" t="s">
        <v>1075</v>
      </c>
      <c r="B823" t="s">
        <v>9260</v>
      </c>
      <c r="C823" t="s">
        <v>9260</v>
      </c>
      <c r="D823" t="s">
        <v>9259</v>
      </c>
      <c r="E823" t="s">
        <v>9258</v>
      </c>
    </row>
    <row r="824" spans="1:5" x14ac:dyDescent="0.3">
      <c r="A824" t="s">
        <v>1075</v>
      </c>
      <c r="B824" t="s">
        <v>9257</v>
      </c>
      <c r="C824" t="s">
        <v>6517</v>
      </c>
      <c r="D824" t="s">
        <v>6517</v>
      </c>
      <c r="E824" t="s">
        <v>6517</v>
      </c>
    </row>
    <row r="825" spans="1:5" x14ac:dyDescent="0.3">
      <c r="A825" t="s">
        <v>1075</v>
      </c>
      <c r="B825" t="s">
        <v>9256</v>
      </c>
      <c r="C825" t="s">
        <v>6517</v>
      </c>
      <c r="D825" t="s">
        <v>6517</v>
      </c>
      <c r="E825" t="s">
        <v>6517</v>
      </c>
    </row>
    <row r="826" spans="1:5" x14ac:dyDescent="0.3">
      <c r="A826" t="s">
        <v>1075</v>
      </c>
      <c r="B826" t="s">
        <v>9255</v>
      </c>
      <c r="C826" t="s">
        <v>6517</v>
      </c>
      <c r="D826" t="s">
        <v>6517</v>
      </c>
      <c r="E826" t="s">
        <v>6517</v>
      </c>
    </row>
    <row r="827" spans="1:5" x14ac:dyDescent="0.3">
      <c r="A827" t="s">
        <v>1075</v>
      </c>
      <c r="B827" t="s">
        <v>9254</v>
      </c>
      <c r="C827" t="s">
        <v>6517</v>
      </c>
      <c r="D827" t="s">
        <v>6517</v>
      </c>
      <c r="E827" t="s">
        <v>6517</v>
      </c>
    </row>
    <row r="828" spans="1:5" x14ac:dyDescent="0.3">
      <c r="A828" t="s">
        <v>1081</v>
      </c>
      <c r="B828" t="s">
        <v>9253</v>
      </c>
      <c r="C828" t="s">
        <v>9253</v>
      </c>
      <c r="D828" t="s">
        <v>9252</v>
      </c>
      <c r="E828" t="s">
        <v>9251</v>
      </c>
    </row>
    <row r="829" spans="1:5" x14ac:dyDescent="0.3">
      <c r="A829" t="s">
        <v>1081</v>
      </c>
      <c r="B829" t="s">
        <v>9250</v>
      </c>
      <c r="C829" t="s">
        <v>6517</v>
      </c>
      <c r="D829" t="s">
        <v>6517</v>
      </c>
      <c r="E829" t="s">
        <v>6517</v>
      </c>
    </row>
    <row r="830" spans="1:5" x14ac:dyDescent="0.3">
      <c r="A830" t="s">
        <v>1081</v>
      </c>
      <c r="B830" t="s">
        <v>9249</v>
      </c>
      <c r="C830" t="s">
        <v>6517</v>
      </c>
      <c r="D830" t="s">
        <v>6517</v>
      </c>
      <c r="E830" t="s">
        <v>6517</v>
      </c>
    </row>
    <row r="831" spans="1:5" x14ac:dyDescent="0.3">
      <c r="A831" t="s">
        <v>1081</v>
      </c>
      <c r="B831" t="s">
        <v>9248</v>
      </c>
      <c r="C831" t="s">
        <v>6517</v>
      </c>
      <c r="D831" t="s">
        <v>6517</v>
      </c>
      <c r="E831" t="s">
        <v>6517</v>
      </c>
    </row>
    <row r="832" spans="1:5" x14ac:dyDescent="0.3">
      <c r="A832" t="s">
        <v>1081</v>
      </c>
      <c r="B832" t="s">
        <v>9247</v>
      </c>
      <c r="C832" t="s">
        <v>6517</v>
      </c>
      <c r="D832" t="s">
        <v>6517</v>
      </c>
      <c r="E832" t="s">
        <v>6517</v>
      </c>
    </row>
    <row r="833" spans="1:5" x14ac:dyDescent="0.3">
      <c r="A833" t="s">
        <v>1087</v>
      </c>
      <c r="B833" t="s">
        <v>9246</v>
      </c>
      <c r="C833" t="s">
        <v>9246</v>
      </c>
      <c r="D833" t="s">
        <v>9245</v>
      </c>
      <c r="E833" t="s">
        <v>9244</v>
      </c>
    </row>
    <row r="834" spans="1:5" x14ac:dyDescent="0.3">
      <c r="A834" t="s">
        <v>1087</v>
      </c>
      <c r="B834" t="s">
        <v>9243</v>
      </c>
      <c r="C834" t="s">
        <v>6517</v>
      </c>
      <c r="D834" t="s">
        <v>6517</v>
      </c>
      <c r="E834" t="s">
        <v>6517</v>
      </c>
    </row>
    <row r="835" spans="1:5" x14ac:dyDescent="0.3">
      <c r="A835" t="s">
        <v>1087</v>
      </c>
      <c r="B835" t="s">
        <v>9242</v>
      </c>
      <c r="C835" t="s">
        <v>6517</v>
      </c>
      <c r="D835" t="s">
        <v>6517</v>
      </c>
      <c r="E835" t="s">
        <v>6517</v>
      </c>
    </row>
    <row r="836" spans="1:5" x14ac:dyDescent="0.3">
      <c r="A836" t="s">
        <v>1087</v>
      </c>
      <c r="B836" t="s">
        <v>9241</v>
      </c>
      <c r="C836" t="s">
        <v>6517</v>
      </c>
      <c r="D836" t="s">
        <v>6517</v>
      </c>
      <c r="E836" t="s">
        <v>6517</v>
      </c>
    </row>
    <row r="837" spans="1:5" x14ac:dyDescent="0.3">
      <c r="A837" t="s">
        <v>1087</v>
      </c>
      <c r="B837" t="s">
        <v>9240</v>
      </c>
      <c r="C837" t="s">
        <v>6517</v>
      </c>
      <c r="D837" t="s">
        <v>6517</v>
      </c>
      <c r="E837" t="s">
        <v>6517</v>
      </c>
    </row>
    <row r="838" spans="1:5" x14ac:dyDescent="0.3">
      <c r="A838" t="s">
        <v>1094</v>
      </c>
      <c r="B838" t="s">
        <v>9239</v>
      </c>
      <c r="C838" t="s">
        <v>9239</v>
      </c>
      <c r="D838" t="s">
        <v>9238</v>
      </c>
      <c r="E838" t="s">
        <v>9237</v>
      </c>
    </row>
    <row r="839" spans="1:5" x14ac:dyDescent="0.3">
      <c r="A839" t="s">
        <v>1094</v>
      </c>
      <c r="B839" t="s">
        <v>9236</v>
      </c>
      <c r="C839" t="s">
        <v>6517</v>
      </c>
      <c r="D839" t="s">
        <v>6517</v>
      </c>
      <c r="E839" t="s">
        <v>6517</v>
      </c>
    </row>
    <row r="840" spans="1:5" x14ac:dyDescent="0.3">
      <c r="A840" t="s">
        <v>1094</v>
      </c>
      <c r="B840" t="s">
        <v>9235</v>
      </c>
      <c r="C840" t="s">
        <v>6517</v>
      </c>
      <c r="D840" t="s">
        <v>6517</v>
      </c>
      <c r="E840" t="s">
        <v>6517</v>
      </c>
    </row>
    <row r="841" spans="1:5" x14ac:dyDescent="0.3">
      <c r="A841" t="s">
        <v>1094</v>
      </c>
      <c r="B841" t="s">
        <v>9234</v>
      </c>
      <c r="C841" t="s">
        <v>6517</v>
      </c>
      <c r="D841" t="s">
        <v>6517</v>
      </c>
      <c r="E841" t="s">
        <v>6517</v>
      </c>
    </row>
    <row r="842" spans="1:5" x14ac:dyDescent="0.3">
      <c r="A842" t="s">
        <v>1094</v>
      </c>
      <c r="B842" t="s">
        <v>9233</v>
      </c>
      <c r="C842" t="s">
        <v>6517</v>
      </c>
      <c r="D842" t="s">
        <v>6517</v>
      </c>
      <c r="E842" t="s">
        <v>6517</v>
      </c>
    </row>
    <row r="843" spans="1:5" x14ac:dyDescent="0.3">
      <c r="A843" t="s">
        <v>1100</v>
      </c>
      <c r="B843" t="s">
        <v>9232</v>
      </c>
      <c r="C843" t="s">
        <v>9232</v>
      </c>
      <c r="D843" t="s">
        <v>9231</v>
      </c>
      <c r="E843" t="s">
        <v>9230</v>
      </c>
    </row>
    <row r="844" spans="1:5" x14ac:dyDescent="0.3">
      <c r="A844" t="s">
        <v>1100</v>
      </c>
      <c r="B844" t="s">
        <v>9229</v>
      </c>
      <c r="C844" t="s">
        <v>6517</v>
      </c>
      <c r="D844" t="s">
        <v>6517</v>
      </c>
      <c r="E844" t="s">
        <v>6517</v>
      </c>
    </row>
    <row r="845" spans="1:5" x14ac:dyDescent="0.3">
      <c r="A845" t="s">
        <v>1100</v>
      </c>
      <c r="B845" t="s">
        <v>9228</v>
      </c>
      <c r="C845" t="s">
        <v>6517</v>
      </c>
      <c r="D845" t="s">
        <v>6517</v>
      </c>
      <c r="E845" t="s">
        <v>6517</v>
      </c>
    </row>
    <row r="846" spans="1:5" x14ac:dyDescent="0.3">
      <c r="A846" t="s">
        <v>1100</v>
      </c>
      <c r="B846" t="s">
        <v>9227</v>
      </c>
      <c r="C846" t="s">
        <v>6517</v>
      </c>
      <c r="D846" t="s">
        <v>6517</v>
      </c>
      <c r="E846" t="s">
        <v>6517</v>
      </c>
    </row>
    <row r="847" spans="1:5" x14ac:dyDescent="0.3">
      <c r="A847" t="s">
        <v>1100</v>
      </c>
      <c r="B847" t="s">
        <v>9226</v>
      </c>
      <c r="C847" t="s">
        <v>6517</v>
      </c>
      <c r="D847" t="s">
        <v>6517</v>
      </c>
      <c r="E847" t="s">
        <v>6517</v>
      </c>
    </row>
    <row r="848" spans="1:5" x14ac:dyDescent="0.3">
      <c r="A848" t="s">
        <v>1106</v>
      </c>
      <c r="B848" t="s">
        <v>9225</v>
      </c>
      <c r="C848" t="s">
        <v>9225</v>
      </c>
      <c r="D848" t="s">
        <v>9224</v>
      </c>
      <c r="E848" t="s">
        <v>9223</v>
      </c>
    </row>
    <row r="849" spans="1:5" x14ac:dyDescent="0.3">
      <c r="A849" t="s">
        <v>1106</v>
      </c>
      <c r="B849" t="s">
        <v>9222</v>
      </c>
      <c r="C849" t="s">
        <v>6517</v>
      </c>
      <c r="D849" t="s">
        <v>6517</v>
      </c>
      <c r="E849" t="s">
        <v>6517</v>
      </c>
    </row>
    <row r="850" spans="1:5" x14ac:dyDescent="0.3">
      <c r="A850" t="s">
        <v>1106</v>
      </c>
      <c r="B850" t="s">
        <v>9221</v>
      </c>
      <c r="C850" t="s">
        <v>6517</v>
      </c>
      <c r="D850" t="s">
        <v>6517</v>
      </c>
      <c r="E850" t="s">
        <v>6517</v>
      </c>
    </row>
    <row r="851" spans="1:5" x14ac:dyDescent="0.3">
      <c r="A851" t="s">
        <v>1106</v>
      </c>
      <c r="B851" t="s">
        <v>9220</v>
      </c>
      <c r="C851" t="s">
        <v>6517</v>
      </c>
      <c r="D851" t="s">
        <v>6517</v>
      </c>
      <c r="E851" t="s">
        <v>6517</v>
      </c>
    </row>
    <row r="852" spans="1:5" x14ac:dyDescent="0.3">
      <c r="A852" t="s">
        <v>1106</v>
      </c>
      <c r="B852" t="s">
        <v>9219</v>
      </c>
      <c r="C852" t="s">
        <v>6517</v>
      </c>
      <c r="D852" t="s">
        <v>6517</v>
      </c>
      <c r="E852" t="s">
        <v>6517</v>
      </c>
    </row>
    <row r="853" spans="1:5" x14ac:dyDescent="0.3">
      <c r="A853" t="s">
        <v>1112</v>
      </c>
      <c r="B853" t="s">
        <v>9218</v>
      </c>
      <c r="C853" t="s">
        <v>9218</v>
      </c>
      <c r="D853" t="s">
        <v>9217</v>
      </c>
      <c r="E853" t="s">
        <v>9216</v>
      </c>
    </row>
    <row r="854" spans="1:5" x14ac:dyDescent="0.3">
      <c r="A854" t="s">
        <v>1112</v>
      </c>
      <c r="B854" t="s">
        <v>9215</v>
      </c>
      <c r="C854" t="s">
        <v>6517</v>
      </c>
      <c r="D854" t="s">
        <v>6517</v>
      </c>
      <c r="E854" t="s">
        <v>6517</v>
      </c>
    </row>
    <row r="855" spans="1:5" x14ac:dyDescent="0.3">
      <c r="A855" t="s">
        <v>1112</v>
      </c>
      <c r="B855" t="s">
        <v>9214</v>
      </c>
      <c r="C855" t="s">
        <v>6517</v>
      </c>
      <c r="D855" t="s">
        <v>6517</v>
      </c>
      <c r="E855" t="s">
        <v>6517</v>
      </c>
    </row>
    <row r="856" spans="1:5" x14ac:dyDescent="0.3">
      <c r="A856" t="s">
        <v>1112</v>
      </c>
      <c r="B856" t="s">
        <v>9213</v>
      </c>
      <c r="C856" t="s">
        <v>6517</v>
      </c>
      <c r="D856" t="s">
        <v>6517</v>
      </c>
      <c r="E856" t="s">
        <v>6517</v>
      </c>
    </row>
    <row r="857" spans="1:5" x14ac:dyDescent="0.3">
      <c r="A857" t="s">
        <v>1112</v>
      </c>
      <c r="B857" t="s">
        <v>9212</v>
      </c>
      <c r="C857" t="s">
        <v>6517</v>
      </c>
      <c r="D857" t="s">
        <v>6517</v>
      </c>
      <c r="E857" t="s">
        <v>6517</v>
      </c>
    </row>
    <row r="858" spans="1:5" x14ac:dyDescent="0.3">
      <c r="A858" t="s">
        <v>1119</v>
      </c>
      <c r="B858" t="s">
        <v>9211</v>
      </c>
      <c r="C858" t="s">
        <v>9211</v>
      </c>
      <c r="D858" t="s">
        <v>9210</v>
      </c>
      <c r="E858" t="s">
        <v>9209</v>
      </c>
    </row>
    <row r="859" spans="1:5" x14ac:dyDescent="0.3">
      <c r="A859" t="s">
        <v>1119</v>
      </c>
      <c r="B859" t="s">
        <v>9208</v>
      </c>
      <c r="C859" t="s">
        <v>6517</v>
      </c>
      <c r="D859" t="s">
        <v>6517</v>
      </c>
      <c r="E859" t="s">
        <v>6517</v>
      </c>
    </row>
    <row r="860" spans="1:5" x14ac:dyDescent="0.3">
      <c r="A860" t="s">
        <v>1119</v>
      </c>
      <c r="B860" t="s">
        <v>9207</v>
      </c>
      <c r="C860" t="s">
        <v>6517</v>
      </c>
      <c r="D860" t="s">
        <v>6517</v>
      </c>
      <c r="E860" t="s">
        <v>6517</v>
      </c>
    </row>
    <row r="861" spans="1:5" x14ac:dyDescent="0.3">
      <c r="A861" t="s">
        <v>1119</v>
      </c>
      <c r="B861" t="s">
        <v>9206</v>
      </c>
      <c r="C861" t="s">
        <v>6517</v>
      </c>
      <c r="D861" t="s">
        <v>6517</v>
      </c>
      <c r="E861" t="s">
        <v>6517</v>
      </c>
    </row>
    <row r="862" spans="1:5" x14ac:dyDescent="0.3">
      <c r="A862" t="s">
        <v>1119</v>
      </c>
      <c r="B862" t="s">
        <v>9205</v>
      </c>
      <c r="C862" t="s">
        <v>6517</v>
      </c>
      <c r="D862" t="s">
        <v>6517</v>
      </c>
      <c r="E862" t="s">
        <v>6517</v>
      </c>
    </row>
    <row r="863" spans="1:5" x14ac:dyDescent="0.3">
      <c r="A863" t="s">
        <v>1125</v>
      </c>
      <c r="B863" t="s">
        <v>9204</v>
      </c>
      <c r="C863" t="s">
        <v>9204</v>
      </c>
      <c r="D863" t="s">
        <v>9203</v>
      </c>
      <c r="E863" t="s">
        <v>9202</v>
      </c>
    </row>
    <row r="864" spans="1:5" x14ac:dyDescent="0.3">
      <c r="A864" t="s">
        <v>1125</v>
      </c>
      <c r="B864" t="s">
        <v>9201</v>
      </c>
      <c r="C864" t="s">
        <v>6517</v>
      </c>
      <c r="D864" t="s">
        <v>6517</v>
      </c>
      <c r="E864" t="s">
        <v>6517</v>
      </c>
    </row>
    <row r="865" spans="1:5" x14ac:dyDescent="0.3">
      <c r="A865" t="s">
        <v>1125</v>
      </c>
      <c r="B865" t="s">
        <v>9200</v>
      </c>
      <c r="C865" t="s">
        <v>6517</v>
      </c>
      <c r="D865" t="s">
        <v>6517</v>
      </c>
      <c r="E865" t="s">
        <v>6517</v>
      </c>
    </row>
    <row r="866" spans="1:5" x14ac:dyDescent="0.3">
      <c r="A866" t="s">
        <v>1125</v>
      </c>
      <c r="B866" t="s">
        <v>9199</v>
      </c>
      <c r="C866" t="s">
        <v>6517</v>
      </c>
      <c r="D866" t="s">
        <v>6517</v>
      </c>
      <c r="E866" t="s">
        <v>6517</v>
      </c>
    </row>
    <row r="867" spans="1:5" x14ac:dyDescent="0.3">
      <c r="A867" t="s">
        <v>1125</v>
      </c>
      <c r="B867" t="s">
        <v>9198</v>
      </c>
      <c r="C867" t="s">
        <v>6517</v>
      </c>
      <c r="D867" t="s">
        <v>6517</v>
      </c>
      <c r="E867" t="s">
        <v>6517</v>
      </c>
    </row>
    <row r="868" spans="1:5" x14ac:dyDescent="0.3">
      <c r="A868" t="s">
        <v>1131</v>
      </c>
      <c r="B868" t="s">
        <v>9197</v>
      </c>
      <c r="C868" t="s">
        <v>9197</v>
      </c>
      <c r="D868" t="s">
        <v>9196</v>
      </c>
      <c r="E868" t="s">
        <v>9195</v>
      </c>
    </row>
    <row r="869" spans="1:5" x14ac:dyDescent="0.3">
      <c r="A869" t="s">
        <v>1131</v>
      </c>
      <c r="B869" t="s">
        <v>9194</v>
      </c>
      <c r="C869" t="s">
        <v>6517</v>
      </c>
      <c r="D869" t="s">
        <v>6517</v>
      </c>
      <c r="E869" t="s">
        <v>6517</v>
      </c>
    </row>
    <row r="870" spans="1:5" x14ac:dyDescent="0.3">
      <c r="A870" t="s">
        <v>1131</v>
      </c>
      <c r="B870" t="s">
        <v>9193</v>
      </c>
      <c r="C870" t="s">
        <v>6517</v>
      </c>
      <c r="D870" t="s">
        <v>6517</v>
      </c>
      <c r="E870" t="s">
        <v>6517</v>
      </c>
    </row>
    <row r="871" spans="1:5" x14ac:dyDescent="0.3">
      <c r="A871" t="s">
        <v>1131</v>
      </c>
      <c r="B871" t="s">
        <v>9192</v>
      </c>
      <c r="C871" t="s">
        <v>6517</v>
      </c>
      <c r="D871" t="s">
        <v>6517</v>
      </c>
      <c r="E871" t="s">
        <v>6517</v>
      </c>
    </row>
    <row r="872" spans="1:5" x14ac:dyDescent="0.3">
      <c r="A872" t="s">
        <v>1131</v>
      </c>
      <c r="B872" t="s">
        <v>9191</v>
      </c>
      <c r="C872" t="s">
        <v>6517</v>
      </c>
      <c r="D872" t="s">
        <v>6517</v>
      </c>
      <c r="E872" t="s">
        <v>6517</v>
      </c>
    </row>
    <row r="873" spans="1:5" x14ac:dyDescent="0.3">
      <c r="A873" t="s">
        <v>1137</v>
      </c>
      <c r="B873" t="s">
        <v>9190</v>
      </c>
      <c r="C873" t="s">
        <v>9190</v>
      </c>
      <c r="D873" t="s">
        <v>9189</v>
      </c>
      <c r="E873" t="s">
        <v>9188</v>
      </c>
    </row>
    <row r="874" spans="1:5" x14ac:dyDescent="0.3">
      <c r="A874" t="s">
        <v>1137</v>
      </c>
      <c r="B874" t="s">
        <v>9187</v>
      </c>
      <c r="C874" t="s">
        <v>6517</v>
      </c>
      <c r="D874" t="s">
        <v>6517</v>
      </c>
      <c r="E874" t="s">
        <v>6517</v>
      </c>
    </row>
    <row r="875" spans="1:5" x14ac:dyDescent="0.3">
      <c r="A875" t="s">
        <v>1137</v>
      </c>
      <c r="B875" t="s">
        <v>9186</v>
      </c>
      <c r="C875" t="s">
        <v>6517</v>
      </c>
      <c r="D875" t="s">
        <v>6517</v>
      </c>
      <c r="E875" t="s">
        <v>6517</v>
      </c>
    </row>
    <row r="876" spans="1:5" x14ac:dyDescent="0.3">
      <c r="A876" t="s">
        <v>1137</v>
      </c>
      <c r="B876" t="s">
        <v>9185</v>
      </c>
      <c r="C876" t="s">
        <v>6517</v>
      </c>
      <c r="D876" t="s">
        <v>6517</v>
      </c>
      <c r="E876" t="s">
        <v>6517</v>
      </c>
    </row>
    <row r="877" spans="1:5" x14ac:dyDescent="0.3">
      <c r="A877" t="s">
        <v>1137</v>
      </c>
      <c r="B877" t="s">
        <v>9184</v>
      </c>
      <c r="C877" t="s">
        <v>6517</v>
      </c>
      <c r="D877" t="s">
        <v>6517</v>
      </c>
      <c r="E877" t="s">
        <v>6517</v>
      </c>
    </row>
    <row r="878" spans="1:5" x14ac:dyDescent="0.3">
      <c r="A878" t="s">
        <v>1143</v>
      </c>
      <c r="B878" t="s">
        <v>9183</v>
      </c>
      <c r="C878" t="s">
        <v>9183</v>
      </c>
      <c r="D878" t="s">
        <v>9182</v>
      </c>
      <c r="E878" t="s">
        <v>9181</v>
      </c>
    </row>
    <row r="879" spans="1:5" x14ac:dyDescent="0.3">
      <c r="A879" t="s">
        <v>1143</v>
      </c>
      <c r="B879" t="s">
        <v>9180</v>
      </c>
      <c r="C879" t="s">
        <v>6517</v>
      </c>
      <c r="D879" t="s">
        <v>6517</v>
      </c>
      <c r="E879" t="s">
        <v>6517</v>
      </c>
    </row>
    <row r="880" spans="1:5" x14ac:dyDescent="0.3">
      <c r="A880" t="s">
        <v>1143</v>
      </c>
      <c r="B880" t="s">
        <v>9179</v>
      </c>
      <c r="C880" t="s">
        <v>6517</v>
      </c>
      <c r="D880" t="s">
        <v>6517</v>
      </c>
      <c r="E880" t="s">
        <v>6517</v>
      </c>
    </row>
    <row r="881" spans="1:5" x14ac:dyDescent="0.3">
      <c r="A881" t="s">
        <v>1143</v>
      </c>
      <c r="B881" t="s">
        <v>9178</v>
      </c>
      <c r="C881" t="s">
        <v>6517</v>
      </c>
      <c r="D881" t="s">
        <v>6517</v>
      </c>
      <c r="E881" t="s">
        <v>6517</v>
      </c>
    </row>
    <row r="882" spans="1:5" x14ac:dyDescent="0.3">
      <c r="A882" t="s">
        <v>1143</v>
      </c>
      <c r="B882" t="s">
        <v>9177</v>
      </c>
      <c r="C882" t="s">
        <v>6517</v>
      </c>
      <c r="D882" t="s">
        <v>6517</v>
      </c>
      <c r="E882" t="s">
        <v>6517</v>
      </c>
    </row>
    <row r="883" spans="1:5" x14ac:dyDescent="0.3">
      <c r="A883" t="s">
        <v>1149</v>
      </c>
      <c r="B883" t="s">
        <v>9176</v>
      </c>
      <c r="C883" t="s">
        <v>9176</v>
      </c>
      <c r="D883" t="s">
        <v>9175</v>
      </c>
      <c r="E883" t="s">
        <v>9174</v>
      </c>
    </row>
    <row r="884" spans="1:5" x14ac:dyDescent="0.3">
      <c r="A884" t="s">
        <v>1149</v>
      </c>
      <c r="B884" t="s">
        <v>9173</v>
      </c>
      <c r="C884" t="s">
        <v>6517</v>
      </c>
      <c r="D884" t="s">
        <v>6517</v>
      </c>
      <c r="E884" t="s">
        <v>6517</v>
      </c>
    </row>
    <row r="885" spans="1:5" x14ac:dyDescent="0.3">
      <c r="A885" t="s">
        <v>1149</v>
      </c>
      <c r="B885" t="s">
        <v>9172</v>
      </c>
      <c r="C885" t="s">
        <v>6517</v>
      </c>
      <c r="D885" t="s">
        <v>6517</v>
      </c>
      <c r="E885" t="s">
        <v>6517</v>
      </c>
    </row>
    <row r="886" spans="1:5" x14ac:dyDescent="0.3">
      <c r="A886" t="s">
        <v>1149</v>
      </c>
      <c r="B886" t="s">
        <v>9171</v>
      </c>
      <c r="C886" t="s">
        <v>6517</v>
      </c>
      <c r="D886" t="s">
        <v>6517</v>
      </c>
      <c r="E886" t="s">
        <v>6517</v>
      </c>
    </row>
    <row r="887" spans="1:5" x14ac:dyDescent="0.3">
      <c r="A887" t="s">
        <v>1149</v>
      </c>
      <c r="B887" t="s">
        <v>9170</v>
      </c>
      <c r="C887" t="s">
        <v>6517</v>
      </c>
      <c r="D887" t="s">
        <v>6517</v>
      </c>
      <c r="E887" t="s">
        <v>6517</v>
      </c>
    </row>
    <row r="888" spans="1:5" x14ac:dyDescent="0.3">
      <c r="A888" t="s">
        <v>1155</v>
      </c>
      <c r="B888" t="s">
        <v>9169</v>
      </c>
      <c r="C888" t="s">
        <v>9169</v>
      </c>
      <c r="D888" t="s">
        <v>9168</v>
      </c>
      <c r="E888" t="s">
        <v>9167</v>
      </c>
    </row>
    <row r="889" spans="1:5" x14ac:dyDescent="0.3">
      <c r="A889" t="s">
        <v>1155</v>
      </c>
      <c r="B889" t="s">
        <v>9166</v>
      </c>
      <c r="C889" t="s">
        <v>6517</v>
      </c>
      <c r="D889" t="s">
        <v>6517</v>
      </c>
      <c r="E889" t="s">
        <v>6517</v>
      </c>
    </row>
    <row r="890" spans="1:5" x14ac:dyDescent="0.3">
      <c r="A890" t="s">
        <v>1155</v>
      </c>
      <c r="B890" t="s">
        <v>9165</v>
      </c>
      <c r="C890" t="s">
        <v>6517</v>
      </c>
      <c r="D890" t="s">
        <v>6517</v>
      </c>
      <c r="E890" t="s">
        <v>6517</v>
      </c>
    </row>
    <row r="891" spans="1:5" x14ac:dyDescent="0.3">
      <c r="A891" t="s">
        <v>1155</v>
      </c>
      <c r="B891" t="s">
        <v>9164</v>
      </c>
      <c r="C891" t="s">
        <v>6517</v>
      </c>
      <c r="D891" t="s">
        <v>6517</v>
      </c>
      <c r="E891" t="s">
        <v>6517</v>
      </c>
    </row>
    <row r="892" spans="1:5" x14ac:dyDescent="0.3">
      <c r="A892" t="s">
        <v>1155</v>
      </c>
      <c r="B892" t="s">
        <v>9163</v>
      </c>
      <c r="C892" t="s">
        <v>6517</v>
      </c>
      <c r="D892" t="s">
        <v>6517</v>
      </c>
      <c r="E892" t="s">
        <v>6517</v>
      </c>
    </row>
    <row r="893" spans="1:5" x14ac:dyDescent="0.3">
      <c r="A893" t="s">
        <v>1161</v>
      </c>
      <c r="B893" t="s">
        <v>9162</v>
      </c>
      <c r="C893" t="s">
        <v>9162</v>
      </c>
      <c r="D893" t="s">
        <v>9161</v>
      </c>
      <c r="E893" t="s">
        <v>9160</v>
      </c>
    </row>
    <row r="894" spans="1:5" x14ac:dyDescent="0.3">
      <c r="A894" t="s">
        <v>1161</v>
      </c>
      <c r="B894" t="s">
        <v>9159</v>
      </c>
      <c r="C894" t="s">
        <v>6517</v>
      </c>
      <c r="D894" t="s">
        <v>6517</v>
      </c>
      <c r="E894" t="s">
        <v>6517</v>
      </c>
    </row>
    <row r="895" spans="1:5" x14ac:dyDescent="0.3">
      <c r="A895" t="s">
        <v>1161</v>
      </c>
      <c r="B895" t="s">
        <v>9158</v>
      </c>
      <c r="C895" t="s">
        <v>6517</v>
      </c>
      <c r="D895" t="s">
        <v>6517</v>
      </c>
      <c r="E895" t="s">
        <v>6517</v>
      </c>
    </row>
    <row r="896" spans="1:5" x14ac:dyDescent="0.3">
      <c r="A896" t="s">
        <v>1161</v>
      </c>
      <c r="B896" t="s">
        <v>9157</v>
      </c>
      <c r="C896" t="s">
        <v>6517</v>
      </c>
      <c r="D896" t="s">
        <v>6517</v>
      </c>
      <c r="E896" t="s">
        <v>6517</v>
      </c>
    </row>
    <row r="897" spans="1:5" x14ac:dyDescent="0.3">
      <c r="A897" t="s">
        <v>1161</v>
      </c>
      <c r="B897" t="s">
        <v>9156</v>
      </c>
      <c r="C897" t="s">
        <v>6517</v>
      </c>
      <c r="D897" t="s">
        <v>6517</v>
      </c>
      <c r="E897" t="s">
        <v>6517</v>
      </c>
    </row>
    <row r="898" spans="1:5" x14ac:dyDescent="0.3">
      <c r="A898" t="s">
        <v>1167</v>
      </c>
      <c r="B898" t="s">
        <v>9155</v>
      </c>
      <c r="C898" t="s">
        <v>9155</v>
      </c>
      <c r="D898" t="s">
        <v>9154</v>
      </c>
      <c r="E898" t="s">
        <v>9153</v>
      </c>
    </row>
    <row r="899" spans="1:5" x14ac:dyDescent="0.3">
      <c r="A899" t="s">
        <v>1167</v>
      </c>
      <c r="B899" t="s">
        <v>9152</v>
      </c>
      <c r="C899" t="s">
        <v>6517</v>
      </c>
      <c r="D899" t="s">
        <v>6517</v>
      </c>
      <c r="E899" t="s">
        <v>6517</v>
      </c>
    </row>
    <row r="900" spans="1:5" x14ac:dyDescent="0.3">
      <c r="A900" t="s">
        <v>1167</v>
      </c>
      <c r="B900" t="s">
        <v>9151</v>
      </c>
      <c r="C900" t="s">
        <v>6517</v>
      </c>
      <c r="D900" t="s">
        <v>6517</v>
      </c>
      <c r="E900" t="s">
        <v>6517</v>
      </c>
    </row>
    <row r="901" spans="1:5" x14ac:dyDescent="0.3">
      <c r="A901" t="s">
        <v>1167</v>
      </c>
      <c r="B901" t="s">
        <v>9150</v>
      </c>
      <c r="C901" t="s">
        <v>6517</v>
      </c>
      <c r="D901" t="s">
        <v>6517</v>
      </c>
      <c r="E901" t="s">
        <v>6517</v>
      </c>
    </row>
    <row r="902" spans="1:5" x14ac:dyDescent="0.3">
      <c r="A902" t="s">
        <v>1167</v>
      </c>
      <c r="B902" t="s">
        <v>9149</v>
      </c>
      <c r="C902" t="s">
        <v>6517</v>
      </c>
      <c r="D902" t="s">
        <v>6517</v>
      </c>
      <c r="E902" t="s">
        <v>6517</v>
      </c>
    </row>
    <row r="903" spans="1:5" x14ac:dyDescent="0.3">
      <c r="A903" t="s">
        <v>1173</v>
      </c>
      <c r="B903" t="s">
        <v>9148</v>
      </c>
      <c r="C903" t="s">
        <v>9148</v>
      </c>
      <c r="D903" t="s">
        <v>9147</v>
      </c>
      <c r="E903" t="s">
        <v>9146</v>
      </c>
    </row>
    <row r="904" spans="1:5" x14ac:dyDescent="0.3">
      <c r="A904" t="s">
        <v>1173</v>
      </c>
      <c r="B904" t="s">
        <v>9145</v>
      </c>
      <c r="C904" t="s">
        <v>6517</v>
      </c>
      <c r="D904" t="s">
        <v>6517</v>
      </c>
      <c r="E904" t="s">
        <v>6517</v>
      </c>
    </row>
    <row r="905" spans="1:5" x14ac:dyDescent="0.3">
      <c r="A905" t="s">
        <v>1173</v>
      </c>
      <c r="B905" t="s">
        <v>9144</v>
      </c>
      <c r="C905" t="s">
        <v>6517</v>
      </c>
      <c r="D905" t="s">
        <v>6517</v>
      </c>
      <c r="E905" t="s">
        <v>6517</v>
      </c>
    </row>
    <row r="906" spans="1:5" x14ac:dyDescent="0.3">
      <c r="A906" t="s">
        <v>1173</v>
      </c>
      <c r="B906" t="s">
        <v>9143</v>
      </c>
      <c r="C906" t="s">
        <v>6517</v>
      </c>
      <c r="D906" t="s">
        <v>6517</v>
      </c>
      <c r="E906" t="s">
        <v>6517</v>
      </c>
    </row>
    <row r="907" spans="1:5" x14ac:dyDescent="0.3">
      <c r="A907" t="s">
        <v>1173</v>
      </c>
      <c r="B907" t="s">
        <v>9142</v>
      </c>
      <c r="C907" t="s">
        <v>6517</v>
      </c>
      <c r="D907" t="s">
        <v>6517</v>
      </c>
      <c r="E907" t="s">
        <v>6517</v>
      </c>
    </row>
    <row r="908" spans="1:5" x14ac:dyDescent="0.3">
      <c r="A908" t="s">
        <v>1179</v>
      </c>
      <c r="B908" t="s">
        <v>9141</v>
      </c>
      <c r="C908" t="s">
        <v>9141</v>
      </c>
      <c r="D908" t="s">
        <v>9140</v>
      </c>
      <c r="E908" t="s">
        <v>9139</v>
      </c>
    </row>
    <row r="909" spans="1:5" x14ac:dyDescent="0.3">
      <c r="A909" t="s">
        <v>1179</v>
      </c>
      <c r="B909" t="s">
        <v>9138</v>
      </c>
      <c r="C909" t="s">
        <v>6517</v>
      </c>
      <c r="D909" t="s">
        <v>6517</v>
      </c>
      <c r="E909" t="s">
        <v>6517</v>
      </c>
    </row>
    <row r="910" spans="1:5" x14ac:dyDescent="0.3">
      <c r="A910" t="s">
        <v>1179</v>
      </c>
      <c r="B910" t="s">
        <v>9137</v>
      </c>
      <c r="C910" t="s">
        <v>6517</v>
      </c>
      <c r="D910" t="s">
        <v>6517</v>
      </c>
      <c r="E910" t="s">
        <v>6517</v>
      </c>
    </row>
    <row r="911" spans="1:5" x14ac:dyDescent="0.3">
      <c r="A911" t="s">
        <v>1179</v>
      </c>
      <c r="B911" t="s">
        <v>9136</v>
      </c>
      <c r="C911" t="s">
        <v>6517</v>
      </c>
      <c r="D911" t="s">
        <v>6517</v>
      </c>
      <c r="E911" t="s">
        <v>6517</v>
      </c>
    </row>
    <row r="912" spans="1:5" x14ac:dyDescent="0.3">
      <c r="A912" t="s">
        <v>1179</v>
      </c>
      <c r="B912" t="s">
        <v>9135</v>
      </c>
      <c r="C912" t="s">
        <v>6517</v>
      </c>
      <c r="D912" t="s">
        <v>6517</v>
      </c>
      <c r="E912" t="s">
        <v>6517</v>
      </c>
    </row>
    <row r="913" spans="1:5" x14ac:dyDescent="0.3">
      <c r="A913" t="s">
        <v>1185</v>
      </c>
      <c r="B913" t="s">
        <v>9134</v>
      </c>
      <c r="C913" t="s">
        <v>9134</v>
      </c>
      <c r="D913" t="s">
        <v>9133</v>
      </c>
      <c r="E913" t="s">
        <v>9132</v>
      </c>
    </row>
    <row r="914" spans="1:5" x14ac:dyDescent="0.3">
      <c r="A914" t="s">
        <v>1185</v>
      </c>
      <c r="B914" t="s">
        <v>9131</v>
      </c>
      <c r="C914" t="s">
        <v>6517</v>
      </c>
      <c r="D914" t="s">
        <v>6517</v>
      </c>
      <c r="E914" t="s">
        <v>6517</v>
      </c>
    </row>
    <row r="915" spans="1:5" x14ac:dyDescent="0.3">
      <c r="A915" t="s">
        <v>1185</v>
      </c>
      <c r="B915" t="s">
        <v>9130</v>
      </c>
      <c r="C915" t="s">
        <v>6517</v>
      </c>
      <c r="D915" t="s">
        <v>6517</v>
      </c>
      <c r="E915" t="s">
        <v>6517</v>
      </c>
    </row>
    <row r="916" spans="1:5" x14ac:dyDescent="0.3">
      <c r="A916" t="s">
        <v>1185</v>
      </c>
      <c r="B916" t="s">
        <v>9129</v>
      </c>
      <c r="C916" t="s">
        <v>6517</v>
      </c>
      <c r="D916" t="s">
        <v>6517</v>
      </c>
      <c r="E916" t="s">
        <v>6517</v>
      </c>
    </row>
    <row r="917" spans="1:5" x14ac:dyDescent="0.3">
      <c r="A917" t="s">
        <v>1185</v>
      </c>
      <c r="B917" t="s">
        <v>9128</v>
      </c>
      <c r="C917" t="s">
        <v>6517</v>
      </c>
      <c r="D917" t="s">
        <v>6517</v>
      </c>
      <c r="E917" t="s">
        <v>6517</v>
      </c>
    </row>
    <row r="918" spans="1:5" x14ac:dyDescent="0.3">
      <c r="A918" t="s">
        <v>1192</v>
      </c>
      <c r="B918" t="s">
        <v>9127</v>
      </c>
      <c r="C918" t="s">
        <v>9127</v>
      </c>
      <c r="D918" t="s">
        <v>9126</v>
      </c>
      <c r="E918" t="s">
        <v>9125</v>
      </c>
    </row>
    <row r="919" spans="1:5" x14ac:dyDescent="0.3">
      <c r="A919" t="s">
        <v>1192</v>
      </c>
      <c r="B919" t="s">
        <v>9124</v>
      </c>
      <c r="C919" t="s">
        <v>6517</v>
      </c>
      <c r="D919" t="s">
        <v>6517</v>
      </c>
      <c r="E919" t="s">
        <v>6517</v>
      </c>
    </row>
    <row r="920" spans="1:5" x14ac:dyDescent="0.3">
      <c r="A920" t="s">
        <v>1192</v>
      </c>
      <c r="B920" t="s">
        <v>9123</v>
      </c>
      <c r="C920" t="s">
        <v>6517</v>
      </c>
      <c r="D920" t="s">
        <v>6517</v>
      </c>
      <c r="E920" t="s">
        <v>6517</v>
      </c>
    </row>
    <row r="921" spans="1:5" x14ac:dyDescent="0.3">
      <c r="A921" t="s">
        <v>1192</v>
      </c>
      <c r="B921" t="s">
        <v>9122</v>
      </c>
      <c r="C921" t="s">
        <v>6517</v>
      </c>
      <c r="D921" t="s">
        <v>6517</v>
      </c>
      <c r="E921" t="s">
        <v>6517</v>
      </c>
    </row>
    <row r="922" spans="1:5" x14ac:dyDescent="0.3">
      <c r="A922" t="s">
        <v>1192</v>
      </c>
      <c r="B922" t="s">
        <v>9121</v>
      </c>
      <c r="C922" t="s">
        <v>6517</v>
      </c>
      <c r="D922" t="s">
        <v>6517</v>
      </c>
      <c r="E922" t="s">
        <v>6517</v>
      </c>
    </row>
    <row r="923" spans="1:5" x14ac:dyDescent="0.3">
      <c r="A923" t="s">
        <v>1198</v>
      </c>
      <c r="B923" t="s">
        <v>9120</v>
      </c>
      <c r="C923" t="s">
        <v>9120</v>
      </c>
      <c r="D923" t="s">
        <v>9119</v>
      </c>
      <c r="E923" t="s">
        <v>9118</v>
      </c>
    </row>
    <row r="924" spans="1:5" x14ac:dyDescent="0.3">
      <c r="A924" t="s">
        <v>1198</v>
      </c>
      <c r="B924" t="s">
        <v>9117</v>
      </c>
      <c r="C924" t="s">
        <v>6517</v>
      </c>
      <c r="D924" t="s">
        <v>6517</v>
      </c>
      <c r="E924" t="s">
        <v>6517</v>
      </c>
    </row>
    <row r="925" spans="1:5" x14ac:dyDescent="0.3">
      <c r="A925" t="s">
        <v>1198</v>
      </c>
      <c r="B925" t="s">
        <v>9116</v>
      </c>
      <c r="C925" t="s">
        <v>6517</v>
      </c>
      <c r="D925" t="s">
        <v>6517</v>
      </c>
      <c r="E925" t="s">
        <v>6517</v>
      </c>
    </row>
    <row r="926" spans="1:5" x14ac:dyDescent="0.3">
      <c r="A926" t="s">
        <v>1198</v>
      </c>
      <c r="B926" t="s">
        <v>9115</v>
      </c>
      <c r="C926" t="s">
        <v>6517</v>
      </c>
      <c r="D926" t="s">
        <v>6517</v>
      </c>
      <c r="E926" t="s">
        <v>6517</v>
      </c>
    </row>
    <row r="927" spans="1:5" x14ac:dyDescent="0.3">
      <c r="A927" t="s">
        <v>1198</v>
      </c>
      <c r="B927" t="s">
        <v>9114</v>
      </c>
      <c r="C927" t="s">
        <v>6517</v>
      </c>
      <c r="D927" t="s">
        <v>6517</v>
      </c>
      <c r="E927" t="s">
        <v>6517</v>
      </c>
    </row>
    <row r="928" spans="1:5" x14ac:dyDescent="0.3">
      <c r="A928" t="s">
        <v>1204</v>
      </c>
      <c r="B928" t="s">
        <v>9113</v>
      </c>
      <c r="C928" t="s">
        <v>9113</v>
      </c>
      <c r="D928" t="s">
        <v>9112</v>
      </c>
      <c r="E928" t="s">
        <v>9111</v>
      </c>
    </row>
    <row r="929" spans="1:5" x14ac:dyDescent="0.3">
      <c r="A929" t="s">
        <v>1204</v>
      </c>
      <c r="B929" t="s">
        <v>9110</v>
      </c>
      <c r="C929" t="s">
        <v>6517</v>
      </c>
      <c r="D929" t="s">
        <v>6517</v>
      </c>
      <c r="E929" t="s">
        <v>6517</v>
      </c>
    </row>
    <row r="930" spans="1:5" x14ac:dyDescent="0.3">
      <c r="A930" t="s">
        <v>1204</v>
      </c>
      <c r="B930" t="s">
        <v>9109</v>
      </c>
      <c r="C930" t="s">
        <v>6517</v>
      </c>
      <c r="D930" t="s">
        <v>6517</v>
      </c>
      <c r="E930" t="s">
        <v>6517</v>
      </c>
    </row>
    <row r="931" spans="1:5" x14ac:dyDescent="0.3">
      <c r="A931" t="s">
        <v>1204</v>
      </c>
      <c r="B931" t="s">
        <v>9108</v>
      </c>
      <c r="C931" t="s">
        <v>6517</v>
      </c>
      <c r="D931" t="s">
        <v>6517</v>
      </c>
      <c r="E931" t="s">
        <v>6517</v>
      </c>
    </row>
    <row r="932" spans="1:5" x14ac:dyDescent="0.3">
      <c r="A932" t="s">
        <v>1204</v>
      </c>
      <c r="B932" t="s">
        <v>9107</v>
      </c>
      <c r="C932" t="s">
        <v>6517</v>
      </c>
      <c r="D932" t="s">
        <v>6517</v>
      </c>
      <c r="E932" t="s">
        <v>6517</v>
      </c>
    </row>
    <row r="933" spans="1:5" x14ac:dyDescent="0.3">
      <c r="A933" t="s">
        <v>1210</v>
      </c>
      <c r="B933" t="s">
        <v>9106</v>
      </c>
      <c r="C933" t="s">
        <v>9106</v>
      </c>
      <c r="D933" t="s">
        <v>9105</v>
      </c>
      <c r="E933" t="s">
        <v>9104</v>
      </c>
    </row>
    <row r="934" spans="1:5" x14ac:dyDescent="0.3">
      <c r="A934" t="s">
        <v>1210</v>
      </c>
      <c r="B934" t="s">
        <v>9103</v>
      </c>
      <c r="C934" t="s">
        <v>6517</v>
      </c>
      <c r="D934" t="s">
        <v>6517</v>
      </c>
      <c r="E934" t="s">
        <v>6517</v>
      </c>
    </row>
    <row r="935" spans="1:5" x14ac:dyDescent="0.3">
      <c r="A935" t="s">
        <v>1210</v>
      </c>
      <c r="B935" t="s">
        <v>9102</v>
      </c>
      <c r="C935" t="s">
        <v>6517</v>
      </c>
      <c r="D935" t="s">
        <v>6517</v>
      </c>
      <c r="E935" t="s">
        <v>6517</v>
      </c>
    </row>
    <row r="936" spans="1:5" x14ac:dyDescent="0.3">
      <c r="A936" t="s">
        <v>1210</v>
      </c>
      <c r="B936" t="s">
        <v>9101</v>
      </c>
      <c r="C936" t="s">
        <v>6517</v>
      </c>
      <c r="D936" t="s">
        <v>6517</v>
      </c>
      <c r="E936" t="s">
        <v>6517</v>
      </c>
    </row>
    <row r="937" spans="1:5" x14ac:dyDescent="0.3">
      <c r="A937" t="s">
        <v>1210</v>
      </c>
      <c r="B937" t="s">
        <v>9100</v>
      </c>
      <c r="C937" t="s">
        <v>6517</v>
      </c>
      <c r="D937" t="s">
        <v>6517</v>
      </c>
      <c r="E937" t="s">
        <v>6517</v>
      </c>
    </row>
    <row r="938" spans="1:5" x14ac:dyDescent="0.3">
      <c r="A938" t="s">
        <v>204</v>
      </c>
      <c r="B938" t="s">
        <v>9099</v>
      </c>
      <c r="C938" t="s">
        <v>9099</v>
      </c>
      <c r="D938" t="s">
        <v>9098</v>
      </c>
      <c r="E938" t="s">
        <v>9097</v>
      </c>
    </row>
    <row r="939" spans="1:5" x14ac:dyDescent="0.3">
      <c r="A939" t="s">
        <v>204</v>
      </c>
      <c r="B939" t="s">
        <v>9096</v>
      </c>
      <c r="C939" t="s">
        <v>6517</v>
      </c>
      <c r="D939" t="s">
        <v>6517</v>
      </c>
      <c r="E939" t="s">
        <v>6517</v>
      </c>
    </row>
    <row r="940" spans="1:5" x14ac:dyDescent="0.3">
      <c r="A940" t="s">
        <v>204</v>
      </c>
      <c r="B940" t="s">
        <v>9095</v>
      </c>
      <c r="C940" t="s">
        <v>6517</v>
      </c>
      <c r="D940" t="s">
        <v>6517</v>
      </c>
      <c r="E940" t="s">
        <v>6517</v>
      </c>
    </row>
    <row r="941" spans="1:5" x14ac:dyDescent="0.3">
      <c r="A941" t="s">
        <v>204</v>
      </c>
      <c r="B941" t="s">
        <v>9094</v>
      </c>
      <c r="C941" t="s">
        <v>6517</v>
      </c>
      <c r="D941" t="s">
        <v>6517</v>
      </c>
      <c r="E941" t="s">
        <v>6517</v>
      </c>
    </row>
    <row r="942" spans="1:5" x14ac:dyDescent="0.3">
      <c r="A942" t="s">
        <v>204</v>
      </c>
      <c r="B942" t="s">
        <v>9093</v>
      </c>
      <c r="C942" t="s">
        <v>6517</v>
      </c>
      <c r="D942" t="s">
        <v>6517</v>
      </c>
      <c r="E942" t="s">
        <v>6517</v>
      </c>
    </row>
    <row r="943" spans="1:5" x14ac:dyDescent="0.3">
      <c r="A943" t="s">
        <v>1221</v>
      </c>
      <c r="B943" t="s">
        <v>9092</v>
      </c>
      <c r="C943" t="s">
        <v>9092</v>
      </c>
      <c r="D943" t="s">
        <v>9091</v>
      </c>
      <c r="E943" t="s">
        <v>9090</v>
      </c>
    </row>
    <row r="944" spans="1:5" x14ac:dyDescent="0.3">
      <c r="A944" t="s">
        <v>1221</v>
      </c>
      <c r="B944" t="s">
        <v>9089</v>
      </c>
      <c r="C944" t="s">
        <v>6517</v>
      </c>
      <c r="D944" t="s">
        <v>6517</v>
      </c>
      <c r="E944" t="s">
        <v>6517</v>
      </c>
    </row>
    <row r="945" spans="1:5" x14ac:dyDescent="0.3">
      <c r="A945" t="s">
        <v>1221</v>
      </c>
      <c r="B945" t="s">
        <v>9088</v>
      </c>
      <c r="C945" t="s">
        <v>6517</v>
      </c>
      <c r="D945" t="s">
        <v>6517</v>
      </c>
      <c r="E945" t="s">
        <v>6517</v>
      </c>
    </row>
    <row r="946" spans="1:5" x14ac:dyDescent="0.3">
      <c r="A946" t="s">
        <v>1221</v>
      </c>
      <c r="B946" t="s">
        <v>9087</v>
      </c>
      <c r="C946" t="s">
        <v>6517</v>
      </c>
      <c r="D946" t="s">
        <v>6517</v>
      </c>
      <c r="E946" t="s">
        <v>6517</v>
      </c>
    </row>
    <row r="947" spans="1:5" x14ac:dyDescent="0.3">
      <c r="A947" t="s">
        <v>1221</v>
      </c>
      <c r="B947" t="s">
        <v>9086</v>
      </c>
      <c r="C947" t="s">
        <v>6517</v>
      </c>
      <c r="D947" t="s">
        <v>6517</v>
      </c>
      <c r="E947" t="s">
        <v>6517</v>
      </c>
    </row>
    <row r="948" spans="1:5" x14ac:dyDescent="0.3">
      <c r="A948" t="s">
        <v>1227</v>
      </c>
      <c r="B948" t="s">
        <v>9085</v>
      </c>
      <c r="C948" t="s">
        <v>9085</v>
      </c>
      <c r="D948" t="s">
        <v>9084</v>
      </c>
      <c r="E948" t="s">
        <v>9083</v>
      </c>
    </row>
    <row r="949" spans="1:5" x14ac:dyDescent="0.3">
      <c r="A949" t="s">
        <v>1227</v>
      </c>
      <c r="B949" t="s">
        <v>9082</v>
      </c>
      <c r="C949" t="s">
        <v>6517</v>
      </c>
      <c r="D949" t="s">
        <v>6517</v>
      </c>
      <c r="E949" t="s">
        <v>6517</v>
      </c>
    </row>
    <row r="950" spans="1:5" x14ac:dyDescent="0.3">
      <c r="A950" t="s">
        <v>1227</v>
      </c>
      <c r="B950" t="s">
        <v>9081</v>
      </c>
      <c r="C950" t="s">
        <v>6517</v>
      </c>
      <c r="D950" t="s">
        <v>6517</v>
      </c>
      <c r="E950" t="s">
        <v>6517</v>
      </c>
    </row>
    <row r="951" spans="1:5" x14ac:dyDescent="0.3">
      <c r="A951" t="s">
        <v>1227</v>
      </c>
      <c r="B951" t="s">
        <v>9080</v>
      </c>
      <c r="C951" t="s">
        <v>6517</v>
      </c>
      <c r="D951" t="s">
        <v>6517</v>
      </c>
      <c r="E951" t="s">
        <v>6517</v>
      </c>
    </row>
    <row r="952" spans="1:5" x14ac:dyDescent="0.3">
      <c r="A952" t="s">
        <v>1227</v>
      </c>
      <c r="B952" t="s">
        <v>9079</v>
      </c>
      <c r="C952" t="s">
        <v>6517</v>
      </c>
      <c r="D952" t="s">
        <v>6517</v>
      </c>
      <c r="E952" t="s">
        <v>6517</v>
      </c>
    </row>
    <row r="953" spans="1:5" x14ac:dyDescent="0.3">
      <c r="A953" t="s">
        <v>1233</v>
      </c>
      <c r="B953" t="s">
        <v>9078</v>
      </c>
      <c r="C953" t="s">
        <v>9078</v>
      </c>
      <c r="D953" t="s">
        <v>9077</v>
      </c>
      <c r="E953" t="s">
        <v>9076</v>
      </c>
    </row>
    <row r="954" spans="1:5" x14ac:dyDescent="0.3">
      <c r="A954" t="s">
        <v>1233</v>
      </c>
      <c r="B954" t="s">
        <v>9075</v>
      </c>
      <c r="C954" t="s">
        <v>6517</v>
      </c>
      <c r="D954" t="s">
        <v>6517</v>
      </c>
      <c r="E954" t="s">
        <v>6517</v>
      </c>
    </row>
    <row r="955" spans="1:5" x14ac:dyDescent="0.3">
      <c r="A955" t="s">
        <v>1233</v>
      </c>
      <c r="B955" t="s">
        <v>9074</v>
      </c>
      <c r="C955" t="s">
        <v>6517</v>
      </c>
      <c r="D955" t="s">
        <v>6517</v>
      </c>
      <c r="E955" t="s">
        <v>6517</v>
      </c>
    </row>
    <row r="956" spans="1:5" x14ac:dyDescent="0.3">
      <c r="A956" t="s">
        <v>1233</v>
      </c>
      <c r="B956" t="s">
        <v>9073</v>
      </c>
      <c r="C956" t="s">
        <v>6517</v>
      </c>
      <c r="D956" t="s">
        <v>6517</v>
      </c>
      <c r="E956" t="s">
        <v>6517</v>
      </c>
    </row>
    <row r="957" spans="1:5" x14ac:dyDescent="0.3">
      <c r="A957" t="s">
        <v>1233</v>
      </c>
      <c r="B957" t="s">
        <v>9072</v>
      </c>
      <c r="C957" t="s">
        <v>6517</v>
      </c>
      <c r="D957" t="s">
        <v>6517</v>
      </c>
      <c r="E957" t="s">
        <v>6517</v>
      </c>
    </row>
    <row r="958" spans="1:5" x14ac:dyDescent="0.3">
      <c r="A958" t="s">
        <v>1239</v>
      </c>
      <c r="B958" t="s">
        <v>9071</v>
      </c>
      <c r="C958" t="s">
        <v>9071</v>
      </c>
      <c r="D958" t="s">
        <v>9070</v>
      </c>
      <c r="E958" t="s">
        <v>9069</v>
      </c>
    </row>
    <row r="959" spans="1:5" x14ac:dyDescent="0.3">
      <c r="A959" t="s">
        <v>1239</v>
      </c>
      <c r="B959" t="s">
        <v>9068</v>
      </c>
      <c r="C959" t="s">
        <v>6517</v>
      </c>
      <c r="D959" t="s">
        <v>6517</v>
      </c>
      <c r="E959" t="s">
        <v>6517</v>
      </c>
    </row>
    <row r="960" spans="1:5" x14ac:dyDescent="0.3">
      <c r="A960" t="s">
        <v>1239</v>
      </c>
      <c r="B960" t="s">
        <v>9067</v>
      </c>
      <c r="C960" t="s">
        <v>6517</v>
      </c>
      <c r="D960" t="s">
        <v>6517</v>
      </c>
      <c r="E960" t="s">
        <v>6517</v>
      </c>
    </row>
    <row r="961" spans="1:5" x14ac:dyDescent="0.3">
      <c r="A961" t="s">
        <v>1239</v>
      </c>
      <c r="B961" t="s">
        <v>9066</v>
      </c>
      <c r="C961" t="s">
        <v>6517</v>
      </c>
      <c r="D961" t="s">
        <v>6517</v>
      </c>
      <c r="E961" t="s">
        <v>6517</v>
      </c>
    </row>
    <row r="962" spans="1:5" x14ac:dyDescent="0.3">
      <c r="A962" t="s">
        <v>1239</v>
      </c>
      <c r="B962" t="s">
        <v>9065</v>
      </c>
      <c r="C962" t="s">
        <v>6517</v>
      </c>
      <c r="D962" t="s">
        <v>6517</v>
      </c>
      <c r="E962" t="s">
        <v>6517</v>
      </c>
    </row>
    <row r="963" spans="1:5" x14ac:dyDescent="0.3">
      <c r="A963" t="s">
        <v>1245</v>
      </c>
      <c r="B963" t="s">
        <v>9064</v>
      </c>
      <c r="C963" t="s">
        <v>9064</v>
      </c>
      <c r="D963" t="s">
        <v>9063</v>
      </c>
      <c r="E963" t="s">
        <v>9062</v>
      </c>
    </row>
    <row r="964" spans="1:5" x14ac:dyDescent="0.3">
      <c r="A964" t="s">
        <v>1245</v>
      </c>
      <c r="B964" t="s">
        <v>9061</v>
      </c>
      <c r="C964" t="s">
        <v>6517</v>
      </c>
      <c r="D964" t="s">
        <v>6517</v>
      </c>
      <c r="E964" t="s">
        <v>6517</v>
      </c>
    </row>
    <row r="965" spans="1:5" x14ac:dyDescent="0.3">
      <c r="A965" t="s">
        <v>1245</v>
      </c>
      <c r="B965" t="s">
        <v>9060</v>
      </c>
      <c r="C965" t="s">
        <v>6517</v>
      </c>
      <c r="D965" t="s">
        <v>6517</v>
      </c>
      <c r="E965" t="s">
        <v>6517</v>
      </c>
    </row>
    <row r="966" spans="1:5" x14ac:dyDescent="0.3">
      <c r="A966" t="s">
        <v>1245</v>
      </c>
      <c r="B966" t="s">
        <v>9059</v>
      </c>
      <c r="C966" t="s">
        <v>6517</v>
      </c>
      <c r="D966" t="s">
        <v>6517</v>
      </c>
      <c r="E966" t="s">
        <v>6517</v>
      </c>
    </row>
    <row r="967" spans="1:5" x14ac:dyDescent="0.3">
      <c r="A967" t="s">
        <v>1245</v>
      </c>
      <c r="B967" t="s">
        <v>9058</v>
      </c>
      <c r="C967" t="s">
        <v>6517</v>
      </c>
      <c r="D967" t="s">
        <v>6517</v>
      </c>
      <c r="E967" t="s">
        <v>6517</v>
      </c>
    </row>
    <row r="968" spans="1:5" x14ac:dyDescent="0.3">
      <c r="A968" t="s">
        <v>1251</v>
      </c>
      <c r="B968" t="s">
        <v>9057</v>
      </c>
      <c r="C968" t="s">
        <v>9057</v>
      </c>
      <c r="D968" t="s">
        <v>9056</v>
      </c>
      <c r="E968" t="s">
        <v>9055</v>
      </c>
    </row>
    <row r="969" spans="1:5" x14ac:dyDescent="0.3">
      <c r="A969" t="s">
        <v>1251</v>
      </c>
      <c r="B969" t="s">
        <v>9054</v>
      </c>
      <c r="C969" t="s">
        <v>6517</v>
      </c>
      <c r="D969" t="s">
        <v>6517</v>
      </c>
      <c r="E969" t="s">
        <v>6517</v>
      </c>
    </row>
    <row r="970" spans="1:5" x14ac:dyDescent="0.3">
      <c r="A970" t="s">
        <v>1251</v>
      </c>
      <c r="B970" t="s">
        <v>9053</v>
      </c>
      <c r="C970" t="s">
        <v>6517</v>
      </c>
      <c r="D970" t="s">
        <v>6517</v>
      </c>
      <c r="E970" t="s">
        <v>6517</v>
      </c>
    </row>
    <row r="971" spans="1:5" x14ac:dyDescent="0.3">
      <c r="A971" t="s">
        <v>1251</v>
      </c>
      <c r="B971" t="s">
        <v>9052</v>
      </c>
      <c r="C971" t="s">
        <v>6517</v>
      </c>
      <c r="D971" t="s">
        <v>6517</v>
      </c>
      <c r="E971" t="s">
        <v>6517</v>
      </c>
    </row>
    <row r="972" spans="1:5" x14ac:dyDescent="0.3">
      <c r="A972" t="s">
        <v>1251</v>
      </c>
      <c r="B972" t="s">
        <v>9051</v>
      </c>
      <c r="C972" t="s">
        <v>6517</v>
      </c>
      <c r="D972" t="s">
        <v>6517</v>
      </c>
      <c r="E972" t="s">
        <v>6517</v>
      </c>
    </row>
    <row r="973" spans="1:5" x14ac:dyDescent="0.3">
      <c r="A973" t="s">
        <v>1257</v>
      </c>
      <c r="B973" t="s">
        <v>9050</v>
      </c>
      <c r="C973" t="s">
        <v>9050</v>
      </c>
      <c r="D973" t="s">
        <v>9049</v>
      </c>
      <c r="E973" t="s">
        <v>9048</v>
      </c>
    </row>
    <row r="974" spans="1:5" x14ac:dyDescent="0.3">
      <c r="A974" t="s">
        <v>1257</v>
      </c>
      <c r="B974" t="s">
        <v>9047</v>
      </c>
      <c r="C974" t="s">
        <v>6517</v>
      </c>
      <c r="D974" t="s">
        <v>6517</v>
      </c>
      <c r="E974" t="s">
        <v>6517</v>
      </c>
    </row>
    <row r="975" spans="1:5" x14ac:dyDescent="0.3">
      <c r="A975" t="s">
        <v>1257</v>
      </c>
      <c r="B975" t="s">
        <v>9046</v>
      </c>
      <c r="C975" t="s">
        <v>6517</v>
      </c>
      <c r="D975" t="s">
        <v>6517</v>
      </c>
      <c r="E975" t="s">
        <v>6517</v>
      </c>
    </row>
    <row r="976" spans="1:5" x14ac:dyDescent="0.3">
      <c r="A976" t="s">
        <v>1257</v>
      </c>
      <c r="B976" t="s">
        <v>9045</v>
      </c>
      <c r="C976" t="s">
        <v>6517</v>
      </c>
      <c r="D976" t="s">
        <v>6517</v>
      </c>
      <c r="E976" t="s">
        <v>6517</v>
      </c>
    </row>
    <row r="977" spans="1:5" x14ac:dyDescent="0.3">
      <c r="A977" t="s">
        <v>1257</v>
      </c>
      <c r="B977" t="s">
        <v>9044</v>
      </c>
      <c r="C977" t="s">
        <v>6517</v>
      </c>
      <c r="D977" t="s">
        <v>6517</v>
      </c>
      <c r="E977" t="s">
        <v>6517</v>
      </c>
    </row>
    <row r="978" spans="1:5" x14ac:dyDescent="0.3">
      <c r="A978" t="s">
        <v>1262</v>
      </c>
      <c r="B978" t="s">
        <v>9043</v>
      </c>
      <c r="C978" t="s">
        <v>9043</v>
      </c>
      <c r="D978" t="s">
        <v>9042</v>
      </c>
      <c r="E978" t="s">
        <v>9041</v>
      </c>
    </row>
    <row r="979" spans="1:5" x14ac:dyDescent="0.3">
      <c r="A979" t="s">
        <v>1262</v>
      </c>
      <c r="B979" t="s">
        <v>9040</v>
      </c>
      <c r="C979" t="s">
        <v>6517</v>
      </c>
      <c r="D979" t="s">
        <v>6517</v>
      </c>
      <c r="E979" t="s">
        <v>6517</v>
      </c>
    </row>
    <row r="980" spans="1:5" x14ac:dyDescent="0.3">
      <c r="A980" t="s">
        <v>1262</v>
      </c>
      <c r="B980" t="s">
        <v>9039</v>
      </c>
      <c r="C980" t="s">
        <v>6517</v>
      </c>
      <c r="D980" t="s">
        <v>6517</v>
      </c>
      <c r="E980" t="s">
        <v>6517</v>
      </c>
    </row>
    <row r="981" spans="1:5" x14ac:dyDescent="0.3">
      <c r="A981" t="s">
        <v>1262</v>
      </c>
      <c r="B981" t="s">
        <v>9038</v>
      </c>
      <c r="C981" t="s">
        <v>6517</v>
      </c>
      <c r="D981" t="s">
        <v>6517</v>
      </c>
      <c r="E981" t="s">
        <v>6517</v>
      </c>
    </row>
    <row r="982" spans="1:5" x14ac:dyDescent="0.3">
      <c r="A982" t="s">
        <v>1262</v>
      </c>
      <c r="B982" t="s">
        <v>9037</v>
      </c>
      <c r="C982" t="s">
        <v>6517</v>
      </c>
      <c r="D982" t="s">
        <v>6517</v>
      </c>
      <c r="E982" t="s">
        <v>6517</v>
      </c>
    </row>
    <row r="983" spans="1:5" x14ac:dyDescent="0.3">
      <c r="A983" t="s">
        <v>1268</v>
      </c>
      <c r="B983" t="s">
        <v>9036</v>
      </c>
      <c r="C983" t="s">
        <v>9036</v>
      </c>
      <c r="D983" t="s">
        <v>9035</v>
      </c>
      <c r="E983" t="s">
        <v>9034</v>
      </c>
    </row>
    <row r="984" spans="1:5" x14ac:dyDescent="0.3">
      <c r="A984" t="s">
        <v>1268</v>
      </c>
      <c r="B984" t="s">
        <v>9033</v>
      </c>
      <c r="C984" t="s">
        <v>6517</v>
      </c>
      <c r="D984" t="s">
        <v>6517</v>
      </c>
      <c r="E984" t="s">
        <v>6517</v>
      </c>
    </row>
    <row r="985" spans="1:5" x14ac:dyDescent="0.3">
      <c r="A985" t="s">
        <v>1268</v>
      </c>
      <c r="B985" t="s">
        <v>9032</v>
      </c>
      <c r="C985" t="s">
        <v>6517</v>
      </c>
      <c r="D985" t="s">
        <v>6517</v>
      </c>
      <c r="E985" t="s">
        <v>6517</v>
      </c>
    </row>
    <row r="986" spans="1:5" x14ac:dyDescent="0.3">
      <c r="A986" t="s">
        <v>1268</v>
      </c>
      <c r="B986" t="s">
        <v>9031</v>
      </c>
      <c r="C986" t="s">
        <v>6517</v>
      </c>
      <c r="D986" t="s">
        <v>6517</v>
      </c>
      <c r="E986" t="s">
        <v>6517</v>
      </c>
    </row>
    <row r="987" spans="1:5" x14ac:dyDescent="0.3">
      <c r="A987" t="s">
        <v>1268</v>
      </c>
      <c r="B987" t="s">
        <v>9030</v>
      </c>
      <c r="C987" t="s">
        <v>6517</v>
      </c>
      <c r="D987" t="s">
        <v>6517</v>
      </c>
      <c r="E987" t="s">
        <v>6517</v>
      </c>
    </row>
    <row r="988" spans="1:5" x14ac:dyDescent="0.3">
      <c r="A988" t="s">
        <v>1274</v>
      </c>
      <c r="B988" t="s">
        <v>9029</v>
      </c>
      <c r="C988" t="s">
        <v>9029</v>
      </c>
      <c r="D988" t="s">
        <v>9028</v>
      </c>
      <c r="E988" t="s">
        <v>9027</v>
      </c>
    </row>
    <row r="989" spans="1:5" x14ac:dyDescent="0.3">
      <c r="A989" t="s">
        <v>1274</v>
      </c>
      <c r="B989" t="s">
        <v>9026</v>
      </c>
      <c r="C989" t="s">
        <v>6517</v>
      </c>
      <c r="D989" t="s">
        <v>6517</v>
      </c>
      <c r="E989" t="s">
        <v>6517</v>
      </c>
    </row>
    <row r="990" spans="1:5" x14ac:dyDescent="0.3">
      <c r="A990" t="s">
        <v>1274</v>
      </c>
      <c r="B990" t="s">
        <v>9025</v>
      </c>
      <c r="C990" t="s">
        <v>6517</v>
      </c>
      <c r="D990" t="s">
        <v>6517</v>
      </c>
      <c r="E990" t="s">
        <v>6517</v>
      </c>
    </row>
    <row r="991" spans="1:5" x14ac:dyDescent="0.3">
      <c r="A991" t="s">
        <v>1274</v>
      </c>
      <c r="B991" t="s">
        <v>9024</v>
      </c>
      <c r="C991" t="s">
        <v>6517</v>
      </c>
      <c r="D991" t="s">
        <v>6517</v>
      </c>
      <c r="E991" t="s">
        <v>6517</v>
      </c>
    </row>
    <row r="992" spans="1:5" x14ac:dyDescent="0.3">
      <c r="A992" t="s">
        <v>1274</v>
      </c>
      <c r="B992" t="s">
        <v>9023</v>
      </c>
      <c r="C992" t="s">
        <v>6517</v>
      </c>
      <c r="D992" t="s">
        <v>6517</v>
      </c>
      <c r="E992" t="s">
        <v>6517</v>
      </c>
    </row>
    <row r="993" spans="1:5" x14ac:dyDescent="0.3">
      <c r="A993" t="s">
        <v>1280</v>
      </c>
      <c r="B993" t="s">
        <v>9022</v>
      </c>
      <c r="C993" t="s">
        <v>9022</v>
      </c>
      <c r="D993" t="s">
        <v>9021</v>
      </c>
      <c r="E993" t="s">
        <v>9020</v>
      </c>
    </row>
    <row r="994" spans="1:5" x14ac:dyDescent="0.3">
      <c r="A994" t="s">
        <v>1280</v>
      </c>
      <c r="B994" t="s">
        <v>9019</v>
      </c>
      <c r="C994" t="s">
        <v>6517</v>
      </c>
      <c r="D994" t="s">
        <v>6517</v>
      </c>
      <c r="E994" t="s">
        <v>6517</v>
      </c>
    </row>
    <row r="995" spans="1:5" x14ac:dyDescent="0.3">
      <c r="A995" t="s">
        <v>1280</v>
      </c>
      <c r="B995" t="s">
        <v>9018</v>
      </c>
      <c r="C995" t="s">
        <v>6517</v>
      </c>
      <c r="D995" t="s">
        <v>6517</v>
      </c>
      <c r="E995" t="s">
        <v>6517</v>
      </c>
    </row>
    <row r="996" spans="1:5" x14ac:dyDescent="0.3">
      <c r="A996" t="s">
        <v>1280</v>
      </c>
      <c r="B996" t="s">
        <v>9017</v>
      </c>
      <c r="C996" t="s">
        <v>6517</v>
      </c>
      <c r="D996" t="s">
        <v>6517</v>
      </c>
      <c r="E996" t="s">
        <v>6517</v>
      </c>
    </row>
    <row r="997" spans="1:5" x14ac:dyDescent="0.3">
      <c r="A997" t="s">
        <v>1280</v>
      </c>
      <c r="B997" t="s">
        <v>9016</v>
      </c>
      <c r="C997" t="s">
        <v>6517</v>
      </c>
      <c r="D997" t="s">
        <v>6517</v>
      </c>
      <c r="E997" t="s">
        <v>6517</v>
      </c>
    </row>
    <row r="998" spans="1:5" x14ac:dyDescent="0.3">
      <c r="A998" t="s">
        <v>1286</v>
      </c>
      <c r="B998" t="s">
        <v>9015</v>
      </c>
      <c r="C998" t="s">
        <v>9015</v>
      </c>
      <c r="D998" t="s">
        <v>9014</v>
      </c>
      <c r="E998" t="s">
        <v>9013</v>
      </c>
    </row>
    <row r="999" spans="1:5" x14ac:dyDescent="0.3">
      <c r="A999" t="s">
        <v>1286</v>
      </c>
      <c r="B999" t="s">
        <v>9012</v>
      </c>
      <c r="C999" t="s">
        <v>6517</v>
      </c>
      <c r="D999" t="s">
        <v>6517</v>
      </c>
      <c r="E999" t="s">
        <v>6517</v>
      </c>
    </row>
    <row r="1000" spans="1:5" x14ac:dyDescent="0.3">
      <c r="A1000" t="s">
        <v>1286</v>
      </c>
      <c r="B1000" t="s">
        <v>9011</v>
      </c>
      <c r="C1000" t="s">
        <v>6517</v>
      </c>
      <c r="D1000" t="s">
        <v>6517</v>
      </c>
      <c r="E1000" t="s">
        <v>6517</v>
      </c>
    </row>
    <row r="1001" spans="1:5" x14ac:dyDescent="0.3">
      <c r="A1001" t="s">
        <v>1286</v>
      </c>
      <c r="B1001" t="s">
        <v>9010</v>
      </c>
      <c r="C1001" t="s">
        <v>6517</v>
      </c>
      <c r="D1001" t="s">
        <v>6517</v>
      </c>
      <c r="E1001" t="s">
        <v>6517</v>
      </c>
    </row>
    <row r="1002" spans="1:5" x14ac:dyDescent="0.3">
      <c r="A1002" t="s">
        <v>1286</v>
      </c>
      <c r="B1002" t="s">
        <v>9009</v>
      </c>
      <c r="C1002" t="s">
        <v>6517</v>
      </c>
      <c r="D1002" t="s">
        <v>6517</v>
      </c>
      <c r="E1002" t="s">
        <v>6517</v>
      </c>
    </row>
    <row r="1003" spans="1:5" x14ac:dyDescent="0.3">
      <c r="A1003" t="s">
        <v>1292</v>
      </c>
      <c r="B1003" t="s">
        <v>9008</v>
      </c>
      <c r="C1003" t="s">
        <v>9008</v>
      </c>
      <c r="D1003" t="s">
        <v>9007</v>
      </c>
      <c r="E1003" t="s">
        <v>9006</v>
      </c>
    </row>
    <row r="1004" spans="1:5" x14ac:dyDescent="0.3">
      <c r="A1004" t="s">
        <v>1292</v>
      </c>
      <c r="B1004" t="s">
        <v>9005</v>
      </c>
      <c r="C1004" t="s">
        <v>6517</v>
      </c>
      <c r="D1004" t="s">
        <v>6517</v>
      </c>
      <c r="E1004" t="s">
        <v>6517</v>
      </c>
    </row>
    <row r="1005" spans="1:5" x14ac:dyDescent="0.3">
      <c r="A1005" t="s">
        <v>1292</v>
      </c>
      <c r="B1005" t="s">
        <v>9004</v>
      </c>
      <c r="C1005" t="s">
        <v>6517</v>
      </c>
      <c r="D1005" t="s">
        <v>6517</v>
      </c>
      <c r="E1005" t="s">
        <v>6517</v>
      </c>
    </row>
    <row r="1006" spans="1:5" x14ac:dyDescent="0.3">
      <c r="A1006" t="s">
        <v>1292</v>
      </c>
      <c r="B1006" t="s">
        <v>9003</v>
      </c>
      <c r="C1006" t="s">
        <v>6517</v>
      </c>
      <c r="D1006" t="s">
        <v>6517</v>
      </c>
      <c r="E1006" t="s">
        <v>6517</v>
      </c>
    </row>
    <row r="1007" spans="1:5" x14ac:dyDescent="0.3">
      <c r="A1007" t="s">
        <v>1292</v>
      </c>
      <c r="B1007" t="s">
        <v>9002</v>
      </c>
      <c r="C1007" t="s">
        <v>6517</v>
      </c>
      <c r="D1007" t="s">
        <v>6517</v>
      </c>
      <c r="E1007" t="s">
        <v>6517</v>
      </c>
    </row>
    <row r="1008" spans="1:5" x14ac:dyDescent="0.3">
      <c r="A1008" t="s">
        <v>1293</v>
      </c>
      <c r="B1008" t="s">
        <v>9001</v>
      </c>
      <c r="C1008" t="s">
        <v>9001</v>
      </c>
      <c r="D1008" t="s">
        <v>9000</v>
      </c>
      <c r="E1008" t="s">
        <v>8999</v>
      </c>
    </row>
    <row r="1009" spans="1:5" x14ac:dyDescent="0.3">
      <c r="A1009" t="s">
        <v>1293</v>
      </c>
      <c r="B1009" t="s">
        <v>8998</v>
      </c>
      <c r="C1009" t="s">
        <v>6517</v>
      </c>
      <c r="D1009" t="s">
        <v>6517</v>
      </c>
      <c r="E1009" t="s">
        <v>6517</v>
      </c>
    </row>
    <row r="1010" spans="1:5" x14ac:dyDescent="0.3">
      <c r="A1010" t="s">
        <v>1293</v>
      </c>
      <c r="B1010" t="s">
        <v>8997</v>
      </c>
      <c r="C1010" t="s">
        <v>6517</v>
      </c>
      <c r="D1010" t="s">
        <v>6517</v>
      </c>
      <c r="E1010" t="s">
        <v>6517</v>
      </c>
    </row>
    <row r="1011" spans="1:5" x14ac:dyDescent="0.3">
      <c r="A1011" t="s">
        <v>1293</v>
      </c>
      <c r="B1011" t="s">
        <v>8996</v>
      </c>
      <c r="C1011" t="s">
        <v>6517</v>
      </c>
      <c r="D1011" t="s">
        <v>6517</v>
      </c>
      <c r="E1011" t="s">
        <v>6517</v>
      </c>
    </row>
    <row r="1012" spans="1:5" x14ac:dyDescent="0.3">
      <c r="A1012" t="s">
        <v>1293</v>
      </c>
      <c r="B1012" t="s">
        <v>8995</v>
      </c>
      <c r="C1012" t="s">
        <v>6517</v>
      </c>
      <c r="D1012" t="s">
        <v>6517</v>
      </c>
      <c r="E1012" t="s">
        <v>6517</v>
      </c>
    </row>
    <row r="1013" spans="1:5" x14ac:dyDescent="0.3">
      <c r="A1013" t="s">
        <v>1294</v>
      </c>
      <c r="B1013" t="s">
        <v>8994</v>
      </c>
      <c r="C1013" t="s">
        <v>8994</v>
      </c>
      <c r="D1013" t="s">
        <v>8993</v>
      </c>
      <c r="E1013" t="s">
        <v>8992</v>
      </c>
    </row>
    <row r="1014" spans="1:5" x14ac:dyDescent="0.3">
      <c r="A1014" t="s">
        <v>1294</v>
      </c>
      <c r="B1014" t="s">
        <v>8991</v>
      </c>
      <c r="C1014" t="s">
        <v>6517</v>
      </c>
      <c r="D1014" t="s">
        <v>6517</v>
      </c>
      <c r="E1014" t="s">
        <v>6517</v>
      </c>
    </row>
    <row r="1015" spans="1:5" x14ac:dyDescent="0.3">
      <c r="A1015" t="s">
        <v>1294</v>
      </c>
      <c r="B1015" t="s">
        <v>8990</v>
      </c>
      <c r="C1015" t="s">
        <v>6517</v>
      </c>
      <c r="D1015" t="s">
        <v>6517</v>
      </c>
      <c r="E1015" t="s">
        <v>6517</v>
      </c>
    </row>
    <row r="1016" spans="1:5" x14ac:dyDescent="0.3">
      <c r="A1016" t="s">
        <v>1294</v>
      </c>
      <c r="B1016" t="s">
        <v>8989</v>
      </c>
      <c r="C1016" t="s">
        <v>6517</v>
      </c>
      <c r="D1016" t="s">
        <v>6517</v>
      </c>
      <c r="E1016" t="s">
        <v>6517</v>
      </c>
    </row>
    <row r="1017" spans="1:5" x14ac:dyDescent="0.3">
      <c r="A1017" t="s">
        <v>1294</v>
      </c>
      <c r="B1017" t="s">
        <v>8988</v>
      </c>
      <c r="C1017" t="s">
        <v>6517</v>
      </c>
      <c r="D1017" t="s">
        <v>6517</v>
      </c>
      <c r="E1017" t="s">
        <v>6517</v>
      </c>
    </row>
    <row r="1018" spans="1:5" x14ac:dyDescent="0.3">
      <c r="A1018" t="s">
        <v>1295</v>
      </c>
      <c r="B1018" t="s">
        <v>8987</v>
      </c>
      <c r="C1018" t="s">
        <v>8987</v>
      </c>
      <c r="D1018" t="s">
        <v>8986</v>
      </c>
      <c r="E1018" t="s">
        <v>8985</v>
      </c>
    </row>
    <row r="1019" spans="1:5" x14ac:dyDescent="0.3">
      <c r="A1019" t="s">
        <v>1295</v>
      </c>
      <c r="B1019" t="s">
        <v>8984</v>
      </c>
      <c r="C1019" t="s">
        <v>6517</v>
      </c>
      <c r="D1019" t="s">
        <v>6517</v>
      </c>
      <c r="E1019" t="s">
        <v>6517</v>
      </c>
    </row>
    <row r="1020" spans="1:5" x14ac:dyDescent="0.3">
      <c r="A1020" t="s">
        <v>1295</v>
      </c>
      <c r="B1020" t="s">
        <v>8983</v>
      </c>
      <c r="C1020" t="s">
        <v>6517</v>
      </c>
      <c r="D1020" t="s">
        <v>6517</v>
      </c>
      <c r="E1020" t="s">
        <v>6517</v>
      </c>
    </row>
    <row r="1021" spans="1:5" x14ac:dyDescent="0.3">
      <c r="A1021" t="s">
        <v>1295</v>
      </c>
      <c r="B1021" t="s">
        <v>8982</v>
      </c>
      <c r="C1021" t="s">
        <v>6517</v>
      </c>
      <c r="D1021" t="s">
        <v>6517</v>
      </c>
      <c r="E1021" t="s">
        <v>6517</v>
      </c>
    </row>
    <row r="1022" spans="1:5" x14ac:dyDescent="0.3">
      <c r="A1022" t="s">
        <v>1295</v>
      </c>
      <c r="B1022" t="s">
        <v>8981</v>
      </c>
      <c r="C1022" t="s">
        <v>6517</v>
      </c>
      <c r="D1022" t="s">
        <v>6517</v>
      </c>
      <c r="E1022" t="s">
        <v>6517</v>
      </c>
    </row>
    <row r="1023" spans="1:5" x14ac:dyDescent="0.3">
      <c r="A1023" t="s">
        <v>1296</v>
      </c>
      <c r="B1023" t="s">
        <v>8980</v>
      </c>
      <c r="C1023" t="s">
        <v>8980</v>
      </c>
      <c r="D1023" t="s">
        <v>8979</v>
      </c>
      <c r="E1023" t="s">
        <v>8978</v>
      </c>
    </row>
    <row r="1024" spans="1:5" x14ac:dyDescent="0.3">
      <c r="A1024" t="s">
        <v>1296</v>
      </c>
      <c r="B1024" t="s">
        <v>8977</v>
      </c>
      <c r="C1024" t="s">
        <v>6517</v>
      </c>
      <c r="D1024" t="s">
        <v>6517</v>
      </c>
      <c r="E1024" t="s">
        <v>6517</v>
      </c>
    </row>
    <row r="1025" spans="1:5" x14ac:dyDescent="0.3">
      <c r="A1025" t="s">
        <v>1296</v>
      </c>
      <c r="B1025" t="s">
        <v>8976</v>
      </c>
      <c r="C1025" t="s">
        <v>6517</v>
      </c>
      <c r="D1025" t="s">
        <v>6517</v>
      </c>
      <c r="E1025" t="s">
        <v>6517</v>
      </c>
    </row>
    <row r="1026" spans="1:5" x14ac:dyDescent="0.3">
      <c r="A1026" t="s">
        <v>1296</v>
      </c>
      <c r="B1026" t="s">
        <v>8975</v>
      </c>
      <c r="C1026" t="s">
        <v>6517</v>
      </c>
      <c r="D1026" t="s">
        <v>6517</v>
      </c>
      <c r="E1026" t="s">
        <v>6517</v>
      </c>
    </row>
    <row r="1027" spans="1:5" x14ac:dyDescent="0.3">
      <c r="A1027" t="s">
        <v>1296</v>
      </c>
      <c r="B1027" t="s">
        <v>8974</v>
      </c>
      <c r="C1027" t="s">
        <v>6517</v>
      </c>
      <c r="D1027" t="s">
        <v>6517</v>
      </c>
      <c r="E1027" t="s">
        <v>6517</v>
      </c>
    </row>
    <row r="1028" spans="1:5" x14ac:dyDescent="0.3">
      <c r="A1028" t="s">
        <v>1297</v>
      </c>
      <c r="B1028" t="s">
        <v>8973</v>
      </c>
      <c r="C1028" t="s">
        <v>8973</v>
      </c>
      <c r="D1028" t="s">
        <v>8972</v>
      </c>
      <c r="E1028" t="s">
        <v>8971</v>
      </c>
    </row>
    <row r="1029" spans="1:5" x14ac:dyDescent="0.3">
      <c r="A1029" t="s">
        <v>1297</v>
      </c>
      <c r="B1029" t="s">
        <v>8970</v>
      </c>
      <c r="C1029" t="s">
        <v>6517</v>
      </c>
      <c r="D1029" t="s">
        <v>6517</v>
      </c>
      <c r="E1029" t="s">
        <v>6517</v>
      </c>
    </row>
    <row r="1030" spans="1:5" x14ac:dyDescent="0.3">
      <c r="A1030" t="s">
        <v>1297</v>
      </c>
      <c r="B1030" t="s">
        <v>8969</v>
      </c>
      <c r="C1030" t="s">
        <v>6517</v>
      </c>
      <c r="D1030" t="s">
        <v>6517</v>
      </c>
      <c r="E1030" t="s">
        <v>6517</v>
      </c>
    </row>
    <row r="1031" spans="1:5" x14ac:dyDescent="0.3">
      <c r="A1031" t="s">
        <v>1297</v>
      </c>
      <c r="B1031" t="s">
        <v>8968</v>
      </c>
      <c r="C1031" t="s">
        <v>6517</v>
      </c>
      <c r="D1031" t="s">
        <v>6517</v>
      </c>
      <c r="E1031" t="s">
        <v>6517</v>
      </c>
    </row>
    <row r="1032" spans="1:5" x14ac:dyDescent="0.3">
      <c r="A1032" t="s">
        <v>1297</v>
      </c>
      <c r="B1032" t="s">
        <v>8967</v>
      </c>
      <c r="C1032" t="s">
        <v>6517</v>
      </c>
      <c r="D1032" t="s">
        <v>6517</v>
      </c>
      <c r="E1032" t="s">
        <v>6517</v>
      </c>
    </row>
    <row r="1033" spans="1:5" x14ac:dyDescent="0.3">
      <c r="A1033" t="s">
        <v>1298</v>
      </c>
      <c r="B1033" t="s">
        <v>8966</v>
      </c>
      <c r="C1033" t="s">
        <v>8966</v>
      </c>
      <c r="D1033" t="s">
        <v>8965</v>
      </c>
      <c r="E1033" t="s">
        <v>8964</v>
      </c>
    </row>
    <row r="1034" spans="1:5" x14ac:dyDescent="0.3">
      <c r="A1034" t="s">
        <v>1298</v>
      </c>
      <c r="B1034" t="s">
        <v>8963</v>
      </c>
      <c r="C1034" t="s">
        <v>6517</v>
      </c>
      <c r="D1034" t="s">
        <v>6517</v>
      </c>
      <c r="E1034" t="s">
        <v>6517</v>
      </c>
    </row>
    <row r="1035" spans="1:5" x14ac:dyDescent="0.3">
      <c r="A1035" t="s">
        <v>1298</v>
      </c>
      <c r="B1035" t="s">
        <v>8962</v>
      </c>
      <c r="C1035" t="s">
        <v>6517</v>
      </c>
      <c r="D1035" t="s">
        <v>6517</v>
      </c>
      <c r="E1035" t="s">
        <v>6517</v>
      </c>
    </row>
    <row r="1036" spans="1:5" x14ac:dyDescent="0.3">
      <c r="A1036" t="s">
        <v>1298</v>
      </c>
      <c r="B1036" t="s">
        <v>8961</v>
      </c>
      <c r="C1036" t="s">
        <v>6517</v>
      </c>
      <c r="D1036" t="s">
        <v>6517</v>
      </c>
      <c r="E1036" t="s">
        <v>6517</v>
      </c>
    </row>
    <row r="1037" spans="1:5" x14ac:dyDescent="0.3">
      <c r="A1037" t="s">
        <v>1298</v>
      </c>
      <c r="B1037" t="s">
        <v>8960</v>
      </c>
      <c r="C1037" t="s">
        <v>6517</v>
      </c>
      <c r="D1037" t="s">
        <v>6517</v>
      </c>
      <c r="E1037" t="s">
        <v>6517</v>
      </c>
    </row>
    <row r="1038" spans="1:5" x14ac:dyDescent="0.3">
      <c r="A1038" t="s">
        <v>1299</v>
      </c>
      <c r="B1038" t="s">
        <v>8959</v>
      </c>
      <c r="C1038" t="s">
        <v>8959</v>
      </c>
      <c r="D1038" t="s">
        <v>8958</v>
      </c>
      <c r="E1038" t="s">
        <v>8957</v>
      </c>
    </row>
    <row r="1039" spans="1:5" x14ac:dyDescent="0.3">
      <c r="A1039" t="s">
        <v>1299</v>
      </c>
      <c r="B1039" t="s">
        <v>8956</v>
      </c>
      <c r="C1039" t="s">
        <v>6517</v>
      </c>
      <c r="D1039" t="s">
        <v>6517</v>
      </c>
      <c r="E1039" t="s">
        <v>6517</v>
      </c>
    </row>
    <row r="1040" spans="1:5" x14ac:dyDescent="0.3">
      <c r="A1040" t="s">
        <v>1299</v>
      </c>
      <c r="B1040" t="s">
        <v>8955</v>
      </c>
      <c r="C1040" t="s">
        <v>6517</v>
      </c>
      <c r="D1040" t="s">
        <v>6517</v>
      </c>
      <c r="E1040" t="s">
        <v>6517</v>
      </c>
    </row>
    <row r="1041" spans="1:5" x14ac:dyDescent="0.3">
      <c r="A1041" t="s">
        <v>1299</v>
      </c>
      <c r="B1041" t="s">
        <v>8954</v>
      </c>
      <c r="C1041" t="s">
        <v>6517</v>
      </c>
      <c r="D1041" t="s">
        <v>6517</v>
      </c>
      <c r="E1041" t="s">
        <v>6517</v>
      </c>
    </row>
    <row r="1042" spans="1:5" x14ac:dyDescent="0.3">
      <c r="A1042" t="s">
        <v>1299</v>
      </c>
      <c r="B1042" t="s">
        <v>8953</v>
      </c>
      <c r="C1042" t="s">
        <v>6517</v>
      </c>
      <c r="D1042" t="s">
        <v>6517</v>
      </c>
      <c r="E1042" t="s">
        <v>6517</v>
      </c>
    </row>
    <row r="1043" spans="1:5" x14ac:dyDescent="0.3">
      <c r="A1043" t="s">
        <v>1300</v>
      </c>
      <c r="B1043" t="s">
        <v>8952</v>
      </c>
      <c r="C1043" t="s">
        <v>8952</v>
      </c>
      <c r="D1043" t="s">
        <v>8951</v>
      </c>
      <c r="E1043" t="s">
        <v>8950</v>
      </c>
    </row>
    <row r="1044" spans="1:5" x14ac:dyDescent="0.3">
      <c r="A1044" t="s">
        <v>1300</v>
      </c>
      <c r="B1044" t="s">
        <v>8949</v>
      </c>
      <c r="C1044" t="s">
        <v>6517</v>
      </c>
      <c r="D1044" t="s">
        <v>6517</v>
      </c>
      <c r="E1044" t="s">
        <v>6517</v>
      </c>
    </row>
    <row r="1045" spans="1:5" x14ac:dyDescent="0.3">
      <c r="A1045" t="s">
        <v>1300</v>
      </c>
      <c r="B1045" t="s">
        <v>8948</v>
      </c>
      <c r="C1045" t="s">
        <v>6517</v>
      </c>
      <c r="D1045" t="s">
        <v>6517</v>
      </c>
      <c r="E1045" t="s">
        <v>6517</v>
      </c>
    </row>
    <row r="1046" spans="1:5" x14ac:dyDescent="0.3">
      <c r="A1046" t="s">
        <v>1300</v>
      </c>
      <c r="B1046" t="s">
        <v>8947</v>
      </c>
      <c r="C1046" t="s">
        <v>6517</v>
      </c>
      <c r="D1046" t="s">
        <v>6517</v>
      </c>
      <c r="E1046" t="s">
        <v>6517</v>
      </c>
    </row>
    <row r="1047" spans="1:5" x14ac:dyDescent="0.3">
      <c r="A1047" t="s">
        <v>1300</v>
      </c>
      <c r="B1047" t="s">
        <v>8946</v>
      </c>
      <c r="C1047" t="s">
        <v>6517</v>
      </c>
      <c r="D1047" t="s">
        <v>6517</v>
      </c>
      <c r="E1047" t="s">
        <v>6517</v>
      </c>
    </row>
    <row r="1048" spans="1:5" x14ac:dyDescent="0.3">
      <c r="A1048" t="s">
        <v>1301</v>
      </c>
      <c r="B1048" t="s">
        <v>8945</v>
      </c>
      <c r="C1048" t="s">
        <v>8945</v>
      </c>
      <c r="D1048" t="s">
        <v>8944</v>
      </c>
      <c r="E1048" t="s">
        <v>8943</v>
      </c>
    </row>
    <row r="1049" spans="1:5" x14ac:dyDescent="0.3">
      <c r="A1049" t="s">
        <v>1301</v>
      </c>
      <c r="B1049" t="s">
        <v>8942</v>
      </c>
      <c r="C1049" t="s">
        <v>6517</v>
      </c>
      <c r="D1049" t="s">
        <v>6517</v>
      </c>
      <c r="E1049" t="s">
        <v>6517</v>
      </c>
    </row>
    <row r="1050" spans="1:5" x14ac:dyDescent="0.3">
      <c r="A1050" t="s">
        <v>1301</v>
      </c>
      <c r="B1050" t="s">
        <v>8941</v>
      </c>
      <c r="C1050" t="s">
        <v>6517</v>
      </c>
      <c r="D1050" t="s">
        <v>6517</v>
      </c>
      <c r="E1050" t="s">
        <v>6517</v>
      </c>
    </row>
    <row r="1051" spans="1:5" x14ac:dyDescent="0.3">
      <c r="A1051" t="s">
        <v>1301</v>
      </c>
      <c r="B1051" t="s">
        <v>8940</v>
      </c>
      <c r="C1051" t="s">
        <v>6517</v>
      </c>
      <c r="D1051" t="s">
        <v>6517</v>
      </c>
      <c r="E1051" t="s">
        <v>6517</v>
      </c>
    </row>
    <row r="1052" spans="1:5" x14ac:dyDescent="0.3">
      <c r="A1052" t="s">
        <v>1301</v>
      </c>
      <c r="B1052" t="s">
        <v>8939</v>
      </c>
      <c r="C1052" t="s">
        <v>6517</v>
      </c>
      <c r="D1052" t="s">
        <v>6517</v>
      </c>
      <c r="E1052" t="s">
        <v>6517</v>
      </c>
    </row>
    <row r="1053" spans="1:5" x14ac:dyDescent="0.3">
      <c r="A1053" t="s">
        <v>1302</v>
      </c>
      <c r="B1053" t="s">
        <v>8938</v>
      </c>
      <c r="C1053" t="s">
        <v>8938</v>
      </c>
      <c r="D1053" t="s">
        <v>8937</v>
      </c>
      <c r="E1053" t="s">
        <v>8936</v>
      </c>
    </row>
    <row r="1054" spans="1:5" x14ac:dyDescent="0.3">
      <c r="A1054" t="s">
        <v>1302</v>
      </c>
      <c r="B1054" t="s">
        <v>8935</v>
      </c>
      <c r="C1054" t="s">
        <v>6517</v>
      </c>
      <c r="D1054" t="s">
        <v>6517</v>
      </c>
      <c r="E1054" t="s">
        <v>6517</v>
      </c>
    </row>
    <row r="1055" spans="1:5" x14ac:dyDescent="0.3">
      <c r="A1055" t="s">
        <v>1302</v>
      </c>
      <c r="B1055" t="s">
        <v>8934</v>
      </c>
      <c r="C1055" t="s">
        <v>6517</v>
      </c>
      <c r="D1055" t="s">
        <v>6517</v>
      </c>
      <c r="E1055" t="s">
        <v>6517</v>
      </c>
    </row>
    <row r="1056" spans="1:5" x14ac:dyDescent="0.3">
      <c r="A1056" t="s">
        <v>1302</v>
      </c>
      <c r="B1056" t="s">
        <v>8933</v>
      </c>
      <c r="C1056" t="s">
        <v>6517</v>
      </c>
      <c r="D1056" t="s">
        <v>6517</v>
      </c>
      <c r="E1056" t="s">
        <v>6517</v>
      </c>
    </row>
    <row r="1057" spans="1:5" x14ac:dyDescent="0.3">
      <c r="A1057" t="s">
        <v>1302</v>
      </c>
      <c r="B1057" t="s">
        <v>8932</v>
      </c>
      <c r="C1057" t="s">
        <v>6517</v>
      </c>
      <c r="D1057" t="s">
        <v>6517</v>
      </c>
      <c r="E1057" t="s">
        <v>6517</v>
      </c>
    </row>
    <row r="1058" spans="1:5" x14ac:dyDescent="0.3">
      <c r="A1058" t="s">
        <v>1303</v>
      </c>
      <c r="B1058" t="s">
        <v>8931</v>
      </c>
      <c r="C1058" t="s">
        <v>8931</v>
      </c>
      <c r="D1058" t="s">
        <v>8930</v>
      </c>
      <c r="E1058" t="s">
        <v>8929</v>
      </c>
    </row>
    <row r="1059" spans="1:5" x14ac:dyDescent="0.3">
      <c r="A1059" t="s">
        <v>1303</v>
      </c>
      <c r="B1059" t="s">
        <v>8928</v>
      </c>
      <c r="C1059" t="s">
        <v>6517</v>
      </c>
      <c r="D1059" t="s">
        <v>6517</v>
      </c>
      <c r="E1059" t="s">
        <v>6517</v>
      </c>
    </row>
    <row r="1060" spans="1:5" x14ac:dyDescent="0.3">
      <c r="A1060" t="s">
        <v>1303</v>
      </c>
      <c r="B1060" t="s">
        <v>8927</v>
      </c>
      <c r="C1060" t="s">
        <v>6517</v>
      </c>
      <c r="D1060" t="s">
        <v>6517</v>
      </c>
      <c r="E1060" t="s">
        <v>6517</v>
      </c>
    </row>
    <row r="1061" spans="1:5" x14ac:dyDescent="0.3">
      <c r="A1061" t="s">
        <v>1303</v>
      </c>
      <c r="B1061" t="s">
        <v>8926</v>
      </c>
      <c r="C1061" t="s">
        <v>6517</v>
      </c>
      <c r="D1061" t="s">
        <v>6517</v>
      </c>
      <c r="E1061" t="s">
        <v>6517</v>
      </c>
    </row>
    <row r="1062" spans="1:5" x14ac:dyDescent="0.3">
      <c r="A1062" t="s">
        <v>1303</v>
      </c>
      <c r="B1062" t="s">
        <v>8925</v>
      </c>
      <c r="C1062" t="s">
        <v>6517</v>
      </c>
      <c r="D1062" t="s">
        <v>6517</v>
      </c>
      <c r="E1062" t="s">
        <v>6517</v>
      </c>
    </row>
    <row r="1063" spans="1:5" x14ac:dyDescent="0.3">
      <c r="A1063" t="s">
        <v>1304</v>
      </c>
      <c r="B1063" t="s">
        <v>8924</v>
      </c>
      <c r="C1063" t="s">
        <v>8924</v>
      </c>
      <c r="D1063" t="s">
        <v>8923</v>
      </c>
      <c r="E1063" t="s">
        <v>8922</v>
      </c>
    </row>
    <row r="1064" spans="1:5" x14ac:dyDescent="0.3">
      <c r="A1064" t="s">
        <v>1304</v>
      </c>
      <c r="B1064" t="s">
        <v>8921</v>
      </c>
      <c r="C1064" t="s">
        <v>6517</v>
      </c>
      <c r="D1064" t="s">
        <v>6517</v>
      </c>
      <c r="E1064" t="s">
        <v>6517</v>
      </c>
    </row>
    <row r="1065" spans="1:5" x14ac:dyDescent="0.3">
      <c r="A1065" t="s">
        <v>1304</v>
      </c>
      <c r="B1065" t="s">
        <v>8920</v>
      </c>
      <c r="C1065" t="s">
        <v>6517</v>
      </c>
      <c r="D1065" t="s">
        <v>6517</v>
      </c>
      <c r="E1065" t="s">
        <v>6517</v>
      </c>
    </row>
    <row r="1066" spans="1:5" x14ac:dyDescent="0.3">
      <c r="A1066" t="s">
        <v>1304</v>
      </c>
      <c r="B1066" t="s">
        <v>8919</v>
      </c>
      <c r="C1066" t="s">
        <v>6517</v>
      </c>
      <c r="D1066" t="s">
        <v>6517</v>
      </c>
      <c r="E1066" t="s">
        <v>6517</v>
      </c>
    </row>
    <row r="1067" spans="1:5" x14ac:dyDescent="0.3">
      <c r="A1067" t="s">
        <v>1304</v>
      </c>
      <c r="B1067" t="s">
        <v>8918</v>
      </c>
      <c r="C1067" t="s">
        <v>6517</v>
      </c>
      <c r="D1067" t="s">
        <v>6517</v>
      </c>
      <c r="E1067" t="s">
        <v>6517</v>
      </c>
    </row>
    <row r="1068" spans="1:5" x14ac:dyDescent="0.3">
      <c r="A1068" t="s">
        <v>1305</v>
      </c>
      <c r="B1068" t="s">
        <v>8917</v>
      </c>
      <c r="C1068" t="s">
        <v>8917</v>
      </c>
      <c r="D1068" t="s">
        <v>8916</v>
      </c>
      <c r="E1068" t="s">
        <v>8915</v>
      </c>
    </row>
    <row r="1069" spans="1:5" x14ac:dyDescent="0.3">
      <c r="A1069" t="s">
        <v>1305</v>
      </c>
      <c r="B1069" t="s">
        <v>8914</v>
      </c>
      <c r="C1069" t="s">
        <v>6517</v>
      </c>
      <c r="D1069" t="s">
        <v>6517</v>
      </c>
      <c r="E1069" t="s">
        <v>6517</v>
      </c>
    </row>
    <row r="1070" spans="1:5" x14ac:dyDescent="0.3">
      <c r="A1070" t="s">
        <v>1305</v>
      </c>
      <c r="B1070" t="s">
        <v>8913</v>
      </c>
      <c r="C1070" t="s">
        <v>6517</v>
      </c>
      <c r="D1070" t="s">
        <v>6517</v>
      </c>
      <c r="E1070" t="s">
        <v>6517</v>
      </c>
    </row>
    <row r="1071" spans="1:5" x14ac:dyDescent="0.3">
      <c r="A1071" t="s">
        <v>1305</v>
      </c>
      <c r="B1071" t="s">
        <v>8912</v>
      </c>
      <c r="C1071" t="s">
        <v>6517</v>
      </c>
      <c r="D1071" t="s">
        <v>6517</v>
      </c>
      <c r="E1071" t="s">
        <v>6517</v>
      </c>
    </row>
    <row r="1072" spans="1:5" x14ac:dyDescent="0.3">
      <c r="A1072" t="s">
        <v>1305</v>
      </c>
      <c r="B1072" t="s">
        <v>8911</v>
      </c>
      <c r="C1072" t="s">
        <v>6517</v>
      </c>
      <c r="D1072" t="s">
        <v>6517</v>
      </c>
      <c r="E1072" t="s">
        <v>6517</v>
      </c>
    </row>
    <row r="1073" spans="1:5" x14ac:dyDescent="0.3">
      <c r="A1073" t="s">
        <v>1306</v>
      </c>
      <c r="B1073" t="s">
        <v>8910</v>
      </c>
      <c r="C1073" t="s">
        <v>8910</v>
      </c>
      <c r="D1073" t="s">
        <v>8909</v>
      </c>
      <c r="E1073" t="s">
        <v>8908</v>
      </c>
    </row>
    <row r="1074" spans="1:5" x14ac:dyDescent="0.3">
      <c r="A1074" t="s">
        <v>1306</v>
      </c>
      <c r="B1074" t="s">
        <v>8907</v>
      </c>
      <c r="C1074" t="s">
        <v>6517</v>
      </c>
      <c r="D1074" t="s">
        <v>6517</v>
      </c>
      <c r="E1074" t="s">
        <v>6517</v>
      </c>
    </row>
    <row r="1075" spans="1:5" x14ac:dyDescent="0.3">
      <c r="A1075" t="s">
        <v>1306</v>
      </c>
      <c r="B1075" t="s">
        <v>8906</v>
      </c>
      <c r="C1075" t="s">
        <v>6517</v>
      </c>
      <c r="D1075" t="s">
        <v>6517</v>
      </c>
      <c r="E1075" t="s">
        <v>6517</v>
      </c>
    </row>
    <row r="1076" spans="1:5" x14ac:dyDescent="0.3">
      <c r="A1076" t="s">
        <v>1306</v>
      </c>
      <c r="B1076" t="s">
        <v>8905</v>
      </c>
      <c r="C1076" t="s">
        <v>6517</v>
      </c>
      <c r="D1076" t="s">
        <v>6517</v>
      </c>
      <c r="E1076" t="s">
        <v>6517</v>
      </c>
    </row>
    <row r="1077" spans="1:5" x14ac:dyDescent="0.3">
      <c r="A1077" t="s">
        <v>1306</v>
      </c>
      <c r="B1077" t="s">
        <v>8904</v>
      </c>
      <c r="C1077" t="s">
        <v>6517</v>
      </c>
      <c r="D1077" t="s">
        <v>6517</v>
      </c>
      <c r="E1077" t="s">
        <v>6517</v>
      </c>
    </row>
    <row r="1078" spans="1:5" x14ac:dyDescent="0.3">
      <c r="A1078" t="s">
        <v>1307</v>
      </c>
      <c r="B1078" t="s">
        <v>8903</v>
      </c>
      <c r="C1078" t="s">
        <v>8903</v>
      </c>
      <c r="D1078" t="s">
        <v>8902</v>
      </c>
      <c r="E1078" t="s">
        <v>8901</v>
      </c>
    </row>
    <row r="1079" spans="1:5" x14ac:dyDescent="0.3">
      <c r="A1079" t="s">
        <v>1307</v>
      </c>
      <c r="B1079" t="s">
        <v>8900</v>
      </c>
      <c r="C1079" t="s">
        <v>6517</v>
      </c>
      <c r="D1079" t="s">
        <v>6517</v>
      </c>
      <c r="E1079" t="s">
        <v>6517</v>
      </c>
    </row>
    <row r="1080" spans="1:5" x14ac:dyDescent="0.3">
      <c r="A1080" t="s">
        <v>1307</v>
      </c>
      <c r="B1080" t="s">
        <v>8899</v>
      </c>
      <c r="C1080" t="s">
        <v>6517</v>
      </c>
      <c r="D1080" t="s">
        <v>6517</v>
      </c>
      <c r="E1080" t="s">
        <v>6517</v>
      </c>
    </row>
    <row r="1081" spans="1:5" x14ac:dyDescent="0.3">
      <c r="A1081" t="s">
        <v>1307</v>
      </c>
      <c r="B1081" t="s">
        <v>8898</v>
      </c>
      <c r="C1081" t="s">
        <v>6517</v>
      </c>
      <c r="D1081" t="s">
        <v>6517</v>
      </c>
      <c r="E1081" t="s">
        <v>6517</v>
      </c>
    </row>
    <row r="1082" spans="1:5" x14ac:dyDescent="0.3">
      <c r="A1082" t="s">
        <v>1307</v>
      </c>
      <c r="B1082" t="s">
        <v>8897</v>
      </c>
      <c r="C1082" t="s">
        <v>6517</v>
      </c>
      <c r="D1082" t="s">
        <v>6517</v>
      </c>
      <c r="E1082" t="s">
        <v>6517</v>
      </c>
    </row>
    <row r="1083" spans="1:5" x14ac:dyDescent="0.3">
      <c r="A1083" t="s">
        <v>1308</v>
      </c>
      <c r="B1083" t="s">
        <v>8896</v>
      </c>
      <c r="C1083" t="s">
        <v>8896</v>
      </c>
      <c r="D1083" t="s">
        <v>8895</v>
      </c>
      <c r="E1083" t="s">
        <v>8894</v>
      </c>
    </row>
    <row r="1084" spans="1:5" x14ac:dyDescent="0.3">
      <c r="A1084" t="s">
        <v>1308</v>
      </c>
      <c r="B1084" t="s">
        <v>8893</v>
      </c>
      <c r="C1084" t="s">
        <v>6517</v>
      </c>
      <c r="D1084" t="s">
        <v>6517</v>
      </c>
      <c r="E1084" t="s">
        <v>6517</v>
      </c>
    </row>
    <row r="1085" spans="1:5" x14ac:dyDescent="0.3">
      <c r="A1085" t="s">
        <v>1308</v>
      </c>
      <c r="B1085" t="s">
        <v>8892</v>
      </c>
      <c r="C1085" t="s">
        <v>6517</v>
      </c>
      <c r="D1085" t="s">
        <v>6517</v>
      </c>
      <c r="E1085" t="s">
        <v>6517</v>
      </c>
    </row>
    <row r="1086" spans="1:5" x14ac:dyDescent="0.3">
      <c r="A1086" t="s">
        <v>1308</v>
      </c>
      <c r="B1086" t="s">
        <v>8891</v>
      </c>
      <c r="C1086" t="s">
        <v>6517</v>
      </c>
      <c r="D1086" t="s">
        <v>6517</v>
      </c>
      <c r="E1086" t="s">
        <v>6517</v>
      </c>
    </row>
    <row r="1087" spans="1:5" x14ac:dyDescent="0.3">
      <c r="A1087" t="s">
        <v>1308</v>
      </c>
      <c r="B1087" t="s">
        <v>8890</v>
      </c>
      <c r="C1087" t="s">
        <v>6517</v>
      </c>
      <c r="D1087" t="s">
        <v>6517</v>
      </c>
      <c r="E1087" t="s">
        <v>6517</v>
      </c>
    </row>
    <row r="1088" spans="1:5" x14ac:dyDescent="0.3">
      <c r="A1088" t="s">
        <v>1309</v>
      </c>
      <c r="B1088" t="s">
        <v>8889</v>
      </c>
      <c r="C1088" t="s">
        <v>8889</v>
      </c>
      <c r="D1088" t="s">
        <v>8888</v>
      </c>
      <c r="E1088" t="s">
        <v>8887</v>
      </c>
    </row>
    <row r="1089" spans="1:5" x14ac:dyDescent="0.3">
      <c r="A1089" t="s">
        <v>1309</v>
      </c>
      <c r="B1089" t="s">
        <v>8886</v>
      </c>
      <c r="C1089" t="s">
        <v>6517</v>
      </c>
      <c r="D1089" t="s">
        <v>6517</v>
      </c>
      <c r="E1089" t="s">
        <v>6517</v>
      </c>
    </row>
    <row r="1090" spans="1:5" x14ac:dyDescent="0.3">
      <c r="A1090" t="s">
        <v>1309</v>
      </c>
      <c r="B1090" t="s">
        <v>8885</v>
      </c>
      <c r="C1090" t="s">
        <v>6517</v>
      </c>
      <c r="D1090" t="s">
        <v>6517</v>
      </c>
      <c r="E1090" t="s">
        <v>6517</v>
      </c>
    </row>
    <row r="1091" spans="1:5" x14ac:dyDescent="0.3">
      <c r="A1091" t="s">
        <v>1309</v>
      </c>
      <c r="B1091" t="s">
        <v>8884</v>
      </c>
      <c r="C1091" t="s">
        <v>6517</v>
      </c>
      <c r="D1091" t="s">
        <v>6517</v>
      </c>
      <c r="E1091" t="s">
        <v>6517</v>
      </c>
    </row>
    <row r="1092" spans="1:5" x14ac:dyDescent="0.3">
      <c r="A1092" t="s">
        <v>1309</v>
      </c>
      <c r="B1092" t="s">
        <v>8883</v>
      </c>
      <c r="C1092" t="s">
        <v>6517</v>
      </c>
      <c r="D1092" t="s">
        <v>6517</v>
      </c>
      <c r="E1092" t="s">
        <v>6517</v>
      </c>
    </row>
    <row r="1093" spans="1:5" x14ac:dyDescent="0.3">
      <c r="A1093" t="s">
        <v>1310</v>
      </c>
      <c r="B1093" t="s">
        <v>8882</v>
      </c>
      <c r="C1093" t="s">
        <v>8882</v>
      </c>
      <c r="D1093" t="s">
        <v>8881</v>
      </c>
      <c r="E1093" t="s">
        <v>8880</v>
      </c>
    </row>
    <row r="1094" spans="1:5" x14ac:dyDescent="0.3">
      <c r="A1094" t="s">
        <v>1310</v>
      </c>
      <c r="B1094" t="s">
        <v>8879</v>
      </c>
      <c r="C1094" t="s">
        <v>6517</v>
      </c>
      <c r="D1094" t="s">
        <v>6517</v>
      </c>
      <c r="E1094" t="s">
        <v>6517</v>
      </c>
    </row>
    <row r="1095" spans="1:5" x14ac:dyDescent="0.3">
      <c r="A1095" t="s">
        <v>1310</v>
      </c>
      <c r="B1095" t="s">
        <v>8878</v>
      </c>
      <c r="C1095" t="s">
        <v>6517</v>
      </c>
      <c r="D1095" t="s">
        <v>6517</v>
      </c>
      <c r="E1095" t="s">
        <v>6517</v>
      </c>
    </row>
    <row r="1096" spans="1:5" x14ac:dyDescent="0.3">
      <c r="A1096" t="s">
        <v>1310</v>
      </c>
      <c r="B1096" t="s">
        <v>8877</v>
      </c>
      <c r="C1096" t="s">
        <v>6517</v>
      </c>
      <c r="D1096" t="s">
        <v>6517</v>
      </c>
      <c r="E1096" t="s">
        <v>6517</v>
      </c>
    </row>
    <row r="1097" spans="1:5" x14ac:dyDescent="0.3">
      <c r="A1097" t="s">
        <v>1310</v>
      </c>
      <c r="B1097" t="s">
        <v>8876</v>
      </c>
      <c r="C1097" t="s">
        <v>6517</v>
      </c>
      <c r="D1097" t="s">
        <v>6517</v>
      </c>
      <c r="E1097" t="s">
        <v>6517</v>
      </c>
    </row>
    <row r="1098" spans="1:5" x14ac:dyDescent="0.3">
      <c r="A1098" t="s">
        <v>1311</v>
      </c>
      <c r="B1098" t="s">
        <v>8875</v>
      </c>
      <c r="C1098" t="s">
        <v>8875</v>
      </c>
      <c r="D1098" t="s">
        <v>8874</v>
      </c>
      <c r="E1098" t="s">
        <v>8873</v>
      </c>
    </row>
    <row r="1099" spans="1:5" x14ac:dyDescent="0.3">
      <c r="A1099" t="s">
        <v>1311</v>
      </c>
      <c r="B1099" t="s">
        <v>8872</v>
      </c>
      <c r="C1099" t="s">
        <v>6517</v>
      </c>
      <c r="D1099" t="s">
        <v>6517</v>
      </c>
      <c r="E1099" t="s">
        <v>6517</v>
      </c>
    </row>
    <row r="1100" spans="1:5" x14ac:dyDescent="0.3">
      <c r="A1100" t="s">
        <v>1311</v>
      </c>
      <c r="B1100" t="s">
        <v>8871</v>
      </c>
      <c r="C1100" t="s">
        <v>6517</v>
      </c>
      <c r="D1100" t="s">
        <v>6517</v>
      </c>
      <c r="E1100" t="s">
        <v>6517</v>
      </c>
    </row>
    <row r="1101" spans="1:5" x14ac:dyDescent="0.3">
      <c r="A1101" t="s">
        <v>1311</v>
      </c>
      <c r="B1101" t="s">
        <v>8870</v>
      </c>
      <c r="C1101" t="s">
        <v>6517</v>
      </c>
      <c r="D1101" t="s">
        <v>6517</v>
      </c>
      <c r="E1101" t="s">
        <v>6517</v>
      </c>
    </row>
    <row r="1102" spans="1:5" x14ac:dyDescent="0.3">
      <c r="A1102" t="s">
        <v>1311</v>
      </c>
      <c r="B1102" t="s">
        <v>8869</v>
      </c>
      <c r="C1102" t="s">
        <v>6517</v>
      </c>
      <c r="D1102" t="s">
        <v>6517</v>
      </c>
      <c r="E1102" t="s">
        <v>6517</v>
      </c>
    </row>
    <row r="1103" spans="1:5" x14ac:dyDescent="0.3">
      <c r="A1103" t="s">
        <v>1313</v>
      </c>
      <c r="B1103" t="s">
        <v>8868</v>
      </c>
      <c r="C1103" t="s">
        <v>8868</v>
      </c>
      <c r="D1103" t="s">
        <v>8867</v>
      </c>
      <c r="E1103" t="s">
        <v>8866</v>
      </c>
    </row>
    <row r="1104" spans="1:5" x14ac:dyDescent="0.3">
      <c r="A1104" t="s">
        <v>1313</v>
      </c>
      <c r="B1104" t="s">
        <v>8865</v>
      </c>
      <c r="C1104" t="s">
        <v>6517</v>
      </c>
      <c r="D1104" t="s">
        <v>6517</v>
      </c>
      <c r="E1104" t="s">
        <v>6517</v>
      </c>
    </row>
    <row r="1105" spans="1:5" x14ac:dyDescent="0.3">
      <c r="A1105" t="s">
        <v>1313</v>
      </c>
      <c r="B1105" t="s">
        <v>8864</v>
      </c>
      <c r="C1105" t="s">
        <v>6517</v>
      </c>
      <c r="D1105" t="s">
        <v>6517</v>
      </c>
      <c r="E1105" t="s">
        <v>6517</v>
      </c>
    </row>
    <row r="1106" spans="1:5" x14ac:dyDescent="0.3">
      <c r="A1106" t="s">
        <v>1313</v>
      </c>
      <c r="B1106" t="s">
        <v>8863</v>
      </c>
      <c r="C1106" t="s">
        <v>6517</v>
      </c>
      <c r="D1106" t="s">
        <v>6517</v>
      </c>
      <c r="E1106" t="s">
        <v>6517</v>
      </c>
    </row>
    <row r="1107" spans="1:5" x14ac:dyDescent="0.3">
      <c r="A1107" t="s">
        <v>1313</v>
      </c>
      <c r="B1107" t="s">
        <v>8862</v>
      </c>
      <c r="C1107" t="s">
        <v>6517</v>
      </c>
      <c r="D1107" t="s">
        <v>6517</v>
      </c>
      <c r="E1107" t="s">
        <v>6517</v>
      </c>
    </row>
    <row r="1108" spans="1:5" x14ac:dyDescent="0.3">
      <c r="A1108" t="s">
        <v>1314</v>
      </c>
      <c r="B1108" t="s">
        <v>8861</v>
      </c>
      <c r="C1108" t="s">
        <v>8861</v>
      </c>
      <c r="D1108" t="s">
        <v>8860</v>
      </c>
      <c r="E1108" t="s">
        <v>8859</v>
      </c>
    </row>
    <row r="1109" spans="1:5" x14ac:dyDescent="0.3">
      <c r="A1109" t="s">
        <v>1314</v>
      </c>
      <c r="B1109" t="s">
        <v>8858</v>
      </c>
      <c r="C1109" t="s">
        <v>6517</v>
      </c>
      <c r="D1109" t="s">
        <v>6517</v>
      </c>
      <c r="E1109" t="s">
        <v>6517</v>
      </c>
    </row>
    <row r="1110" spans="1:5" x14ac:dyDescent="0.3">
      <c r="A1110" t="s">
        <v>1314</v>
      </c>
      <c r="B1110" t="s">
        <v>8857</v>
      </c>
      <c r="C1110" t="s">
        <v>6517</v>
      </c>
      <c r="D1110" t="s">
        <v>6517</v>
      </c>
      <c r="E1110" t="s">
        <v>6517</v>
      </c>
    </row>
    <row r="1111" spans="1:5" x14ac:dyDescent="0.3">
      <c r="A1111" t="s">
        <v>1314</v>
      </c>
      <c r="B1111" t="s">
        <v>8856</v>
      </c>
      <c r="C1111" t="s">
        <v>6517</v>
      </c>
      <c r="D1111" t="s">
        <v>6517</v>
      </c>
      <c r="E1111" t="s">
        <v>6517</v>
      </c>
    </row>
    <row r="1112" spans="1:5" x14ac:dyDescent="0.3">
      <c r="A1112" t="s">
        <v>1314</v>
      </c>
      <c r="B1112" t="s">
        <v>8855</v>
      </c>
      <c r="C1112" t="s">
        <v>6517</v>
      </c>
      <c r="D1112" t="s">
        <v>6517</v>
      </c>
      <c r="E1112" t="s">
        <v>6517</v>
      </c>
    </row>
    <row r="1113" spans="1:5" x14ac:dyDescent="0.3">
      <c r="A1113" t="s">
        <v>1315</v>
      </c>
      <c r="B1113" t="s">
        <v>8854</v>
      </c>
      <c r="C1113" t="s">
        <v>8854</v>
      </c>
      <c r="D1113" t="s">
        <v>8853</v>
      </c>
      <c r="E1113" t="s">
        <v>8852</v>
      </c>
    </row>
    <row r="1114" spans="1:5" x14ac:dyDescent="0.3">
      <c r="A1114" t="s">
        <v>1315</v>
      </c>
      <c r="B1114" t="s">
        <v>8851</v>
      </c>
      <c r="C1114" t="s">
        <v>6517</v>
      </c>
      <c r="D1114" t="s">
        <v>6517</v>
      </c>
      <c r="E1114" t="s">
        <v>6517</v>
      </c>
    </row>
    <row r="1115" spans="1:5" x14ac:dyDescent="0.3">
      <c r="A1115" t="s">
        <v>1315</v>
      </c>
      <c r="B1115" t="s">
        <v>8850</v>
      </c>
      <c r="C1115" t="s">
        <v>6517</v>
      </c>
      <c r="D1115" t="s">
        <v>6517</v>
      </c>
      <c r="E1115" t="s">
        <v>6517</v>
      </c>
    </row>
    <row r="1116" spans="1:5" x14ac:dyDescent="0.3">
      <c r="A1116" t="s">
        <v>1315</v>
      </c>
      <c r="B1116" t="s">
        <v>8849</v>
      </c>
      <c r="C1116" t="s">
        <v>6517</v>
      </c>
      <c r="D1116" t="s">
        <v>6517</v>
      </c>
      <c r="E1116" t="s">
        <v>6517</v>
      </c>
    </row>
    <row r="1117" spans="1:5" x14ac:dyDescent="0.3">
      <c r="A1117" t="s">
        <v>1315</v>
      </c>
      <c r="B1117" t="s">
        <v>8848</v>
      </c>
      <c r="C1117" t="s">
        <v>6517</v>
      </c>
      <c r="D1117" t="s">
        <v>6517</v>
      </c>
      <c r="E1117" t="s">
        <v>6517</v>
      </c>
    </row>
    <row r="1118" spans="1:5" x14ac:dyDescent="0.3">
      <c r="A1118" t="s">
        <v>1316</v>
      </c>
      <c r="B1118" t="s">
        <v>8847</v>
      </c>
      <c r="C1118" t="s">
        <v>8847</v>
      </c>
      <c r="D1118" t="s">
        <v>8846</v>
      </c>
      <c r="E1118" t="s">
        <v>8845</v>
      </c>
    </row>
    <row r="1119" spans="1:5" x14ac:dyDescent="0.3">
      <c r="A1119" t="s">
        <v>1316</v>
      </c>
      <c r="B1119" t="s">
        <v>8844</v>
      </c>
      <c r="C1119" t="s">
        <v>6517</v>
      </c>
      <c r="D1119" t="s">
        <v>6517</v>
      </c>
      <c r="E1119" t="s">
        <v>6517</v>
      </c>
    </row>
    <row r="1120" spans="1:5" x14ac:dyDescent="0.3">
      <c r="A1120" t="s">
        <v>1316</v>
      </c>
      <c r="B1120" t="s">
        <v>8843</v>
      </c>
      <c r="C1120" t="s">
        <v>6517</v>
      </c>
      <c r="D1120" t="s">
        <v>6517</v>
      </c>
      <c r="E1120" t="s">
        <v>6517</v>
      </c>
    </row>
    <row r="1121" spans="1:5" x14ac:dyDescent="0.3">
      <c r="A1121" t="s">
        <v>1316</v>
      </c>
      <c r="B1121" t="s">
        <v>8842</v>
      </c>
      <c r="C1121" t="s">
        <v>6517</v>
      </c>
      <c r="D1121" t="s">
        <v>6517</v>
      </c>
      <c r="E1121" t="s">
        <v>6517</v>
      </c>
    </row>
    <row r="1122" spans="1:5" x14ac:dyDescent="0.3">
      <c r="A1122" t="s">
        <v>1316</v>
      </c>
      <c r="B1122" t="s">
        <v>8841</v>
      </c>
      <c r="C1122" t="s">
        <v>6517</v>
      </c>
      <c r="D1122" t="s">
        <v>6517</v>
      </c>
      <c r="E1122" t="s">
        <v>6517</v>
      </c>
    </row>
    <row r="1123" spans="1:5" x14ac:dyDescent="0.3">
      <c r="A1123" t="s">
        <v>1317</v>
      </c>
      <c r="B1123" t="s">
        <v>8840</v>
      </c>
      <c r="C1123" t="s">
        <v>8840</v>
      </c>
      <c r="D1123" t="s">
        <v>8839</v>
      </c>
      <c r="E1123" t="s">
        <v>8838</v>
      </c>
    </row>
    <row r="1124" spans="1:5" x14ac:dyDescent="0.3">
      <c r="A1124" t="s">
        <v>1317</v>
      </c>
      <c r="B1124" t="s">
        <v>8837</v>
      </c>
      <c r="C1124" t="s">
        <v>6517</v>
      </c>
      <c r="D1124" t="s">
        <v>6517</v>
      </c>
      <c r="E1124" t="s">
        <v>6517</v>
      </c>
    </row>
    <row r="1125" spans="1:5" x14ac:dyDescent="0.3">
      <c r="A1125" t="s">
        <v>1317</v>
      </c>
      <c r="B1125" t="s">
        <v>8836</v>
      </c>
      <c r="C1125" t="s">
        <v>6517</v>
      </c>
      <c r="D1125" t="s">
        <v>6517</v>
      </c>
      <c r="E1125" t="s">
        <v>6517</v>
      </c>
    </row>
    <row r="1126" spans="1:5" x14ac:dyDescent="0.3">
      <c r="A1126" t="s">
        <v>1317</v>
      </c>
      <c r="B1126" t="s">
        <v>8835</v>
      </c>
      <c r="C1126" t="s">
        <v>6517</v>
      </c>
      <c r="D1126" t="s">
        <v>6517</v>
      </c>
      <c r="E1126" t="s">
        <v>6517</v>
      </c>
    </row>
    <row r="1127" spans="1:5" x14ac:dyDescent="0.3">
      <c r="A1127" t="s">
        <v>1317</v>
      </c>
      <c r="B1127" t="s">
        <v>8834</v>
      </c>
      <c r="C1127" t="s">
        <v>6517</v>
      </c>
      <c r="D1127" t="s">
        <v>6517</v>
      </c>
      <c r="E1127" t="s">
        <v>6517</v>
      </c>
    </row>
    <row r="1128" spans="1:5" x14ac:dyDescent="0.3">
      <c r="A1128" t="s">
        <v>1318</v>
      </c>
      <c r="B1128" t="s">
        <v>8833</v>
      </c>
      <c r="C1128" t="s">
        <v>8833</v>
      </c>
      <c r="D1128" t="s">
        <v>8832</v>
      </c>
      <c r="E1128" t="s">
        <v>8831</v>
      </c>
    </row>
    <row r="1129" spans="1:5" x14ac:dyDescent="0.3">
      <c r="A1129" t="s">
        <v>1318</v>
      </c>
      <c r="B1129" t="s">
        <v>8830</v>
      </c>
      <c r="C1129" t="s">
        <v>6517</v>
      </c>
      <c r="D1129" t="s">
        <v>6517</v>
      </c>
      <c r="E1129" t="s">
        <v>6517</v>
      </c>
    </row>
    <row r="1130" spans="1:5" x14ac:dyDescent="0.3">
      <c r="A1130" t="s">
        <v>1318</v>
      </c>
      <c r="B1130" t="s">
        <v>8829</v>
      </c>
      <c r="C1130" t="s">
        <v>6517</v>
      </c>
      <c r="D1130" t="s">
        <v>6517</v>
      </c>
      <c r="E1130" t="s">
        <v>6517</v>
      </c>
    </row>
    <row r="1131" spans="1:5" x14ac:dyDescent="0.3">
      <c r="A1131" t="s">
        <v>1318</v>
      </c>
      <c r="B1131" t="s">
        <v>8828</v>
      </c>
      <c r="C1131" t="s">
        <v>6517</v>
      </c>
      <c r="D1131" t="s">
        <v>6517</v>
      </c>
      <c r="E1131" t="s">
        <v>6517</v>
      </c>
    </row>
    <row r="1132" spans="1:5" x14ac:dyDescent="0.3">
      <c r="A1132" t="s">
        <v>1318</v>
      </c>
      <c r="B1132" t="s">
        <v>8827</v>
      </c>
      <c r="C1132" t="s">
        <v>6517</v>
      </c>
      <c r="D1132" t="s">
        <v>6517</v>
      </c>
      <c r="E1132" t="s">
        <v>6517</v>
      </c>
    </row>
    <row r="1133" spans="1:5" x14ac:dyDescent="0.3">
      <c r="A1133" t="s">
        <v>1319</v>
      </c>
      <c r="B1133" t="s">
        <v>8826</v>
      </c>
      <c r="C1133" t="s">
        <v>8826</v>
      </c>
      <c r="D1133" t="s">
        <v>8825</v>
      </c>
      <c r="E1133" t="s">
        <v>8824</v>
      </c>
    </row>
    <row r="1134" spans="1:5" x14ac:dyDescent="0.3">
      <c r="A1134" t="s">
        <v>1319</v>
      </c>
      <c r="B1134" t="s">
        <v>8823</v>
      </c>
      <c r="C1134" t="s">
        <v>6517</v>
      </c>
      <c r="D1134" t="s">
        <v>6517</v>
      </c>
      <c r="E1134" t="s">
        <v>6517</v>
      </c>
    </row>
    <row r="1135" spans="1:5" x14ac:dyDescent="0.3">
      <c r="A1135" t="s">
        <v>1319</v>
      </c>
      <c r="B1135" t="s">
        <v>8822</v>
      </c>
      <c r="C1135" t="s">
        <v>6517</v>
      </c>
      <c r="D1135" t="s">
        <v>6517</v>
      </c>
      <c r="E1135" t="s">
        <v>6517</v>
      </c>
    </row>
    <row r="1136" spans="1:5" x14ac:dyDescent="0.3">
      <c r="A1136" t="s">
        <v>1319</v>
      </c>
      <c r="B1136" t="s">
        <v>8821</v>
      </c>
      <c r="C1136" t="s">
        <v>6517</v>
      </c>
      <c r="D1136" t="s">
        <v>6517</v>
      </c>
      <c r="E1136" t="s">
        <v>6517</v>
      </c>
    </row>
    <row r="1137" spans="1:5" x14ac:dyDescent="0.3">
      <c r="A1137" t="s">
        <v>1319</v>
      </c>
      <c r="B1137" t="s">
        <v>8820</v>
      </c>
      <c r="C1137" t="s">
        <v>6517</v>
      </c>
      <c r="D1137" t="s">
        <v>6517</v>
      </c>
      <c r="E1137" t="s">
        <v>6517</v>
      </c>
    </row>
    <row r="1138" spans="1:5" x14ac:dyDescent="0.3">
      <c r="A1138" t="s">
        <v>1320</v>
      </c>
      <c r="B1138" t="s">
        <v>8819</v>
      </c>
      <c r="C1138" t="s">
        <v>6517</v>
      </c>
      <c r="D1138" t="s">
        <v>6517</v>
      </c>
      <c r="E1138" t="s">
        <v>6517</v>
      </c>
    </row>
    <row r="1139" spans="1:5" x14ac:dyDescent="0.3">
      <c r="A1139" t="s">
        <v>1320</v>
      </c>
      <c r="B1139" t="s">
        <v>8818</v>
      </c>
      <c r="C1139" t="s">
        <v>6517</v>
      </c>
      <c r="D1139" t="s">
        <v>6517</v>
      </c>
      <c r="E1139" t="s">
        <v>6517</v>
      </c>
    </row>
    <row r="1140" spans="1:5" x14ac:dyDescent="0.3">
      <c r="A1140" t="s">
        <v>1320</v>
      </c>
      <c r="B1140" t="s">
        <v>8817</v>
      </c>
      <c r="C1140" t="s">
        <v>6517</v>
      </c>
      <c r="D1140" t="s">
        <v>6517</v>
      </c>
      <c r="E1140" t="s">
        <v>6517</v>
      </c>
    </row>
    <row r="1141" spans="1:5" x14ac:dyDescent="0.3">
      <c r="A1141" t="s">
        <v>1320</v>
      </c>
      <c r="B1141" t="s">
        <v>8816</v>
      </c>
      <c r="C1141" t="s">
        <v>8816</v>
      </c>
      <c r="D1141" t="s">
        <v>8815</v>
      </c>
      <c r="E1141" t="s">
        <v>8814</v>
      </c>
    </row>
    <row r="1142" spans="1:5" x14ac:dyDescent="0.3">
      <c r="A1142" t="s">
        <v>1320</v>
      </c>
      <c r="B1142" t="s">
        <v>8813</v>
      </c>
      <c r="C1142" t="s">
        <v>6517</v>
      </c>
      <c r="D1142" t="s">
        <v>6517</v>
      </c>
      <c r="E1142" t="s">
        <v>6517</v>
      </c>
    </row>
    <row r="1143" spans="1:5" x14ac:dyDescent="0.3">
      <c r="A1143" t="s">
        <v>1321</v>
      </c>
      <c r="B1143" t="s">
        <v>8812</v>
      </c>
      <c r="C1143" t="s">
        <v>8812</v>
      </c>
      <c r="D1143" t="s">
        <v>8811</v>
      </c>
      <c r="E1143" t="s">
        <v>8810</v>
      </c>
    </row>
    <row r="1144" spans="1:5" x14ac:dyDescent="0.3">
      <c r="A1144" t="s">
        <v>1321</v>
      </c>
      <c r="B1144" t="s">
        <v>8809</v>
      </c>
      <c r="C1144" t="s">
        <v>6517</v>
      </c>
      <c r="D1144" t="s">
        <v>6517</v>
      </c>
      <c r="E1144" t="s">
        <v>6517</v>
      </c>
    </row>
    <row r="1145" spans="1:5" x14ac:dyDescent="0.3">
      <c r="A1145" t="s">
        <v>1321</v>
      </c>
      <c r="B1145" t="s">
        <v>8808</v>
      </c>
      <c r="C1145" t="s">
        <v>6517</v>
      </c>
      <c r="D1145" t="s">
        <v>6517</v>
      </c>
      <c r="E1145" t="s">
        <v>6517</v>
      </c>
    </row>
    <row r="1146" spans="1:5" x14ac:dyDescent="0.3">
      <c r="A1146" t="s">
        <v>1321</v>
      </c>
      <c r="B1146" t="s">
        <v>8807</v>
      </c>
      <c r="C1146" t="s">
        <v>6517</v>
      </c>
      <c r="D1146" t="s">
        <v>6517</v>
      </c>
      <c r="E1146" t="s">
        <v>6517</v>
      </c>
    </row>
    <row r="1147" spans="1:5" x14ac:dyDescent="0.3">
      <c r="A1147" t="s">
        <v>1321</v>
      </c>
      <c r="B1147" t="s">
        <v>8806</v>
      </c>
      <c r="C1147" t="s">
        <v>6517</v>
      </c>
      <c r="D1147" t="s">
        <v>6517</v>
      </c>
      <c r="E1147" t="s">
        <v>6517</v>
      </c>
    </row>
    <row r="1148" spans="1:5" x14ac:dyDescent="0.3">
      <c r="A1148" t="s">
        <v>1322</v>
      </c>
      <c r="B1148" t="s">
        <v>8805</v>
      </c>
      <c r="C1148" t="s">
        <v>8805</v>
      </c>
      <c r="D1148" t="s">
        <v>8804</v>
      </c>
      <c r="E1148" t="s">
        <v>8803</v>
      </c>
    </row>
    <row r="1149" spans="1:5" x14ac:dyDescent="0.3">
      <c r="A1149" t="s">
        <v>1322</v>
      </c>
      <c r="B1149" t="s">
        <v>8802</v>
      </c>
      <c r="C1149" t="s">
        <v>6517</v>
      </c>
      <c r="D1149" t="s">
        <v>6517</v>
      </c>
      <c r="E1149" t="s">
        <v>6517</v>
      </c>
    </row>
    <row r="1150" spans="1:5" x14ac:dyDescent="0.3">
      <c r="A1150" t="s">
        <v>1322</v>
      </c>
      <c r="B1150" t="s">
        <v>8801</v>
      </c>
      <c r="C1150" t="s">
        <v>6517</v>
      </c>
      <c r="D1150" t="s">
        <v>6517</v>
      </c>
      <c r="E1150" t="s">
        <v>6517</v>
      </c>
    </row>
    <row r="1151" spans="1:5" x14ac:dyDescent="0.3">
      <c r="A1151" t="s">
        <v>1322</v>
      </c>
      <c r="B1151" t="s">
        <v>8800</v>
      </c>
      <c r="C1151" t="s">
        <v>6517</v>
      </c>
      <c r="D1151" t="s">
        <v>6517</v>
      </c>
      <c r="E1151" t="s">
        <v>6517</v>
      </c>
    </row>
    <row r="1152" spans="1:5" x14ac:dyDescent="0.3">
      <c r="A1152" t="s">
        <v>1322</v>
      </c>
      <c r="B1152" t="s">
        <v>8799</v>
      </c>
      <c r="C1152" t="s">
        <v>6517</v>
      </c>
      <c r="D1152" t="s">
        <v>6517</v>
      </c>
      <c r="E1152" t="s">
        <v>6517</v>
      </c>
    </row>
    <row r="1153" spans="1:5" x14ac:dyDescent="0.3">
      <c r="A1153" t="s">
        <v>1323</v>
      </c>
      <c r="B1153" t="s">
        <v>8798</v>
      </c>
      <c r="C1153" t="s">
        <v>8798</v>
      </c>
      <c r="D1153" t="s">
        <v>8797</v>
      </c>
      <c r="E1153" t="s">
        <v>8796</v>
      </c>
    </row>
    <row r="1154" spans="1:5" x14ac:dyDescent="0.3">
      <c r="A1154" t="s">
        <v>1323</v>
      </c>
      <c r="B1154" t="s">
        <v>8795</v>
      </c>
      <c r="C1154" t="s">
        <v>6517</v>
      </c>
      <c r="D1154" t="s">
        <v>6517</v>
      </c>
      <c r="E1154" t="s">
        <v>6517</v>
      </c>
    </row>
    <row r="1155" spans="1:5" x14ac:dyDescent="0.3">
      <c r="A1155" t="s">
        <v>1323</v>
      </c>
      <c r="B1155" t="s">
        <v>8794</v>
      </c>
      <c r="C1155" t="s">
        <v>6517</v>
      </c>
      <c r="D1155" t="s">
        <v>6517</v>
      </c>
      <c r="E1155" t="s">
        <v>6517</v>
      </c>
    </row>
    <row r="1156" spans="1:5" x14ac:dyDescent="0.3">
      <c r="A1156" t="s">
        <v>1323</v>
      </c>
      <c r="B1156" t="s">
        <v>8793</v>
      </c>
      <c r="C1156" t="s">
        <v>6517</v>
      </c>
      <c r="D1156" t="s">
        <v>6517</v>
      </c>
      <c r="E1156" t="s">
        <v>6517</v>
      </c>
    </row>
    <row r="1157" spans="1:5" x14ac:dyDescent="0.3">
      <c r="A1157" t="s">
        <v>1323</v>
      </c>
      <c r="B1157" t="s">
        <v>8792</v>
      </c>
      <c r="C1157" t="s">
        <v>6517</v>
      </c>
      <c r="D1157" t="s">
        <v>6517</v>
      </c>
      <c r="E1157" t="s">
        <v>6517</v>
      </c>
    </row>
    <row r="1158" spans="1:5" x14ac:dyDescent="0.3">
      <c r="A1158" t="s">
        <v>1324</v>
      </c>
      <c r="B1158" t="s">
        <v>8791</v>
      </c>
      <c r="C1158" t="s">
        <v>8791</v>
      </c>
      <c r="D1158" t="s">
        <v>8790</v>
      </c>
      <c r="E1158" t="s">
        <v>8789</v>
      </c>
    </row>
    <row r="1159" spans="1:5" x14ac:dyDescent="0.3">
      <c r="A1159" t="s">
        <v>1324</v>
      </c>
      <c r="B1159" t="s">
        <v>8788</v>
      </c>
      <c r="C1159" t="s">
        <v>6517</v>
      </c>
      <c r="D1159" t="s">
        <v>6517</v>
      </c>
      <c r="E1159" t="s">
        <v>6517</v>
      </c>
    </row>
    <row r="1160" spans="1:5" x14ac:dyDescent="0.3">
      <c r="A1160" t="s">
        <v>1324</v>
      </c>
      <c r="B1160" t="s">
        <v>8787</v>
      </c>
      <c r="C1160" t="s">
        <v>6517</v>
      </c>
      <c r="D1160" t="s">
        <v>6517</v>
      </c>
      <c r="E1160" t="s">
        <v>6517</v>
      </c>
    </row>
    <row r="1161" spans="1:5" x14ac:dyDescent="0.3">
      <c r="A1161" t="s">
        <v>1324</v>
      </c>
      <c r="B1161" t="s">
        <v>8786</v>
      </c>
      <c r="C1161" t="s">
        <v>6517</v>
      </c>
      <c r="D1161" t="s">
        <v>6517</v>
      </c>
      <c r="E1161" t="s">
        <v>6517</v>
      </c>
    </row>
    <row r="1162" spans="1:5" x14ac:dyDescent="0.3">
      <c r="A1162" t="s">
        <v>1324</v>
      </c>
      <c r="B1162" t="s">
        <v>8785</v>
      </c>
      <c r="C1162" t="s">
        <v>6517</v>
      </c>
      <c r="D1162" t="s">
        <v>6517</v>
      </c>
      <c r="E1162" t="s">
        <v>6517</v>
      </c>
    </row>
    <row r="1163" spans="1:5" x14ac:dyDescent="0.3">
      <c r="A1163" t="s">
        <v>1325</v>
      </c>
      <c r="B1163" t="s">
        <v>8784</v>
      </c>
      <c r="C1163" t="s">
        <v>8784</v>
      </c>
      <c r="D1163" t="s">
        <v>8783</v>
      </c>
      <c r="E1163" t="s">
        <v>8782</v>
      </c>
    </row>
    <row r="1164" spans="1:5" x14ac:dyDescent="0.3">
      <c r="A1164" t="s">
        <v>1325</v>
      </c>
      <c r="B1164" t="s">
        <v>8781</v>
      </c>
      <c r="C1164" t="s">
        <v>6517</v>
      </c>
      <c r="D1164" t="s">
        <v>6517</v>
      </c>
      <c r="E1164" t="s">
        <v>6517</v>
      </c>
    </row>
    <row r="1165" spans="1:5" x14ac:dyDescent="0.3">
      <c r="A1165" t="s">
        <v>1325</v>
      </c>
      <c r="B1165" t="s">
        <v>8780</v>
      </c>
      <c r="C1165" t="s">
        <v>6517</v>
      </c>
      <c r="D1165" t="s">
        <v>6517</v>
      </c>
      <c r="E1165" t="s">
        <v>6517</v>
      </c>
    </row>
    <row r="1166" spans="1:5" x14ac:dyDescent="0.3">
      <c r="A1166" t="s">
        <v>1325</v>
      </c>
      <c r="B1166" t="s">
        <v>8779</v>
      </c>
      <c r="C1166" t="s">
        <v>6517</v>
      </c>
      <c r="D1166" t="s">
        <v>6517</v>
      </c>
      <c r="E1166" t="s">
        <v>6517</v>
      </c>
    </row>
    <row r="1167" spans="1:5" x14ac:dyDescent="0.3">
      <c r="A1167" t="s">
        <v>1325</v>
      </c>
      <c r="B1167" t="s">
        <v>8778</v>
      </c>
      <c r="C1167" t="s">
        <v>6517</v>
      </c>
      <c r="D1167" t="s">
        <v>6517</v>
      </c>
      <c r="E1167" t="s">
        <v>6517</v>
      </c>
    </row>
    <row r="1168" spans="1:5" x14ac:dyDescent="0.3">
      <c r="A1168" t="s">
        <v>1326</v>
      </c>
      <c r="B1168" t="s">
        <v>8777</v>
      </c>
      <c r="C1168" t="s">
        <v>8777</v>
      </c>
      <c r="D1168" t="s">
        <v>8776</v>
      </c>
      <c r="E1168" t="s">
        <v>8775</v>
      </c>
    </row>
    <row r="1169" spans="1:5" x14ac:dyDescent="0.3">
      <c r="A1169" t="s">
        <v>1326</v>
      </c>
      <c r="B1169" t="s">
        <v>8774</v>
      </c>
      <c r="C1169" t="s">
        <v>6517</v>
      </c>
      <c r="D1169" t="s">
        <v>6517</v>
      </c>
      <c r="E1169" t="s">
        <v>6517</v>
      </c>
    </row>
    <row r="1170" spans="1:5" x14ac:dyDescent="0.3">
      <c r="A1170" t="s">
        <v>1326</v>
      </c>
      <c r="B1170" t="s">
        <v>8773</v>
      </c>
      <c r="C1170" t="s">
        <v>6517</v>
      </c>
      <c r="D1170" t="s">
        <v>6517</v>
      </c>
      <c r="E1170" t="s">
        <v>6517</v>
      </c>
    </row>
    <row r="1171" spans="1:5" x14ac:dyDescent="0.3">
      <c r="A1171" t="s">
        <v>1326</v>
      </c>
      <c r="B1171" t="s">
        <v>8772</v>
      </c>
      <c r="C1171" t="s">
        <v>6517</v>
      </c>
      <c r="D1171" t="s">
        <v>6517</v>
      </c>
      <c r="E1171" t="s">
        <v>6517</v>
      </c>
    </row>
    <row r="1172" spans="1:5" x14ac:dyDescent="0.3">
      <c r="A1172" t="s">
        <v>1326</v>
      </c>
      <c r="B1172" t="s">
        <v>8771</v>
      </c>
      <c r="C1172" t="s">
        <v>6517</v>
      </c>
      <c r="D1172" t="s">
        <v>6517</v>
      </c>
      <c r="E1172" t="s">
        <v>6517</v>
      </c>
    </row>
    <row r="1173" spans="1:5" x14ac:dyDescent="0.3">
      <c r="A1173" t="s">
        <v>1327</v>
      </c>
      <c r="B1173" t="s">
        <v>8770</v>
      </c>
      <c r="C1173" t="s">
        <v>8770</v>
      </c>
      <c r="D1173" t="s">
        <v>8769</v>
      </c>
      <c r="E1173" t="s">
        <v>8768</v>
      </c>
    </row>
    <row r="1174" spans="1:5" x14ac:dyDescent="0.3">
      <c r="A1174" t="s">
        <v>1327</v>
      </c>
      <c r="B1174" t="s">
        <v>8767</v>
      </c>
      <c r="C1174" t="s">
        <v>6517</v>
      </c>
      <c r="D1174" t="s">
        <v>6517</v>
      </c>
      <c r="E1174" t="s">
        <v>6517</v>
      </c>
    </row>
    <row r="1175" spans="1:5" x14ac:dyDescent="0.3">
      <c r="A1175" t="s">
        <v>1327</v>
      </c>
      <c r="B1175" t="s">
        <v>8766</v>
      </c>
      <c r="C1175" t="s">
        <v>6517</v>
      </c>
      <c r="D1175" t="s">
        <v>6517</v>
      </c>
      <c r="E1175" t="s">
        <v>6517</v>
      </c>
    </row>
    <row r="1176" spans="1:5" x14ac:dyDescent="0.3">
      <c r="A1176" t="s">
        <v>1327</v>
      </c>
      <c r="B1176" t="s">
        <v>8765</v>
      </c>
      <c r="C1176" t="s">
        <v>6517</v>
      </c>
      <c r="D1176" t="s">
        <v>6517</v>
      </c>
      <c r="E1176" t="s">
        <v>6517</v>
      </c>
    </row>
    <row r="1177" spans="1:5" x14ac:dyDescent="0.3">
      <c r="A1177" t="s">
        <v>1327</v>
      </c>
      <c r="B1177" t="s">
        <v>8764</v>
      </c>
      <c r="C1177" t="s">
        <v>6517</v>
      </c>
      <c r="D1177" t="s">
        <v>6517</v>
      </c>
      <c r="E1177" t="s">
        <v>6517</v>
      </c>
    </row>
    <row r="1178" spans="1:5" x14ac:dyDescent="0.3">
      <c r="A1178" t="s">
        <v>1328</v>
      </c>
      <c r="B1178" t="s">
        <v>8763</v>
      </c>
      <c r="C1178" t="s">
        <v>8763</v>
      </c>
      <c r="D1178" t="s">
        <v>8762</v>
      </c>
      <c r="E1178" t="s">
        <v>8761</v>
      </c>
    </row>
    <row r="1179" spans="1:5" x14ac:dyDescent="0.3">
      <c r="A1179" t="s">
        <v>1328</v>
      </c>
      <c r="B1179" t="s">
        <v>8760</v>
      </c>
      <c r="C1179" t="s">
        <v>6517</v>
      </c>
      <c r="D1179" t="s">
        <v>6517</v>
      </c>
      <c r="E1179" t="s">
        <v>6517</v>
      </c>
    </row>
    <row r="1180" spans="1:5" x14ac:dyDescent="0.3">
      <c r="A1180" t="s">
        <v>1328</v>
      </c>
      <c r="B1180" t="s">
        <v>8759</v>
      </c>
      <c r="C1180" t="s">
        <v>6517</v>
      </c>
      <c r="D1180" t="s">
        <v>6517</v>
      </c>
      <c r="E1180" t="s">
        <v>6517</v>
      </c>
    </row>
    <row r="1181" spans="1:5" x14ac:dyDescent="0.3">
      <c r="A1181" t="s">
        <v>1328</v>
      </c>
      <c r="B1181" t="s">
        <v>8758</v>
      </c>
      <c r="C1181" t="s">
        <v>6517</v>
      </c>
      <c r="D1181" t="s">
        <v>6517</v>
      </c>
      <c r="E1181" t="s">
        <v>6517</v>
      </c>
    </row>
    <row r="1182" spans="1:5" x14ac:dyDescent="0.3">
      <c r="A1182" t="s">
        <v>1328</v>
      </c>
      <c r="B1182" t="s">
        <v>8757</v>
      </c>
      <c r="C1182" t="s">
        <v>6517</v>
      </c>
      <c r="D1182" t="s">
        <v>6517</v>
      </c>
      <c r="E1182" t="s">
        <v>6517</v>
      </c>
    </row>
    <row r="1183" spans="1:5" x14ac:dyDescent="0.3">
      <c r="A1183" t="s">
        <v>1329</v>
      </c>
      <c r="B1183" t="s">
        <v>8756</v>
      </c>
      <c r="C1183" t="s">
        <v>8756</v>
      </c>
      <c r="D1183" t="s">
        <v>8755</v>
      </c>
      <c r="E1183" t="s">
        <v>8754</v>
      </c>
    </row>
    <row r="1184" spans="1:5" x14ac:dyDescent="0.3">
      <c r="A1184" t="s">
        <v>1329</v>
      </c>
      <c r="B1184" t="s">
        <v>8753</v>
      </c>
      <c r="C1184" t="s">
        <v>6517</v>
      </c>
      <c r="D1184" t="s">
        <v>6517</v>
      </c>
      <c r="E1184" t="s">
        <v>6517</v>
      </c>
    </row>
    <row r="1185" spans="1:5" x14ac:dyDescent="0.3">
      <c r="A1185" t="s">
        <v>1329</v>
      </c>
      <c r="B1185" t="s">
        <v>8752</v>
      </c>
      <c r="C1185" t="s">
        <v>6517</v>
      </c>
      <c r="D1185" t="s">
        <v>6517</v>
      </c>
      <c r="E1185" t="s">
        <v>6517</v>
      </c>
    </row>
    <row r="1186" spans="1:5" x14ac:dyDescent="0.3">
      <c r="A1186" t="s">
        <v>1329</v>
      </c>
      <c r="B1186" t="s">
        <v>8751</v>
      </c>
      <c r="C1186" t="s">
        <v>6517</v>
      </c>
      <c r="D1186" t="s">
        <v>6517</v>
      </c>
      <c r="E1186" t="s">
        <v>6517</v>
      </c>
    </row>
    <row r="1187" spans="1:5" x14ac:dyDescent="0.3">
      <c r="A1187" t="s">
        <v>1329</v>
      </c>
      <c r="B1187" t="s">
        <v>8750</v>
      </c>
      <c r="C1187" t="s">
        <v>6517</v>
      </c>
      <c r="D1187" t="s">
        <v>6517</v>
      </c>
      <c r="E1187" t="s">
        <v>6517</v>
      </c>
    </row>
    <row r="1188" spans="1:5" x14ac:dyDescent="0.3">
      <c r="A1188" t="s">
        <v>1330</v>
      </c>
      <c r="B1188" t="s">
        <v>8749</v>
      </c>
      <c r="C1188" t="s">
        <v>8749</v>
      </c>
      <c r="D1188" t="s">
        <v>8748</v>
      </c>
      <c r="E1188" t="s">
        <v>8747</v>
      </c>
    </row>
    <row r="1189" spans="1:5" x14ac:dyDescent="0.3">
      <c r="A1189" t="s">
        <v>1330</v>
      </c>
      <c r="B1189" t="s">
        <v>8746</v>
      </c>
      <c r="C1189" t="s">
        <v>6517</v>
      </c>
      <c r="D1189" t="s">
        <v>6517</v>
      </c>
      <c r="E1189" t="s">
        <v>6517</v>
      </c>
    </row>
    <row r="1190" spans="1:5" x14ac:dyDescent="0.3">
      <c r="A1190" t="s">
        <v>1330</v>
      </c>
      <c r="B1190" t="s">
        <v>8745</v>
      </c>
      <c r="C1190" t="s">
        <v>6517</v>
      </c>
      <c r="D1190" t="s">
        <v>6517</v>
      </c>
      <c r="E1190" t="s">
        <v>6517</v>
      </c>
    </row>
    <row r="1191" spans="1:5" x14ac:dyDescent="0.3">
      <c r="A1191" t="s">
        <v>1330</v>
      </c>
      <c r="B1191" t="s">
        <v>8744</v>
      </c>
      <c r="C1191" t="s">
        <v>6517</v>
      </c>
      <c r="D1191" t="s">
        <v>6517</v>
      </c>
      <c r="E1191" t="s">
        <v>6517</v>
      </c>
    </row>
    <row r="1192" spans="1:5" x14ac:dyDescent="0.3">
      <c r="A1192" t="s">
        <v>1330</v>
      </c>
      <c r="B1192" t="s">
        <v>8743</v>
      </c>
      <c r="C1192" t="s">
        <v>6517</v>
      </c>
      <c r="D1192" t="s">
        <v>6517</v>
      </c>
      <c r="E1192" t="s">
        <v>6517</v>
      </c>
    </row>
    <row r="1193" spans="1:5" x14ac:dyDescent="0.3">
      <c r="A1193" t="s">
        <v>1331</v>
      </c>
      <c r="B1193" t="s">
        <v>8742</v>
      </c>
      <c r="C1193" t="s">
        <v>8742</v>
      </c>
      <c r="D1193" t="s">
        <v>8741</v>
      </c>
      <c r="E1193" t="s">
        <v>8740</v>
      </c>
    </row>
    <row r="1194" spans="1:5" x14ac:dyDescent="0.3">
      <c r="A1194" t="s">
        <v>1331</v>
      </c>
      <c r="B1194" t="s">
        <v>8739</v>
      </c>
      <c r="C1194" t="s">
        <v>6517</v>
      </c>
      <c r="D1194" t="s">
        <v>6517</v>
      </c>
      <c r="E1194" t="s">
        <v>6517</v>
      </c>
    </row>
    <row r="1195" spans="1:5" x14ac:dyDescent="0.3">
      <c r="A1195" t="s">
        <v>1331</v>
      </c>
      <c r="B1195" t="s">
        <v>8738</v>
      </c>
      <c r="C1195" t="s">
        <v>6517</v>
      </c>
      <c r="D1195" t="s">
        <v>6517</v>
      </c>
      <c r="E1195" t="s">
        <v>6517</v>
      </c>
    </row>
    <row r="1196" spans="1:5" x14ac:dyDescent="0.3">
      <c r="A1196" t="s">
        <v>1331</v>
      </c>
      <c r="B1196" t="s">
        <v>8737</v>
      </c>
      <c r="C1196" t="s">
        <v>6517</v>
      </c>
      <c r="D1196" t="s">
        <v>6517</v>
      </c>
      <c r="E1196" t="s">
        <v>6517</v>
      </c>
    </row>
    <row r="1197" spans="1:5" x14ac:dyDescent="0.3">
      <c r="A1197" t="s">
        <v>1331</v>
      </c>
      <c r="B1197" t="s">
        <v>8736</v>
      </c>
      <c r="C1197" t="s">
        <v>6517</v>
      </c>
      <c r="D1197" t="s">
        <v>6517</v>
      </c>
      <c r="E1197" t="s">
        <v>6517</v>
      </c>
    </row>
    <row r="1198" spans="1:5" x14ac:dyDescent="0.3">
      <c r="A1198" t="s">
        <v>1332</v>
      </c>
      <c r="B1198" t="s">
        <v>8735</v>
      </c>
      <c r="C1198" t="s">
        <v>8735</v>
      </c>
      <c r="D1198" t="s">
        <v>8734</v>
      </c>
      <c r="E1198" t="s">
        <v>8733</v>
      </c>
    </row>
    <row r="1199" spans="1:5" x14ac:dyDescent="0.3">
      <c r="A1199" t="s">
        <v>1332</v>
      </c>
      <c r="B1199" t="s">
        <v>8732</v>
      </c>
      <c r="C1199" t="s">
        <v>6517</v>
      </c>
      <c r="D1199" t="s">
        <v>6517</v>
      </c>
      <c r="E1199" t="s">
        <v>6517</v>
      </c>
    </row>
    <row r="1200" spans="1:5" x14ac:dyDescent="0.3">
      <c r="A1200" t="s">
        <v>1332</v>
      </c>
      <c r="B1200" t="s">
        <v>8731</v>
      </c>
      <c r="C1200" t="s">
        <v>6517</v>
      </c>
      <c r="D1200" t="s">
        <v>6517</v>
      </c>
      <c r="E1200" t="s">
        <v>6517</v>
      </c>
    </row>
    <row r="1201" spans="1:5" x14ac:dyDescent="0.3">
      <c r="A1201" t="s">
        <v>1332</v>
      </c>
      <c r="B1201" t="s">
        <v>8730</v>
      </c>
      <c r="C1201" t="s">
        <v>6517</v>
      </c>
      <c r="D1201" t="s">
        <v>6517</v>
      </c>
      <c r="E1201" t="s">
        <v>6517</v>
      </c>
    </row>
    <row r="1202" spans="1:5" x14ac:dyDescent="0.3">
      <c r="A1202" t="s">
        <v>1332</v>
      </c>
      <c r="B1202" t="s">
        <v>8729</v>
      </c>
      <c r="C1202" t="s">
        <v>6517</v>
      </c>
      <c r="D1202" t="s">
        <v>6517</v>
      </c>
      <c r="E1202" t="s">
        <v>6517</v>
      </c>
    </row>
    <row r="1203" spans="1:5" x14ac:dyDescent="0.3">
      <c r="A1203" t="s">
        <v>1333</v>
      </c>
      <c r="B1203" t="s">
        <v>8728</v>
      </c>
      <c r="C1203" t="s">
        <v>8728</v>
      </c>
      <c r="D1203" t="s">
        <v>8727</v>
      </c>
      <c r="E1203" t="s">
        <v>8726</v>
      </c>
    </row>
    <row r="1204" spans="1:5" x14ac:dyDescent="0.3">
      <c r="A1204" t="s">
        <v>1333</v>
      </c>
      <c r="B1204" t="s">
        <v>8725</v>
      </c>
      <c r="C1204" t="s">
        <v>6517</v>
      </c>
      <c r="D1204" t="s">
        <v>6517</v>
      </c>
      <c r="E1204" t="s">
        <v>6517</v>
      </c>
    </row>
    <row r="1205" spans="1:5" x14ac:dyDescent="0.3">
      <c r="A1205" t="s">
        <v>1333</v>
      </c>
      <c r="B1205" t="s">
        <v>8724</v>
      </c>
      <c r="C1205" t="s">
        <v>6517</v>
      </c>
      <c r="D1205" t="s">
        <v>6517</v>
      </c>
      <c r="E1205" t="s">
        <v>6517</v>
      </c>
    </row>
    <row r="1206" spans="1:5" x14ac:dyDescent="0.3">
      <c r="A1206" t="s">
        <v>1333</v>
      </c>
      <c r="B1206" t="s">
        <v>8723</v>
      </c>
      <c r="C1206" t="s">
        <v>6517</v>
      </c>
      <c r="D1206" t="s">
        <v>6517</v>
      </c>
      <c r="E1206" t="s">
        <v>6517</v>
      </c>
    </row>
    <row r="1207" spans="1:5" x14ac:dyDescent="0.3">
      <c r="A1207" t="s">
        <v>1333</v>
      </c>
      <c r="B1207" t="s">
        <v>8722</v>
      </c>
      <c r="C1207" t="s">
        <v>6517</v>
      </c>
      <c r="D1207" t="s">
        <v>6517</v>
      </c>
      <c r="E1207" t="s">
        <v>6517</v>
      </c>
    </row>
    <row r="1208" spans="1:5" x14ac:dyDescent="0.3">
      <c r="A1208" t="s">
        <v>1334</v>
      </c>
      <c r="B1208" t="s">
        <v>8721</v>
      </c>
      <c r="C1208" t="s">
        <v>8721</v>
      </c>
      <c r="D1208" t="s">
        <v>8720</v>
      </c>
      <c r="E1208" t="s">
        <v>8719</v>
      </c>
    </row>
    <row r="1209" spans="1:5" x14ac:dyDescent="0.3">
      <c r="A1209" t="s">
        <v>1334</v>
      </c>
      <c r="B1209" t="s">
        <v>8718</v>
      </c>
      <c r="C1209" t="s">
        <v>6517</v>
      </c>
      <c r="D1209" t="s">
        <v>6517</v>
      </c>
      <c r="E1209" t="s">
        <v>6517</v>
      </c>
    </row>
    <row r="1210" spans="1:5" x14ac:dyDescent="0.3">
      <c r="A1210" t="s">
        <v>1334</v>
      </c>
      <c r="B1210" t="s">
        <v>8717</v>
      </c>
      <c r="C1210" t="s">
        <v>6517</v>
      </c>
      <c r="D1210" t="s">
        <v>6517</v>
      </c>
      <c r="E1210" t="s">
        <v>6517</v>
      </c>
    </row>
    <row r="1211" spans="1:5" x14ac:dyDescent="0.3">
      <c r="A1211" t="s">
        <v>1334</v>
      </c>
      <c r="B1211" t="s">
        <v>8716</v>
      </c>
      <c r="C1211" t="s">
        <v>6517</v>
      </c>
      <c r="D1211" t="s">
        <v>6517</v>
      </c>
      <c r="E1211" t="s">
        <v>6517</v>
      </c>
    </row>
    <row r="1212" spans="1:5" x14ac:dyDescent="0.3">
      <c r="A1212" t="s">
        <v>1334</v>
      </c>
      <c r="B1212" t="s">
        <v>8715</v>
      </c>
      <c r="C1212" t="s">
        <v>6517</v>
      </c>
      <c r="D1212" t="s">
        <v>6517</v>
      </c>
      <c r="E1212" t="s">
        <v>6517</v>
      </c>
    </row>
    <row r="1213" spans="1:5" x14ac:dyDescent="0.3">
      <c r="A1213" t="s">
        <v>1335</v>
      </c>
      <c r="B1213" t="s">
        <v>8714</v>
      </c>
      <c r="C1213" t="s">
        <v>8714</v>
      </c>
      <c r="D1213" t="s">
        <v>8713</v>
      </c>
      <c r="E1213" t="s">
        <v>8712</v>
      </c>
    </row>
    <row r="1214" spans="1:5" x14ac:dyDescent="0.3">
      <c r="A1214" t="s">
        <v>1335</v>
      </c>
      <c r="B1214" t="s">
        <v>8711</v>
      </c>
      <c r="C1214" t="s">
        <v>6517</v>
      </c>
      <c r="D1214" t="s">
        <v>6517</v>
      </c>
      <c r="E1214" t="s">
        <v>6517</v>
      </c>
    </row>
    <row r="1215" spans="1:5" x14ac:dyDescent="0.3">
      <c r="A1215" t="s">
        <v>1335</v>
      </c>
      <c r="B1215" t="s">
        <v>8710</v>
      </c>
      <c r="C1215" t="s">
        <v>6517</v>
      </c>
      <c r="D1215" t="s">
        <v>6517</v>
      </c>
      <c r="E1215" t="s">
        <v>6517</v>
      </c>
    </row>
    <row r="1216" spans="1:5" x14ac:dyDescent="0.3">
      <c r="A1216" t="s">
        <v>1335</v>
      </c>
      <c r="B1216" t="s">
        <v>8709</v>
      </c>
      <c r="C1216" t="s">
        <v>6517</v>
      </c>
      <c r="D1216" t="s">
        <v>6517</v>
      </c>
      <c r="E1216" t="s">
        <v>6517</v>
      </c>
    </row>
    <row r="1217" spans="1:5" x14ac:dyDescent="0.3">
      <c r="A1217" t="s">
        <v>1335</v>
      </c>
      <c r="B1217" t="s">
        <v>8708</v>
      </c>
      <c r="C1217" t="s">
        <v>6517</v>
      </c>
      <c r="D1217" t="s">
        <v>6517</v>
      </c>
      <c r="E1217" t="s">
        <v>6517</v>
      </c>
    </row>
    <row r="1218" spans="1:5" x14ac:dyDescent="0.3">
      <c r="A1218" t="s">
        <v>1336</v>
      </c>
      <c r="B1218" t="s">
        <v>8707</v>
      </c>
      <c r="C1218" t="s">
        <v>8707</v>
      </c>
      <c r="D1218" t="s">
        <v>8706</v>
      </c>
      <c r="E1218" t="s">
        <v>8705</v>
      </c>
    </row>
    <row r="1219" spans="1:5" x14ac:dyDescent="0.3">
      <c r="A1219" t="s">
        <v>1336</v>
      </c>
      <c r="B1219" t="s">
        <v>8704</v>
      </c>
      <c r="C1219" t="s">
        <v>6517</v>
      </c>
      <c r="D1219" t="s">
        <v>6517</v>
      </c>
      <c r="E1219" t="s">
        <v>6517</v>
      </c>
    </row>
    <row r="1220" spans="1:5" x14ac:dyDescent="0.3">
      <c r="A1220" t="s">
        <v>1336</v>
      </c>
      <c r="B1220" t="s">
        <v>8703</v>
      </c>
      <c r="C1220" t="s">
        <v>6517</v>
      </c>
      <c r="D1220" t="s">
        <v>6517</v>
      </c>
      <c r="E1220" t="s">
        <v>6517</v>
      </c>
    </row>
    <row r="1221" spans="1:5" x14ac:dyDescent="0.3">
      <c r="A1221" t="s">
        <v>1336</v>
      </c>
      <c r="B1221" t="s">
        <v>8702</v>
      </c>
      <c r="C1221" t="s">
        <v>6517</v>
      </c>
      <c r="D1221" t="s">
        <v>6517</v>
      </c>
      <c r="E1221" t="s">
        <v>6517</v>
      </c>
    </row>
    <row r="1222" spans="1:5" x14ac:dyDescent="0.3">
      <c r="A1222" t="s">
        <v>1336</v>
      </c>
      <c r="B1222" t="s">
        <v>8701</v>
      </c>
      <c r="C1222" t="s">
        <v>6517</v>
      </c>
      <c r="D1222" t="s">
        <v>6517</v>
      </c>
      <c r="E1222" t="s">
        <v>6517</v>
      </c>
    </row>
    <row r="1223" spans="1:5" x14ac:dyDescent="0.3">
      <c r="A1223" t="s">
        <v>1337</v>
      </c>
      <c r="B1223" t="s">
        <v>8700</v>
      </c>
      <c r="C1223" t="s">
        <v>8700</v>
      </c>
      <c r="D1223" t="s">
        <v>8699</v>
      </c>
      <c r="E1223" t="s">
        <v>8698</v>
      </c>
    </row>
    <row r="1224" spans="1:5" x14ac:dyDescent="0.3">
      <c r="A1224" t="s">
        <v>1337</v>
      </c>
      <c r="B1224" t="s">
        <v>8697</v>
      </c>
      <c r="C1224" t="s">
        <v>6517</v>
      </c>
      <c r="D1224" t="s">
        <v>6517</v>
      </c>
      <c r="E1224" t="s">
        <v>6517</v>
      </c>
    </row>
    <row r="1225" spans="1:5" x14ac:dyDescent="0.3">
      <c r="A1225" t="s">
        <v>1337</v>
      </c>
      <c r="B1225" t="s">
        <v>8696</v>
      </c>
      <c r="C1225" t="s">
        <v>6517</v>
      </c>
      <c r="D1225" t="s">
        <v>6517</v>
      </c>
      <c r="E1225" t="s">
        <v>6517</v>
      </c>
    </row>
    <row r="1226" spans="1:5" x14ac:dyDescent="0.3">
      <c r="A1226" t="s">
        <v>1337</v>
      </c>
      <c r="B1226" t="s">
        <v>8695</v>
      </c>
      <c r="C1226" t="s">
        <v>6517</v>
      </c>
      <c r="D1226" t="s">
        <v>6517</v>
      </c>
      <c r="E1226" t="s">
        <v>6517</v>
      </c>
    </row>
    <row r="1227" spans="1:5" x14ac:dyDescent="0.3">
      <c r="A1227" t="s">
        <v>1337</v>
      </c>
      <c r="B1227" t="s">
        <v>8694</v>
      </c>
      <c r="C1227" t="s">
        <v>6517</v>
      </c>
      <c r="D1227" t="s">
        <v>6517</v>
      </c>
      <c r="E1227" t="s">
        <v>6517</v>
      </c>
    </row>
    <row r="1228" spans="1:5" x14ac:dyDescent="0.3">
      <c r="A1228" t="s">
        <v>1338</v>
      </c>
      <c r="B1228" t="s">
        <v>8693</v>
      </c>
      <c r="C1228" t="s">
        <v>8693</v>
      </c>
      <c r="D1228" t="s">
        <v>8692</v>
      </c>
      <c r="E1228" t="s">
        <v>8691</v>
      </c>
    </row>
    <row r="1229" spans="1:5" x14ac:dyDescent="0.3">
      <c r="A1229" t="s">
        <v>1338</v>
      </c>
      <c r="B1229" t="s">
        <v>8690</v>
      </c>
      <c r="C1229" t="s">
        <v>6517</v>
      </c>
      <c r="D1229" t="s">
        <v>6517</v>
      </c>
      <c r="E1229" t="s">
        <v>6517</v>
      </c>
    </row>
    <row r="1230" spans="1:5" x14ac:dyDescent="0.3">
      <c r="A1230" t="s">
        <v>1338</v>
      </c>
      <c r="B1230" t="s">
        <v>8689</v>
      </c>
      <c r="C1230" t="s">
        <v>6517</v>
      </c>
      <c r="D1230" t="s">
        <v>6517</v>
      </c>
      <c r="E1230" t="s">
        <v>6517</v>
      </c>
    </row>
    <row r="1231" spans="1:5" x14ac:dyDescent="0.3">
      <c r="A1231" t="s">
        <v>1338</v>
      </c>
      <c r="B1231" t="s">
        <v>8688</v>
      </c>
      <c r="C1231" t="s">
        <v>6517</v>
      </c>
      <c r="D1231" t="s">
        <v>6517</v>
      </c>
      <c r="E1231" t="s">
        <v>6517</v>
      </c>
    </row>
    <row r="1232" spans="1:5" x14ac:dyDescent="0.3">
      <c r="A1232" t="s">
        <v>1338</v>
      </c>
      <c r="B1232" t="s">
        <v>8687</v>
      </c>
      <c r="C1232" t="s">
        <v>6517</v>
      </c>
      <c r="D1232" t="s">
        <v>6517</v>
      </c>
      <c r="E1232" t="s">
        <v>6517</v>
      </c>
    </row>
    <row r="1233" spans="1:5" x14ac:dyDescent="0.3">
      <c r="A1233" t="s">
        <v>1339</v>
      </c>
      <c r="B1233" t="s">
        <v>8686</v>
      </c>
      <c r="C1233" t="s">
        <v>8686</v>
      </c>
      <c r="D1233" t="s">
        <v>8685</v>
      </c>
      <c r="E1233" t="s">
        <v>8684</v>
      </c>
    </row>
    <row r="1234" spans="1:5" x14ac:dyDescent="0.3">
      <c r="A1234" t="s">
        <v>1339</v>
      </c>
      <c r="B1234" t="s">
        <v>8683</v>
      </c>
      <c r="C1234" t="s">
        <v>6517</v>
      </c>
      <c r="D1234" t="s">
        <v>6517</v>
      </c>
      <c r="E1234" t="s">
        <v>6517</v>
      </c>
    </row>
    <row r="1235" spans="1:5" x14ac:dyDescent="0.3">
      <c r="A1235" t="s">
        <v>1339</v>
      </c>
      <c r="B1235" t="s">
        <v>8682</v>
      </c>
      <c r="C1235" t="s">
        <v>6517</v>
      </c>
      <c r="D1235" t="s">
        <v>6517</v>
      </c>
      <c r="E1235" t="s">
        <v>6517</v>
      </c>
    </row>
    <row r="1236" spans="1:5" x14ac:dyDescent="0.3">
      <c r="A1236" t="s">
        <v>1339</v>
      </c>
      <c r="B1236" t="s">
        <v>8681</v>
      </c>
      <c r="C1236" t="s">
        <v>6517</v>
      </c>
      <c r="D1236" t="s">
        <v>6517</v>
      </c>
      <c r="E1236" t="s">
        <v>6517</v>
      </c>
    </row>
    <row r="1237" spans="1:5" x14ac:dyDescent="0.3">
      <c r="A1237" t="s">
        <v>1339</v>
      </c>
      <c r="B1237" t="s">
        <v>8680</v>
      </c>
      <c r="C1237" t="s">
        <v>6517</v>
      </c>
      <c r="D1237" t="s">
        <v>6517</v>
      </c>
      <c r="E1237" t="s">
        <v>6517</v>
      </c>
    </row>
    <row r="1238" spans="1:5" x14ac:dyDescent="0.3">
      <c r="A1238" t="s">
        <v>1340</v>
      </c>
      <c r="B1238" t="s">
        <v>8679</v>
      </c>
      <c r="C1238" t="s">
        <v>6517</v>
      </c>
      <c r="D1238" t="s">
        <v>6517</v>
      </c>
      <c r="E1238" t="s">
        <v>6517</v>
      </c>
    </row>
    <row r="1239" spans="1:5" x14ac:dyDescent="0.3">
      <c r="A1239" t="s">
        <v>1340</v>
      </c>
      <c r="B1239" t="s">
        <v>8678</v>
      </c>
      <c r="C1239" t="s">
        <v>6517</v>
      </c>
      <c r="D1239" t="s">
        <v>6517</v>
      </c>
      <c r="E1239" t="s">
        <v>6517</v>
      </c>
    </row>
    <row r="1240" spans="1:5" x14ac:dyDescent="0.3">
      <c r="A1240" t="s">
        <v>1340</v>
      </c>
      <c r="B1240" t="s">
        <v>8677</v>
      </c>
      <c r="C1240" t="s">
        <v>6517</v>
      </c>
      <c r="D1240" t="s">
        <v>6517</v>
      </c>
      <c r="E1240" t="s">
        <v>6517</v>
      </c>
    </row>
    <row r="1241" spans="1:5" x14ac:dyDescent="0.3">
      <c r="A1241" t="s">
        <v>1340</v>
      </c>
      <c r="B1241" t="s">
        <v>8676</v>
      </c>
      <c r="C1241" t="s">
        <v>8676</v>
      </c>
      <c r="D1241" t="s">
        <v>8675</v>
      </c>
      <c r="E1241" t="s">
        <v>8674</v>
      </c>
    </row>
    <row r="1242" spans="1:5" x14ac:dyDescent="0.3">
      <c r="A1242" t="s">
        <v>1340</v>
      </c>
      <c r="B1242" t="s">
        <v>8673</v>
      </c>
      <c r="C1242" t="s">
        <v>6517</v>
      </c>
      <c r="D1242" t="s">
        <v>6517</v>
      </c>
      <c r="E1242" t="s">
        <v>6517</v>
      </c>
    </row>
    <row r="1243" spans="1:5" x14ac:dyDescent="0.3">
      <c r="A1243" t="s">
        <v>1341</v>
      </c>
      <c r="B1243" t="s">
        <v>8672</v>
      </c>
      <c r="C1243" t="s">
        <v>8672</v>
      </c>
      <c r="D1243" t="s">
        <v>8671</v>
      </c>
      <c r="E1243" t="s">
        <v>8670</v>
      </c>
    </row>
    <row r="1244" spans="1:5" x14ac:dyDescent="0.3">
      <c r="A1244" t="s">
        <v>1341</v>
      </c>
      <c r="B1244" t="s">
        <v>8669</v>
      </c>
      <c r="C1244" t="s">
        <v>6517</v>
      </c>
      <c r="D1244" t="s">
        <v>6517</v>
      </c>
      <c r="E1244" t="s">
        <v>6517</v>
      </c>
    </row>
    <row r="1245" spans="1:5" x14ac:dyDescent="0.3">
      <c r="A1245" t="s">
        <v>1341</v>
      </c>
      <c r="B1245" t="s">
        <v>8668</v>
      </c>
      <c r="C1245" t="s">
        <v>6517</v>
      </c>
      <c r="D1245" t="s">
        <v>6517</v>
      </c>
      <c r="E1245" t="s">
        <v>6517</v>
      </c>
    </row>
    <row r="1246" spans="1:5" x14ac:dyDescent="0.3">
      <c r="A1246" t="s">
        <v>1341</v>
      </c>
      <c r="B1246" t="s">
        <v>8667</v>
      </c>
      <c r="C1246" t="s">
        <v>6517</v>
      </c>
      <c r="D1246" t="s">
        <v>6517</v>
      </c>
      <c r="E1246" t="s">
        <v>6517</v>
      </c>
    </row>
    <row r="1247" spans="1:5" x14ac:dyDescent="0.3">
      <c r="A1247" t="s">
        <v>1341</v>
      </c>
      <c r="B1247" t="s">
        <v>8666</v>
      </c>
      <c r="C1247" t="s">
        <v>6517</v>
      </c>
      <c r="D1247" t="s">
        <v>6517</v>
      </c>
      <c r="E1247" t="s">
        <v>6517</v>
      </c>
    </row>
    <row r="1248" spans="1:5" x14ac:dyDescent="0.3">
      <c r="A1248" t="s">
        <v>1342</v>
      </c>
      <c r="B1248" t="s">
        <v>8665</v>
      </c>
      <c r="C1248" t="s">
        <v>8665</v>
      </c>
      <c r="D1248" t="s">
        <v>8664</v>
      </c>
      <c r="E1248" t="s">
        <v>8663</v>
      </c>
    </row>
    <row r="1249" spans="1:5" x14ac:dyDescent="0.3">
      <c r="A1249" t="s">
        <v>1342</v>
      </c>
      <c r="B1249" t="s">
        <v>8662</v>
      </c>
      <c r="C1249" t="s">
        <v>6517</v>
      </c>
      <c r="D1249" t="s">
        <v>6517</v>
      </c>
      <c r="E1249" t="s">
        <v>6517</v>
      </c>
    </row>
    <row r="1250" spans="1:5" x14ac:dyDescent="0.3">
      <c r="A1250" t="s">
        <v>1342</v>
      </c>
      <c r="B1250" t="s">
        <v>8661</v>
      </c>
      <c r="C1250" t="s">
        <v>6517</v>
      </c>
      <c r="D1250" t="s">
        <v>6517</v>
      </c>
      <c r="E1250" t="s">
        <v>6517</v>
      </c>
    </row>
    <row r="1251" spans="1:5" x14ac:dyDescent="0.3">
      <c r="A1251" t="s">
        <v>1342</v>
      </c>
      <c r="B1251" t="s">
        <v>8660</v>
      </c>
      <c r="C1251" t="s">
        <v>6517</v>
      </c>
      <c r="D1251" t="s">
        <v>6517</v>
      </c>
      <c r="E1251" t="s">
        <v>6517</v>
      </c>
    </row>
    <row r="1252" spans="1:5" x14ac:dyDescent="0.3">
      <c r="A1252" t="s">
        <v>1342</v>
      </c>
      <c r="B1252" t="s">
        <v>8659</v>
      </c>
      <c r="C1252" t="s">
        <v>6517</v>
      </c>
      <c r="D1252" t="s">
        <v>6517</v>
      </c>
      <c r="E1252" t="s">
        <v>6517</v>
      </c>
    </row>
    <row r="1253" spans="1:5" x14ac:dyDescent="0.3">
      <c r="A1253" t="s">
        <v>1343</v>
      </c>
      <c r="B1253" t="s">
        <v>8658</v>
      </c>
      <c r="C1253" t="s">
        <v>8658</v>
      </c>
      <c r="D1253" t="s">
        <v>8657</v>
      </c>
      <c r="E1253" t="s">
        <v>8656</v>
      </c>
    </row>
    <row r="1254" spans="1:5" x14ac:dyDescent="0.3">
      <c r="A1254" t="s">
        <v>1343</v>
      </c>
      <c r="B1254" t="s">
        <v>8655</v>
      </c>
      <c r="C1254" t="s">
        <v>6517</v>
      </c>
      <c r="D1254" t="s">
        <v>6517</v>
      </c>
      <c r="E1254" t="s">
        <v>6517</v>
      </c>
    </row>
    <row r="1255" spans="1:5" x14ac:dyDescent="0.3">
      <c r="A1255" t="s">
        <v>1343</v>
      </c>
      <c r="B1255" t="s">
        <v>8654</v>
      </c>
      <c r="C1255" t="s">
        <v>6517</v>
      </c>
      <c r="D1255" t="s">
        <v>6517</v>
      </c>
      <c r="E1255" t="s">
        <v>6517</v>
      </c>
    </row>
    <row r="1256" spans="1:5" x14ac:dyDescent="0.3">
      <c r="A1256" t="s">
        <v>1343</v>
      </c>
      <c r="B1256" t="s">
        <v>8653</v>
      </c>
      <c r="C1256" t="s">
        <v>6517</v>
      </c>
      <c r="D1256" t="s">
        <v>6517</v>
      </c>
      <c r="E1256" t="s">
        <v>6517</v>
      </c>
    </row>
    <row r="1257" spans="1:5" x14ac:dyDescent="0.3">
      <c r="A1257" t="s">
        <v>1343</v>
      </c>
      <c r="B1257" t="s">
        <v>8652</v>
      </c>
      <c r="C1257" t="s">
        <v>6517</v>
      </c>
      <c r="D1257" t="s">
        <v>6517</v>
      </c>
      <c r="E1257" t="s">
        <v>6517</v>
      </c>
    </row>
    <row r="1258" spans="1:5" x14ac:dyDescent="0.3">
      <c r="A1258" t="s">
        <v>1344</v>
      </c>
      <c r="B1258" t="s">
        <v>8651</v>
      </c>
      <c r="C1258" t="s">
        <v>8651</v>
      </c>
      <c r="D1258" t="s">
        <v>8650</v>
      </c>
      <c r="E1258" t="s">
        <v>8649</v>
      </c>
    </row>
    <row r="1259" spans="1:5" x14ac:dyDescent="0.3">
      <c r="A1259" t="s">
        <v>1344</v>
      </c>
      <c r="B1259" t="s">
        <v>8648</v>
      </c>
      <c r="C1259" t="s">
        <v>6517</v>
      </c>
      <c r="D1259" t="s">
        <v>6517</v>
      </c>
      <c r="E1259" t="s">
        <v>6517</v>
      </c>
    </row>
    <row r="1260" spans="1:5" x14ac:dyDescent="0.3">
      <c r="A1260" t="s">
        <v>1344</v>
      </c>
      <c r="B1260" t="s">
        <v>8647</v>
      </c>
      <c r="C1260" t="s">
        <v>6517</v>
      </c>
      <c r="D1260" t="s">
        <v>6517</v>
      </c>
      <c r="E1260" t="s">
        <v>6517</v>
      </c>
    </row>
    <row r="1261" spans="1:5" x14ac:dyDescent="0.3">
      <c r="A1261" t="s">
        <v>1344</v>
      </c>
      <c r="B1261" t="s">
        <v>8646</v>
      </c>
      <c r="C1261" t="s">
        <v>6517</v>
      </c>
      <c r="D1261" t="s">
        <v>6517</v>
      </c>
      <c r="E1261" t="s">
        <v>6517</v>
      </c>
    </row>
    <row r="1262" spans="1:5" x14ac:dyDescent="0.3">
      <c r="A1262" t="s">
        <v>1344</v>
      </c>
      <c r="B1262" t="s">
        <v>8645</v>
      </c>
      <c r="C1262" t="s">
        <v>6517</v>
      </c>
      <c r="D1262" t="s">
        <v>6517</v>
      </c>
      <c r="E1262" t="s">
        <v>6517</v>
      </c>
    </row>
    <row r="1263" spans="1:5" x14ac:dyDescent="0.3">
      <c r="A1263" t="s">
        <v>1345</v>
      </c>
      <c r="B1263" t="s">
        <v>8644</v>
      </c>
      <c r="C1263" t="s">
        <v>8644</v>
      </c>
      <c r="D1263" t="s">
        <v>8643</v>
      </c>
      <c r="E1263" t="s">
        <v>8642</v>
      </c>
    </row>
    <row r="1264" spans="1:5" x14ac:dyDescent="0.3">
      <c r="A1264" t="s">
        <v>1345</v>
      </c>
      <c r="B1264" t="s">
        <v>8641</v>
      </c>
      <c r="C1264" t="s">
        <v>6517</v>
      </c>
      <c r="D1264" t="s">
        <v>6517</v>
      </c>
      <c r="E1264" t="s">
        <v>6517</v>
      </c>
    </row>
    <row r="1265" spans="1:5" x14ac:dyDescent="0.3">
      <c r="A1265" t="s">
        <v>1345</v>
      </c>
      <c r="B1265" t="s">
        <v>8640</v>
      </c>
      <c r="C1265" t="s">
        <v>6517</v>
      </c>
      <c r="D1265" t="s">
        <v>6517</v>
      </c>
      <c r="E1265" t="s">
        <v>6517</v>
      </c>
    </row>
    <row r="1266" spans="1:5" x14ac:dyDescent="0.3">
      <c r="A1266" t="s">
        <v>1345</v>
      </c>
      <c r="B1266" t="s">
        <v>8639</v>
      </c>
      <c r="C1266" t="s">
        <v>6517</v>
      </c>
      <c r="D1266" t="s">
        <v>6517</v>
      </c>
      <c r="E1266" t="s">
        <v>6517</v>
      </c>
    </row>
    <row r="1267" spans="1:5" x14ac:dyDescent="0.3">
      <c r="A1267" t="s">
        <v>1345</v>
      </c>
      <c r="B1267" t="s">
        <v>8638</v>
      </c>
      <c r="C1267" t="s">
        <v>6517</v>
      </c>
      <c r="D1267" t="s">
        <v>6517</v>
      </c>
      <c r="E1267" t="s">
        <v>6517</v>
      </c>
    </row>
    <row r="1268" spans="1:5" x14ac:dyDescent="0.3">
      <c r="A1268" t="s">
        <v>1346</v>
      </c>
      <c r="B1268" t="s">
        <v>8637</v>
      </c>
      <c r="C1268" t="s">
        <v>8637</v>
      </c>
      <c r="D1268" t="s">
        <v>8636</v>
      </c>
      <c r="E1268" t="s">
        <v>8635</v>
      </c>
    </row>
    <row r="1269" spans="1:5" x14ac:dyDescent="0.3">
      <c r="A1269" t="s">
        <v>1346</v>
      </c>
      <c r="B1269" t="s">
        <v>8634</v>
      </c>
      <c r="C1269" t="s">
        <v>6517</v>
      </c>
      <c r="D1269" t="s">
        <v>6517</v>
      </c>
      <c r="E1269" t="s">
        <v>6517</v>
      </c>
    </row>
    <row r="1270" spans="1:5" x14ac:dyDescent="0.3">
      <c r="A1270" t="s">
        <v>1346</v>
      </c>
      <c r="B1270" t="s">
        <v>8633</v>
      </c>
      <c r="C1270" t="s">
        <v>6517</v>
      </c>
      <c r="D1270" t="s">
        <v>6517</v>
      </c>
      <c r="E1270" t="s">
        <v>6517</v>
      </c>
    </row>
    <row r="1271" spans="1:5" x14ac:dyDescent="0.3">
      <c r="A1271" t="s">
        <v>1346</v>
      </c>
      <c r="B1271" t="s">
        <v>8632</v>
      </c>
      <c r="C1271" t="s">
        <v>6517</v>
      </c>
      <c r="D1271" t="s">
        <v>6517</v>
      </c>
      <c r="E1271" t="s">
        <v>6517</v>
      </c>
    </row>
    <row r="1272" spans="1:5" x14ac:dyDescent="0.3">
      <c r="A1272" t="s">
        <v>1346</v>
      </c>
      <c r="B1272" t="s">
        <v>8631</v>
      </c>
      <c r="C1272" t="s">
        <v>6517</v>
      </c>
      <c r="D1272" t="s">
        <v>6517</v>
      </c>
      <c r="E1272" t="s">
        <v>6517</v>
      </c>
    </row>
    <row r="1273" spans="1:5" x14ac:dyDescent="0.3">
      <c r="A1273" t="s">
        <v>1347</v>
      </c>
      <c r="B1273" t="s">
        <v>8630</v>
      </c>
      <c r="C1273" t="s">
        <v>8630</v>
      </c>
      <c r="D1273" t="s">
        <v>8629</v>
      </c>
      <c r="E1273" t="s">
        <v>8628</v>
      </c>
    </row>
    <row r="1274" spans="1:5" x14ac:dyDescent="0.3">
      <c r="A1274" t="s">
        <v>1347</v>
      </c>
      <c r="B1274" t="s">
        <v>8627</v>
      </c>
      <c r="C1274" t="s">
        <v>6517</v>
      </c>
      <c r="D1274" t="s">
        <v>6517</v>
      </c>
      <c r="E1274" t="s">
        <v>6517</v>
      </c>
    </row>
    <row r="1275" spans="1:5" x14ac:dyDescent="0.3">
      <c r="A1275" t="s">
        <v>1347</v>
      </c>
      <c r="B1275" t="s">
        <v>8626</v>
      </c>
      <c r="C1275" t="s">
        <v>6517</v>
      </c>
      <c r="D1275" t="s">
        <v>6517</v>
      </c>
      <c r="E1275" t="s">
        <v>6517</v>
      </c>
    </row>
    <row r="1276" spans="1:5" x14ac:dyDescent="0.3">
      <c r="A1276" t="s">
        <v>1347</v>
      </c>
      <c r="B1276" t="s">
        <v>8625</v>
      </c>
      <c r="C1276" t="s">
        <v>6517</v>
      </c>
      <c r="D1276" t="s">
        <v>6517</v>
      </c>
      <c r="E1276" t="s">
        <v>6517</v>
      </c>
    </row>
    <row r="1277" spans="1:5" x14ac:dyDescent="0.3">
      <c r="A1277" t="s">
        <v>1347</v>
      </c>
      <c r="B1277" t="s">
        <v>8624</v>
      </c>
      <c r="C1277" t="s">
        <v>6517</v>
      </c>
      <c r="D1277" t="s">
        <v>6517</v>
      </c>
      <c r="E1277" t="s">
        <v>6517</v>
      </c>
    </row>
    <row r="1278" spans="1:5" x14ac:dyDescent="0.3">
      <c r="A1278" t="s">
        <v>1348</v>
      </c>
      <c r="B1278" t="s">
        <v>8623</v>
      </c>
      <c r="C1278" t="s">
        <v>8623</v>
      </c>
      <c r="D1278" t="s">
        <v>8622</v>
      </c>
      <c r="E1278" t="s">
        <v>8621</v>
      </c>
    </row>
    <row r="1279" spans="1:5" x14ac:dyDescent="0.3">
      <c r="A1279" t="s">
        <v>1348</v>
      </c>
      <c r="B1279" t="s">
        <v>8620</v>
      </c>
      <c r="C1279" t="s">
        <v>6517</v>
      </c>
      <c r="D1279" t="s">
        <v>6517</v>
      </c>
      <c r="E1279" t="s">
        <v>6517</v>
      </c>
    </row>
    <row r="1280" spans="1:5" x14ac:dyDescent="0.3">
      <c r="A1280" t="s">
        <v>1348</v>
      </c>
      <c r="B1280" t="s">
        <v>8619</v>
      </c>
      <c r="C1280" t="s">
        <v>6517</v>
      </c>
      <c r="D1280" t="s">
        <v>6517</v>
      </c>
      <c r="E1280" t="s">
        <v>6517</v>
      </c>
    </row>
    <row r="1281" spans="1:5" x14ac:dyDescent="0.3">
      <c r="A1281" t="s">
        <v>1348</v>
      </c>
      <c r="B1281" t="s">
        <v>8618</v>
      </c>
      <c r="C1281" t="s">
        <v>6517</v>
      </c>
      <c r="D1281" t="s">
        <v>6517</v>
      </c>
      <c r="E1281" t="s">
        <v>6517</v>
      </c>
    </row>
    <row r="1282" spans="1:5" x14ac:dyDescent="0.3">
      <c r="A1282" t="s">
        <v>1348</v>
      </c>
      <c r="B1282" t="s">
        <v>8617</v>
      </c>
      <c r="C1282" t="s">
        <v>6517</v>
      </c>
      <c r="D1282" t="s">
        <v>6517</v>
      </c>
      <c r="E1282" t="s">
        <v>6517</v>
      </c>
    </row>
    <row r="1283" spans="1:5" x14ac:dyDescent="0.3">
      <c r="A1283" t="s">
        <v>1349</v>
      </c>
      <c r="B1283" t="s">
        <v>8616</v>
      </c>
      <c r="C1283" t="s">
        <v>8616</v>
      </c>
      <c r="D1283" t="s">
        <v>8615</v>
      </c>
      <c r="E1283" t="s">
        <v>8614</v>
      </c>
    </row>
    <row r="1284" spans="1:5" x14ac:dyDescent="0.3">
      <c r="A1284" t="s">
        <v>1349</v>
      </c>
      <c r="B1284" t="s">
        <v>8613</v>
      </c>
      <c r="C1284" t="s">
        <v>6517</v>
      </c>
      <c r="D1284" t="s">
        <v>6517</v>
      </c>
      <c r="E1284" t="s">
        <v>6517</v>
      </c>
    </row>
    <row r="1285" spans="1:5" x14ac:dyDescent="0.3">
      <c r="A1285" t="s">
        <v>1349</v>
      </c>
      <c r="B1285" t="s">
        <v>8612</v>
      </c>
      <c r="C1285" t="s">
        <v>6517</v>
      </c>
      <c r="D1285" t="s">
        <v>6517</v>
      </c>
      <c r="E1285" t="s">
        <v>6517</v>
      </c>
    </row>
    <row r="1286" spans="1:5" x14ac:dyDescent="0.3">
      <c r="A1286" t="s">
        <v>1349</v>
      </c>
      <c r="B1286" t="s">
        <v>8611</v>
      </c>
      <c r="C1286" t="s">
        <v>6517</v>
      </c>
      <c r="D1286" t="s">
        <v>6517</v>
      </c>
      <c r="E1286" t="s">
        <v>6517</v>
      </c>
    </row>
    <row r="1287" spans="1:5" x14ac:dyDescent="0.3">
      <c r="A1287" t="s">
        <v>1349</v>
      </c>
      <c r="B1287" t="s">
        <v>8610</v>
      </c>
      <c r="C1287" t="s">
        <v>6517</v>
      </c>
      <c r="D1287" t="s">
        <v>6517</v>
      </c>
      <c r="E1287" t="s">
        <v>6517</v>
      </c>
    </row>
    <row r="1288" spans="1:5" x14ac:dyDescent="0.3">
      <c r="A1288" t="s">
        <v>1350</v>
      </c>
      <c r="B1288" t="s">
        <v>8609</v>
      </c>
      <c r="C1288" t="s">
        <v>8609</v>
      </c>
      <c r="D1288" t="s">
        <v>8608</v>
      </c>
      <c r="E1288" t="s">
        <v>8607</v>
      </c>
    </row>
    <row r="1289" spans="1:5" x14ac:dyDescent="0.3">
      <c r="A1289" t="s">
        <v>1350</v>
      </c>
      <c r="B1289" t="s">
        <v>8606</v>
      </c>
      <c r="C1289" t="s">
        <v>6517</v>
      </c>
      <c r="D1289" t="s">
        <v>6517</v>
      </c>
      <c r="E1289" t="s">
        <v>6517</v>
      </c>
    </row>
    <row r="1290" spans="1:5" x14ac:dyDescent="0.3">
      <c r="A1290" t="s">
        <v>1350</v>
      </c>
      <c r="B1290" t="s">
        <v>8605</v>
      </c>
      <c r="C1290" t="s">
        <v>6517</v>
      </c>
      <c r="D1290" t="s">
        <v>6517</v>
      </c>
      <c r="E1290" t="s">
        <v>6517</v>
      </c>
    </row>
    <row r="1291" spans="1:5" x14ac:dyDescent="0.3">
      <c r="A1291" t="s">
        <v>1350</v>
      </c>
      <c r="B1291" t="s">
        <v>8604</v>
      </c>
      <c r="C1291" t="s">
        <v>6517</v>
      </c>
      <c r="D1291" t="s">
        <v>6517</v>
      </c>
      <c r="E1291" t="s">
        <v>6517</v>
      </c>
    </row>
    <row r="1292" spans="1:5" x14ac:dyDescent="0.3">
      <c r="A1292" t="s">
        <v>1350</v>
      </c>
      <c r="B1292" t="s">
        <v>8603</v>
      </c>
      <c r="C1292" t="s">
        <v>6517</v>
      </c>
      <c r="D1292" t="s">
        <v>6517</v>
      </c>
      <c r="E1292" t="s">
        <v>6517</v>
      </c>
    </row>
    <row r="1293" spans="1:5" x14ac:dyDescent="0.3">
      <c r="A1293" t="s">
        <v>1351</v>
      </c>
      <c r="B1293" t="s">
        <v>8602</v>
      </c>
      <c r="C1293" t="s">
        <v>8602</v>
      </c>
      <c r="D1293" t="s">
        <v>8601</v>
      </c>
      <c r="E1293" t="s">
        <v>8600</v>
      </c>
    </row>
    <row r="1294" spans="1:5" x14ac:dyDescent="0.3">
      <c r="A1294" t="s">
        <v>1351</v>
      </c>
      <c r="B1294" t="s">
        <v>8599</v>
      </c>
      <c r="C1294" t="s">
        <v>6517</v>
      </c>
      <c r="D1294" t="s">
        <v>6517</v>
      </c>
      <c r="E1294" t="s">
        <v>6517</v>
      </c>
    </row>
    <row r="1295" spans="1:5" x14ac:dyDescent="0.3">
      <c r="A1295" t="s">
        <v>1351</v>
      </c>
      <c r="B1295" t="s">
        <v>8598</v>
      </c>
      <c r="C1295" t="s">
        <v>6517</v>
      </c>
      <c r="D1295" t="s">
        <v>6517</v>
      </c>
      <c r="E1295" t="s">
        <v>6517</v>
      </c>
    </row>
    <row r="1296" spans="1:5" x14ac:dyDescent="0.3">
      <c r="A1296" t="s">
        <v>1351</v>
      </c>
      <c r="B1296" t="s">
        <v>8597</v>
      </c>
      <c r="C1296" t="s">
        <v>6517</v>
      </c>
      <c r="D1296" t="s">
        <v>6517</v>
      </c>
      <c r="E1296" t="s">
        <v>6517</v>
      </c>
    </row>
    <row r="1297" spans="1:5" x14ac:dyDescent="0.3">
      <c r="A1297" t="s">
        <v>1351</v>
      </c>
      <c r="B1297" t="s">
        <v>8596</v>
      </c>
      <c r="C1297" t="s">
        <v>6517</v>
      </c>
      <c r="D1297" t="s">
        <v>6517</v>
      </c>
      <c r="E1297" t="s">
        <v>6517</v>
      </c>
    </row>
    <row r="1298" spans="1:5" x14ac:dyDescent="0.3">
      <c r="A1298" t="s">
        <v>1352</v>
      </c>
      <c r="B1298" t="s">
        <v>8595</v>
      </c>
      <c r="C1298" t="s">
        <v>8595</v>
      </c>
      <c r="D1298" t="s">
        <v>8594</v>
      </c>
      <c r="E1298" t="s">
        <v>8593</v>
      </c>
    </row>
    <row r="1299" spans="1:5" x14ac:dyDescent="0.3">
      <c r="A1299" t="s">
        <v>1352</v>
      </c>
      <c r="B1299" t="s">
        <v>8592</v>
      </c>
      <c r="C1299" t="s">
        <v>6517</v>
      </c>
      <c r="D1299" t="s">
        <v>6517</v>
      </c>
      <c r="E1299" t="s">
        <v>6517</v>
      </c>
    </row>
    <row r="1300" spans="1:5" x14ac:dyDescent="0.3">
      <c r="A1300" t="s">
        <v>1352</v>
      </c>
      <c r="B1300" t="s">
        <v>8591</v>
      </c>
      <c r="C1300" t="s">
        <v>6517</v>
      </c>
      <c r="D1300" t="s">
        <v>6517</v>
      </c>
      <c r="E1300" t="s">
        <v>6517</v>
      </c>
    </row>
    <row r="1301" spans="1:5" x14ac:dyDescent="0.3">
      <c r="A1301" t="s">
        <v>1352</v>
      </c>
      <c r="B1301" t="s">
        <v>8590</v>
      </c>
      <c r="C1301" t="s">
        <v>6517</v>
      </c>
      <c r="D1301" t="s">
        <v>6517</v>
      </c>
      <c r="E1301" t="s">
        <v>6517</v>
      </c>
    </row>
    <row r="1302" spans="1:5" x14ac:dyDescent="0.3">
      <c r="A1302" t="s">
        <v>1352</v>
      </c>
      <c r="B1302" t="s">
        <v>8589</v>
      </c>
      <c r="C1302" t="s">
        <v>6517</v>
      </c>
      <c r="D1302" t="s">
        <v>6517</v>
      </c>
      <c r="E1302" t="s">
        <v>6517</v>
      </c>
    </row>
    <row r="1303" spans="1:5" x14ac:dyDescent="0.3">
      <c r="A1303" t="s">
        <v>1353</v>
      </c>
      <c r="B1303" t="s">
        <v>8588</v>
      </c>
      <c r="C1303" t="s">
        <v>8588</v>
      </c>
      <c r="D1303" t="s">
        <v>8587</v>
      </c>
      <c r="E1303" t="s">
        <v>8586</v>
      </c>
    </row>
    <row r="1304" spans="1:5" x14ac:dyDescent="0.3">
      <c r="A1304" t="s">
        <v>1353</v>
      </c>
      <c r="B1304" t="s">
        <v>8584</v>
      </c>
      <c r="C1304" t="s">
        <v>6517</v>
      </c>
      <c r="D1304" t="s">
        <v>6517</v>
      </c>
      <c r="E1304" t="s">
        <v>6517</v>
      </c>
    </row>
    <row r="1305" spans="1:5" x14ac:dyDescent="0.3">
      <c r="A1305" t="s">
        <v>1353</v>
      </c>
      <c r="B1305" t="s">
        <v>8585</v>
      </c>
      <c r="C1305" t="s">
        <v>6517</v>
      </c>
      <c r="D1305" t="s">
        <v>6517</v>
      </c>
      <c r="E1305" t="s">
        <v>6517</v>
      </c>
    </row>
    <row r="1306" spans="1:5" x14ac:dyDescent="0.3">
      <c r="A1306" t="s">
        <v>1353</v>
      </c>
      <c r="B1306" t="s">
        <v>8584</v>
      </c>
      <c r="C1306" t="s">
        <v>6517</v>
      </c>
      <c r="D1306" t="s">
        <v>6517</v>
      </c>
      <c r="E1306" t="s">
        <v>6517</v>
      </c>
    </row>
    <row r="1307" spans="1:5" x14ac:dyDescent="0.3">
      <c r="A1307" t="s">
        <v>1353</v>
      </c>
      <c r="B1307" t="s">
        <v>8583</v>
      </c>
      <c r="C1307" t="s">
        <v>6517</v>
      </c>
      <c r="D1307" t="s">
        <v>6517</v>
      </c>
      <c r="E1307" t="s">
        <v>6517</v>
      </c>
    </row>
    <row r="1308" spans="1:5" x14ac:dyDescent="0.3">
      <c r="A1308" t="s">
        <v>1354</v>
      </c>
      <c r="B1308" t="s">
        <v>8582</v>
      </c>
      <c r="C1308" t="s">
        <v>8582</v>
      </c>
      <c r="D1308" t="s">
        <v>8581</v>
      </c>
      <c r="E1308" t="s">
        <v>8580</v>
      </c>
    </row>
    <row r="1309" spans="1:5" x14ac:dyDescent="0.3">
      <c r="A1309" t="s">
        <v>1354</v>
      </c>
      <c r="B1309" t="s">
        <v>8579</v>
      </c>
      <c r="C1309" t="s">
        <v>6517</v>
      </c>
      <c r="D1309" t="s">
        <v>6517</v>
      </c>
      <c r="E1309" t="s">
        <v>6517</v>
      </c>
    </row>
    <row r="1310" spans="1:5" x14ac:dyDescent="0.3">
      <c r="A1310" t="s">
        <v>1354</v>
      </c>
      <c r="B1310" t="s">
        <v>8578</v>
      </c>
      <c r="C1310" t="s">
        <v>6517</v>
      </c>
      <c r="D1310" t="s">
        <v>6517</v>
      </c>
      <c r="E1310" t="s">
        <v>6517</v>
      </c>
    </row>
    <row r="1311" spans="1:5" x14ac:dyDescent="0.3">
      <c r="A1311" t="s">
        <v>1354</v>
      </c>
      <c r="B1311" t="s">
        <v>8577</v>
      </c>
      <c r="C1311" t="s">
        <v>6517</v>
      </c>
      <c r="D1311" t="s">
        <v>6517</v>
      </c>
      <c r="E1311" t="s">
        <v>6517</v>
      </c>
    </row>
    <row r="1312" spans="1:5" x14ac:dyDescent="0.3">
      <c r="A1312" t="s">
        <v>1354</v>
      </c>
      <c r="B1312" t="s">
        <v>8576</v>
      </c>
      <c r="C1312" t="s">
        <v>6517</v>
      </c>
      <c r="D1312" t="s">
        <v>6517</v>
      </c>
      <c r="E1312" t="s">
        <v>6517</v>
      </c>
    </row>
    <row r="1313" spans="1:5" x14ac:dyDescent="0.3">
      <c r="A1313" t="s">
        <v>1355</v>
      </c>
      <c r="B1313" t="s">
        <v>8575</v>
      </c>
      <c r="C1313" t="s">
        <v>8575</v>
      </c>
      <c r="D1313" t="s">
        <v>8574</v>
      </c>
      <c r="E1313" t="s">
        <v>8573</v>
      </c>
    </row>
    <row r="1314" spans="1:5" x14ac:dyDescent="0.3">
      <c r="A1314" t="s">
        <v>1355</v>
      </c>
      <c r="B1314" t="s">
        <v>8572</v>
      </c>
      <c r="C1314" t="s">
        <v>6517</v>
      </c>
      <c r="D1314" t="s">
        <v>6517</v>
      </c>
      <c r="E1314" t="s">
        <v>6517</v>
      </c>
    </row>
    <row r="1315" spans="1:5" x14ac:dyDescent="0.3">
      <c r="A1315" t="s">
        <v>1355</v>
      </c>
      <c r="B1315" t="s">
        <v>8571</v>
      </c>
      <c r="C1315" t="s">
        <v>6517</v>
      </c>
      <c r="D1315" t="s">
        <v>6517</v>
      </c>
      <c r="E1315" t="s">
        <v>6517</v>
      </c>
    </row>
    <row r="1316" spans="1:5" x14ac:dyDescent="0.3">
      <c r="A1316" t="s">
        <v>1355</v>
      </c>
      <c r="B1316" t="s">
        <v>8570</v>
      </c>
      <c r="C1316" t="s">
        <v>6517</v>
      </c>
      <c r="D1316" t="s">
        <v>6517</v>
      </c>
      <c r="E1316" t="s">
        <v>6517</v>
      </c>
    </row>
    <row r="1317" spans="1:5" x14ac:dyDescent="0.3">
      <c r="A1317" t="s">
        <v>1355</v>
      </c>
      <c r="B1317" t="s">
        <v>8569</v>
      </c>
      <c r="C1317" t="s">
        <v>6517</v>
      </c>
      <c r="D1317" t="s">
        <v>6517</v>
      </c>
      <c r="E1317" t="s">
        <v>6517</v>
      </c>
    </row>
    <row r="1318" spans="1:5" x14ac:dyDescent="0.3">
      <c r="A1318" t="s">
        <v>1356</v>
      </c>
      <c r="B1318" t="s">
        <v>8568</v>
      </c>
      <c r="C1318" t="s">
        <v>8568</v>
      </c>
      <c r="D1318" t="s">
        <v>8567</v>
      </c>
      <c r="E1318" t="s">
        <v>8566</v>
      </c>
    </row>
    <row r="1319" spans="1:5" x14ac:dyDescent="0.3">
      <c r="A1319" t="s">
        <v>1356</v>
      </c>
      <c r="B1319" t="s">
        <v>8565</v>
      </c>
      <c r="C1319" t="s">
        <v>6517</v>
      </c>
      <c r="D1319" t="s">
        <v>6517</v>
      </c>
      <c r="E1319" t="s">
        <v>6517</v>
      </c>
    </row>
    <row r="1320" spans="1:5" x14ac:dyDescent="0.3">
      <c r="A1320" t="s">
        <v>1356</v>
      </c>
      <c r="B1320" t="s">
        <v>8564</v>
      </c>
      <c r="C1320" t="s">
        <v>6517</v>
      </c>
      <c r="D1320" t="s">
        <v>6517</v>
      </c>
      <c r="E1320" t="s">
        <v>6517</v>
      </c>
    </row>
    <row r="1321" spans="1:5" x14ac:dyDescent="0.3">
      <c r="A1321" t="s">
        <v>1356</v>
      </c>
      <c r="B1321" t="s">
        <v>8563</v>
      </c>
      <c r="C1321" t="s">
        <v>6517</v>
      </c>
      <c r="D1321" t="s">
        <v>6517</v>
      </c>
      <c r="E1321" t="s">
        <v>6517</v>
      </c>
    </row>
    <row r="1322" spans="1:5" x14ac:dyDescent="0.3">
      <c r="A1322" t="s">
        <v>1356</v>
      </c>
      <c r="B1322" t="s">
        <v>8562</v>
      </c>
      <c r="C1322" t="s">
        <v>6517</v>
      </c>
      <c r="D1322" t="s">
        <v>6517</v>
      </c>
      <c r="E1322" t="s">
        <v>6517</v>
      </c>
    </row>
    <row r="1323" spans="1:5" x14ac:dyDescent="0.3">
      <c r="A1323" t="s">
        <v>1357</v>
      </c>
      <c r="B1323" t="s">
        <v>8561</v>
      </c>
      <c r="C1323" t="s">
        <v>8561</v>
      </c>
      <c r="D1323" t="s">
        <v>8560</v>
      </c>
      <c r="E1323" t="s">
        <v>8559</v>
      </c>
    </row>
    <row r="1324" spans="1:5" x14ac:dyDescent="0.3">
      <c r="A1324" t="s">
        <v>1357</v>
      </c>
      <c r="B1324" t="s">
        <v>8558</v>
      </c>
      <c r="C1324" t="s">
        <v>6517</v>
      </c>
      <c r="D1324" t="s">
        <v>6517</v>
      </c>
      <c r="E1324" t="s">
        <v>6517</v>
      </c>
    </row>
    <row r="1325" spans="1:5" x14ac:dyDescent="0.3">
      <c r="A1325" t="s">
        <v>1357</v>
      </c>
      <c r="B1325" t="s">
        <v>8557</v>
      </c>
      <c r="C1325" t="s">
        <v>6517</v>
      </c>
      <c r="D1325" t="s">
        <v>6517</v>
      </c>
      <c r="E1325" t="s">
        <v>6517</v>
      </c>
    </row>
    <row r="1326" spans="1:5" x14ac:dyDescent="0.3">
      <c r="A1326" t="s">
        <v>1357</v>
      </c>
      <c r="B1326" t="s">
        <v>8556</v>
      </c>
      <c r="C1326" t="s">
        <v>6517</v>
      </c>
      <c r="D1326" t="s">
        <v>6517</v>
      </c>
      <c r="E1326" t="s">
        <v>6517</v>
      </c>
    </row>
    <row r="1327" spans="1:5" x14ac:dyDescent="0.3">
      <c r="A1327" t="s">
        <v>1357</v>
      </c>
      <c r="B1327" t="s">
        <v>8555</v>
      </c>
      <c r="C1327" t="s">
        <v>6517</v>
      </c>
      <c r="D1327" t="s">
        <v>6517</v>
      </c>
      <c r="E1327" t="s">
        <v>6517</v>
      </c>
    </row>
    <row r="1328" spans="1:5" x14ac:dyDescent="0.3">
      <c r="A1328" t="s">
        <v>1358</v>
      </c>
      <c r="B1328" t="s">
        <v>8554</v>
      </c>
      <c r="C1328" t="s">
        <v>8554</v>
      </c>
      <c r="D1328" t="s">
        <v>8553</v>
      </c>
      <c r="E1328" t="s">
        <v>8552</v>
      </c>
    </row>
    <row r="1329" spans="1:5" x14ac:dyDescent="0.3">
      <c r="A1329" t="s">
        <v>1358</v>
      </c>
      <c r="B1329" t="s">
        <v>8551</v>
      </c>
      <c r="C1329" t="s">
        <v>6517</v>
      </c>
      <c r="D1329" t="s">
        <v>6517</v>
      </c>
      <c r="E1329" t="s">
        <v>6517</v>
      </c>
    </row>
    <row r="1330" spans="1:5" x14ac:dyDescent="0.3">
      <c r="A1330" t="s">
        <v>1358</v>
      </c>
      <c r="B1330" t="s">
        <v>8550</v>
      </c>
      <c r="C1330" t="s">
        <v>6517</v>
      </c>
      <c r="D1330" t="s">
        <v>6517</v>
      </c>
      <c r="E1330" t="s">
        <v>6517</v>
      </c>
    </row>
    <row r="1331" spans="1:5" x14ac:dyDescent="0.3">
      <c r="A1331" t="s">
        <v>1358</v>
      </c>
      <c r="B1331" t="s">
        <v>8549</v>
      </c>
      <c r="C1331" t="s">
        <v>6517</v>
      </c>
      <c r="D1331" t="s">
        <v>6517</v>
      </c>
      <c r="E1331" t="s">
        <v>6517</v>
      </c>
    </row>
    <row r="1332" spans="1:5" x14ac:dyDescent="0.3">
      <c r="A1332" t="s">
        <v>1358</v>
      </c>
      <c r="B1332" t="s">
        <v>8548</v>
      </c>
      <c r="C1332" t="s">
        <v>6517</v>
      </c>
      <c r="D1332" t="s">
        <v>6517</v>
      </c>
      <c r="E1332" t="s">
        <v>6517</v>
      </c>
    </row>
    <row r="1333" spans="1:5" x14ac:dyDescent="0.3">
      <c r="A1333" t="s">
        <v>1359</v>
      </c>
      <c r="B1333" t="s">
        <v>8547</v>
      </c>
      <c r="C1333" t="s">
        <v>8547</v>
      </c>
      <c r="D1333" t="s">
        <v>8546</v>
      </c>
      <c r="E1333" t="s">
        <v>8545</v>
      </c>
    </row>
    <row r="1334" spans="1:5" x14ac:dyDescent="0.3">
      <c r="A1334" t="s">
        <v>1359</v>
      </c>
      <c r="B1334" t="s">
        <v>8544</v>
      </c>
      <c r="C1334" t="s">
        <v>6517</v>
      </c>
      <c r="D1334" t="s">
        <v>6517</v>
      </c>
      <c r="E1334" t="s">
        <v>6517</v>
      </c>
    </row>
    <row r="1335" spans="1:5" x14ac:dyDescent="0.3">
      <c r="A1335" t="s">
        <v>1359</v>
      </c>
      <c r="B1335" t="s">
        <v>8543</v>
      </c>
      <c r="C1335" t="s">
        <v>6517</v>
      </c>
      <c r="D1335" t="s">
        <v>6517</v>
      </c>
      <c r="E1335" t="s">
        <v>6517</v>
      </c>
    </row>
    <row r="1336" spans="1:5" x14ac:dyDescent="0.3">
      <c r="A1336" t="s">
        <v>1359</v>
      </c>
      <c r="B1336" t="s">
        <v>8542</v>
      </c>
      <c r="C1336" t="s">
        <v>6517</v>
      </c>
      <c r="D1336" t="s">
        <v>6517</v>
      </c>
      <c r="E1336" t="s">
        <v>6517</v>
      </c>
    </row>
    <row r="1337" spans="1:5" x14ac:dyDescent="0.3">
      <c r="A1337" t="s">
        <v>1359</v>
      </c>
      <c r="B1337" t="s">
        <v>8541</v>
      </c>
      <c r="C1337" t="s">
        <v>6517</v>
      </c>
      <c r="D1337" t="s">
        <v>6517</v>
      </c>
      <c r="E1337" t="s">
        <v>6517</v>
      </c>
    </row>
    <row r="1338" spans="1:5" x14ac:dyDescent="0.3">
      <c r="A1338" t="s">
        <v>1360</v>
      </c>
      <c r="B1338" t="s">
        <v>8540</v>
      </c>
      <c r="C1338" t="s">
        <v>8540</v>
      </c>
      <c r="D1338" t="s">
        <v>8539</v>
      </c>
      <c r="E1338" t="s">
        <v>8538</v>
      </c>
    </row>
    <row r="1339" spans="1:5" x14ac:dyDescent="0.3">
      <c r="A1339" t="s">
        <v>1360</v>
      </c>
      <c r="B1339" t="s">
        <v>8537</v>
      </c>
      <c r="C1339" t="s">
        <v>6517</v>
      </c>
      <c r="D1339" t="s">
        <v>6517</v>
      </c>
      <c r="E1339" t="s">
        <v>6517</v>
      </c>
    </row>
    <row r="1340" spans="1:5" x14ac:dyDescent="0.3">
      <c r="A1340" t="s">
        <v>1360</v>
      </c>
      <c r="B1340" t="s">
        <v>8536</v>
      </c>
      <c r="C1340" t="s">
        <v>6517</v>
      </c>
      <c r="D1340" t="s">
        <v>6517</v>
      </c>
      <c r="E1340" t="s">
        <v>6517</v>
      </c>
    </row>
    <row r="1341" spans="1:5" x14ac:dyDescent="0.3">
      <c r="A1341" t="s">
        <v>1360</v>
      </c>
      <c r="B1341" t="s">
        <v>8535</v>
      </c>
      <c r="C1341" t="s">
        <v>6517</v>
      </c>
      <c r="D1341" t="s">
        <v>6517</v>
      </c>
      <c r="E1341" t="s">
        <v>6517</v>
      </c>
    </row>
    <row r="1342" spans="1:5" x14ac:dyDescent="0.3">
      <c r="A1342" t="s">
        <v>1360</v>
      </c>
      <c r="B1342" t="s">
        <v>8534</v>
      </c>
      <c r="C1342" t="s">
        <v>6517</v>
      </c>
      <c r="D1342" t="s">
        <v>6517</v>
      </c>
      <c r="E1342" t="s">
        <v>6517</v>
      </c>
    </row>
    <row r="1343" spans="1:5" x14ac:dyDescent="0.3">
      <c r="A1343" t="s">
        <v>1361</v>
      </c>
      <c r="B1343" t="s">
        <v>8533</v>
      </c>
      <c r="C1343" t="s">
        <v>8533</v>
      </c>
      <c r="D1343" t="s">
        <v>8532</v>
      </c>
      <c r="E1343" t="s">
        <v>8531</v>
      </c>
    </row>
    <row r="1344" spans="1:5" x14ac:dyDescent="0.3">
      <c r="A1344" t="s">
        <v>1361</v>
      </c>
      <c r="B1344" t="s">
        <v>8530</v>
      </c>
      <c r="C1344" t="s">
        <v>6517</v>
      </c>
      <c r="D1344" t="s">
        <v>6517</v>
      </c>
      <c r="E1344" t="s">
        <v>6517</v>
      </c>
    </row>
    <row r="1345" spans="1:5" x14ac:dyDescent="0.3">
      <c r="A1345" t="s">
        <v>1361</v>
      </c>
      <c r="B1345" t="s">
        <v>8529</v>
      </c>
      <c r="C1345" t="s">
        <v>6517</v>
      </c>
      <c r="D1345" t="s">
        <v>6517</v>
      </c>
      <c r="E1345" t="s">
        <v>6517</v>
      </c>
    </row>
    <row r="1346" spans="1:5" x14ac:dyDescent="0.3">
      <c r="A1346" t="s">
        <v>1361</v>
      </c>
      <c r="B1346" t="s">
        <v>8528</v>
      </c>
      <c r="C1346" t="s">
        <v>6517</v>
      </c>
      <c r="D1346" t="s">
        <v>6517</v>
      </c>
      <c r="E1346" t="s">
        <v>6517</v>
      </c>
    </row>
    <row r="1347" spans="1:5" x14ac:dyDescent="0.3">
      <c r="A1347" t="s">
        <v>1361</v>
      </c>
      <c r="B1347" t="s">
        <v>8527</v>
      </c>
      <c r="C1347" t="s">
        <v>6517</v>
      </c>
      <c r="D1347" t="s">
        <v>6517</v>
      </c>
      <c r="E1347" t="s">
        <v>6517</v>
      </c>
    </row>
    <row r="1348" spans="1:5" x14ac:dyDescent="0.3">
      <c r="A1348" t="s">
        <v>1362</v>
      </c>
      <c r="B1348" t="s">
        <v>8526</v>
      </c>
      <c r="C1348" t="s">
        <v>8526</v>
      </c>
      <c r="D1348" t="s">
        <v>8525</v>
      </c>
      <c r="E1348" t="s">
        <v>8524</v>
      </c>
    </row>
    <row r="1349" spans="1:5" x14ac:dyDescent="0.3">
      <c r="A1349" t="s">
        <v>1362</v>
      </c>
      <c r="B1349" t="s">
        <v>8523</v>
      </c>
      <c r="C1349" t="s">
        <v>6517</v>
      </c>
      <c r="D1349" t="s">
        <v>6517</v>
      </c>
      <c r="E1349" t="s">
        <v>6517</v>
      </c>
    </row>
    <row r="1350" spans="1:5" x14ac:dyDescent="0.3">
      <c r="A1350" t="s">
        <v>1362</v>
      </c>
      <c r="B1350" t="s">
        <v>8522</v>
      </c>
      <c r="C1350" t="s">
        <v>6517</v>
      </c>
      <c r="D1350" t="s">
        <v>6517</v>
      </c>
      <c r="E1350" t="s">
        <v>6517</v>
      </c>
    </row>
    <row r="1351" spans="1:5" x14ac:dyDescent="0.3">
      <c r="A1351" t="s">
        <v>1362</v>
      </c>
      <c r="B1351" t="s">
        <v>8521</v>
      </c>
      <c r="C1351" t="s">
        <v>6517</v>
      </c>
      <c r="D1351" t="s">
        <v>6517</v>
      </c>
      <c r="E1351" t="s">
        <v>6517</v>
      </c>
    </row>
    <row r="1352" spans="1:5" x14ac:dyDescent="0.3">
      <c r="A1352" t="s">
        <v>1362</v>
      </c>
      <c r="B1352" t="s">
        <v>8520</v>
      </c>
      <c r="C1352" t="s">
        <v>6517</v>
      </c>
      <c r="D1352" t="s">
        <v>6517</v>
      </c>
      <c r="E1352" t="s">
        <v>6517</v>
      </c>
    </row>
    <row r="1353" spans="1:5" x14ac:dyDescent="0.3">
      <c r="A1353" t="s">
        <v>1363</v>
      </c>
      <c r="B1353" t="s">
        <v>8519</v>
      </c>
      <c r="C1353" t="s">
        <v>8519</v>
      </c>
      <c r="D1353" t="s">
        <v>8518</v>
      </c>
      <c r="E1353" t="s">
        <v>8517</v>
      </c>
    </row>
    <row r="1354" spans="1:5" x14ac:dyDescent="0.3">
      <c r="A1354" t="s">
        <v>1363</v>
      </c>
      <c r="B1354" t="s">
        <v>8516</v>
      </c>
      <c r="C1354" t="s">
        <v>6517</v>
      </c>
      <c r="D1354" t="s">
        <v>6517</v>
      </c>
      <c r="E1354" t="s">
        <v>6517</v>
      </c>
    </row>
    <row r="1355" spans="1:5" x14ac:dyDescent="0.3">
      <c r="A1355" t="s">
        <v>1363</v>
      </c>
      <c r="B1355" t="s">
        <v>8515</v>
      </c>
      <c r="C1355" t="s">
        <v>6517</v>
      </c>
      <c r="D1355" t="s">
        <v>6517</v>
      </c>
      <c r="E1355" t="s">
        <v>6517</v>
      </c>
    </row>
    <row r="1356" spans="1:5" x14ac:dyDescent="0.3">
      <c r="A1356" t="s">
        <v>1363</v>
      </c>
      <c r="B1356" t="s">
        <v>8514</v>
      </c>
      <c r="C1356" t="s">
        <v>6517</v>
      </c>
      <c r="D1356" t="s">
        <v>6517</v>
      </c>
      <c r="E1356" t="s">
        <v>6517</v>
      </c>
    </row>
    <row r="1357" spans="1:5" x14ac:dyDescent="0.3">
      <c r="A1357" t="s">
        <v>1363</v>
      </c>
      <c r="B1357" t="s">
        <v>8513</v>
      </c>
      <c r="C1357" t="s">
        <v>6517</v>
      </c>
      <c r="D1357" t="s">
        <v>6517</v>
      </c>
      <c r="E1357" t="s">
        <v>6517</v>
      </c>
    </row>
    <row r="1358" spans="1:5" x14ac:dyDescent="0.3">
      <c r="A1358" t="s">
        <v>1364</v>
      </c>
      <c r="B1358" t="s">
        <v>8512</v>
      </c>
      <c r="C1358" t="s">
        <v>8512</v>
      </c>
      <c r="D1358" t="s">
        <v>8511</v>
      </c>
      <c r="E1358" t="s">
        <v>8510</v>
      </c>
    </row>
    <row r="1359" spans="1:5" x14ac:dyDescent="0.3">
      <c r="A1359" t="s">
        <v>1364</v>
      </c>
      <c r="B1359" t="s">
        <v>8509</v>
      </c>
      <c r="C1359" t="s">
        <v>6517</v>
      </c>
      <c r="D1359" t="s">
        <v>6517</v>
      </c>
      <c r="E1359" t="s">
        <v>6517</v>
      </c>
    </row>
    <row r="1360" spans="1:5" x14ac:dyDescent="0.3">
      <c r="A1360" t="s">
        <v>1364</v>
      </c>
      <c r="B1360" t="s">
        <v>8508</v>
      </c>
      <c r="C1360" t="s">
        <v>6517</v>
      </c>
      <c r="D1360" t="s">
        <v>6517</v>
      </c>
      <c r="E1360" t="s">
        <v>6517</v>
      </c>
    </row>
    <row r="1361" spans="1:5" x14ac:dyDescent="0.3">
      <c r="A1361" t="s">
        <v>1364</v>
      </c>
      <c r="B1361" t="s">
        <v>8507</v>
      </c>
      <c r="C1361" t="s">
        <v>6517</v>
      </c>
      <c r="D1361" t="s">
        <v>6517</v>
      </c>
      <c r="E1361" t="s">
        <v>6517</v>
      </c>
    </row>
    <row r="1362" spans="1:5" x14ac:dyDescent="0.3">
      <c r="A1362" t="s">
        <v>1364</v>
      </c>
      <c r="B1362" t="s">
        <v>8506</v>
      </c>
      <c r="C1362" t="s">
        <v>6517</v>
      </c>
      <c r="D1362" t="s">
        <v>6517</v>
      </c>
      <c r="E1362" t="s">
        <v>6517</v>
      </c>
    </row>
    <row r="1363" spans="1:5" x14ac:dyDescent="0.3">
      <c r="A1363" t="s">
        <v>1365</v>
      </c>
      <c r="B1363" t="s">
        <v>8505</v>
      </c>
      <c r="C1363" t="s">
        <v>8505</v>
      </c>
      <c r="D1363" t="s">
        <v>8504</v>
      </c>
      <c r="E1363" t="s">
        <v>8503</v>
      </c>
    </row>
    <row r="1364" spans="1:5" x14ac:dyDescent="0.3">
      <c r="A1364" t="s">
        <v>1365</v>
      </c>
      <c r="B1364" t="s">
        <v>8502</v>
      </c>
      <c r="C1364" t="s">
        <v>6517</v>
      </c>
      <c r="D1364" t="s">
        <v>6517</v>
      </c>
      <c r="E1364" t="s">
        <v>6517</v>
      </c>
    </row>
    <row r="1365" spans="1:5" x14ac:dyDescent="0.3">
      <c r="A1365" t="s">
        <v>1365</v>
      </c>
      <c r="B1365" t="s">
        <v>8501</v>
      </c>
      <c r="C1365" t="s">
        <v>6517</v>
      </c>
      <c r="D1365" t="s">
        <v>6517</v>
      </c>
      <c r="E1365" t="s">
        <v>6517</v>
      </c>
    </row>
    <row r="1366" spans="1:5" x14ac:dyDescent="0.3">
      <c r="A1366" t="s">
        <v>1365</v>
      </c>
      <c r="B1366" t="s">
        <v>8500</v>
      </c>
      <c r="C1366" t="s">
        <v>6517</v>
      </c>
      <c r="D1366" t="s">
        <v>6517</v>
      </c>
      <c r="E1366" t="s">
        <v>6517</v>
      </c>
    </row>
    <row r="1367" spans="1:5" x14ac:dyDescent="0.3">
      <c r="A1367" t="s">
        <v>1365</v>
      </c>
      <c r="B1367" t="s">
        <v>8499</v>
      </c>
      <c r="C1367" t="s">
        <v>6517</v>
      </c>
      <c r="D1367" t="s">
        <v>6517</v>
      </c>
      <c r="E1367" t="s">
        <v>6517</v>
      </c>
    </row>
    <row r="1368" spans="1:5" x14ac:dyDescent="0.3">
      <c r="A1368" t="s">
        <v>1366</v>
      </c>
      <c r="B1368" t="s">
        <v>8498</v>
      </c>
      <c r="C1368" t="s">
        <v>8498</v>
      </c>
      <c r="D1368" t="s">
        <v>8497</v>
      </c>
      <c r="E1368" t="s">
        <v>8496</v>
      </c>
    </row>
    <row r="1369" spans="1:5" x14ac:dyDescent="0.3">
      <c r="A1369" t="s">
        <v>1366</v>
      </c>
      <c r="B1369" t="s">
        <v>8495</v>
      </c>
      <c r="C1369" t="s">
        <v>6517</v>
      </c>
      <c r="D1369" t="s">
        <v>6517</v>
      </c>
      <c r="E1369" t="s">
        <v>6517</v>
      </c>
    </row>
    <row r="1370" spans="1:5" x14ac:dyDescent="0.3">
      <c r="A1370" t="s">
        <v>1366</v>
      </c>
      <c r="B1370" t="s">
        <v>8494</v>
      </c>
      <c r="C1370" t="s">
        <v>6517</v>
      </c>
      <c r="D1370" t="s">
        <v>6517</v>
      </c>
      <c r="E1370" t="s">
        <v>6517</v>
      </c>
    </row>
    <row r="1371" spans="1:5" x14ac:dyDescent="0.3">
      <c r="A1371" t="s">
        <v>1366</v>
      </c>
      <c r="B1371" t="s">
        <v>8493</v>
      </c>
      <c r="C1371" t="s">
        <v>6517</v>
      </c>
      <c r="D1371" t="s">
        <v>6517</v>
      </c>
      <c r="E1371" t="s">
        <v>6517</v>
      </c>
    </row>
    <row r="1372" spans="1:5" x14ac:dyDescent="0.3">
      <c r="A1372" t="s">
        <v>1366</v>
      </c>
      <c r="B1372" t="s">
        <v>8492</v>
      </c>
      <c r="C1372" t="s">
        <v>6517</v>
      </c>
      <c r="D1372" t="s">
        <v>6517</v>
      </c>
      <c r="E1372" t="s">
        <v>6517</v>
      </c>
    </row>
    <row r="1373" spans="1:5" x14ac:dyDescent="0.3">
      <c r="A1373" t="s">
        <v>1367</v>
      </c>
      <c r="B1373" t="s">
        <v>8491</v>
      </c>
      <c r="C1373" t="s">
        <v>8491</v>
      </c>
      <c r="D1373" t="s">
        <v>8490</v>
      </c>
      <c r="E1373" t="s">
        <v>8489</v>
      </c>
    </row>
    <row r="1374" spans="1:5" x14ac:dyDescent="0.3">
      <c r="A1374" t="s">
        <v>1367</v>
      </c>
      <c r="B1374" t="s">
        <v>8488</v>
      </c>
      <c r="C1374" t="s">
        <v>6517</v>
      </c>
      <c r="D1374" t="s">
        <v>6517</v>
      </c>
      <c r="E1374" t="s">
        <v>6517</v>
      </c>
    </row>
    <row r="1375" spans="1:5" x14ac:dyDescent="0.3">
      <c r="A1375" t="s">
        <v>1367</v>
      </c>
      <c r="B1375" t="s">
        <v>8487</v>
      </c>
      <c r="C1375" t="s">
        <v>6517</v>
      </c>
      <c r="D1375" t="s">
        <v>6517</v>
      </c>
      <c r="E1375" t="s">
        <v>6517</v>
      </c>
    </row>
    <row r="1376" spans="1:5" x14ac:dyDescent="0.3">
      <c r="A1376" t="s">
        <v>1367</v>
      </c>
      <c r="B1376" t="s">
        <v>8486</v>
      </c>
      <c r="C1376" t="s">
        <v>6517</v>
      </c>
      <c r="D1376" t="s">
        <v>6517</v>
      </c>
      <c r="E1376" t="s">
        <v>6517</v>
      </c>
    </row>
    <row r="1377" spans="1:5" x14ac:dyDescent="0.3">
      <c r="A1377" t="s">
        <v>1367</v>
      </c>
      <c r="B1377" t="s">
        <v>8485</v>
      </c>
      <c r="C1377" t="s">
        <v>6517</v>
      </c>
      <c r="D1377" t="s">
        <v>6517</v>
      </c>
      <c r="E1377" t="s">
        <v>6517</v>
      </c>
    </row>
    <row r="1378" spans="1:5" x14ac:dyDescent="0.3">
      <c r="A1378" t="s">
        <v>1368</v>
      </c>
      <c r="B1378" t="s">
        <v>8484</v>
      </c>
      <c r="C1378" t="s">
        <v>8484</v>
      </c>
      <c r="D1378" t="s">
        <v>8483</v>
      </c>
      <c r="E1378" t="s">
        <v>8482</v>
      </c>
    </row>
    <row r="1379" spans="1:5" x14ac:dyDescent="0.3">
      <c r="A1379" t="s">
        <v>1368</v>
      </c>
      <c r="B1379" t="s">
        <v>8481</v>
      </c>
      <c r="C1379" t="s">
        <v>6517</v>
      </c>
      <c r="D1379" t="s">
        <v>6517</v>
      </c>
      <c r="E1379" t="s">
        <v>6517</v>
      </c>
    </row>
    <row r="1380" spans="1:5" x14ac:dyDescent="0.3">
      <c r="A1380" t="s">
        <v>1368</v>
      </c>
      <c r="B1380" t="s">
        <v>8480</v>
      </c>
      <c r="C1380" t="s">
        <v>6517</v>
      </c>
      <c r="D1380" t="s">
        <v>6517</v>
      </c>
      <c r="E1380" t="s">
        <v>6517</v>
      </c>
    </row>
    <row r="1381" spans="1:5" x14ac:dyDescent="0.3">
      <c r="A1381" t="s">
        <v>1368</v>
      </c>
      <c r="B1381" t="s">
        <v>8479</v>
      </c>
      <c r="C1381" t="s">
        <v>6517</v>
      </c>
      <c r="D1381" t="s">
        <v>6517</v>
      </c>
      <c r="E1381" t="s">
        <v>6517</v>
      </c>
    </row>
    <row r="1382" spans="1:5" x14ac:dyDescent="0.3">
      <c r="A1382" t="s">
        <v>1368</v>
      </c>
      <c r="B1382" t="s">
        <v>8478</v>
      </c>
      <c r="C1382" t="s">
        <v>6517</v>
      </c>
      <c r="D1382" t="s">
        <v>6517</v>
      </c>
      <c r="E1382" t="s">
        <v>6517</v>
      </c>
    </row>
    <row r="1383" spans="1:5" x14ac:dyDescent="0.3">
      <c r="A1383" t="s">
        <v>1369</v>
      </c>
      <c r="B1383" t="s">
        <v>8477</v>
      </c>
      <c r="C1383" t="s">
        <v>8477</v>
      </c>
      <c r="D1383" t="s">
        <v>8476</v>
      </c>
      <c r="E1383" t="s">
        <v>8475</v>
      </c>
    </row>
    <row r="1384" spans="1:5" x14ac:dyDescent="0.3">
      <c r="A1384" t="s">
        <v>1369</v>
      </c>
      <c r="B1384" t="s">
        <v>8474</v>
      </c>
      <c r="C1384" t="s">
        <v>6517</v>
      </c>
      <c r="D1384" t="s">
        <v>6517</v>
      </c>
      <c r="E1384" t="s">
        <v>6517</v>
      </c>
    </row>
    <row r="1385" spans="1:5" x14ac:dyDescent="0.3">
      <c r="A1385" t="s">
        <v>1369</v>
      </c>
      <c r="B1385" t="s">
        <v>8473</v>
      </c>
      <c r="C1385" t="s">
        <v>6517</v>
      </c>
      <c r="D1385" t="s">
        <v>6517</v>
      </c>
      <c r="E1385" t="s">
        <v>6517</v>
      </c>
    </row>
    <row r="1386" spans="1:5" x14ac:dyDescent="0.3">
      <c r="A1386" t="s">
        <v>1369</v>
      </c>
      <c r="B1386" t="s">
        <v>8472</v>
      </c>
      <c r="C1386" t="s">
        <v>6517</v>
      </c>
      <c r="D1386" t="s">
        <v>6517</v>
      </c>
      <c r="E1386" t="s">
        <v>6517</v>
      </c>
    </row>
    <row r="1387" spans="1:5" x14ac:dyDescent="0.3">
      <c r="A1387" t="s">
        <v>1369</v>
      </c>
      <c r="B1387" t="s">
        <v>8471</v>
      </c>
      <c r="C1387" t="s">
        <v>6517</v>
      </c>
      <c r="D1387" t="s">
        <v>6517</v>
      </c>
      <c r="E1387" t="s">
        <v>6517</v>
      </c>
    </row>
    <row r="1388" spans="1:5" x14ac:dyDescent="0.3">
      <c r="A1388" t="s">
        <v>1370</v>
      </c>
      <c r="B1388" t="s">
        <v>8470</v>
      </c>
      <c r="C1388" t="s">
        <v>8470</v>
      </c>
      <c r="D1388" t="s">
        <v>8469</v>
      </c>
      <c r="E1388" t="s">
        <v>8468</v>
      </c>
    </row>
    <row r="1389" spans="1:5" x14ac:dyDescent="0.3">
      <c r="A1389" t="s">
        <v>1370</v>
      </c>
      <c r="B1389" t="s">
        <v>8467</v>
      </c>
      <c r="C1389" t="s">
        <v>6517</v>
      </c>
      <c r="D1389" t="s">
        <v>6517</v>
      </c>
      <c r="E1389" t="s">
        <v>6517</v>
      </c>
    </row>
    <row r="1390" spans="1:5" x14ac:dyDescent="0.3">
      <c r="A1390" t="s">
        <v>1370</v>
      </c>
      <c r="B1390" t="s">
        <v>8466</v>
      </c>
      <c r="C1390" t="s">
        <v>6517</v>
      </c>
      <c r="D1390" t="s">
        <v>6517</v>
      </c>
      <c r="E1390" t="s">
        <v>6517</v>
      </c>
    </row>
    <row r="1391" spans="1:5" x14ac:dyDescent="0.3">
      <c r="A1391" t="s">
        <v>1370</v>
      </c>
      <c r="B1391" t="s">
        <v>8465</v>
      </c>
      <c r="C1391" t="s">
        <v>6517</v>
      </c>
      <c r="D1391" t="s">
        <v>6517</v>
      </c>
      <c r="E1391" t="s">
        <v>6517</v>
      </c>
    </row>
    <row r="1392" spans="1:5" x14ac:dyDescent="0.3">
      <c r="A1392" t="s">
        <v>1370</v>
      </c>
      <c r="B1392" t="s">
        <v>8464</v>
      </c>
      <c r="C1392" t="s">
        <v>6517</v>
      </c>
      <c r="D1392" t="s">
        <v>6517</v>
      </c>
      <c r="E1392" t="s">
        <v>6517</v>
      </c>
    </row>
    <row r="1393" spans="1:5" x14ac:dyDescent="0.3">
      <c r="A1393" t="s">
        <v>1371</v>
      </c>
      <c r="B1393" t="s">
        <v>8463</v>
      </c>
      <c r="C1393" t="s">
        <v>8463</v>
      </c>
      <c r="D1393" t="s">
        <v>8462</v>
      </c>
      <c r="E1393" t="s">
        <v>8461</v>
      </c>
    </row>
    <row r="1394" spans="1:5" x14ac:dyDescent="0.3">
      <c r="A1394" t="s">
        <v>1371</v>
      </c>
      <c r="B1394" t="s">
        <v>8460</v>
      </c>
      <c r="C1394" t="s">
        <v>6517</v>
      </c>
      <c r="D1394" t="s">
        <v>6517</v>
      </c>
      <c r="E1394" t="s">
        <v>6517</v>
      </c>
    </row>
    <row r="1395" spans="1:5" x14ac:dyDescent="0.3">
      <c r="A1395" t="s">
        <v>1371</v>
      </c>
      <c r="B1395" t="s">
        <v>8459</v>
      </c>
      <c r="C1395" t="s">
        <v>6517</v>
      </c>
      <c r="D1395" t="s">
        <v>6517</v>
      </c>
      <c r="E1395" t="s">
        <v>6517</v>
      </c>
    </row>
    <row r="1396" spans="1:5" x14ac:dyDescent="0.3">
      <c r="A1396" t="s">
        <v>1371</v>
      </c>
      <c r="B1396" t="s">
        <v>8458</v>
      </c>
      <c r="C1396" t="s">
        <v>6517</v>
      </c>
      <c r="D1396" t="s">
        <v>6517</v>
      </c>
      <c r="E1396" t="s">
        <v>6517</v>
      </c>
    </row>
    <row r="1397" spans="1:5" x14ac:dyDescent="0.3">
      <c r="A1397" t="s">
        <v>1371</v>
      </c>
      <c r="B1397" t="s">
        <v>8457</v>
      </c>
      <c r="C1397" t="s">
        <v>6517</v>
      </c>
      <c r="D1397" t="s">
        <v>6517</v>
      </c>
      <c r="E1397" t="s">
        <v>6517</v>
      </c>
    </row>
    <row r="1398" spans="1:5" x14ac:dyDescent="0.3">
      <c r="A1398" t="s">
        <v>1372</v>
      </c>
      <c r="B1398" t="s">
        <v>8456</v>
      </c>
      <c r="C1398" t="s">
        <v>8456</v>
      </c>
      <c r="D1398" t="s">
        <v>8455</v>
      </c>
      <c r="E1398" t="s">
        <v>8454</v>
      </c>
    </row>
    <row r="1399" spans="1:5" x14ac:dyDescent="0.3">
      <c r="A1399" t="s">
        <v>1372</v>
      </c>
      <c r="B1399" t="s">
        <v>8453</v>
      </c>
      <c r="C1399" t="s">
        <v>6517</v>
      </c>
      <c r="D1399" t="s">
        <v>6517</v>
      </c>
      <c r="E1399" t="s">
        <v>6517</v>
      </c>
    </row>
    <row r="1400" spans="1:5" x14ac:dyDescent="0.3">
      <c r="A1400" t="s">
        <v>1372</v>
      </c>
      <c r="B1400" t="s">
        <v>8452</v>
      </c>
      <c r="C1400" t="s">
        <v>6517</v>
      </c>
      <c r="D1400" t="s">
        <v>6517</v>
      </c>
      <c r="E1400" t="s">
        <v>6517</v>
      </c>
    </row>
    <row r="1401" spans="1:5" x14ac:dyDescent="0.3">
      <c r="A1401" t="s">
        <v>1372</v>
      </c>
      <c r="B1401" t="s">
        <v>8451</v>
      </c>
      <c r="C1401" t="s">
        <v>6517</v>
      </c>
      <c r="D1401" t="s">
        <v>6517</v>
      </c>
      <c r="E1401" t="s">
        <v>6517</v>
      </c>
    </row>
    <row r="1402" spans="1:5" x14ac:dyDescent="0.3">
      <c r="A1402" t="s">
        <v>1372</v>
      </c>
      <c r="B1402" t="s">
        <v>8450</v>
      </c>
      <c r="C1402" t="s">
        <v>6517</v>
      </c>
      <c r="D1402" t="s">
        <v>6517</v>
      </c>
      <c r="E1402" t="s">
        <v>6517</v>
      </c>
    </row>
    <row r="1403" spans="1:5" x14ac:dyDescent="0.3">
      <c r="A1403" t="s">
        <v>1373</v>
      </c>
      <c r="B1403" t="s">
        <v>8449</v>
      </c>
      <c r="C1403" t="s">
        <v>8449</v>
      </c>
      <c r="D1403" t="s">
        <v>8448</v>
      </c>
      <c r="E1403" t="s">
        <v>8447</v>
      </c>
    </row>
    <row r="1404" spans="1:5" x14ac:dyDescent="0.3">
      <c r="A1404" t="s">
        <v>1373</v>
      </c>
      <c r="B1404" t="s">
        <v>8446</v>
      </c>
      <c r="C1404" t="s">
        <v>6517</v>
      </c>
      <c r="D1404" t="s">
        <v>6517</v>
      </c>
      <c r="E1404" t="s">
        <v>6517</v>
      </c>
    </row>
    <row r="1405" spans="1:5" x14ac:dyDescent="0.3">
      <c r="A1405" t="s">
        <v>1373</v>
      </c>
      <c r="B1405" t="s">
        <v>8445</v>
      </c>
      <c r="C1405" t="s">
        <v>6517</v>
      </c>
      <c r="D1405" t="s">
        <v>6517</v>
      </c>
      <c r="E1405" t="s">
        <v>6517</v>
      </c>
    </row>
    <row r="1406" spans="1:5" x14ac:dyDescent="0.3">
      <c r="A1406" t="s">
        <v>1373</v>
      </c>
      <c r="B1406" t="s">
        <v>8444</v>
      </c>
      <c r="C1406" t="s">
        <v>6517</v>
      </c>
      <c r="D1406" t="s">
        <v>6517</v>
      </c>
      <c r="E1406" t="s">
        <v>6517</v>
      </c>
    </row>
    <row r="1407" spans="1:5" x14ac:dyDescent="0.3">
      <c r="A1407" t="s">
        <v>1373</v>
      </c>
      <c r="B1407" t="s">
        <v>8443</v>
      </c>
      <c r="C1407" t="s">
        <v>6517</v>
      </c>
      <c r="D1407" t="s">
        <v>6517</v>
      </c>
      <c r="E1407" t="s">
        <v>6517</v>
      </c>
    </row>
    <row r="1408" spans="1:5" x14ac:dyDescent="0.3">
      <c r="A1408" t="s">
        <v>1374</v>
      </c>
      <c r="B1408" t="s">
        <v>8442</v>
      </c>
      <c r="C1408" t="s">
        <v>8442</v>
      </c>
      <c r="D1408" t="s">
        <v>8441</v>
      </c>
      <c r="E1408" t="s">
        <v>8440</v>
      </c>
    </row>
    <row r="1409" spans="1:5" x14ac:dyDescent="0.3">
      <c r="A1409" t="s">
        <v>1374</v>
      </c>
      <c r="B1409" t="s">
        <v>8439</v>
      </c>
      <c r="C1409" t="s">
        <v>6517</v>
      </c>
      <c r="D1409" t="s">
        <v>6517</v>
      </c>
      <c r="E1409" t="s">
        <v>6517</v>
      </c>
    </row>
    <row r="1410" spans="1:5" x14ac:dyDescent="0.3">
      <c r="A1410" t="s">
        <v>1374</v>
      </c>
      <c r="B1410" t="s">
        <v>8438</v>
      </c>
      <c r="C1410" t="s">
        <v>6517</v>
      </c>
      <c r="D1410" t="s">
        <v>6517</v>
      </c>
      <c r="E1410" t="s">
        <v>6517</v>
      </c>
    </row>
    <row r="1411" spans="1:5" x14ac:dyDescent="0.3">
      <c r="A1411" t="s">
        <v>1374</v>
      </c>
      <c r="B1411" t="s">
        <v>8437</v>
      </c>
      <c r="C1411" t="s">
        <v>6517</v>
      </c>
      <c r="D1411" t="s">
        <v>6517</v>
      </c>
      <c r="E1411" t="s">
        <v>6517</v>
      </c>
    </row>
    <row r="1412" spans="1:5" x14ac:dyDescent="0.3">
      <c r="A1412" t="s">
        <v>1374</v>
      </c>
      <c r="B1412" t="s">
        <v>8436</v>
      </c>
      <c r="C1412" t="s">
        <v>6517</v>
      </c>
      <c r="D1412" t="s">
        <v>6517</v>
      </c>
      <c r="E1412" t="s">
        <v>6517</v>
      </c>
    </row>
    <row r="1413" spans="1:5" x14ac:dyDescent="0.3">
      <c r="A1413" t="s">
        <v>1375</v>
      </c>
      <c r="B1413" t="s">
        <v>8435</v>
      </c>
      <c r="C1413" t="s">
        <v>8435</v>
      </c>
      <c r="D1413" t="s">
        <v>8434</v>
      </c>
      <c r="E1413" t="s">
        <v>8433</v>
      </c>
    </row>
    <row r="1414" spans="1:5" x14ac:dyDescent="0.3">
      <c r="A1414" t="s">
        <v>1375</v>
      </c>
      <c r="B1414" t="s">
        <v>8432</v>
      </c>
      <c r="C1414" t="s">
        <v>6517</v>
      </c>
      <c r="D1414" t="s">
        <v>6517</v>
      </c>
      <c r="E1414" t="s">
        <v>6517</v>
      </c>
    </row>
    <row r="1415" spans="1:5" x14ac:dyDescent="0.3">
      <c r="A1415" t="s">
        <v>1375</v>
      </c>
      <c r="B1415" t="s">
        <v>8431</v>
      </c>
      <c r="C1415" t="s">
        <v>6517</v>
      </c>
      <c r="D1415" t="s">
        <v>6517</v>
      </c>
      <c r="E1415" t="s">
        <v>6517</v>
      </c>
    </row>
    <row r="1416" spans="1:5" x14ac:dyDescent="0.3">
      <c r="A1416" t="s">
        <v>1375</v>
      </c>
      <c r="B1416" t="s">
        <v>8430</v>
      </c>
      <c r="C1416" t="s">
        <v>6517</v>
      </c>
      <c r="D1416" t="s">
        <v>6517</v>
      </c>
      <c r="E1416" t="s">
        <v>6517</v>
      </c>
    </row>
    <row r="1417" spans="1:5" x14ac:dyDescent="0.3">
      <c r="A1417" t="s">
        <v>1375</v>
      </c>
      <c r="B1417" t="s">
        <v>8429</v>
      </c>
      <c r="C1417" t="s">
        <v>6517</v>
      </c>
      <c r="D1417" t="s">
        <v>6517</v>
      </c>
      <c r="E1417" t="s">
        <v>6517</v>
      </c>
    </row>
    <row r="1418" spans="1:5" x14ac:dyDescent="0.3">
      <c r="A1418" t="s">
        <v>1376</v>
      </c>
      <c r="B1418" t="s">
        <v>8428</v>
      </c>
      <c r="C1418" t="s">
        <v>6517</v>
      </c>
      <c r="D1418" t="s">
        <v>6517</v>
      </c>
      <c r="E1418" t="s">
        <v>6517</v>
      </c>
    </row>
    <row r="1419" spans="1:5" x14ac:dyDescent="0.3">
      <c r="A1419" t="s">
        <v>1376</v>
      </c>
      <c r="B1419" t="s">
        <v>8427</v>
      </c>
      <c r="C1419" t="s">
        <v>6517</v>
      </c>
      <c r="D1419" t="s">
        <v>6517</v>
      </c>
      <c r="E1419" t="s">
        <v>6517</v>
      </c>
    </row>
    <row r="1420" spans="1:5" x14ac:dyDescent="0.3">
      <c r="A1420" t="s">
        <v>1376</v>
      </c>
      <c r="B1420" t="s">
        <v>8426</v>
      </c>
      <c r="C1420" t="s">
        <v>8426</v>
      </c>
      <c r="D1420" t="s">
        <v>8425</v>
      </c>
      <c r="E1420" t="s">
        <v>8424</v>
      </c>
    </row>
    <row r="1421" spans="1:5" x14ac:dyDescent="0.3">
      <c r="A1421" t="s">
        <v>1376</v>
      </c>
      <c r="B1421" t="s">
        <v>8423</v>
      </c>
      <c r="C1421" t="s">
        <v>6517</v>
      </c>
      <c r="D1421" t="s">
        <v>6517</v>
      </c>
      <c r="E1421" t="s">
        <v>6517</v>
      </c>
    </row>
    <row r="1422" spans="1:5" x14ac:dyDescent="0.3">
      <c r="A1422" t="s">
        <v>1376</v>
      </c>
      <c r="B1422" t="s">
        <v>8422</v>
      </c>
      <c r="C1422" t="s">
        <v>6517</v>
      </c>
      <c r="D1422" t="s">
        <v>6517</v>
      </c>
      <c r="E1422" t="s">
        <v>6517</v>
      </c>
    </row>
    <row r="1423" spans="1:5" x14ac:dyDescent="0.3">
      <c r="A1423" t="s">
        <v>1377</v>
      </c>
      <c r="B1423" t="s">
        <v>8421</v>
      </c>
      <c r="C1423" t="s">
        <v>8421</v>
      </c>
      <c r="D1423" t="s">
        <v>8420</v>
      </c>
      <c r="E1423" t="s">
        <v>8419</v>
      </c>
    </row>
    <row r="1424" spans="1:5" x14ac:dyDescent="0.3">
      <c r="A1424" t="s">
        <v>1377</v>
      </c>
      <c r="B1424" t="s">
        <v>8418</v>
      </c>
      <c r="C1424" t="s">
        <v>6517</v>
      </c>
      <c r="D1424" t="s">
        <v>6517</v>
      </c>
      <c r="E1424" t="s">
        <v>6517</v>
      </c>
    </row>
    <row r="1425" spans="1:5" x14ac:dyDescent="0.3">
      <c r="A1425" t="s">
        <v>1377</v>
      </c>
      <c r="B1425" t="s">
        <v>8417</v>
      </c>
      <c r="C1425" t="s">
        <v>6517</v>
      </c>
      <c r="D1425" t="s">
        <v>6517</v>
      </c>
      <c r="E1425" t="s">
        <v>6517</v>
      </c>
    </row>
    <row r="1426" spans="1:5" x14ac:dyDescent="0.3">
      <c r="A1426" t="s">
        <v>1377</v>
      </c>
      <c r="B1426" t="s">
        <v>8416</v>
      </c>
      <c r="C1426" t="s">
        <v>6517</v>
      </c>
      <c r="D1426" t="s">
        <v>6517</v>
      </c>
      <c r="E1426" t="s">
        <v>6517</v>
      </c>
    </row>
    <row r="1427" spans="1:5" x14ac:dyDescent="0.3">
      <c r="A1427" t="s">
        <v>1377</v>
      </c>
      <c r="B1427" t="s">
        <v>8415</v>
      </c>
      <c r="C1427" t="s">
        <v>6517</v>
      </c>
      <c r="D1427" t="s">
        <v>6517</v>
      </c>
      <c r="E1427" t="s">
        <v>6517</v>
      </c>
    </row>
    <row r="1428" spans="1:5" x14ac:dyDescent="0.3">
      <c r="A1428" t="s">
        <v>1378</v>
      </c>
      <c r="B1428" t="s">
        <v>8414</v>
      </c>
      <c r="C1428" t="s">
        <v>6517</v>
      </c>
      <c r="D1428" t="s">
        <v>6517</v>
      </c>
      <c r="E1428" t="s">
        <v>6517</v>
      </c>
    </row>
    <row r="1429" spans="1:5" x14ac:dyDescent="0.3">
      <c r="A1429" t="s">
        <v>1378</v>
      </c>
      <c r="B1429" t="s">
        <v>8413</v>
      </c>
      <c r="C1429" t="s">
        <v>6517</v>
      </c>
      <c r="D1429" t="s">
        <v>6517</v>
      </c>
      <c r="E1429" t="s">
        <v>6517</v>
      </c>
    </row>
    <row r="1430" spans="1:5" x14ac:dyDescent="0.3">
      <c r="A1430" t="s">
        <v>1378</v>
      </c>
      <c r="B1430" t="s">
        <v>8412</v>
      </c>
      <c r="C1430" t="s">
        <v>6517</v>
      </c>
      <c r="D1430" t="s">
        <v>6517</v>
      </c>
      <c r="E1430" t="s">
        <v>6517</v>
      </c>
    </row>
    <row r="1431" spans="1:5" x14ac:dyDescent="0.3">
      <c r="A1431" t="s">
        <v>1378</v>
      </c>
      <c r="B1431" t="s">
        <v>8411</v>
      </c>
      <c r="C1431" t="s">
        <v>6517</v>
      </c>
      <c r="D1431" t="s">
        <v>6517</v>
      </c>
      <c r="E1431" t="s">
        <v>6517</v>
      </c>
    </row>
    <row r="1432" spans="1:5" x14ac:dyDescent="0.3">
      <c r="A1432" t="s">
        <v>1378</v>
      </c>
      <c r="B1432" t="s">
        <v>8410</v>
      </c>
      <c r="C1432" t="s">
        <v>8410</v>
      </c>
      <c r="D1432" t="s">
        <v>8409</v>
      </c>
      <c r="E1432" t="s">
        <v>8408</v>
      </c>
    </row>
    <row r="1433" spans="1:5" x14ac:dyDescent="0.3">
      <c r="A1433" t="s">
        <v>1379</v>
      </c>
      <c r="B1433" t="s">
        <v>8407</v>
      </c>
      <c r="C1433" t="s">
        <v>8407</v>
      </c>
      <c r="D1433" t="s">
        <v>8406</v>
      </c>
      <c r="E1433" t="s">
        <v>8405</v>
      </c>
    </row>
    <row r="1434" spans="1:5" x14ac:dyDescent="0.3">
      <c r="A1434" t="s">
        <v>1379</v>
      </c>
      <c r="B1434" t="s">
        <v>8404</v>
      </c>
      <c r="C1434" t="s">
        <v>6517</v>
      </c>
      <c r="D1434" t="s">
        <v>6517</v>
      </c>
      <c r="E1434" t="s">
        <v>6517</v>
      </c>
    </row>
    <row r="1435" spans="1:5" x14ac:dyDescent="0.3">
      <c r="A1435" t="s">
        <v>1379</v>
      </c>
      <c r="B1435" t="s">
        <v>8403</v>
      </c>
      <c r="C1435" t="s">
        <v>6517</v>
      </c>
      <c r="D1435" t="s">
        <v>6517</v>
      </c>
      <c r="E1435" t="s">
        <v>6517</v>
      </c>
    </row>
    <row r="1436" spans="1:5" x14ac:dyDescent="0.3">
      <c r="A1436" t="s">
        <v>1379</v>
      </c>
      <c r="B1436" t="s">
        <v>8402</v>
      </c>
      <c r="C1436" t="s">
        <v>6517</v>
      </c>
      <c r="D1436" t="s">
        <v>6517</v>
      </c>
      <c r="E1436" t="s">
        <v>6517</v>
      </c>
    </row>
    <row r="1437" spans="1:5" x14ac:dyDescent="0.3">
      <c r="A1437" t="s">
        <v>1379</v>
      </c>
      <c r="B1437" t="s">
        <v>8401</v>
      </c>
      <c r="C1437" t="s">
        <v>6517</v>
      </c>
      <c r="D1437" t="s">
        <v>6517</v>
      </c>
      <c r="E1437" t="s">
        <v>6517</v>
      </c>
    </row>
    <row r="1438" spans="1:5" x14ac:dyDescent="0.3">
      <c r="A1438" t="s">
        <v>1380</v>
      </c>
      <c r="B1438" t="s">
        <v>8400</v>
      </c>
      <c r="C1438" t="s">
        <v>8400</v>
      </c>
      <c r="D1438" t="s">
        <v>8399</v>
      </c>
      <c r="E1438" t="s">
        <v>8398</v>
      </c>
    </row>
    <row r="1439" spans="1:5" x14ac:dyDescent="0.3">
      <c r="A1439" t="s">
        <v>1380</v>
      </c>
      <c r="B1439" t="s">
        <v>8397</v>
      </c>
      <c r="C1439" t="s">
        <v>6517</v>
      </c>
      <c r="D1439" t="s">
        <v>6517</v>
      </c>
      <c r="E1439" t="s">
        <v>6517</v>
      </c>
    </row>
    <row r="1440" spans="1:5" x14ac:dyDescent="0.3">
      <c r="A1440" t="s">
        <v>1380</v>
      </c>
      <c r="B1440" t="s">
        <v>8396</v>
      </c>
      <c r="C1440" t="s">
        <v>6517</v>
      </c>
      <c r="D1440" t="s">
        <v>6517</v>
      </c>
      <c r="E1440" t="s">
        <v>6517</v>
      </c>
    </row>
    <row r="1441" spans="1:5" x14ac:dyDescent="0.3">
      <c r="A1441" t="s">
        <v>1380</v>
      </c>
      <c r="B1441" t="s">
        <v>8395</v>
      </c>
      <c r="C1441" t="s">
        <v>6517</v>
      </c>
      <c r="D1441" t="s">
        <v>6517</v>
      </c>
      <c r="E1441" t="s">
        <v>6517</v>
      </c>
    </row>
    <row r="1442" spans="1:5" x14ac:dyDescent="0.3">
      <c r="A1442" t="s">
        <v>1380</v>
      </c>
      <c r="B1442" t="s">
        <v>8394</v>
      </c>
      <c r="C1442" t="s">
        <v>6517</v>
      </c>
      <c r="D1442" t="s">
        <v>6517</v>
      </c>
      <c r="E1442" t="s">
        <v>6517</v>
      </c>
    </row>
    <row r="1443" spans="1:5" x14ac:dyDescent="0.3">
      <c r="A1443" t="s">
        <v>1381</v>
      </c>
      <c r="B1443" t="s">
        <v>8393</v>
      </c>
      <c r="C1443" t="s">
        <v>8393</v>
      </c>
      <c r="D1443" t="s">
        <v>8392</v>
      </c>
      <c r="E1443" t="s">
        <v>8391</v>
      </c>
    </row>
    <row r="1444" spans="1:5" x14ac:dyDescent="0.3">
      <c r="A1444" t="s">
        <v>1381</v>
      </c>
      <c r="B1444" t="s">
        <v>8390</v>
      </c>
      <c r="C1444" t="s">
        <v>6517</v>
      </c>
      <c r="D1444" t="s">
        <v>6517</v>
      </c>
      <c r="E1444" t="s">
        <v>6517</v>
      </c>
    </row>
    <row r="1445" spans="1:5" x14ac:dyDescent="0.3">
      <c r="A1445" t="s">
        <v>1381</v>
      </c>
      <c r="B1445" t="s">
        <v>8389</v>
      </c>
      <c r="C1445" t="s">
        <v>6517</v>
      </c>
      <c r="D1445" t="s">
        <v>6517</v>
      </c>
      <c r="E1445" t="s">
        <v>6517</v>
      </c>
    </row>
    <row r="1446" spans="1:5" x14ac:dyDescent="0.3">
      <c r="A1446" t="s">
        <v>1381</v>
      </c>
      <c r="B1446" t="s">
        <v>8388</v>
      </c>
      <c r="C1446" t="s">
        <v>6517</v>
      </c>
      <c r="D1446" t="s">
        <v>6517</v>
      </c>
      <c r="E1446" t="s">
        <v>6517</v>
      </c>
    </row>
    <row r="1447" spans="1:5" x14ac:dyDescent="0.3">
      <c r="A1447" t="s">
        <v>1381</v>
      </c>
      <c r="B1447" t="s">
        <v>8387</v>
      </c>
      <c r="C1447" t="s">
        <v>6517</v>
      </c>
      <c r="D1447" t="s">
        <v>6517</v>
      </c>
      <c r="E1447" t="s">
        <v>6517</v>
      </c>
    </row>
    <row r="1448" spans="1:5" x14ac:dyDescent="0.3">
      <c r="A1448" t="s">
        <v>1382</v>
      </c>
      <c r="B1448" t="s">
        <v>8386</v>
      </c>
      <c r="C1448" t="s">
        <v>6517</v>
      </c>
      <c r="D1448" t="s">
        <v>6517</v>
      </c>
      <c r="E1448" t="s">
        <v>6517</v>
      </c>
    </row>
    <row r="1449" spans="1:5" x14ac:dyDescent="0.3">
      <c r="A1449" t="s">
        <v>1382</v>
      </c>
      <c r="B1449" t="s">
        <v>8385</v>
      </c>
      <c r="C1449" t="s">
        <v>8385</v>
      </c>
      <c r="D1449" t="s">
        <v>8384</v>
      </c>
      <c r="E1449" t="s">
        <v>8383</v>
      </c>
    </row>
    <row r="1450" spans="1:5" x14ac:dyDescent="0.3">
      <c r="A1450" t="s">
        <v>1382</v>
      </c>
      <c r="B1450" t="s">
        <v>8382</v>
      </c>
      <c r="C1450" t="s">
        <v>6517</v>
      </c>
      <c r="D1450" t="s">
        <v>6517</v>
      </c>
      <c r="E1450" t="s">
        <v>6517</v>
      </c>
    </row>
    <row r="1451" spans="1:5" x14ac:dyDescent="0.3">
      <c r="A1451" t="s">
        <v>1382</v>
      </c>
      <c r="B1451" t="s">
        <v>8381</v>
      </c>
      <c r="C1451" t="s">
        <v>6517</v>
      </c>
      <c r="D1451" t="s">
        <v>6517</v>
      </c>
      <c r="E1451" t="s">
        <v>6517</v>
      </c>
    </row>
    <row r="1452" spans="1:5" x14ac:dyDescent="0.3">
      <c r="A1452" t="s">
        <v>1382</v>
      </c>
      <c r="B1452" t="s">
        <v>8380</v>
      </c>
      <c r="C1452" t="s">
        <v>6517</v>
      </c>
      <c r="D1452" t="s">
        <v>6517</v>
      </c>
      <c r="E1452" t="s">
        <v>6517</v>
      </c>
    </row>
    <row r="1453" spans="1:5" x14ac:dyDescent="0.3">
      <c r="A1453" t="s">
        <v>1383</v>
      </c>
      <c r="B1453" t="s">
        <v>8379</v>
      </c>
      <c r="C1453" t="s">
        <v>8379</v>
      </c>
      <c r="D1453" t="s">
        <v>8378</v>
      </c>
      <c r="E1453" t="s">
        <v>8377</v>
      </c>
    </row>
    <row r="1454" spans="1:5" x14ac:dyDescent="0.3">
      <c r="A1454" t="s">
        <v>1383</v>
      </c>
      <c r="B1454" t="s">
        <v>8376</v>
      </c>
      <c r="C1454" t="s">
        <v>6517</v>
      </c>
      <c r="D1454" t="s">
        <v>6517</v>
      </c>
      <c r="E1454" t="s">
        <v>6517</v>
      </c>
    </row>
    <row r="1455" spans="1:5" x14ac:dyDescent="0.3">
      <c r="A1455" t="s">
        <v>1383</v>
      </c>
      <c r="B1455" t="s">
        <v>8375</v>
      </c>
      <c r="C1455" t="s">
        <v>6517</v>
      </c>
      <c r="D1455" t="s">
        <v>6517</v>
      </c>
      <c r="E1455" t="s">
        <v>6517</v>
      </c>
    </row>
    <row r="1456" spans="1:5" x14ac:dyDescent="0.3">
      <c r="A1456" t="s">
        <v>1383</v>
      </c>
      <c r="B1456" t="s">
        <v>8374</v>
      </c>
      <c r="C1456" t="s">
        <v>6517</v>
      </c>
      <c r="D1456" t="s">
        <v>6517</v>
      </c>
      <c r="E1456" t="s">
        <v>6517</v>
      </c>
    </row>
    <row r="1457" spans="1:5" x14ac:dyDescent="0.3">
      <c r="A1457" t="s">
        <v>1383</v>
      </c>
      <c r="B1457" t="s">
        <v>8373</v>
      </c>
      <c r="C1457" t="s">
        <v>6517</v>
      </c>
      <c r="D1457" t="s">
        <v>6517</v>
      </c>
      <c r="E1457" t="s">
        <v>6517</v>
      </c>
    </row>
    <row r="1458" spans="1:5" x14ac:dyDescent="0.3">
      <c r="A1458" t="s">
        <v>1384</v>
      </c>
      <c r="B1458" t="s">
        <v>8372</v>
      </c>
      <c r="C1458" t="s">
        <v>8372</v>
      </c>
      <c r="D1458" t="s">
        <v>8371</v>
      </c>
      <c r="E1458" t="s">
        <v>8370</v>
      </c>
    </row>
    <row r="1459" spans="1:5" x14ac:dyDescent="0.3">
      <c r="A1459" t="s">
        <v>1384</v>
      </c>
      <c r="B1459" t="s">
        <v>8369</v>
      </c>
      <c r="C1459" t="s">
        <v>6517</v>
      </c>
      <c r="D1459" t="s">
        <v>6517</v>
      </c>
      <c r="E1459" t="s">
        <v>6517</v>
      </c>
    </row>
    <row r="1460" spans="1:5" x14ac:dyDescent="0.3">
      <c r="A1460" t="s">
        <v>1384</v>
      </c>
      <c r="B1460" t="s">
        <v>8368</v>
      </c>
      <c r="C1460" t="s">
        <v>6517</v>
      </c>
      <c r="D1460" t="s">
        <v>6517</v>
      </c>
      <c r="E1460" t="s">
        <v>6517</v>
      </c>
    </row>
    <row r="1461" spans="1:5" x14ac:dyDescent="0.3">
      <c r="A1461" t="s">
        <v>1384</v>
      </c>
      <c r="B1461" t="s">
        <v>8367</v>
      </c>
      <c r="C1461" t="s">
        <v>6517</v>
      </c>
      <c r="D1461" t="s">
        <v>6517</v>
      </c>
      <c r="E1461" t="s">
        <v>6517</v>
      </c>
    </row>
    <row r="1462" spans="1:5" x14ac:dyDescent="0.3">
      <c r="A1462" t="s">
        <v>1384</v>
      </c>
      <c r="B1462" t="s">
        <v>8366</v>
      </c>
      <c r="C1462" t="s">
        <v>6517</v>
      </c>
      <c r="D1462" t="s">
        <v>6517</v>
      </c>
      <c r="E1462" t="s">
        <v>6517</v>
      </c>
    </row>
    <row r="1463" spans="1:5" x14ac:dyDescent="0.3">
      <c r="A1463" t="s">
        <v>1385</v>
      </c>
      <c r="B1463" t="s">
        <v>8365</v>
      </c>
      <c r="C1463" t="s">
        <v>6517</v>
      </c>
      <c r="D1463" t="s">
        <v>6517</v>
      </c>
      <c r="E1463" t="s">
        <v>6517</v>
      </c>
    </row>
    <row r="1464" spans="1:5" x14ac:dyDescent="0.3">
      <c r="A1464" t="s">
        <v>1385</v>
      </c>
      <c r="B1464" t="s">
        <v>8364</v>
      </c>
      <c r="C1464" t="s">
        <v>6517</v>
      </c>
      <c r="D1464" t="s">
        <v>6517</v>
      </c>
      <c r="E1464" t="s">
        <v>6517</v>
      </c>
    </row>
    <row r="1465" spans="1:5" x14ac:dyDescent="0.3">
      <c r="A1465" t="s">
        <v>1385</v>
      </c>
      <c r="B1465" t="s">
        <v>8363</v>
      </c>
      <c r="C1465" t="s">
        <v>8363</v>
      </c>
      <c r="D1465" t="s">
        <v>8362</v>
      </c>
      <c r="E1465" t="s">
        <v>8361</v>
      </c>
    </row>
    <row r="1466" spans="1:5" x14ac:dyDescent="0.3">
      <c r="A1466" t="s">
        <v>1385</v>
      </c>
      <c r="B1466" t="s">
        <v>8360</v>
      </c>
      <c r="C1466" t="s">
        <v>6517</v>
      </c>
      <c r="D1466" t="s">
        <v>6517</v>
      </c>
      <c r="E1466" t="s">
        <v>6517</v>
      </c>
    </row>
    <row r="1467" spans="1:5" x14ac:dyDescent="0.3">
      <c r="A1467" t="s">
        <v>1385</v>
      </c>
      <c r="B1467" t="s">
        <v>8359</v>
      </c>
      <c r="C1467" t="s">
        <v>6517</v>
      </c>
      <c r="D1467" t="s">
        <v>6517</v>
      </c>
      <c r="E1467" t="s">
        <v>6517</v>
      </c>
    </row>
    <row r="1468" spans="1:5" x14ac:dyDescent="0.3">
      <c r="A1468" t="s">
        <v>1386</v>
      </c>
      <c r="B1468" t="s">
        <v>8358</v>
      </c>
      <c r="C1468" t="s">
        <v>8358</v>
      </c>
      <c r="D1468" t="s">
        <v>8357</v>
      </c>
      <c r="E1468" t="s">
        <v>8356</v>
      </c>
    </row>
    <row r="1469" spans="1:5" x14ac:dyDescent="0.3">
      <c r="A1469" t="s">
        <v>1386</v>
      </c>
      <c r="B1469" t="s">
        <v>8355</v>
      </c>
      <c r="C1469" t="s">
        <v>6517</v>
      </c>
      <c r="D1469" t="s">
        <v>6517</v>
      </c>
      <c r="E1469" t="s">
        <v>6517</v>
      </c>
    </row>
    <row r="1470" spans="1:5" x14ac:dyDescent="0.3">
      <c r="A1470" t="s">
        <v>1386</v>
      </c>
      <c r="B1470" t="s">
        <v>8354</v>
      </c>
      <c r="C1470" t="s">
        <v>6517</v>
      </c>
      <c r="D1470" t="s">
        <v>6517</v>
      </c>
      <c r="E1470" t="s">
        <v>6517</v>
      </c>
    </row>
    <row r="1471" spans="1:5" x14ac:dyDescent="0.3">
      <c r="A1471" t="s">
        <v>1386</v>
      </c>
      <c r="B1471" t="s">
        <v>8353</v>
      </c>
      <c r="C1471" t="s">
        <v>6517</v>
      </c>
      <c r="D1471" t="s">
        <v>6517</v>
      </c>
      <c r="E1471" t="s">
        <v>6517</v>
      </c>
    </row>
    <row r="1472" spans="1:5" x14ac:dyDescent="0.3">
      <c r="A1472" t="s">
        <v>1386</v>
      </c>
      <c r="B1472" t="s">
        <v>8352</v>
      </c>
      <c r="C1472" t="s">
        <v>6517</v>
      </c>
      <c r="D1472" t="s">
        <v>6517</v>
      </c>
      <c r="E1472" t="s">
        <v>6517</v>
      </c>
    </row>
    <row r="1473" spans="1:5" x14ac:dyDescent="0.3">
      <c r="A1473" t="s">
        <v>1387</v>
      </c>
      <c r="B1473" t="s">
        <v>8351</v>
      </c>
      <c r="C1473" t="s">
        <v>8351</v>
      </c>
      <c r="D1473" t="s">
        <v>8350</v>
      </c>
      <c r="E1473" t="s">
        <v>8349</v>
      </c>
    </row>
    <row r="1474" spans="1:5" x14ac:dyDescent="0.3">
      <c r="A1474" t="s">
        <v>1387</v>
      </c>
      <c r="B1474" t="s">
        <v>8348</v>
      </c>
      <c r="C1474" t="s">
        <v>6517</v>
      </c>
      <c r="D1474" t="s">
        <v>6517</v>
      </c>
      <c r="E1474" t="s">
        <v>6517</v>
      </c>
    </row>
    <row r="1475" spans="1:5" x14ac:dyDescent="0.3">
      <c r="A1475" t="s">
        <v>1387</v>
      </c>
      <c r="B1475" t="s">
        <v>8347</v>
      </c>
      <c r="C1475" t="s">
        <v>6517</v>
      </c>
      <c r="D1475" t="s">
        <v>6517</v>
      </c>
      <c r="E1475" t="s">
        <v>6517</v>
      </c>
    </row>
    <row r="1476" spans="1:5" x14ac:dyDescent="0.3">
      <c r="A1476" t="s">
        <v>1387</v>
      </c>
      <c r="B1476" t="s">
        <v>8346</v>
      </c>
      <c r="C1476" t="s">
        <v>6517</v>
      </c>
      <c r="D1476" t="s">
        <v>6517</v>
      </c>
      <c r="E1476" t="s">
        <v>6517</v>
      </c>
    </row>
    <row r="1477" spans="1:5" x14ac:dyDescent="0.3">
      <c r="A1477" t="s">
        <v>1387</v>
      </c>
      <c r="B1477" t="s">
        <v>8345</v>
      </c>
      <c r="C1477" t="s">
        <v>6517</v>
      </c>
      <c r="D1477" t="s">
        <v>6517</v>
      </c>
      <c r="E1477" t="s">
        <v>6517</v>
      </c>
    </row>
    <row r="1478" spans="1:5" x14ac:dyDescent="0.3">
      <c r="A1478" t="s">
        <v>1388</v>
      </c>
      <c r="B1478" t="s">
        <v>8344</v>
      </c>
      <c r="C1478" t="s">
        <v>8344</v>
      </c>
      <c r="D1478" t="s">
        <v>8343</v>
      </c>
      <c r="E1478" t="s">
        <v>8342</v>
      </c>
    </row>
    <row r="1479" spans="1:5" x14ac:dyDescent="0.3">
      <c r="A1479" t="s">
        <v>1388</v>
      </c>
      <c r="B1479" t="s">
        <v>8341</v>
      </c>
      <c r="C1479" t="s">
        <v>6517</v>
      </c>
      <c r="D1479" t="s">
        <v>6517</v>
      </c>
      <c r="E1479" t="s">
        <v>6517</v>
      </c>
    </row>
    <row r="1480" spans="1:5" x14ac:dyDescent="0.3">
      <c r="A1480" t="s">
        <v>1388</v>
      </c>
      <c r="B1480" t="s">
        <v>8340</v>
      </c>
      <c r="C1480" t="s">
        <v>6517</v>
      </c>
      <c r="D1480" t="s">
        <v>6517</v>
      </c>
      <c r="E1480" t="s">
        <v>6517</v>
      </c>
    </row>
    <row r="1481" spans="1:5" x14ac:dyDescent="0.3">
      <c r="A1481" t="s">
        <v>1388</v>
      </c>
      <c r="B1481" t="s">
        <v>8339</v>
      </c>
      <c r="C1481" t="s">
        <v>6517</v>
      </c>
      <c r="D1481" t="s">
        <v>6517</v>
      </c>
      <c r="E1481" t="s">
        <v>6517</v>
      </c>
    </row>
    <row r="1482" spans="1:5" x14ac:dyDescent="0.3">
      <c r="A1482" t="s">
        <v>1388</v>
      </c>
      <c r="B1482" t="s">
        <v>8338</v>
      </c>
      <c r="C1482" t="s">
        <v>6517</v>
      </c>
      <c r="D1482" t="s">
        <v>6517</v>
      </c>
      <c r="E1482" t="s">
        <v>6517</v>
      </c>
    </row>
    <row r="1483" spans="1:5" x14ac:dyDescent="0.3">
      <c r="A1483" t="s">
        <v>1389</v>
      </c>
      <c r="B1483" t="s">
        <v>8337</v>
      </c>
      <c r="C1483" t="s">
        <v>8337</v>
      </c>
      <c r="D1483" t="s">
        <v>8336</v>
      </c>
      <c r="E1483" t="s">
        <v>8335</v>
      </c>
    </row>
    <row r="1484" spans="1:5" x14ac:dyDescent="0.3">
      <c r="A1484" t="s">
        <v>1389</v>
      </c>
      <c r="B1484" t="s">
        <v>8334</v>
      </c>
      <c r="C1484" t="s">
        <v>6517</v>
      </c>
      <c r="D1484" t="s">
        <v>6517</v>
      </c>
      <c r="E1484" t="s">
        <v>6517</v>
      </c>
    </row>
    <row r="1485" spans="1:5" x14ac:dyDescent="0.3">
      <c r="A1485" t="s">
        <v>1389</v>
      </c>
      <c r="B1485" t="s">
        <v>8333</v>
      </c>
      <c r="C1485" t="s">
        <v>6517</v>
      </c>
      <c r="D1485" t="s">
        <v>6517</v>
      </c>
      <c r="E1485" t="s">
        <v>6517</v>
      </c>
    </row>
    <row r="1486" spans="1:5" x14ac:dyDescent="0.3">
      <c r="A1486" t="s">
        <v>1389</v>
      </c>
      <c r="B1486" t="s">
        <v>8332</v>
      </c>
      <c r="C1486" t="s">
        <v>6517</v>
      </c>
      <c r="D1486" t="s">
        <v>6517</v>
      </c>
      <c r="E1486" t="s">
        <v>6517</v>
      </c>
    </row>
    <row r="1487" spans="1:5" x14ac:dyDescent="0.3">
      <c r="A1487" t="s">
        <v>1389</v>
      </c>
      <c r="B1487" t="s">
        <v>8331</v>
      </c>
      <c r="C1487" t="s">
        <v>6517</v>
      </c>
      <c r="D1487" t="s">
        <v>6517</v>
      </c>
      <c r="E1487" t="s">
        <v>6517</v>
      </c>
    </row>
    <row r="1488" spans="1:5" x14ac:dyDescent="0.3">
      <c r="A1488" t="s">
        <v>1390</v>
      </c>
      <c r="B1488" t="s">
        <v>8330</v>
      </c>
      <c r="C1488" t="s">
        <v>8330</v>
      </c>
      <c r="D1488" t="s">
        <v>8329</v>
      </c>
      <c r="E1488" t="s">
        <v>8328</v>
      </c>
    </row>
    <row r="1489" spans="1:5" x14ac:dyDescent="0.3">
      <c r="A1489" t="s">
        <v>1390</v>
      </c>
      <c r="B1489" t="s">
        <v>8327</v>
      </c>
      <c r="C1489" t="s">
        <v>6517</v>
      </c>
      <c r="D1489" t="s">
        <v>6517</v>
      </c>
      <c r="E1489" t="s">
        <v>6517</v>
      </c>
    </row>
    <row r="1490" spans="1:5" x14ac:dyDescent="0.3">
      <c r="A1490" t="s">
        <v>1390</v>
      </c>
      <c r="B1490" t="s">
        <v>8326</v>
      </c>
      <c r="C1490" t="s">
        <v>6517</v>
      </c>
      <c r="D1490" t="s">
        <v>6517</v>
      </c>
      <c r="E1490" t="s">
        <v>6517</v>
      </c>
    </row>
    <row r="1491" spans="1:5" x14ac:dyDescent="0.3">
      <c r="A1491" t="s">
        <v>1390</v>
      </c>
      <c r="B1491" t="s">
        <v>8325</v>
      </c>
      <c r="C1491" t="s">
        <v>6517</v>
      </c>
      <c r="D1491" t="s">
        <v>6517</v>
      </c>
      <c r="E1491" t="s">
        <v>6517</v>
      </c>
    </row>
    <row r="1492" spans="1:5" x14ac:dyDescent="0.3">
      <c r="A1492" t="s">
        <v>1390</v>
      </c>
      <c r="B1492" t="s">
        <v>8324</v>
      </c>
      <c r="C1492" t="s">
        <v>6517</v>
      </c>
      <c r="D1492" t="s">
        <v>6517</v>
      </c>
      <c r="E1492" t="s">
        <v>6517</v>
      </c>
    </row>
    <row r="1493" spans="1:5" x14ac:dyDescent="0.3">
      <c r="A1493" t="s">
        <v>1391</v>
      </c>
      <c r="B1493" t="s">
        <v>8323</v>
      </c>
      <c r="C1493" t="s">
        <v>8323</v>
      </c>
      <c r="D1493" t="s">
        <v>8322</v>
      </c>
      <c r="E1493" t="s">
        <v>8321</v>
      </c>
    </row>
    <row r="1494" spans="1:5" x14ac:dyDescent="0.3">
      <c r="A1494" t="s">
        <v>1391</v>
      </c>
      <c r="B1494" t="s">
        <v>8320</v>
      </c>
      <c r="C1494" t="s">
        <v>6517</v>
      </c>
      <c r="D1494" t="s">
        <v>6517</v>
      </c>
      <c r="E1494" t="s">
        <v>6517</v>
      </c>
    </row>
    <row r="1495" spans="1:5" x14ac:dyDescent="0.3">
      <c r="A1495" t="s">
        <v>1391</v>
      </c>
      <c r="B1495" t="s">
        <v>8319</v>
      </c>
      <c r="C1495" t="s">
        <v>6517</v>
      </c>
      <c r="D1495" t="s">
        <v>6517</v>
      </c>
      <c r="E1495" t="s">
        <v>6517</v>
      </c>
    </row>
    <row r="1496" spans="1:5" x14ac:dyDescent="0.3">
      <c r="A1496" t="s">
        <v>1391</v>
      </c>
      <c r="B1496" t="s">
        <v>8318</v>
      </c>
      <c r="C1496" t="s">
        <v>6517</v>
      </c>
      <c r="D1496" t="s">
        <v>6517</v>
      </c>
      <c r="E1496" t="s">
        <v>6517</v>
      </c>
    </row>
    <row r="1497" spans="1:5" x14ac:dyDescent="0.3">
      <c r="A1497" t="s">
        <v>1391</v>
      </c>
      <c r="B1497" t="s">
        <v>8317</v>
      </c>
      <c r="C1497" t="s">
        <v>6517</v>
      </c>
      <c r="D1497" t="s">
        <v>6517</v>
      </c>
      <c r="E1497" t="s">
        <v>6517</v>
      </c>
    </row>
    <row r="1498" spans="1:5" x14ac:dyDescent="0.3">
      <c r="A1498" t="s">
        <v>1392</v>
      </c>
      <c r="B1498" t="s">
        <v>8316</v>
      </c>
      <c r="C1498" t="s">
        <v>8316</v>
      </c>
      <c r="D1498" t="s">
        <v>8315</v>
      </c>
      <c r="E1498" t="s">
        <v>8314</v>
      </c>
    </row>
    <row r="1499" spans="1:5" x14ac:dyDescent="0.3">
      <c r="A1499" t="s">
        <v>1392</v>
      </c>
      <c r="B1499" t="s">
        <v>8313</v>
      </c>
      <c r="C1499" t="s">
        <v>6517</v>
      </c>
      <c r="D1499" t="s">
        <v>6517</v>
      </c>
      <c r="E1499" t="s">
        <v>6517</v>
      </c>
    </row>
    <row r="1500" spans="1:5" x14ac:dyDescent="0.3">
      <c r="A1500" t="s">
        <v>1392</v>
      </c>
      <c r="B1500" t="s">
        <v>8312</v>
      </c>
      <c r="C1500" t="s">
        <v>6517</v>
      </c>
      <c r="D1500" t="s">
        <v>6517</v>
      </c>
      <c r="E1500" t="s">
        <v>6517</v>
      </c>
    </row>
    <row r="1501" spans="1:5" x14ac:dyDescent="0.3">
      <c r="A1501" t="s">
        <v>1392</v>
      </c>
      <c r="B1501" t="s">
        <v>8311</v>
      </c>
      <c r="C1501" t="s">
        <v>6517</v>
      </c>
      <c r="D1501" t="s">
        <v>6517</v>
      </c>
      <c r="E1501" t="s">
        <v>6517</v>
      </c>
    </row>
    <row r="1502" spans="1:5" x14ac:dyDescent="0.3">
      <c r="A1502" t="s">
        <v>1392</v>
      </c>
      <c r="B1502" t="s">
        <v>8310</v>
      </c>
      <c r="C1502" t="s">
        <v>6517</v>
      </c>
      <c r="D1502" t="s">
        <v>6517</v>
      </c>
      <c r="E1502" t="s">
        <v>6517</v>
      </c>
    </row>
    <row r="1503" spans="1:5" x14ac:dyDescent="0.3">
      <c r="A1503" t="s">
        <v>1393</v>
      </c>
      <c r="B1503" t="s">
        <v>8309</v>
      </c>
      <c r="C1503" t="s">
        <v>8309</v>
      </c>
      <c r="D1503" t="s">
        <v>8308</v>
      </c>
      <c r="E1503" t="s">
        <v>8307</v>
      </c>
    </row>
    <row r="1504" spans="1:5" x14ac:dyDescent="0.3">
      <c r="A1504" t="s">
        <v>1393</v>
      </c>
      <c r="B1504" t="s">
        <v>8306</v>
      </c>
      <c r="C1504" t="s">
        <v>6517</v>
      </c>
      <c r="D1504" t="s">
        <v>6517</v>
      </c>
      <c r="E1504" t="s">
        <v>6517</v>
      </c>
    </row>
    <row r="1505" spans="1:5" x14ac:dyDescent="0.3">
      <c r="A1505" t="s">
        <v>1393</v>
      </c>
      <c r="B1505" t="s">
        <v>8305</v>
      </c>
      <c r="C1505" t="s">
        <v>6517</v>
      </c>
      <c r="D1505" t="s">
        <v>6517</v>
      </c>
      <c r="E1505" t="s">
        <v>6517</v>
      </c>
    </row>
    <row r="1506" spans="1:5" x14ac:dyDescent="0.3">
      <c r="A1506" t="s">
        <v>1393</v>
      </c>
      <c r="B1506" t="s">
        <v>8304</v>
      </c>
      <c r="C1506" t="s">
        <v>6517</v>
      </c>
      <c r="D1506" t="s">
        <v>6517</v>
      </c>
      <c r="E1506" t="s">
        <v>6517</v>
      </c>
    </row>
    <row r="1507" spans="1:5" x14ac:dyDescent="0.3">
      <c r="A1507" t="s">
        <v>1393</v>
      </c>
      <c r="B1507" t="s">
        <v>8303</v>
      </c>
      <c r="C1507" t="s">
        <v>6517</v>
      </c>
      <c r="D1507" t="s">
        <v>6517</v>
      </c>
      <c r="E1507" t="s">
        <v>6517</v>
      </c>
    </row>
    <row r="1508" spans="1:5" x14ac:dyDescent="0.3">
      <c r="A1508" t="s">
        <v>1394</v>
      </c>
      <c r="B1508" t="s">
        <v>8302</v>
      </c>
      <c r="C1508" t="s">
        <v>8302</v>
      </c>
      <c r="D1508" t="s">
        <v>8301</v>
      </c>
      <c r="E1508" t="s">
        <v>8300</v>
      </c>
    </row>
    <row r="1509" spans="1:5" x14ac:dyDescent="0.3">
      <c r="A1509" t="s">
        <v>1394</v>
      </c>
      <c r="B1509" t="s">
        <v>8299</v>
      </c>
      <c r="C1509" t="s">
        <v>6517</v>
      </c>
      <c r="D1509" t="s">
        <v>6517</v>
      </c>
      <c r="E1509" t="s">
        <v>6517</v>
      </c>
    </row>
    <row r="1510" spans="1:5" x14ac:dyDescent="0.3">
      <c r="A1510" t="s">
        <v>1394</v>
      </c>
      <c r="B1510" t="s">
        <v>8298</v>
      </c>
      <c r="C1510" t="s">
        <v>6517</v>
      </c>
      <c r="D1510" t="s">
        <v>6517</v>
      </c>
      <c r="E1510" t="s">
        <v>6517</v>
      </c>
    </row>
    <row r="1511" spans="1:5" x14ac:dyDescent="0.3">
      <c r="A1511" t="s">
        <v>1394</v>
      </c>
      <c r="B1511" t="s">
        <v>8297</v>
      </c>
      <c r="C1511" t="s">
        <v>6517</v>
      </c>
      <c r="D1511" t="s">
        <v>6517</v>
      </c>
      <c r="E1511" t="s">
        <v>6517</v>
      </c>
    </row>
    <row r="1512" spans="1:5" x14ac:dyDescent="0.3">
      <c r="A1512" t="s">
        <v>1394</v>
      </c>
      <c r="B1512" t="s">
        <v>8296</v>
      </c>
      <c r="C1512" t="s">
        <v>6517</v>
      </c>
      <c r="D1512" t="s">
        <v>6517</v>
      </c>
      <c r="E1512" t="s">
        <v>6517</v>
      </c>
    </row>
    <row r="1513" spans="1:5" x14ac:dyDescent="0.3">
      <c r="A1513" t="s">
        <v>1395</v>
      </c>
      <c r="B1513" t="s">
        <v>8295</v>
      </c>
      <c r="C1513" t="s">
        <v>8295</v>
      </c>
      <c r="D1513" t="s">
        <v>8294</v>
      </c>
      <c r="E1513" t="s">
        <v>8293</v>
      </c>
    </row>
    <row r="1514" spans="1:5" x14ac:dyDescent="0.3">
      <c r="A1514" t="s">
        <v>1395</v>
      </c>
      <c r="B1514" t="s">
        <v>8292</v>
      </c>
      <c r="C1514" t="s">
        <v>6517</v>
      </c>
      <c r="D1514" t="s">
        <v>6517</v>
      </c>
      <c r="E1514" t="s">
        <v>6517</v>
      </c>
    </row>
    <row r="1515" spans="1:5" x14ac:dyDescent="0.3">
      <c r="A1515" t="s">
        <v>1395</v>
      </c>
      <c r="B1515" t="s">
        <v>8291</v>
      </c>
      <c r="C1515" t="s">
        <v>6517</v>
      </c>
      <c r="D1515" t="s">
        <v>6517</v>
      </c>
      <c r="E1515" t="s">
        <v>6517</v>
      </c>
    </row>
    <row r="1516" spans="1:5" x14ac:dyDescent="0.3">
      <c r="A1516" t="s">
        <v>1395</v>
      </c>
      <c r="B1516" t="s">
        <v>8290</v>
      </c>
      <c r="C1516" t="s">
        <v>6517</v>
      </c>
      <c r="D1516" t="s">
        <v>6517</v>
      </c>
      <c r="E1516" t="s">
        <v>6517</v>
      </c>
    </row>
    <row r="1517" spans="1:5" x14ac:dyDescent="0.3">
      <c r="A1517" t="s">
        <v>1395</v>
      </c>
      <c r="B1517" t="s">
        <v>8289</v>
      </c>
      <c r="C1517" t="s">
        <v>6517</v>
      </c>
      <c r="D1517" t="s">
        <v>6517</v>
      </c>
      <c r="E1517" t="s">
        <v>6517</v>
      </c>
    </row>
    <row r="1518" spans="1:5" x14ac:dyDescent="0.3">
      <c r="A1518" t="s">
        <v>1396</v>
      </c>
      <c r="B1518" t="s">
        <v>8288</v>
      </c>
      <c r="C1518" t="s">
        <v>8288</v>
      </c>
      <c r="D1518" t="s">
        <v>8287</v>
      </c>
      <c r="E1518" t="s">
        <v>8286</v>
      </c>
    </row>
    <row r="1519" spans="1:5" x14ac:dyDescent="0.3">
      <c r="A1519" t="s">
        <v>1396</v>
      </c>
      <c r="B1519" t="s">
        <v>8285</v>
      </c>
      <c r="C1519" t="s">
        <v>6517</v>
      </c>
      <c r="D1519" t="s">
        <v>6517</v>
      </c>
      <c r="E1519" t="s">
        <v>6517</v>
      </c>
    </row>
    <row r="1520" spans="1:5" x14ac:dyDescent="0.3">
      <c r="A1520" t="s">
        <v>1396</v>
      </c>
      <c r="B1520" t="s">
        <v>8284</v>
      </c>
      <c r="C1520" t="s">
        <v>6517</v>
      </c>
      <c r="D1520" t="s">
        <v>6517</v>
      </c>
      <c r="E1520" t="s">
        <v>6517</v>
      </c>
    </row>
    <row r="1521" spans="1:5" x14ac:dyDescent="0.3">
      <c r="A1521" t="s">
        <v>1396</v>
      </c>
      <c r="B1521" t="s">
        <v>8283</v>
      </c>
      <c r="C1521" t="s">
        <v>6517</v>
      </c>
      <c r="D1521" t="s">
        <v>6517</v>
      </c>
      <c r="E1521" t="s">
        <v>6517</v>
      </c>
    </row>
    <row r="1522" spans="1:5" x14ac:dyDescent="0.3">
      <c r="A1522" t="s">
        <v>1396</v>
      </c>
      <c r="B1522" t="s">
        <v>8282</v>
      </c>
      <c r="C1522" t="s">
        <v>6517</v>
      </c>
      <c r="D1522" t="s">
        <v>6517</v>
      </c>
      <c r="E1522" t="s">
        <v>6517</v>
      </c>
    </row>
    <row r="1523" spans="1:5" x14ac:dyDescent="0.3">
      <c r="A1523" t="s">
        <v>1397</v>
      </c>
      <c r="B1523" t="s">
        <v>8281</v>
      </c>
      <c r="C1523" t="s">
        <v>8281</v>
      </c>
      <c r="D1523" t="s">
        <v>8280</v>
      </c>
      <c r="E1523" t="s">
        <v>8279</v>
      </c>
    </row>
    <row r="1524" spans="1:5" x14ac:dyDescent="0.3">
      <c r="A1524" t="s">
        <v>1397</v>
      </c>
      <c r="B1524" t="s">
        <v>8278</v>
      </c>
      <c r="C1524" t="s">
        <v>6517</v>
      </c>
      <c r="D1524" t="s">
        <v>6517</v>
      </c>
      <c r="E1524" t="s">
        <v>6517</v>
      </c>
    </row>
    <row r="1525" spans="1:5" x14ac:dyDescent="0.3">
      <c r="A1525" t="s">
        <v>1397</v>
      </c>
      <c r="B1525" t="s">
        <v>8277</v>
      </c>
      <c r="C1525" t="s">
        <v>6517</v>
      </c>
      <c r="D1525" t="s">
        <v>6517</v>
      </c>
      <c r="E1525" t="s">
        <v>6517</v>
      </c>
    </row>
    <row r="1526" spans="1:5" x14ac:dyDescent="0.3">
      <c r="A1526" t="s">
        <v>1397</v>
      </c>
      <c r="B1526" t="s">
        <v>8276</v>
      </c>
      <c r="C1526" t="s">
        <v>6517</v>
      </c>
      <c r="D1526" t="s">
        <v>6517</v>
      </c>
      <c r="E1526" t="s">
        <v>6517</v>
      </c>
    </row>
    <row r="1527" spans="1:5" x14ac:dyDescent="0.3">
      <c r="A1527" t="s">
        <v>1397</v>
      </c>
      <c r="B1527" t="s">
        <v>8275</v>
      </c>
      <c r="C1527" t="s">
        <v>6517</v>
      </c>
      <c r="D1527" t="s">
        <v>6517</v>
      </c>
      <c r="E1527" t="s">
        <v>6517</v>
      </c>
    </row>
    <row r="1528" spans="1:5" x14ac:dyDescent="0.3">
      <c r="A1528" t="s">
        <v>1398</v>
      </c>
      <c r="B1528" t="s">
        <v>8274</v>
      </c>
      <c r="C1528" t="s">
        <v>8274</v>
      </c>
      <c r="D1528" t="s">
        <v>8273</v>
      </c>
      <c r="E1528" t="s">
        <v>8272</v>
      </c>
    </row>
    <row r="1529" spans="1:5" x14ac:dyDescent="0.3">
      <c r="A1529" t="s">
        <v>1398</v>
      </c>
      <c r="B1529" t="s">
        <v>8271</v>
      </c>
      <c r="C1529" t="s">
        <v>6517</v>
      </c>
      <c r="D1529" t="s">
        <v>6517</v>
      </c>
      <c r="E1529" t="s">
        <v>6517</v>
      </c>
    </row>
    <row r="1530" spans="1:5" x14ac:dyDescent="0.3">
      <c r="A1530" t="s">
        <v>1398</v>
      </c>
      <c r="B1530" t="s">
        <v>8270</v>
      </c>
      <c r="C1530" t="s">
        <v>6517</v>
      </c>
      <c r="D1530" t="s">
        <v>6517</v>
      </c>
      <c r="E1530" t="s">
        <v>6517</v>
      </c>
    </row>
    <row r="1531" spans="1:5" x14ac:dyDescent="0.3">
      <c r="A1531" t="s">
        <v>1398</v>
      </c>
      <c r="B1531" t="s">
        <v>8269</v>
      </c>
      <c r="C1531" t="s">
        <v>6517</v>
      </c>
      <c r="D1531" t="s">
        <v>6517</v>
      </c>
      <c r="E1531" t="s">
        <v>6517</v>
      </c>
    </row>
    <row r="1532" spans="1:5" x14ac:dyDescent="0.3">
      <c r="A1532" t="s">
        <v>1398</v>
      </c>
      <c r="B1532" t="s">
        <v>8268</v>
      </c>
      <c r="C1532" t="s">
        <v>6517</v>
      </c>
      <c r="D1532" t="s">
        <v>6517</v>
      </c>
      <c r="E1532" t="s">
        <v>6517</v>
      </c>
    </row>
    <row r="1533" spans="1:5" x14ac:dyDescent="0.3">
      <c r="A1533" t="s">
        <v>1399</v>
      </c>
      <c r="B1533" t="s">
        <v>8267</v>
      </c>
      <c r="C1533" t="s">
        <v>8267</v>
      </c>
      <c r="D1533" t="s">
        <v>8266</v>
      </c>
      <c r="E1533" t="s">
        <v>8265</v>
      </c>
    </row>
    <row r="1534" spans="1:5" x14ac:dyDescent="0.3">
      <c r="A1534" t="s">
        <v>1399</v>
      </c>
      <c r="B1534" t="s">
        <v>8264</v>
      </c>
      <c r="C1534" t="s">
        <v>6517</v>
      </c>
      <c r="D1534" t="s">
        <v>6517</v>
      </c>
      <c r="E1534" t="s">
        <v>6517</v>
      </c>
    </row>
    <row r="1535" spans="1:5" x14ac:dyDescent="0.3">
      <c r="A1535" t="s">
        <v>1399</v>
      </c>
      <c r="B1535" t="s">
        <v>8263</v>
      </c>
      <c r="C1535" t="s">
        <v>6517</v>
      </c>
      <c r="D1535" t="s">
        <v>6517</v>
      </c>
      <c r="E1535" t="s">
        <v>6517</v>
      </c>
    </row>
    <row r="1536" spans="1:5" x14ac:dyDescent="0.3">
      <c r="A1536" t="s">
        <v>1399</v>
      </c>
      <c r="B1536" t="s">
        <v>8262</v>
      </c>
      <c r="C1536" t="s">
        <v>6517</v>
      </c>
      <c r="D1536" t="s">
        <v>6517</v>
      </c>
      <c r="E1536" t="s">
        <v>6517</v>
      </c>
    </row>
    <row r="1537" spans="1:5" x14ac:dyDescent="0.3">
      <c r="A1537" t="s">
        <v>1399</v>
      </c>
      <c r="B1537" t="s">
        <v>8261</v>
      </c>
      <c r="C1537" t="s">
        <v>6517</v>
      </c>
      <c r="D1537" t="s">
        <v>6517</v>
      </c>
      <c r="E1537" t="s">
        <v>6517</v>
      </c>
    </row>
    <row r="1538" spans="1:5" x14ac:dyDescent="0.3">
      <c r="A1538" t="s">
        <v>1400</v>
      </c>
      <c r="B1538" t="s">
        <v>8260</v>
      </c>
      <c r="C1538" t="s">
        <v>8260</v>
      </c>
      <c r="D1538" t="s">
        <v>8259</v>
      </c>
      <c r="E1538" t="s">
        <v>8258</v>
      </c>
    </row>
    <row r="1539" spans="1:5" x14ac:dyDescent="0.3">
      <c r="A1539" t="s">
        <v>1400</v>
      </c>
      <c r="B1539" t="s">
        <v>8257</v>
      </c>
      <c r="C1539" t="s">
        <v>6517</v>
      </c>
      <c r="D1539" t="s">
        <v>6517</v>
      </c>
      <c r="E1539" t="s">
        <v>6517</v>
      </c>
    </row>
    <row r="1540" spans="1:5" x14ac:dyDescent="0.3">
      <c r="A1540" t="s">
        <v>1400</v>
      </c>
      <c r="B1540" t="s">
        <v>8256</v>
      </c>
      <c r="C1540" t="s">
        <v>6517</v>
      </c>
      <c r="D1540" t="s">
        <v>6517</v>
      </c>
      <c r="E1540" t="s">
        <v>6517</v>
      </c>
    </row>
    <row r="1541" spans="1:5" x14ac:dyDescent="0.3">
      <c r="A1541" t="s">
        <v>1400</v>
      </c>
      <c r="B1541" t="s">
        <v>8255</v>
      </c>
      <c r="C1541" t="s">
        <v>6517</v>
      </c>
      <c r="D1541" t="s">
        <v>6517</v>
      </c>
      <c r="E1541" t="s">
        <v>6517</v>
      </c>
    </row>
    <row r="1542" spans="1:5" x14ac:dyDescent="0.3">
      <c r="A1542" t="s">
        <v>1400</v>
      </c>
      <c r="B1542" t="s">
        <v>8254</v>
      </c>
      <c r="C1542" t="s">
        <v>6517</v>
      </c>
      <c r="D1542" t="s">
        <v>6517</v>
      </c>
      <c r="E1542" t="s">
        <v>6517</v>
      </c>
    </row>
    <row r="1543" spans="1:5" x14ac:dyDescent="0.3">
      <c r="A1543" t="s">
        <v>1401</v>
      </c>
      <c r="B1543" t="s">
        <v>8253</v>
      </c>
      <c r="C1543" t="s">
        <v>8253</v>
      </c>
      <c r="D1543" t="s">
        <v>8252</v>
      </c>
      <c r="E1543" t="s">
        <v>8251</v>
      </c>
    </row>
    <row r="1544" spans="1:5" x14ac:dyDescent="0.3">
      <c r="A1544" t="s">
        <v>1401</v>
      </c>
      <c r="B1544" t="s">
        <v>8250</v>
      </c>
      <c r="C1544" t="s">
        <v>6517</v>
      </c>
      <c r="D1544" t="s">
        <v>6517</v>
      </c>
      <c r="E1544" t="s">
        <v>6517</v>
      </c>
    </row>
    <row r="1545" spans="1:5" x14ac:dyDescent="0.3">
      <c r="A1545" t="s">
        <v>1401</v>
      </c>
      <c r="B1545" t="s">
        <v>8249</v>
      </c>
      <c r="C1545" t="s">
        <v>6517</v>
      </c>
      <c r="D1545" t="s">
        <v>6517</v>
      </c>
      <c r="E1545" t="s">
        <v>6517</v>
      </c>
    </row>
    <row r="1546" spans="1:5" x14ac:dyDescent="0.3">
      <c r="A1546" t="s">
        <v>1401</v>
      </c>
      <c r="B1546" t="s">
        <v>8248</v>
      </c>
      <c r="C1546" t="s">
        <v>6517</v>
      </c>
      <c r="D1546" t="s">
        <v>6517</v>
      </c>
      <c r="E1546" t="s">
        <v>6517</v>
      </c>
    </row>
    <row r="1547" spans="1:5" x14ac:dyDescent="0.3">
      <c r="A1547" t="s">
        <v>1401</v>
      </c>
      <c r="B1547" t="s">
        <v>8247</v>
      </c>
      <c r="C1547" t="s">
        <v>6517</v>
      </c>
      <c r="D1547" t="s">
        <v>6517</v>
      </c>
      <c r="E1547" t="s">
        <v>6517</v>
      </c>
    </row>
    <row r="1548" spans="1:5" x14ac:dyDescent="0.3">
      <c r="A1548" t="s">
        <v>1402</v>
      </c>
      <c r="B1548" t="s">
        <v>8246</v>
      </c>
      <c r="C1548" t="s">
        <v>8246</v>
      </c>
      <c r="D1548" t="s">
        <v>8245</v>
      </c>
      <c r="E1548" t="s">
        <v>8244</v>
      </c>
    </row>
    <row r="1549" spans="1:5" x14ac:dyDescent="0.3">
      <c r="A1549" t="s">
        <v>1402</v>
      </c>
      <c r="B1549" t="s">
        <v>8243</v>
      </c>
      <c r="C1549" t="s">
        <v>6517</v>
      </c>
      <c r="D1549" t="s">
        <v>6517</v>
      </c>
      <c r="E1549" t="s">
        <v>6517</v>
      </c>
    </row>
    <row r="1550" spans="1:5" x14ac:dyDescent="0.3">
      <c r="A1550" t="s">
        <v>1402</v>
      </c>
      <c r="B1550" t="s">
        <v>8242</v>
      </c>
      <c r="C1550" t="s">
        <v>6517</v>
      </c>
      <c r="D1550" t="s">
        <v>6517</v>
      </c>
      <c r="E1550" t="s">
        <v>6517</v>
      </c>
    </row>
    <row r="1551" spans="1:5" x14ac:dyDescent="0.3">
      <c r="A1551" t="s">
        <v>1402</v>
      </c>
      <c r="B1551" t="s">
        <v>8241</v>
      </c>
      <c r="C1551" t="s">
        <v>6517</v>
      </c>
      <c r="D1551" t="s">
        <v>6517</v>
      </c>
      <c r="E1551" t="s">
        <v>6517</v>
      </c>
    </row>
    <row r="1552" spans="1:5" x14ac:dyDescent="0.3">
      <c r="A1552" t="s">
        <v>1402</v>
      </c>
      <c r="B1552" t="s">
        <v>8240</v>
      </c>
      <c r="C1552" t="s">
        <v>6517</v>
      </c>
      <c r="D1552" t="s">
        <v>6517</v>
      </c>
      <c r="E1552" t="s">
        <v>6517</v>
      </c>
    </row>
    <row r="1553" spans="1:5" x14ac:dyDescent="0.3">
      <c r="A1553" t="s">
        <v>1403</v>
      </c>
      <c r="B1553" t="s">
        <v>8239</v>
      </c>
      <c r="C1553" t="s">
        <v>8239</v>
      </c>
      <c r="D1553" t="s">
        <v>8238</v>
      </c>
      <c r="E1553" t="s">
        <v>8237</v>
      </c>
    </row>
    <row r="1554" spans="1:5" x14ac:dyDescent="0.3">
      <c r="A1554" t="s">
        <v>1403</v>
      </c>
      <c r="B1554" t="s">
        <v>8236</v>
      </c>
      <c r="C1554" t="s">
        <v>6517</v>
      </c>
      <c r="D1554" t="s">
        <v>6517</v>
      </c>
      <c r="E1554" t="s">
        <v>6517</v>
      </c>
    </row>
    <row r="1555" spans="1:5" x14ac:dyDescent="0.3">
      <c r="A1555" t="s">
        <v>1403</v>
      </c>
      <c r="B1555" t="s">
        <v>8235</v>
      </c>
      <c r="C1555" t="s">
        <v>6517</v>
      </c>
      <c r="D1555" t="s">
        <v>6517</v>
      </c>
      <c r="E1555" t="s">
        <v>6517</v>
      </c>
    </row>
    <row r="1556" spans="1:5" x14ac:dyDescent="0.3">
      <c r="A1556" t="s">
        <v>1403</v>
      </c>
      <c r="B1556" t="s">
        <v>8234</v>
      </c>
      <c r="C1556" t="s">
        <v>6517</v>
      </c>
      <c r="D1556" t="s">
        <v>6517</v>
      </c>
      <c r="E1556" t="s">
        <v>6517</v>
      </c>
    </row>
    <row r="1557" spans="1:5" x14ac:dyDescent="0.3">
      <c r="A1557" t="s">
        <v>1403</v>
      </c>
      <c r="B1557" t="s">
        <v>8233</v>
      </c>
      <c r="C1557" t="s">
        <v>6517</v>
      </c>
      <c r="D1557" t="s">
        <v>6517</v>
      </c>
      <c r="E1557" t="s">
        <v>6517</v>
      </c>
    </row>
    <row r="1558" spans="1:5" x14ac:dyDescent="0.3">
      <c r="A1558" t="s">
        <v>1404</v>
      </c>
      <c r="B1558" t="s">
        <v>8232</v>
      </c>
      <c r="C1558" t="s">
        <v>8232</v>
      </c>
      <c r="D1558" t="s">
        <v>8231</v>
      </c>
      <c r="E1558" t="s">
        <v>8230</v>
      </c>
    </row>
    <row r="1559" spans="1:5" x14ac:dyDescent="0.3">
      <c r="A1559" t="s">
        <v>1404</v>
      </c>
      <c r="B1559" t="s">
        <v>8229</v>
      </c>
      <c r="C1559" t="s">
        <v>6517</v>
      </c>
      <c r="D1559" t="s">
        <v>6517</v>
      </c>
      <c r="E1559" t="s">
        <v>6517</v>
      </c>
    </row>
    <row r="1560" spans="1:5" x14ac:dyDescent="0.3">
      <c r="A1560" t="s">
        <v>1404</v>
      </c>
      <c r="B1560" t="s">
        <v>8228</v>
      </c>
      <c r="C1560" t="s">
        <v>6517</v>
      </c>
      <c r="D1560" t="s">
        <v>6517</v>
      </c>
      <c r="E1560" t="s">
        <v>6517</v>
      </c>
    </row>
    <row r="1561" spans="1:5" x14ac:dyDescent="0.3">
      <c r="A1561" t="s">
        <v>1404</v>
      </c>
      <c r="B1561" t="s">
        <v>8227</v>
      </c>
      <c r="C1561" t="s">
        <v>6517</v>
      </c>
      <c r="D1561" t="s">
        <v>6517</v>
      </c>
      <c r="E1561" t="s">
        <v>6517</v>
      </c>
    </row>
    <row r="1562" spans="1:5" x14ac:dyDescent="0.3">
      <c r="A1562" t="s">
        <v>1404</v>
      </c>
      <c r="B1562" t="s">
        <v>8226</v>
      </c>
      <c r="C1562" t="s">
        <v>6517</v>
      </c>
      <c r="D1562" t="s">
        <v>6517</v>
      </c>
      <c r="E1562" t="s">
        <v>6517</v>
      </c>
    </row>
    <row r="1563" spans="1:5" x14ac:dyDescent="0.3">
      <c r="A1563" t="s">
        <v>1405</v>
      </c>
      <c r="B1563" t="s">
        <v>8225</v>
      </c>
      <c r="C1563" t="s">
        <v>8225</v>
      </c>
      <c r="D1563" t="s">
        <v>8224</v>
      </c>
      <c r="E1563" t="s">
        <v>8223</v>
      </c>
    </row>
    <row r="1564" spans="1:5" x14ac:dyDescent="0.3">
      <c r="A1564" t="s">
        <v>1405</v>
      </c>
      <c r="B1564" t="s">
        <v>8222</v>
      </c>
      <c r="C1564" t="s">
        <v>6517</v>
      </c>
      <c r="D1564" t="s">
        <v>6517</v>
      </c>
      <c r="E1564" t="s">
        <v>6517</v>
      </c>
    </row>
    <row r="1565" spans="1:5" x14ac:dyDescent="0.3">
      <c r="A1565" t="s">
        <v>1405</v>
      </c>
      <c r="B1565" t="s">
        <v>8221</v>
      </c>
      <c r="C1565" t="s">
        <v>6517</v>
      </c>
      <c r="D1565" t="s">
        <v>6517</v>
      </c>
      <c r="E1565" t="s">
        <v>6517</v>
      </c>
    </row>
    <row r="1566" spans="1:5" x14ac:dyDescent="0.3">
      <c r="A1566" t="s">
        <v>1405</v>
      </c>
      <c r="B1566" t="s">
        <v>8220</v>
      </c>
      <c r="C1566" t="s">
        <v>6517</v>
      </c>
      <c r="D1566" t="s">
        <v>6517</v>
      </c>
      <c r="E1566" t="s">
        <v>6517</v>
      </c>
    </row>
    <row r="1567" spans="1:5" x14ac:dyDescent="0.3">
      <c r="A1567" t="s">
        <v>1405</v>
      </c>
      <c r="B1567" t="s">
        <v>8219</v>
      </c>
      <c r="C1567" t="s">
        <v>6517</v>
      </c>
      <c r="D1567" t="s">
        <v>6517</v>
      </c>
      <c r="E1567" t="s">
        <v>6517</v>
      </c>
    </row>
    <row r="1568" spans="1:5" x14ac:dyDescent="0.3">
      <c r="A1568" t="s">
        <v>1406</v>
      </c>
      <c r="B1568" t="s">
        <v>8218</v>
      </c>
      <c r="C1568" t="s">
        <v>8218</v>
      </c>
      <c r="D1568" t="s">
        <v>8217</v>
      </c>
      <c r="E1568" t="s">
        <v>8216</v>
      </c>
    </row>
    <row r="1569" spans="1:5" x14ac:dyDescent="0.3">
      <c r="A1569" t="s">
        <v>1406</v>
      </c>
      <c r="B1569" t="s">
        <v>8215</v>
      </c>
      <c r="C1569" t="s">
        <v>6517</v>
      </c>
      <c r="D1569" t="s">
        <v>6517</v>
      </c>
      <c r="E1569" t="s">
        <v>6517</v>
      </c>
    </row>
    <row r="1570" spans="1:5" x14ac:dyDescent="0.3">
      <c r="A1570" t="s">
        <v>1406</v>
      </c>
      <c r="B1570" t="s">
        <v>8214</v>
      </c>
      <c r="C1570" t="s">
        <v>6517</v>
      </c>
      <c r="D1570" t="s">
        <v>6517</v>
      </c>
      <c r="E1570" t="s">
        <v>6517</v>
      </c>
    </row>
    <row r="1571" spans="1:5" x14ac:dyDescent="0.3">
      <c r="A1571" t="s">
        <v>1406</v>
      </c>
      <c r="B1571" t="s">
        <v>8213</v>
      </c>
      <c r="C1571" t="s">
        <v>6517</v>
      </c>
      <c r="D1571" t="s">
        <v>6517</v>
      </c>
      <c r="E1571" t="s">
        <v>6517</v>
      </c>
    </row>
    <row r="1572" spans="1:5" x14ac:dyDescent="0.3">
      <c r="A1572" t="s">
        <v>1406</v>
      </c>
      <c r="B1572" t="s">
        <v>8212</v>
      </c>
      <c r="C1572" t="s">
        <v>6517</v>
      </c>
      <c r="D1572" t="s">
        <v>6517</v>
      </c>
      <c r="E1572" t="s">
        <v>6517</v>
      </c>
    </row>
    <row r="1573" spans="1:5" x14ac:dyDescent="0.3">
      <c r="A1573" t="s">
        <v>1407</v>
      </c>
      <c r="B1573" t="s">
        <v>8211</v>
      </c>
      <c r="C1573" t="s">
        <v>8211</v>
      </c>
      <c r="D1573" t="s">
        <v>8210</v>
      </c>
      <c r="E1573" t="s">
        <v>8209</v>
      </c>
    </row>
    <row r="1574" spans="1:5" x14ac:dyDescent="0.3">
      <c r="A1574" t="s">
        <v>1407</v>
      </c>
      <c r="B1574" t="s">
        <v>8208</v>
      </c>
      <c r="C1574" t="s">
        <v>6517</v>
      </c>
      <c r="D1574" t="s">
        <v>6517</v>
      </c>
      <c r="E1574" t="s">
        <v>6517</v>
      </c>
    </row>
    <row r="1575" spans="1:5" x14ac:dyDescent="0.3">
      <c r="A1575" t="s">
        <v>1407</v>
      </c>
      <c r="B1575" t="s">
        <v>8207</v>
      </c>
      <c r="C1575" t="s">
        <v>6517</v>
      </c>
      <c r="D1575" t="s">
        <v>6517</v>
      </c>
      <c r="E1575" t="s">
        <v>6517</v>
      </c>
    </row>
    <row r="1576" spans="1:5" x14ac:dyDescent="0.3">
      <c r="A1576" t="s">
        <v>1407</v>
      </c>
      <c r="B1576" t="s">
        <v>8206</v>
      </c>
      <c r="C1576" t="s">
        <v>6517</v>
      </c>
      <c r="D1576" t="s">
        <v>6517</v>
      </c>
      <c r="E1576" t="s">
        <v>6517</v>
      </c>
    </row>
    <row r="1577" spans="1:5" x14ac:dyDescent="0.3">
      <c r="A1577" t="s">
        <v>1407</v>
      </c>
      <c r="B1577" t="s">
        <v>8205</v>
      </c>
      <c r="C1577" t="s">
        <v>6517</v>
      </c>
      <c r="D1577" t="s">
        <v>6517</v>
      </c>
      <c r="E1577" t="s">
        <v>6517</v>
      </c>
    </row>
    <row r="1578" spans="1:5" x14ac:dyDescent="0.3">
      <c r="A1578" t="s">
        <v>1408</v>
      </c>
      <c r="B1578" t="s">
        <v>8204</v>
      </c>
      <c r="C1578" t="s">
        <v>8204</v>
      </c>
      <c r="D1578" t="s">
        <v>8203</v>
      </c>
      <c r="E1578" t="s">
        <v>8202</v>
      </c>
    </row>
    <row r="1579" spans="1:5" x14ac:dyDescent="0.3">
      <c r="A1579" t="s">
        <v>1408</v>
      </c>
      <c r="B1579" t="s">
        <v>8201</v>
      </c>
      <c r="C1579" t="s">
        <v>6517</v>
      </c>
      <c r="D1579" t="s">
        <v>6517</v>
      </c>
      <c r="E1579" t="s">
        <v>6517</v>
      </c>
    </row>
    <row r="1580" spans="1:5" x14ac:dyDescent="0.3">
      <c r="A1580" t="s">
        <v>1408</v>
      </c>
      <c r="B1580" t="s">
        <v>8200</v>
      </c>
      <c r="C1580" t="s">
        <v>6517</v>
      </c>
      <c r="D1580" t="s">
        <v>6517</v>
      </c>
      <c r="E1580" t="s">
        <v>6517</v>
      </c>
    </row>
    <row r="1581" spans="1:5" x14ac:dyDescent="0.3">
      <c r="A1581" t="s">
        <v>1408</v>
      </c>
      <c r="B1581" t="s">
        <v>8199</v>
      </c>
      <c r="C1581" t="s">
        <v>6517</v>
      </c>
      <c r="D1581" t="s">
        <v>6517</v>
      </c>
      <c r="E1581" t="s">
        <v>6517</v>
      </c>
    </row>
    <row r="1582" spans="1:5" x14ac:dyDescent="0.3">
      <c r="A1582" t="s">
        <v>1408</v>
      </c>
      <c r="B1582" t="s">
        <v>8198</v>
      </c>
      <c r="C1582" t="s">
        <v>6517</v>
      </c>
      <c r="D1582" t="s">
        <v>6517</v>
      </c>
      <c r="E1582" t="s">
        <v>6517</v>
      </c>
    </row>
    <row r="1583" spans="1:5" x14ac:dyDescent="0.3">
      <c r="A1583" t="s">
        <v>1409</v>
      </c>
      <c r="B1583" t="s">
        <v>8197</v>
      </c>
      <c r="C1583" t="s">
        <v>8197</v>
      </c>
      <c r="D1583" t="s">
        <v>8196</v>
      </c>
      <c r="E1583" t="s">
        <v>8195</v>
      </c>
    </row>
    <row r="1584" spans="1:5" x14ac:dyDescent="0.3">
      <c r="A1584" t="s">
        <v>1409</v>
      </c>
      <c r="B1584" t="s">
        <v>8194</v>
      </c>
      <c r="C1584" t="s">
        <v>6517</v>
      </c>
      <c r="D1584" t="s">
        <v>6517</v>
      </c>
      <c r="E1584" t="s">
        <v>6517</v>
      </c>
    </row>
    <row r="1585" spans="1:5" x14ac:dyDescent="0.3">
      <c r="A1585" t="s">
        <v>1409</v>
      </c>
      <c r="B1585" t="s">
        <v>8193</v>
      </c>
      <c r="C1585" t="s">
        <v>6517</v>
      </c>
      <c r="D1585" t="s">
        <v>6517</v>
      </c>
      <c r="E1585" t="s">
        <v>6517</v>
      </c>
    </row>
    <row r="1586" spans="1:5" x14ac:dyDescent="0.3">
      <c r="A1586" t="s">
        <v>1409</v>
      </c>
      <c r="B1586" t="s">
        <v>8192</v>
      </c>
      <c r="C1586" t="s">
        <v>6517</v>
      </c>
      <c r="D1586" t="s">
        <v>6517</v>
      </c>
      <c r="E1586" t="s">
        <v>6517</v>
      </c>
    </row>
    <row r="1587" spans="1:5" x14ac:dyDescent="0.3">
      <c r="A1587" t="s">
        <v>1409</v>
      </c>
      <c r="B1587" t="s">
        <v>8191</v>
      </c>
      <c r="C1587" t="s">
        <v>6517</v>
      </c>
      <c r="D1587" t="s">
        <v>6517</v>
      </c>
      <c r="E1587" t="s">
        <v>6517</v>
      </c>
    </row>
    <row r="1588" spans="1:5" x14ac:dyDescent="0.3">
      <c r="A1588" t="s">
        <v>1410</v>
      </c>
      <c r="B1588" t="s">
        <v>8190</v>
      </c>
      <c r="C1588" t="s">
        <v>8190</v>
      </c>
      <c r="D1588" t="s">
        <v>8189</v>
      </c>
      <c r="E1588" t="s">
        <v>8188</v>
      </c>
    </row>
    <row r="1589" spans="1:5" x14ac:dyDescent="0.3">
      <c r="A1589" t="s">
        <v>1410</v>
      </c>
      <c r="B1589" t="s">
        <v>8187</v>
      </c>
      <c r="C1589" t="s">
        <v>6517</v>
      </c>
      <c r="D1589" t="s">
        <v>6517</v>
      </c>
      <c r="E1589" t="s">
        <v>6517</v>
      </c>
    </row>
    <row r="1590" spans="1:5" x14ac:dyDescent="0.3">
      <c r="A1590" t="s">
        <v>1410</v>
      </c>
      <c r="B1590" t="s">
        <v>8186</v>
      </c>
      <c r="C1590" t="s">
        <v>6517</v>
      </c>
      <c r="D1590" t="s">
        <v>6517</v>
      </c>
      <c r="E1590" t="s">
        <v>6517</v>
      </c>
    </row>
    <row r="1591" spans="1:5" x14ac:dyDescent="0.3">
      <c r="A1591" t="s">
        <v>1410</v>
      </c>
      <c r="B1591" t="s">
        <v>8185</v>
      </c>
      <c r="C1591" t="s">
        <v>6517</v>
      </c>
      <c r="D1591" t="s">
        <v>6517</v>
      </c>
      <c r="E1591" t="s">
        <v>6517</v>
      </c>
    </row>
    <row r="1592" spans="1:5" x14ac:dyDescent="0.3">
      <c r="A1592" t="s">
        <v>1410</v>
      </c>
      <c r="B1592" t="s">
        <v>8184</v>
      </c>
      <c r="C1592" t="s">
        <v>6517</v>
      </c>
      <c r="D1592" t="s">
        <v>6517</v>
      </c>
      <c r="E1592" t="s">
        <v>6517</v>
      </c>
    </row>
    <row r="1593" spans="1:5" x14ac:dyDescent="0.3">
      <c r="A1593" t="s">
        <v>1411</v>
      </c>
      <c r="B1593" t="s">
        <v>8183</v>
      </c>
      <c r="C1593" t="s">
        <v>8183</v>
      </c>
      <c r="D1593" t="s">
        <v>8182</v>
      </c>
      <c r="E1593" t="s">
        <v>8181</v>
      </c>
    </row>
    <row r="1594" spans="1:5" x14ac:dyDescent="0.3">
      <c r="A1594" t="s">
        <v>1411</v>
      </c>
      <c r="B1594" t="s">
        <v>8180</v>
      </c>
      <c r="C1594" t="s">
        <v>6517</v>
      </c>
      <c r="D1594" t="s">
        <v>6517</v>
      </c>
      <c r="E1594" t="s">
        <v>6517</v>
      </c>
    </row>
    <row r="1595" spans="1:5" x14ac:dyDescent="0.3">
      <c r="A1595" t="s">
        <v>1411</v>
      </c>
      <c r="B1595" t="s">
        <v>8179</v>
      </c>
      <c r="C1595" t="s">
        <v>6517</v>
      </c>
      <c r="D1595" t="s">
        <v>6517</v>
      </c>
      <c r="E1595" t="s">
        <v>6517</v>
      </c>
    </row>
    <row r="1596" spans="1:5" x14ac:dyDescent="0.3">
      <c r="A1596" t="s">
        <v>1411</v>
      </c>
      <c r="B1596" t="s">
        <v>8178</v>
      </c>
      <c r="C1596" t="s">
        <v>6517</v>
      </c>
      <c r="D1596" t="s">
        <v>6517</v>
      </c>
      <c r="E1596" t="s">
        <v>6517</v>
      </c>
    </row>
    <row r="1597" spans="1:5" x14ac:dyDescent="0.3">
      <c r="A1597" t="s">
        <v>1411</v>
      </c>
      <c r="B1597" t="s">
        <v>8177</v>
      </c>
      <c r="C1597" t="s">
        <v>6517</v>
      </c>
      <c r="D1597" t="s">
        <v>6517</v>
      </c>
      <c r="E1597" t="s">
        <v>6517</v>
      </c>
    </row>
    <row r="1598" spans="1:5" x14ac:dyDescent="0.3">
      <c r="A1598" t="s">
        <v>1412</v>
      </c>
      <c r="B1598" t="s">
        <v>8176</v>
      </c>
      <c r="C1598" t="s">
        <v>8176</v>
      </c>
      <c r="D1598" t="s">
        <v>8175</v>
      </c>
      <c r="E1598" t="s">
        <v>8174</v>
      </c>
    </row>
    <row r="1599" spans="1:5" x14ac:dyDescent="0.3">
      <c r="A1599" t="s">
        <v>1412</v>
      </c>
      <c r="B1599" t="s">
        <v>8173</v>
      </c>
      <c r="C1599" t="s">
        <v>6517</v>
      </c>
      <c r="D1599" t="s">
        <v>6517</v>
      </c>
      <c r="E1599" t="s">
        <v>6517</v>
      </c>
    </row>
    <row r="1600" spans="1:5" x14ac:dyDescent="0.3">
      <c r="A1600" t="s">
        <v>1412</v>
      </c>
      <c r="B1600" t="s">
        <v>8172</v>
      </c>
      <c r="C1600" t="s">
        <v>6517</v>
      </c>
      <c r="D1600" t="s">
        <v>6517</v>
      </c>
      <c r="E1600" t="s">
        <v>6517</v>
      </c>
    </row>
    <row r="1601" spans="1:5" x14ac:dyDescent="0.3">
      <c r="A1601" t="s">
        <v>1412</v>
      </c>
      <c r="B1601" t="s">
        <v>8171</v>
      </c>
      <c r="C1601" t="s">
        <v>6517</v>
      </c>
      <c r="D1601" t="s">
        <v>6517</v>
      </c>
      <c r="E1601" t="s">
        <v>6517</v>
      </c>
    </row>
    <row r="1602" spans="1:5" x14ac:dyDescent="0.3">
      <c r="A1602" t="s">
        <v>1412</v>
      </c>
      <c r="B1602" t="s">
        <v>8170</v>
      </c>
      <c r="C1602" t="s">
        <v>6517</v>
      </c>
      <c r="D1602" t="s">
        <v>6517</v>
      </c>
      <c r="E1602" t="s">
        <v>6517</v>
      </c>
    </row>
    <row r="1603" spans="1:5" x14ac:dyDescent="0.3">
      <c r="A1603" t="s">
        <v>1413</v>
      </c>
      <c r="B1603" t="s">
        <v>8169</v>
      </c>
      <c r="C1603" t="s">
        <v>8169</v>
      </c>
      <c r="D1603" t="s">
        <v>8168</v>
      </c>
      <c r="E1603" t="s">
        <v>8167</v>
      </c>
    </row>
    <row r="1604" spans="1:5" x14ac:dyDescent="0.3">
      <c r="A1604" t="s">
        <v>1413</v>
      </c>
      <c r="B1604" t="s">
        <v>8166</v>
      </c>
      <c r="C1604" t="s">
        <v>6517</v>
      </c>
      <c r="D1604" t="s">
        <v>6517</v>
      </c>
      <c r="E1604" t="s">
        <v>6517</v>
      </c>
    </row>
    <row r="1605" spans="1:5" x14ac:dyDescent="0.3">
      <c r="A1605" t="s">
        <v>1413</v>
      </c>
      <c r="B1605" t="s">
        <v>8165</v>
      </c>
      <c r="C1605" t="s">
        <v>6517</v>
      </c>
      <c r="D1605" t="s">
        <v>6517</v>
      </c>
      <c r="E1605" t="s">
        <v>6517</v>
      </c>
    </row>
    <row r="1606" spans="1:5" x14ac:dyDescent="0.3">
      <c r="A1606" t="s">
        <v>1413</v>
      </c>
      <c r="B1606" t="s">
        <v>8164</v>
      </c>
      <c r="C1606" t="s">
        <v>6517</v>
      </c>
      <c r="D1606" t="s">
        <v>6517</v>
      </c>
      <c r="E1606" t="s">
        <v>6517</v>
      </c>
    </row>
    <row r="1607" spans="1:5" x14ac:dyDescent="0.3">
      <c r="A1607" t="s">
        <v>1413</v>
      </c>
      <c r="B1607" t="s">
        <v>8163</v>
      </c>
      <c r="C1607" t="s">
        <v>6517</v>
      </c>
      <c r="D1607" t="s">
        <v>6517</v>
      </c>
      <c r="E1607" t="s">
        <v>6517</v>
      </c>
    </row>
    <row r="1608" spans="1:5" x14ac:dyDescent="0.3">
      <c r="A1608" t="s">
        <v>1414</v>
      </c>
      <c r="B1608" t="s">
        <v>8162</v>
      </c>
      <c r="C1608" t="s">
        <v>8162</v>
      </c>
      <c r="D1608" t="s">
        <v>8161</v>
      </c>
      <c r="E1608" t="s">
        <v>8160</v>
      </c>
    </row>
    <row r="1609" spans="1:5" x14ac:dyDescent="0.3">
      <c r="A1609" t="s">
        <v>1414</v>
      </c>
      <c r="B1609" t="s">
        <v>8159</v>
      </c>
      <c r="C1609" t="s">
        <v>6517</v>
      </c>
      <c r="D1609" t="s">
        <v>6517</v>
      </c>
      <c r="E1609" t="s">
        <v>6517</v>
      </c>
    </row>
    <row r="1610" spans="1:5" x14ac:dyDescent="0.3">
      <c r="A1610" t="s">
        <v>1414</v>
      </c>
      <c r="B1610" t="s">
        <v>8158</v>
      </c>
      <c r="C1610" t="s">
        <v>6517</v>
      </c>
      <c r="D1610" t="s">
        <v>6517</v>
      </c>
      <c r="E1610" t="s">
        <v>6517</v>
      </c>
    </row>
    <row r="1611" spans="1:5" x14ac:dyDescent="0.3">
      <c r="A1611" t="s">
        <v>1414</v>
      </c>
      <c r="B1611" t="s">
        <v>8157</v>
      </c>
      <c r="C1611" t="s">
        <v>6517</v>
      </c>
      <c r="D1611" t="s">
        <v>6517</v>
      </c>
      <c r="E1611" t="s">
        <v>6517</v>
      </c>
    </row>
    <row r="1612" spans="1:5" x14ac:dyDescent="0.3">
      <c r="A1612" t="s">
        <v>1414</v>
      </c>
      <c r="B1612" t="s">
        <v>8156</v>
      </c>
      <c r="C1612" t="s">
        <v>6517</v>
      </c>
      <c r="D1612" t="s">
        <v>6517</v>
      </c>
      <c r="E1612" t="s">
        <v>6517</v>
      </c>
    </row>
    <row r="1613" spans="1:5" x14ac:dyDescent="0.3">
      <c r="A1613" t="s">
        <v>1415</v>
      </c>
      <c r="B1613" t="s">
        <v>8155</v>
      </c>
      <c r="C1613" t="s">
        <v>8155</v>
      </c>
      <c r="D1613" t="s">
        <v>8154</v>
      </c>
      <c r="E1613" t="s">
        <v>8153</v>
      </c>
    </row>
    <row r="1614" spans="1:5" x14ac:dyDescent="0.3">
      <c r="A1614" t="s">
        <v>1415</v>
      </c>
      <c r="B1614" t="s">
        <v>8152</v>
      </c>
      <c r="C1614" t="s">
        <v>6517</v>
      </c>
      <c r="D1614" t="s">
        <v>6517</v>
      </c>
      <c r="E1614" t="s">
        <v>6517</v>
      </c>
    </row>
    <row r="1615" spans="1:5" x14ac:dyDescent="0.3">
      <c r="A1615" t="s">
        <v>1415</v>
      </c>
      <c r="B1615" t="s">
        <v>8151</v>
      </c>
      <c r="C1615" t="s">
        <v>6517</v>
      </c>
      <c r="D1615" t="s">
        <v>6517</v>
      </c>
      <c r="E1615" t="s">
        <v>6517</v>
      </c>
    </row>
    <row r="1616" spans="1:5" x14ac:dyDescent="0.3">
      <c r="A1616" t="s">
        <v>1415</v>
      </c>
      <c r="B1616" t="s">
        <v>8150</v>
      </c>
      <c r="C1616" t="s">
        <v>6517</v>
      </c>
      <c r="D1616" t="s">
        <v>6517</v>
      </c>
      <c r="E1616" t="s">
        <v>6517</v>
      </c>
    </row>
    <row r="1617" spans="1:5" x14ac:dyDescent="0.3">
      <c r="A1617" t="s">
        <v>1415</v>
      </c>
      <c r="B1617" t="s">
        <v>8149</v>
      </c>
      <c r="C1617" t="s">
        <v>6517</v>
      </c>
      <c r="D1617" t="s">
        <v>6517</v>
      </c>
      <c r="E1617" t="s">
        <v>6517</v>
      </c>
    </row>
    <row r="1618" spans="1:5" x14ac:dyDescent="0.3">
      <c r="A1618" t="s">
        <v>1416</v>
      </c>
      <c r="B1618" t="s">
        <v>8148</v>
      </c>
      <c r="C1618" t="s">
        <v>8148</v>
      </c>
      <c r="D1618" t="s">
        <v>8147</v>
      </c>
      <c r="E1618" t="s">
        <v>8146</v>
      </c>
    </row>
    <row r="1619" spans="1:5" x14ac:dyDescent="0.3">
      <c r="A1619" t="s">
        <v>1416</v>
      </c>
      <c r="B1619" t="s">
        <v>8145</v>
      </c>
      <c r="C1619" t="s">
        <v>6517</v>
      </c>
      <c r="D1619" t="s">
        <v>6517</v>
      </c>
      <c r="E1619" t="s">
        <v>6517</v>
      </c>
    </row>
    <row r="1620" spans="1:5" x14ac:dyDescent="0.3">
      <c r="A1620" t="s">
        <v>1416</v>
      </c>
      <c r="B1620" t="s">
        <v>8144</v>
      </c>
      <c r="C1620" t="s">
        <v>6517</v>
      </c>
      <c r="D1620" t="s">
        <v>6517</v>
      </c>
      <c r="E1620" t="s">
        <v>6517</v>
      </c>
    </row>
    <row r="1621" spans="1:5" x14ac:dyDescent="0.3">
      <c r="A1621" t="s">
        <v>1416</v>
      </c>
      <c r="B1621" t="s">
        <v>8143</v>
      </c>
      <c r="C1621" t="s">
        <v>6517</v>
      </c>
      <c r="D1621" t="s">
        <v>6517</v>
      </c>
      <c r="E1621" t="s">
        <v>6517</v>
      </c>
    </row>
    <row r="1622" spans="1:5" x14ac:dyDescent="0.3">
      <c r="A1622" t="s">
        <v>1416</v>
      </c>
      <c r="B1622" t="s">
        <v>8142</v>
      </c>
      <c r="C1622" t="s">
        <v>6517</v>
      </c>
      <c r="D1622" t="s">
        <v>6517</v>
      </c>
      <c r="E1622" t="s">
        <v>6517</v>
      </c>
    </row>
    <row r="1623" spans="1:5" x14ac:dyDescent="0.3">
      <c r="A1623" t="s">
        <v>1417</v>
      </c>
      <c r="B1623" t="s">
        <v>8141</v>
      </c>
      <c r="C1623" t="s">
        <v>8141</v>
      </c>
      <c r="D1623" t="s">
        <v>8140</v>
      </c>
      <c r="E1623" t="s">
        <v>8139</v>
      </c>
    </row>
    <row r="1624" spans="1:5" x14ac:dyDescent="0.3">
      <c r="A1624" t="s">
        <v>1417</v>
      </c>
      <c r="B1624" t="s">
        <v>8138</v>
      </c>
      <c r="C1624" t="s">
        <v>6517</v>
      </c>
      <c r="D1624" t="s">
        <v>6517</v>
      </c>
      <c r="E1624" t="s">
        <v>6517</v>
      </c>
    </row>
    <row r="1625" spans="1:5" x14ac:dyDescent="0.3">
      <c r="A1625" t="s">
        <v>1417</v>
      </c>
      <c r="B1625" t="s">
        <v>8137</v>
      </c>
      <c r="C1625" t="s">
        <v>6517</v>
      </c>
      <c r="D1625" t="s">
        <v>6517</v>
      </c>
      <c r="E1625" t="s">
        <v>6517</v>
      </c>
    </row>
    <row r="1626" spans="1:5" x14ac:dyDescent="0.3">
      <c r="A1626" t="s">
        <v>1417</v>
      </c>
      <c r="B1626" t="s">
        <v>8136</v>
      </c>
      <c r="C1626" t="s">
        <v>6517</v>
      </c>
      <c r="D1626" t="s">
        <v>6517</v>
      </c>
      <c r="E1626" t="s">
        <v>6517</v>
      </c>
    </row>
    <row r="1627" spans="1:5" x14ac:dyDescent="0.3">
      <c r="A1627" t="s">
        <v>1417</v>
      </c>
      <c r="B1627" t="s">
        <v>8135</v>
      </c>
      <c r="C1627" t="s">
        <v>6517</v>
      </c>
      <c r="D1627" t="s">
        <v>6517</v>
      </c>
      <c r="E1627" t="s">
        <v>6517</v>
      </c>
    </row>
    <row r="1628" spans="1:5" x14ac:dyDescent="0.3">
      <c r="A1628" t="s">
        <v>1418</v>
      </c>
      <c r="B1628" t="s">
        <v>8134</v>
      </c>
      <c r="C1628" t="s">
        <v>8134</v>
      </c>
      <c r="D1628" t="s">
        <v>8133</v>
      </c>
      <c r="E1628" t="s">
        <v>8132</v>
      </c>
    </row>
    <row r="1629" spans="1:5" x14ac:dyDescent="0.3">
      <c r="A1629" t="s">
        <v>1418</v>
      </c>
      <c r="B1629" t="s">
        <v>8131</v>
      </c>
      <c r="C1629" t="s">
        <v>6517</v>
      </c>
      <c r="D1629" t="s">
        <v>6517</v>
      </c>
      <c r="E1629" t="s">
        <v>6517</v>
      </c>
    </row>
    <row r="1630" spans="1:5" x14ac:dyDescent="0.3">
      <c r="A1630" t="s">
        <v>1418</v>
      </c>
      <c r="B1630" t="s">
        <v>8130</v>
      </c>
      <c r="C1630" t="s">
        <v>6517</v>
      </c>
      <c r="D1630" t="s">
        <v>6517</v>
      </c>
      <c r="E1630" t="s">
        <v>6517</v>
      </c>
    </row>
    <row r="1631" spans="1:5" x14ac:dyDescent="0.3">
      <c r="A1631" t="s">
        <v>1418</v>
      </c>
      <c r="B1631" t="s">
        <v>8129</v>
      </c>
      <c r="C1631" t="s">
        <v>6517</v>
      </c>
      <c r="D1631" t="s">
        <v>6517</v>
      </c>
      <c r="E1631" t="s">
        <v>6517</v>
      </c>
    </row>
    <row r="1632" spans="1:5" x14ac:dyDescent="0.3">
      <c r="A1632" t="s">
        <v>1418</v>
      </c>
      <c r="B1632" t="s">
        <v>8128</v>
      </c>
      <c r="C1632" t="s">
        <v>6517</v>
      </c>
      <c r="D1632" t="s">
        <v>6517</v>
      </c>
      <c r="E1632" t="s">
        <v>6517</v>
      </c>
    </row>
    <row r="1633" spans="1:5" x14ac:dyDescent="0.3">
      <c r="A1633" t="s">
        <v>1419</v>
      </c>
      <c r="B1633" t="s">
        <v>8127</v>
      </c>
      <c r="C1633" t="s">
        <v>8127</v>
      </c>
      <c r="D1633" t="s">
        <v>8126</v>
      </c>
      <c r="E1633" t="s">
        <v>8125</v>
      </c>
    </row>
    <row r="1634" spans="1:5" x14ac:dyDescent="0.3">
      <c r="A1634" t="s">
        <v>1419</v>
      </c>
      <c r="B1634" t="s">
        <v>8124</v>
      </c>
      <c r="C1634" t="s">
        <v>6517</v>
      </c>
      <c r="D1634" t="s">
        <v>6517</v>
      </c>
      <c r="E1634" t="s">
        <v>6517</v>
      </c>
    </row>
    <row r="1635" spans="1:5" x14ac:dyDescent="0.3">
      <c r="A1635" t="s">
        <v>1419</v>
      </c>
      <c r="B1635" t="s">
        <v>8123</v>
      </c>
      <c r="C1635" t="s">
        <v>6517</v>
      </c>
      <c r="D1635" t="s">
        <v>6517</v>
      </c>
      <c r="E1635" t="s">
        <v>6517</v>
      </c>
    </row>
    <row r="1636" spans="1:5" x14ac:dyDescent="0.3">
      <c r="A1636" t="s">
        <v>1419</v>
      </c>
      <c r="B1636" t="s">
        <v>8122</v>
      </c>
      <c r="C1636" t="s">
        <v>6517</v>
      </c>
      <c r="D1636" t="s">
        <v>6517</v>
      </c>
      <c r="E1636" t="s">
        <v>6517</v>
      </c>
    </row>
    <row r="1637" spans="1:5" x14ac:dyDescent="0.3">
      <c r="A1637" t="s">
        <v>1419</v>
      </c>
      <c r="B1637" t="s">
        <v>8121</v>
      </c>
      <c r="C1637" t="s">
        <v>6517</v>
      </c>
      <c r="D1637" t="s">
        <v>6517</v>
      </c>
      <c r="E1637" t="s">
        <v>6517</v>
      </c>
    </row>
    <row r="1638" spans="1:5" x14ac:dyDescent="0.3">
      <c r="A1638" t="s">
        <v>1420</v>
      </c>
      <c r="B1638" t="s">
        <v>8120</v>
      </c>
      <c r="C1638" t="s">
        <v>8120</v>
      </c>
      <c r="D1638" t="s">
        <v>8119</v>
      </c>
      <c r="E1638" t="s">
        <v>8118</v>
      </c>
    </row>
    <row r="1639" spans="1:5" x14ac:dyDescent="0.3">
      <c r="A1639" t="s">
        <v>1420</v>
      </c>
      <c r="B1639" t="s">
        <v>8117</v>
      </c>
      <c r="C1639" t="s">
        <v>6517</v>
      </c>
      <c r="D1639" t="s">
        <v>6517</v>
      </c>
      <c r="E1639" t="s">
        <v>6517</v>
      </c>
    </row>
    <row r="1640" spans="1:5" x14ac:dyDescent="0.3">
      <c r="A1640" t="s">
        <v>1420</v>
      </c>
      <c r="B1640" t="s">
        <v>8116</v>
      </c>
      <c r="C1640" t="s">
        <v>6517</v>
      </c>
      <c r="D1640" t="s">
        <v>6517</v>
      </c>
      <c r="E1640" t="s">
        <v>6517</v>
      </c>
    </row>
    <row r="1641" spans="1:5" x14ac:dyDescent="0.3">
      <c r="A1641" t="s">
        <v>1420</v>
      </c>
      <c r="B1641" t="s">
        <v>8115</v>
      </c>
      <c r="C1641" t="s">
        <v>6517</v>
      </c>
      <c r="D1641" t="s">
        <v>6517</v>
      </c>
      <c r="E1641" t="s">
        <v>6517</v>
      </c>
    </row>
    <row r="1642" spans="1:5" x14ac:dyDescent="0.3">
      <c r="A1642" t="s">
        <v>1420</v>
      </c>
      <c r="B1642" t="s">
        <v>8114</v>
      </c>
      <c r="C1642" t="s">
        <v>6517</v>
      </c>
      <c r="D1642" t="s">
        <v>6517</v>
      </c>
      <c r="E1642" t="s">
        <v>6517</v>
      </c>
    </row>
    <row r="1643" spans="1:5" x14ac:dyDescent="0.3">
      <c r="A1643" t="s">
        <v>1421</v>
      </c>
      <c r="B1643" t="s">
        <v>8113</v>
      </c>
      <c r="C1643" t="s">
        <v>8113</v>
      </c>
      <c r="D1643" t="s">
        <v>8112</v>
      </c>
      <c r="E1643" t="s">
        <v>8111</v>
      </c>
    </row>
    <row r="1644" spans="1:5" x14ac:dyDescent="0.3">
      <c r="A1644" t="s">
        <v>1421</v>
      </c>
      <c r="B1644" t="s">
        <v>8110</v>
      </c>
      <c r="C1644" t="s">
        <v>6517</v>
      </c>
      <c r="D1644" t="s">
        <v>6517</v>
      </c>
      <c r="E1644" t="s">
        <v>6517</v>
      </c>
    </row>
    <row r="1645" spans="1:5" x14ac:dyDescent="0.3">
      <c r="A1645" t="s">
        <v>1421</v>
      </c>
      <c r="B1645" t="s">
        <v>8109</v>
      </c>
      <c r="C1645" t="s">
        <v>6517</v>
      </c>
      <c r="D1645" t="s">
        <v>6517</v>
      </c>
      <c r="E1645" t="s">
        <v>6517</v>
      </c>
    </row>
    <row r="1646" spans="1:5" x14ac:dyDescent="0.3">
      <c r="A1646" t="s">
        <v>1421</v>
      </c>
      <c r="B1646" t="s">
        <v>8108</v>
      </c>
      <c r="C1646" t="s">
        <v>6517</v>
      </c>
      <c r="D1646" t="s">
        <v>6517</v>
      </c>
      <c r="E1646" t="s">
        <v>6517</v>
      </c>
    </row>
    <row r="1647" spans="1:5" x14ac:dyDescent="0.3">
      <c r="A1647" t="s">
        <v>1421</v>
      </c>
      <c r="B1647" t="s">
        <v>8107</v>
      </c>
      <c r="C1647" t="s">
        <v>6517</v>
      </c>
      <c r="D1647" t="s">
        <v>6517</v>
      </c>
      <c r="E1647" t="s">
        <v>6517</v>
      </c>
    </row>
    <row r="1648" spans="1:5" x14ac:dyDescent="0.3">
      <c r="A1648" t="s">
        <v>1422</v>
      </c>
      <c r="B1648" t="s">
        <v>8106</v>
      </c>
      <c r="C1648" t="s">
        <v>8106</v>
      </c>
      <c r="D1648" t="s">
        <v>8105</v>
      </c>
      <c r="E1648" t="s">
        <v>8104</v>
      </c>
    </row>
    <row r="1649" spans="1:5" x14ac:dyDescent="0.3">
      <c r="A1649" t="s">
        <v>1422</v>
      </c>
      <c r="B1649" t="s">
        <v>8103</v>
      </c>
      <c r="C1649" t="s">
        <v>6517</v>
      </c>
      <c r="D1649" t="s">
        <v>6517</v>
      </c>
      <c r="E1649" t="s">
        <v>6517</v>
      </c>
    </row>
    <row r="1650" spans="1:5" x14ac:dyDescent="0.3">
      <c r="A1650" t="s">
        <v>1422</v>
      </c>
      <c r="B1650" t="s">
        <v>8102</v>
      </c>
      <c r="C1650" t="s">
        <v>6517</v>
      </c>
      <c r="D1650" t="s">
        <v>6517</v>
      </c>
      <c r="E1650" t="s">
        <v>6517</v>
      </c>
    </row>
    <row r="1651" spans="1:5" x14ac:dyDescent="0.3">
      <c r="A1651" t="s">
        <v>1422</v>
      </c>
      <c r="B1651" t="s">
        <v>8101</v>
      </c>
      <c r="C1651" t="s">
        <v>6517</v>
      </c>
      <c r="D1651" t="s">
        <v>6517</v>
      </c>
      <c r="E1651" t="s">
        <v>6517</v>
      </c>
    </row>
    <row r="1652" spans="1:5" x14ac:dyDescent="0.3">
      <c r="A1652" t="s">
        <v>1422</v>
      </c>
      <c r="B1652" t="s">
        <v>8100</v>
      </c>
      <c r="C1652" t="s">
        <v>6517</v>
      </c>
      <c r="D1652" t="s">
        <v>6517</v>
      </c>
      <c r="E1652" t="s">
        <v>6517</v>
      </c>
    </row>
    <row r="1653" spans="1:5" x14ac:dyDescent="0.3">
      <c r="A1653" t="s">
        <v>1423</v>
      </c>
      <c r="B1653" t="s">
        <v>8099</v>
      </c>
      <c r="C1653" t="s">
        <v>8099</v>
      </c>
      <c r="D1653" t="s">
        <v>8098</v>
      </c>
      <c r="E1653" t="s">
        <v>8097</v>
      </c>
    </row>
    <row r="1654" spans="1:5" x14ac:dyDescent="0.3">
      <c r="A1654" t="s">
        <v>1423</v>
      </c>
      <c r="B1654" t="s">
        <v>8096</v>
      </c>
      <c r="C1654" t="s">
        <v>6517</v>
      </c>
      <c r="D1654" t="s">
        <v>6517</v>
      </c>
      <c r="E1654" t="s">
        <v>6517</v>
      </c>
    </row>
    <row r="1655" spans="1:5" x14ac:dyDescent="0.3">
      <c r="A1655" t="s">
        <v>1423</v>
      </c>
      <c r="B1655" t="s">
        <v>8095</v>
      </c>
      <c r="C1655" t="s">
        <v>6517</v>
      </c>
      <c r="D1655" t="s">
        <v>6517</v>
      </c>
      <c r="E1655" t="s">
        <v>6517</v>
      </c>
    </row>
    <row r="1656" spans="1:5" x14ac:dyDescent="0.3">
      <c r="A1656" t="s">
        <v>1423</v>
      </c>
      <c r="B1656" t="s">
        <v>8094</v>
      </c>
      <c r="C1656" t="s">
        <v>6517</v>
      </c>
      <c r="D1656" t="s">
        <v>6517</v>
      </c>
      <c r="E1656" t="s">
        <v>6517</v>
      </c>
    </row>
    <row r="1657" spans="1:5" x14ac:dyDescent="0.3">
      <c r="A1657" t="s">
        <v>1423</v>
      </c>
      <c r="B1657" t="s">
        <v>8093</v>
      </c>
      <c r="C1657" t="s">
        <v>6517</v>
      </c>
      <c r="D1657" t="s">
        <v>6517</v>
      </c>
      <c r="E1657" t="s">
        <v>6517</v>
      </c>
    </row>
    <row r="1658" spans="1:5" x14ac:dyDescent="0.3">
      <c r="A1658" t="s">
        <v>1425</v>
      </c>
      <c r="B1658" t="s">
        <v>8092</v>
      </c>
      <c r="C1658" t="s">
        <v>8092</v>
      </c>
      <c r="D1658" t="s">
        <v>8091</v>
      </c>
      <c r="E1658" t="s">
        <v>8090</v>
      </c>
    </row>
    <row r="1659" spans="1:5" x14ac:dyDescent="0.3">
      <c r="A1659" t="s">
        <v>1425</v>
      </c>
      <c r="B1659" t="s">
        <v>8089</v>
      </c>
      <c r="C1659" t="s">
        <v>6517</v>
      </c>
      <c r="D1659" t="s">
        <v>6517</v>
      </c>
      <c r="E1659" t="s">
        <v>6517</v>
      </c>
    </row>
    <row r="1660" spans="1:5" x14ac:dyDescent="0.3">
      <c r="A1660" t="s">
        <v>1425</v>
      </c>
      <c r="B1660" t="s">
        <v>8088</v>
      </c>
      <c r="C1660" t="s">
        <v>6517</v>
      </c>
      <c r="D1660" t="s">
        <v>6517</v>
      </c>
      <c r="E1660" t="s">
        <v>6517</v>
      </c>
    </row>
    <row r="1661" spans="1:5" x14ac:dyDescent="0.3">
      <c r="A1661" t="s">
        <v>1425</v>
      </c>
      <c r="B1661" t="s">
        <v>8087</v>
      </c>
      <c r="C1661" t="s">
        <v>6517</v>
      </c>
      <c r="D1661" t="s">
        <v>6517</v>
      </c>
      <c r="E1661" t="s">
        <v>6517</v>
      </c>
    </row>
    <row r="1662" spans="1:5" x14ac:dyDescent="0.3">
      <c r="A1662" t="s">
        <v>1425</v>
      </c>
      <c r="B1662" t="s">
        <v>8086</v>
      </c>
      <c r="C1662" t="s">
        <v>6517</v>
      </c>
      <c r="D1662" t="s">
        <v>6517</v>
      </c>
      <c r="E1662" t="s">
        <v>6517</v>
      </c>
    </row>
    <row r="1663" spans="1:5" x14ac:dyDescent="0.3">
      <c r="A1663" t="s">
        <v>1426</v>
      </c>
      <c r="B1663" t="s">
        <v>8085</v>
      </c>
      <c r="C1663" t="s">
        <v>8085</v>
      </c>
      <c r="D1663" t="s">
        <v>8084</v>
      </c>
      <c r="E1663" t="s">
        <v>8083</v>
      </c>
    </row>
    <row r="1664" spans="1:5" x14ac:dyDescent="0.3">
      <c r="A1664" t="s">
        <v>1426</v>
      </c>
      <c r="B1664" t="s">
        <v>8082</v>
      </c>
      <c r="C1664" t="s">
        <v>6517</v>
      </c>
      <c r="D1664" t="s">
        <v>6517</v>
      </c>
      <c r="E1664" t="s">
        <v>6517</v>
      </c>
    </row>
    <row r="1665" spans="1:5" x14ac:dyDescent="0.3">
      <c r="A1665" t="s">
        <v>1426</v>
      </c>
      <c r="B1665" t="s">
        <v>8081</v>
      </c>
      <c r="C1665" t="s">
        <v>6517</v>
      </c>
      <c r="D1665" t="s">
        <v>6517</v>
      </c>
      <c r="E1665" t="s">
        <v>6517</v>
      </c>
    </row>
    <row r="1666" spans="1:5" x14ac:dyDescent="0.3">
      <c r="A1666" t="s">
        <v>1426</v>
      </c>
      <c r="B1666" t="s">
        <v>8080</v>
      </c>
      <c r="C1666" t="s">
        <v>6517</v>
      </c>
      <c r="D1666" t="s">
        <v>6517</v>
      </c>
      <c r="E1666" t="s">
        <v>6517</v>
      </c>
    </row>
    <row r="1667" spans="1:5" x14ac:dyDescent="0.3">
      <c r="A1667" t="s">
        <v>1426</v>
      </c>
      <c r="B1667" t="s">
        <v>8079</v>
      </c>
      <c r="C1667" t="s">
        <v>6517</v>
      </c>
      <c r="D1667" t="s">
        <v>6517</v>
      </c>
      <c r="E1667" t="s">
        <v>6517</v>
      </c>
    </row>
    <row r="1668" spans="1:5" x14ac:dyDescent="0.3">
      <c r="A1668" t="s">
        <v>1427</v>
      </c>
      <c r="B1668" t="s">
        <v>8078</v>
      </c>
      <c r="C1668" t="s">
        <v>8078</v>
      </c>
      <c r="D1668" t="s">
        <v>8077</v>
      </c>
      <c r="E1668" t="s">
        <v>8076</v>
      </c>
    </row>
    <row r="1669" spans="1:5" x14ac:dyDescent="0.3">
      <c r="A1669" t="s">
        <v>1427</v>
      </c>
      <c r="B1669" t="s">
        <v>8075</v>
      </c>
      <c r="C1669" t="s">
        <v>6517</v>
      </c>
      <c r="D1669" t="s">
        <v>6517</v>
      </c>
      <c r="E1669" t="s">
        <v>6517</v>
      </c>
    </row>
    <row r="1670" spans="1:5" x14ac:dyDescent="0.3">
      <c r="A1670" t="s">
        <v>1427</v>
      </c>
      <c r="B1670" t="s">
        <v>8074</v>
      </c>
      <c r="C1670" t="s">
        <v>6517</v>
      </c>
      <c r="D1670" t="s">
        <v>6517</v>
      </c>
      <c r="E1670" t="s">
        <v>6517</v>
      </c>
    </row>
    <row r="1671" spans="1:5" x14ac:dyDescent="0.3">
      <c r="A1671" t="s">
        <v>1427</v>
      </c>
      <c r="B1671" t="s">
        <v>8073</v>
      </c>
      <c r="C1671" t="s">
        <v>6517</v>
      </c>
      <c r="D1671" t="s">
        <v>6517</v>
      </c>
      <c r="E1671" t="s">
        <v>6517</v>
      </c>
    </row>
    <row r="1672" spans="1:5" x14ac:dyDescent="0.3">
      <c r="A1672" t="s">
        <v>1427</v>
      </c>
      <c r="B1672" t="s">
        <v>8072</v>
      </c>
      <c r="C1672" t="s">
        <v>6517</v>
      </c>
      <c r="D1672" t="s">
        <v>6517</v>
      </c>
      <c r="E1672" t="s">
        <v>6517</v>
      </c>
    </row>
    <row r="1673" spans="1:5" x14ac:dyDescent="0.3">
      <c r="A1673" t="s">
        <v>1428</v>
      </c>
      <c r="B1673" t="s">
        <v>8071</v>
      </c>
      <c r="C1673" t="s">
        <v>8071</v>
      </c>
      <c r="D1673" t="s">
        <v>8070</v>
      </c>
      <c r="E1673" t="s">
        <v>8069</v>
      </c>
    </row>
    <row r="1674" spans="1:5" x14ac:dyDescent="0.3">
      <c r="A1674" t="s">
        <v>1428</v>
      </c>
      <c r="B1674" t="s">
        <v>8068</v>
      </c>
      <c r="C1674" t="s">
        <v>6517</v>
      </c>
      <c r="D1674" t="s">
        <v>6517</v>
      </c>
      <c r="E1674" t="s">
        <v>6517</v>
      </c>
    </row>
    <row r="1675" spans="1:5" x14ac:dyDescent="0.3">
      <c r="A1675" t="s">
        <v>1428</v>
      </c>
      <c r="B1675" t="s">
        <v>8067</v>
      </c>
      <c r="C1675" t="s">
        <v>6517</v>
      </c>
      <c r="D1675" t="s">
        <v>6517</v>
      </c>
      <c r="E1675" t="s">
        <v>6517</v>
      </c>
    </row>
    <row r="1676" spans="1:5" x14ac:dyDescent="0.3">
      <c r="A1676" t="s">
        <v>1428</v>
      </c>
      <c r="B1676" t="s">
        <v>8066</v>
      </c>
      <c r="C1676" t="s">
        <v>6517</v>
      </c>
      <c r="D1676" t="s">
        <v>6517</v>
      </c>
      <c r="E1676" t="s">
        <v>6517</v>
      </c>
    </row>
    <row r="1677" spans="1:5" x14ac:dyDescent="0.3">
      <c r="A1677" t="s">
        <v>1428</v>
      </c>
      <c r="B1677" t="s">
        <v>8065</v>
      </c>
      <c r="C1677" t="s">
        <v>6517</v>
      </c>
      <c r="D1677" t="s">
        <v>6517</v>
      </c>
      <c r="E1677" t="s">
        <v>6517</v>
      </c>
    </row>
    <row r="1678" spans="1:5" x14ac:dyDescent="0.3">
      <c r="A1678" t="s">
        <v>1429</v>
      </c>
      <c r="B1678" t="s">
        <v>8064</v>
      </c>
      <c r="C1678" t="s">
        <v>8064</v>
      </c>
      <c r="D1678" t="s">
        <v>8063</v>
      </c>
      <c r="E1678" t="s">
        <v>8062</v>
      </c>
    </row>
    <row r="1679" spans="1:5" x14ac:dyDescent="0.3">
      <c r="A1679" t="s">
        <v>1429</v>
      </c>
      <c r="B1679" t="s">
        <v>8061</v>
      </c>
      <c r="C1679" t="s">
        <v>6517</v>
      </c>
      <c r="D1679" t="s">
        <v>6517</v>
      </c>
      <c r="E1679" t="s">
        <v>6517</v>
      </c>
    </row>
    <row r="1680" spans="1:5" x14ac:dyDescent="0.3">
      <c r="A1680" t="s">
        <v>1429</v>
      </c>
      <c r="B1680" t="s">
        <v>8060</v>
      </c>
      <c r="C1680" t="s">
        <v>6517</v>
      </c>
      <c r="D1680" t="s">
        <v>6517</v>
      </c>
      <c r="E1680" t="s">
        <v>6517</v>
      </c>
    </row>
    <row r="1681" spans="1:5" x14ac:dyDescent="0.3">
      <c r="A1681" t="s">
        <v>1429</v>
      </c>
      <c r="B1681" t="s">
        <v>8059</v>
      </c>
      <c r="C1681" t="s">
        <v>6517</v>
      </c>
      <c r="D1681" t="s">
        <v>6517</v>
      </c>
      <c r="E1681" t="s">
        <v>6517</v>
      </c>
    </row>
    <row r="1682" spans="1:5" x14ac:dyDescent="0.3">
      <c r="A1682" t="s">
        <v>1429</v>
      </c>
      <c r="B1682" t="s">
        <v>8058</v>
      </c>
      <c r="C1682" t="s">
        <v>6517</v>
      </c>
      <c r="D1682" t="s">
        <v>6517</v>
      </c>
      <c r="E1682" t="s">
        <v>6517</v>
      </c>
    </row>
    <row r="1683" spans="1:5" x14ac:dyDescent="0.3">
      <c r="A1683" t="s">
        <v>1430</v>
      </c>
      <c r="B1683" t="s">
        <v>8057</v>
      </c>
      <c r="C1683" t="s">
        <v>8057</v>
      </c>
      <c r="D1683" t="s">
        <v>8056</v>
      </c>
      <c r="E1683" t="s">
        <v>8055</v>
      </c>
    </row>
    <row r="1684" spans="1:5" x14ac:dyDescent="0.3">
      <c r="A1684" t="s">
        <v>1430</v>
      </c>
      <c r="B1684" t="s">
        <v>8054</v>
      </c>
      <c r="C1684" t="s">
        <v>6517</v>
      </c>
      <c r="D1684" t="s">
        <v>6517</v>
      </c>
      <c r="E1684" t="s">
        <v>6517</v>
      </c>
    </row>
    <row r="1685" spans="1:5" x14ac:dyDescent="0.3">
      <c r="A1685" t="s">
        <v>1430</v>
      </c>
      <c r="B1685" t="s">
        <v>8053</v>
      </c>
      <c r="C1685" t="s">
        <v>6517</v>
      </c>
      <c r="D1685" t="s">
        <v>6517</v>
      </c>
      <c r="E1685" t="s">
        <v>6517</v>
      </c>
    </row>
    <row r="1686" spans="1:5" x14ac:dyDescent="0.3">
      <c r="A1686" t="s">
        <v>1430</v>
      </c>
      <c r="B1686" t="s">
        <v>8052</v>
      </c>
      <c r="C1686" t="s">
        <v>6517</v>
      </c>
      <c r="D1686" t="s">
        <v>6517</v>
      </c>
      <c r="E1686" t="s">
        <v>6517</v>
      </c>
    </row>
    <row r="1687" spans="1:5" x14ac:dyDescent="0.3">
      <c r="A1687" t="s">
        <v>1430</v>
      </c>
      <c r="B1687" t="s">
        <v>8051</v>
      </c>
      <c r="C1687" t="s">
        <v>6517</v>
      </c>
      <c r="D1687" t="s">
        <v>6517</v>
      </c>
      <c r="E1687" t="s">
        <v>6517</v>
      </c>
    </row>
    <row r="1688" spans="1:5" x14ac:dyDescent="0.3">
      <c r="A1688" t="s">
        <v>1431</v>
      </c>
      <c r="B1688" t="s">
        <v>8050</v>
      </c>
      <c r="C1688" t="s">
        <v>8050</v>
      </c>
      <c r="D1688" t="s">
        <v>8049</v>
      </c>
      <c r="E1688" t="s">
        <v>8048</v>
      </c>
    </row>
    <row r="1689" spans="1:5" x14ac:dyDescent="0.3">
      <c r="A1689" t="s">
        <v>1431</v>
      </c>
      <c r="B1689" t="s">
        <v>8047</v>
      </c>
      <c r="C1689" t="s">
        <v>6517</v>
      </c>
      <c r="D1689" t="s">
        <v>6517</v>
      </c>
      <c r="E1689" t="s">
        <v>6517</v>
      </c>
    </row>
    <row r="1690" spans="1:5" x14ac:dyDescent="0.3">
      <c r="A1690" t="s">
        <v>1431</v>
      </c>
      <c r="B1690" t="s">
        <v>8046</v>
      </c>
      <c r="C1690" t="s">
        <v>6517</v>
      </c>
      <c r="D1690" t="s">
        <v>6517</v>
      </c>
      <c r="E1690" t="s">
        <v>6517</v>
      </c>
    </row>
    <row r="1691" spans="1:5" x14ac:dyDescent="0.3">
      <c r="A1691" t="s">
        <v>1431</v>
      </c>
      <c r="B1691" t="s">
        <v>8045</v>
      </c>
      <c r="C1691" t="s">
        <v>6517</v>
      </c>
      <c r="D1691" t="s">
        <v>6517</v>
      </c>
      <c r="E1691" t="s">
        <v>6517</v>
      </c>
    </row>
    <row r="1692" spans="1:5" x14ac:dyDescent="0.3">
      <c r="A1692" t="s">
        <v>1431</v>
      </c>
      <c r="B1692" t="s">
        <v>8044</v>
      </c>
      <c r="C1692" t="s">
        <v>6517</v>
      </c>
      <c r="D1692" t="s">
        <v>6517</v>
      </c>
      <c r="E1692" t="s">
        <v>6517</v>
      </c>
    </row>
    <row r="1693" spans="1:5" x14ac:dyDescent="0.3">
      <c r="A1693" t="s">
        <v>1432</v>
      </c>
      <c r="B1693" t="s">
        <v>8043</v>
      </c>
      <c r="C1693" t="s">
        <v>8043</v>
      </c>
      <c r="D1693" t="s">
        <v>8042</v>
      </c>
      <c r="E1693" t="s">
        <v>8041</v>
      </c>
    </row>
    <row r="1694" spans="1:5" x14ac:dyDescent="0.3">
      <c r="A1694" t="s">
        <v>1432</v>
      </c>
      <c r="B1694" t="s">
        <v>8040</v>
      </c>
      <c r="C1694" t="s">
        <v>6517</v>
      </c>
      <c r="D1694" t="s">
        <v>6517</v>
      </c>
      <c r="E1694" t="s">
        <v>6517</v>
      </c>
    </row>
    <row r="1695" spans="1:5" x14ac:dyDescent="0.3">
      <c r="A1695" t="s">
        <v>1432</v>
      </c>
      <c r="B1695" t="s">
        <v>8039</v>
      </c>
      <c r="C1695" t="s">
        <v>6517</v>
      </c>
      <c r="D1695" t="s">
        <v>6517</v>
      </c>
      <c r="E1695" t="s">
        <v>6517</v>
      </c>
    </row>
    <row r="1696" spans="1:5" x14ac:dyDescent="0.3">
      <c r="A1696" t="s">
        <v>1432</v>
      </c>
      <c r="B1696" t="s">
        <v>8038</v>
      </c>
      <c r="C1696" t="s">
        <v>6517</v>
      </c>
      <c r="D1696" t="s">
        <v>6517</v>
      </c>
      <c r="E1696" t="s">
        <v>6517</v>
      </c>
    </row>
    <row r="1697" spans="1:5" x14ac:dyDescent="0.3">
      <c r="A1697" t="s">
        <v>1432</v>
      </c>
      <c r="B1697" t="s">
        <v>8037</v>
      </c>
      <c r="C1697" t="s">
        <v>6517</v>
      </c>
      <c r="D1697" t="s">
        <v>6517</v>
      </c>
      <c r="E1697" t="s">
        <v>6517</v>
      </c>
    </row>
    <row r="1698" spans="1:5" x14ac:dyDescent="0.3">
      <c r="A1698" t="s">
        <v>1433</v>
      </c>
      <c r="B1698" t="s">
        <v>8036</v>
      </c>
      <c r="C1698" t="s">
        <v>8036</v>
      </c>
      <c r="D1698" t="s">
        <v>8035</v>
      </c>
      <c r="E1698" t="s">
        <v>8034</v>
      </c>
    </row>
    <row r="1699" spans="1:5" x14ac:dyDescent="0.3">
      <c r="A1699" t="s">
        <v>1433</v>
      </c>
      <c r="B1699" t="s">
        <v>8033</v>
      </c>
      <c r="C1699" t="s">
        <v>6517</v>
      </c>
      <c r="D1699" t="s">
        <v>6517</v>
      </c>
      <c r="E1699" t="s">
        <v>6517</v>
      </c>
    </row>
    <row r="1700" spans="1:5" x14ac:dyDescent="0.3">
      <c r="A1700" t="s">
        <v>1433</v>
      </c>
      <c r="B1700" t="s">
        <v>8032</v>
      </c>
      <c r="C1700" t="s">
        <v>6517</v>
      </c>
      <c r="D1700" t="s">
        <v>6517</v>
      </c>
      <c r="E1700" t="s">
        <v>6517</v>
      </c>
    </row>
    <row r="1701" spans="1:5" x14ac:dyDescent="0.3">
      <c r="A1701" t="s">
        <v>1433</v>
      </c>
      <c r="B1701" t="s">
        <v>8031</v>
      </c>
      <c r="C1701" t="s">
        <v>6517</v>
      </c>
      <c r="D1701" t="s">
        <v>6517</v>
      </c>
      <c r="E1701" t="s">
        <v>6517</v>
      </c>
    </row>
    <row r="1702" spans="1:5" x14ac:dyDescent="0.3">
      <c r="A1702" t="s">
        <v>1433</v>
      </c>
      <c r="B1702" t="s">
        <v>8030</v>
      </c>
      <c r="C1702" t="s">
        <v>6517</v>
      </c>
      <c r="D1702" t="s">
        <v>6517</v>
      </c>
      <c r="E1702" t="s">
        <v>6517</v>
      </c>
    </row>
    <row r="1703" spans="1:5" x14ac:dyDescent="0.3">
      <c r="A1703" t="s">
        <v>1434</v>
      </c>
      <c r="B1703" t="s">
        <v>8029</v>
      </c>
      <c r="C1703" t="s">
        <v>8029</v>
      </c>
      <c r="D1703" t="s">
        <v>8028</v>
      </c>
      <c r="E1703" t="s">
        <v>8027</v>
      </c>
    </row>
    <row r="1704" spans="1:5" x14ac:dyDescent="0.3">
      <c r="A1704" t="s">
        <v>1434</v>
      </c>
      <c r="B1704" t="s">
        <v>8026</v>
      </c>
      <c r="C1704" t="s">
        <v>6517</v>
      </c>
      <c r="D1704" t="s">
        <v>6517</v>
      </c>
      <c r="E1704" t="s">
        <v>6517</v>
      </c>
    </row>
    <row r="1705" spans="1:5" x14ac:dyDescent="0.3">
      <c r="A1705" t="s">
        <v>1434</v>
      </c>
      <c r="B1705" t="s">
        <v>8025</v>
      </c>
      <c r="C1705" t="s">
        <v>6517</v>
      </c>
      <c r="D1705" t="s">
        <v>6517</v>
      </c>
      <c r="E1705" t="s">
        <v>6517</v>
      </c>
    </row>
    <row r="1706" spans="1:5" x14ac:dyDescent="0.3">
      <c r="A1706" t="s">
        <v>1434</v>
      </c>
      <c r="B1706" t="s">
        <v>8024</v>
      </c>
      <c r="C1706" t="s">
        <v>6517</v>
      </c>
      <c r="D1706" t="s">
        <v>6517</v>
      </c>
      <c r="E1706" t="s">
        <v>6517</v>
      </c>
    </row>
    <row r="1707" spans="1:5" x14ac:dyDescent="0.3">
      <c r="A1707" t="s">
        <v>1434</v>
      </c>
      <c r="B1707" t="s">
        <v>8023</v>
      </c>
      <c r="C1707" t="s">
        <v>6517</v>
      </c>
      <c r="D1707" t="s">
        <v>6517</v>
      </c>
      <c r="E1707" t="s">
        <v>6517</v>
      </c>
    </row>
    <row r="1708" spans="1:5" x14ac:dyDescent="0.3">
      <c r="A1708" t="s">
        <v>1435</v>
      </c>
      <c r="B1708" t="s">
        <v>8022</v>
      </c>
      <c r="C1708" t="s">
        <v>8022</v>
      </c>
      <c r="D1708" t="s">
        <v>8021</v>
      </c>
      <c r="E1708" t="s">
        <v>8020</v>
      </c>
    </row>
    <row r="1709" spans="1:5" x14ac:dyDescent="0.3">
      <c r="A1709" t="s">
        <v>1435</v>
      </c>
      <c r="B1709" t="s">
        <v>8019</v>
      </c>
      <c r="C1709" t="s">
        <v>6517</v>
      </c>
      <c r="D1709" t="s">
        <v>6517</v>
      </c>
      <c r="E1709" t="s">
        <v>6517</v>
      </c>
    </row>
    <row r="1710" spans="1:5" x14ac:dyDescent="0.3">
      <c r="A1710" t="s">
        <v>1435</v>
      </c>
      <c r="B1710" t="s">
        <v>8018</v>
      </c>
      <c r="C1710" t="s">
        <v>6517</v>
      </c>
      <c r="D1710" t="s">
        <v>6517</v>
      </c>
      <c r="E1710" t="s">
        <v>6517</v>
      </c>
    </row>
    <row r="1711" spans="1:5" x14ac:dyDescent="0.3">
      <c r="A1711" t="s">
        <v>1435</v>
      </c>
      <c r="B1711" t="s">
        <v>8017</v>
      </c>
      <c r="C1711" t="s">
        <v>6517</v>
      </c>
      <c r="D1711" t="s">
        <v>6517</v>
      </c>
      <c r="E1711" t="s">
        <v>6517</v>
      </c>
    </row>
    <row r="1712" spans="1:5" x14ac:dyDescent="0.3">
      <c r="A1712" t="s">
        <v>1435</v>
      </c>
      <c r="B1712" t="s">
        <v>8016</v>
      </c>
      <c r="C1712" t="s">
        <v>6517</v>
      </c>
      <c r="D1712" t="s">
        <v>6517</v>
      </c>
      <c r="E1712" t="s">
        <v>6517</v>
      </c>
    </row>
    <row r="1713" spans="1:5" x14ac:dyDescent="0.3">
      <c r="A1713" t="s">
        <v>1436</v>
      </c>
      <c r="B1713" t="s">
        <v>8015</v>
      </c>
      <c r="C1713" t="s">
        <v>8015</v>
      </c>
      <c r="D1713" t="s">
        <v>8014</v>
      </c>
      <c r="E1713" t="s">
        <v>8013</v>
      </c>
    </row>
    <row r="1714" spans="1:5" x14ac:dyDescent="0.3">
      <c r="A1714" t="s">
        <v>1436</v>
      </c>
      <c r="B1714" t="s">
        <v>8012</v>
      </c>
      <c r="C1714" t="s">
        <v>6517</v>
      </c>
      <c r="D1714" t="s">
        <v>6517</v>
      </c>
      <c r="E1714" t="s">
        <v>6517</v>
      </c>
    </row>
    <row r="1715" spans="1:5" x14ac:dyDescent="0.3">
      <c r="A1715" t="s">
        <v>1436</v>
      </c>
      <c r="B1715" t="s">
        <v>8011</v>
      </c>
      <c r="C1715" t="s">
        <v>6517</v>
      </c>
      <c r="D1715" t="s">
        <v>6517</v>
      </c>
      <c r="E1715" t="s">
        <v>6517</v>
      </c>
    </row>
    <row r="1716" spans="1:5" x14ac:dyDescent="0.3">
      <c r="A1716" t="s">
        <v>1436</v>
      </c>
      <c r="B1716" t="s">
        <v>8010</v>
      </c>
      <c r="C1716" t="s">
        <v>6517</v>
      </c>
      <c r="D1716" t="s">
        <v>6517</v>
      </c>
      <c r="E1716" t="s">
        <v>6517</v>
      </c>
    </row>
    <row r="1717" spans="1:5" x14ac:dyDescent="0.3">
      <c r="A1717" t="s">
        <v>1436</v>
      </c>
      <c r="B1717" t="s">
        <v>8009</v>
      </c>
      <c r="C1717" t="s">
        <v>6517</v>
      </c>
      <c r="D1717" t="s">
        <v>6517</v>
      </c>
      <c r="E1717" t="s">
        <v>6517</v>
      </c>
    </row>
    <row r="1718" spans="1:5" x14ac:dyDescent="0.3">
      <c r="A1718" t="s">
        <v>1437</v>
      </c>
      <c r="B1718" t="s">
        <v>8008</v>
      </c>
      <c r="C1718" t="s">
        <v>8008</v>
      </c>
      <c r="D1718" t="s">
        <v>8007</v>
      </c>
      <c r="E1718" t="s">
        <v>8006</v>
      </c>
    </row>
    <row r="1719" spans="1:5" x14ac:dyDescent="0.3">
      <c r="A1719" t="s">
        <v>1437</v>
      </c>
      <c r="B1719" t="s">
        <v>8005</v>
      </c>
      <c r="C1719" t="s">
        <v>6517</v>
      </c>
      <c r="D1719" t="s">
        <v>6517</v>
      </c>
      <c r="E1719" t="s">
        <v>6517</v>
      </c>
    </row>
    <row r="1720" spans="1:5" x14ac:dyDescent="0.3">
      <c r="A1720" t="s">
        <v>1437</v>
      </c>
      <c r="B1720" t="s">
        <v>8004</v>
      </c>
      <c r="C1720" t="s">
        <v>6517</v>
      </c>
      <c r="D1720" t="s">
        <v>6517</v>
      </c>
      <c r="E1720" t="s">
        <v>6517</v>
      </c>
    </row>
    <row r="1721" spans="1:5" x14ac:dyDescent="0.3">
      <c r="A1721" t="s">
        <v>1437</v>
      </c>
      <c r="B1721" t="s">
        <v>8003</v>
      </c>
      <c r="C1721" t="s">
        <v>6517</v>
      </c>
      <c r="D1721" t="s">
        <v>6517</v>
      </c>
      <c r="E1721" t="s">
        <v>6517</v>
      </c>
    </row>
    <row r="1722" spans="1:5" x14ac:dyDescent="0.3">
      <c r="A1722" t="s">
        <v>1437</v>
      </c>
      <c r="B1722" t="s">
        <v>8002</v>
      </c>
      <c r="C1722" t="s">
        <v>6517</v>
      </c>
      <c r="D1722" t="s">
        <v>6517</v>
      </c>
      <c r="E1722" t="s">
        <v>6517</v>
      </c>
    </row>
    <row r="1723" spans="1:5" x14ac:dyDescent="0.3">
      <c r="A1723" t="s">
        <v>1438</v>
      </c>
      <c r="B1723" t="s">
        <v>8001</v>
      </c>
      <c r="C1723" t="s">
        <v>8001</v>
      </c>
      <c r="D1723" t="s">
        <v>8000</v>
      </c>
      <c r="E1723" t="s">
        <v>7999</v>
      </c>
    </row>
    <row r="1724" spans="1:5" x14ac:dyDescent="0.3">
      <c r="A1724" t="s">
        <v>1438</v>
      </c>
      <c r="B1724" t="s">
        <v>7998</v>
      </c>
      <c r="C1724" t="s">
        <v>6517</v>
      </c>
      <c r="D1724" t="s">
        <v>6517</v>
      </c>
      <c r="E1724" t="s">
        <v>6517</v>
      </c>
    </row>
    <row r="1725" spans="1:5" x14ac:dyDescent="0.3">
      <c r="A1725" t="s">
        <v>1438</v>
      </c>
      <c r="B1725" t="s">
        <v>7997</v>
      </c>
      <c r="C1725" t="s">
        <v>6517</v>
      </c>
      <c r="D1725" t="s">
        <v>6517</v>
      </c>
      <c r="E1725" t="s">
        <v>6517</v>
      </c>
    </row>
    <row r="1726" spans="1:5" x14ac:dyDescent="0.3">
      <c r="A1726" t="s">
        <v>1438</v>
      </c>
      <c r="B1726" t="s">
        <v>7996</v>
      </c>
      <c r="C1726" t="s">
        <v>6517</v>
      </c>
      <c r="D1726" t="s">
        <v>6517</v>
      </c>
      <c r="E1726" t="s">
        <v>6517</v>
      </c>
    </row>
    <row r="1727" spans="1:5" x14ac:dyDescent="0.3">
      <c r="A1727" t="s">
        <v>1438</v>
      </c>
      <c r="B1727" t="s">
        <v>7995</v>
      </c>
      <c r="C1727" t="s">
        <v>6517</v>
      </c>
      <c r="D1727" t="s">
        <v>6517</v>
      </c>
      <c r="E1727" t="s">
        <v>6517</v>
      </c>
    </row>
    <row r="1728" spans="1:5" x14ac:dyDescent="0.3">
      <c r="A1728" t="s">
        <v>1439</v>
      </c>
      <c r="B1728" t="s">
        <v>7994</v>
      </c>
      <c r="C1728" t="s">
        <v>7994</v>
      </c>
      <c r="D1728" t="s">
        <v>7993</v>
      </c>
      <c r="E1728" t="s">
        <v>7992</v>
      </c>
    </row>
    <row r="1729" spans="1:5" x14ac:dyDescent="0.3">
      <c r="A1729" t="s">
        <v>1439</v>
      </c>
      <c r="B1729" t="s">
        <v>7991</v>
      </c>
      <c r="C1729" t="s">
        <v>6517</v>
      </c>
      <c r="D1729" t="s">
        <v>6517</v>
      </c>
      <c r="E1729" t="s">
        <v>6517</v>
      </c>
    </row>
    <row r="1730" spans="1:5" x14ac:dyDescent="0.3">
      <c r="A1730" t="s">
        <v>1439</v>
      </c>
      <c r="B1730" t="s">
        <v>7990</v>
      </c>
      <c r="C1730" t="s">
        <v>6517</v>
      </c>
      <c r="D1730" t="s">
        <v>6517</v>
      </c>
      <c r="E1730" t="s">
        <v>6517</v>
      </c>
    </row>
    <row r="1731" spans="1:5" x14ac:dyDescent="0.3">
      <c r="A1731" t="s">
        <v>1439</v>
      </c>
      <c r="B1731" t="s">
        <v>7989</v>
      </c>
      <c r="C1731" t="s">
        <v>6517</v>
      </c>
      <c r="D1731" t="s">
        <v>6517</v>
      </c>
      <c r="E1731" t="s">
        <v>6517</v>
      </c>
    </row>
    <row r="1732" spans="1:5" x14ac:dyDescent="0.3">
      <c r="A1732" t="s">
        <v>1439</v>
      </c>
      <c r="B1732" t="s">
        <v>7988</v>
      </c>
      <c r="C1732" t="s">
        <v>6517</v>
      </c>
      <c r="D1732" t="s">
        <v>6517</v>
      </c>
      <c r="E1732" t="s">
        <v>6517</v>
      </c>
    </row>
    <row r="1733" spans="1:5" x14ac:dyDescent="0.3">
      <c r="A1733" t="s">
        <v>1440</v>
      </c>
      <c r="B1733" t="s">
        <v>7987</v>
      </c>
      <c r="C1733" t="s">
        <v>7987</v>
      </c>
      <c r="D1733" t="s">
        <v>7986</v>
      </c>
      <c r="E1733" t="s">
        <v>7985</v>
      </c>
    </row>
    <row r="1734" spans="1:5" x14ac:dyDescent="0.3">
      <c r="A1734" t="s">
        <v>1440</v>
      </c>
      <c r="B1734" t="s">
        <v>7984</v>
      </c>
      <c r="C1734" t="s">
        <v>6517</v>
      </c>
      <c r="D1734" t="s">
        <v>6517</v>
      </c>
      <c r="E1734" t="s">
        <v>6517</v>
      </c>
    </row>
    <row r="1735" spans="1:5" x14ac:dyDescent="0.3">
      <c r="A1735" t="s">
        <v>1440</v>
      </c>
      <c r="B1735" t="s">
        <v>7983</v>
      </c>
      <c r="C1735" t="s">
        <v>6517</v>
      </c>
      <c r="D1735" t="s">
        <v>6517</v>
      </c>
      <c r="E1735" t="s">
        <v>6517</v>
      </c>
    </row>
    <row r="1736" spans="1:5" x14ac:dyDescent="0.3">
      <c r="A1736" t="s">
        <v>1440</v>
      </c>
      <c r="B1736" t="s">
        <v>7982</v>
      </c>
      <c r="C1736" t="s">
        <v>6517</v>
      </c>
      <c r="D1736" t="s">
        <v>6517</v>
      </c>
      <c r="E1736" t="s">
        <v>6517</v>
      </c>
    </row>
    <row r="1737" spans="1:5" x14ac:dyDescent="0.3">
      <c r="A1737" t="s">
        <v>1440</v>
      </c>
      <c r="B1737" t="s">
        <v>7981</v>
      </c>
      <c r="C1737" t="s">
        <v>6517</v>
      </c>
      <c r="D1737" t="s">
        <v>6517</v>
      </c>
      <c r="E1737" t="s">
        <v>6517</v>
      </c>
    </row>
    <row r="1738" spans="1:5" x14ac:dyDescent="0.3">
      <c r="A1738" t="s">
        <v>1441</v>
      </c>
      <c r="B1738" t="s">
        <v>7980</v>
      </c>
      <c r="C1738" t="s">
        <v>7980</v>
      </c>
      <c r="D1738" t="s">
        <v>7979</v>
      </c>
      <c r="E1738" t="s">
        <v>7978</v>
      </c>
    </row>
    <row r="1739" spans="1:5" x14ac:dyDescent="0.3">
      <c r="A1739" t="s">
        <v>1441</v>
      </c>
      <c r="B1739" t="s">
        <v>7977</v>
      </c>
      <c r="C1739" t="s">
        <v>6517</v>
      </c>
      <c r="D1739" t="s">
        <v>6517</v>
      </c>
      <c r="E1739" t="s">
        <v>6517</v>
      </c>
    </row>
    <row r="1740" spans="1:5" x14ac:dyDescent="0.3">
      <c r="A1740" t="s">
        <v>1441</v>
      </c>
      <c r="B1740" t="s">
        <v>7976</v>
      </c>
      <c r="C1740" t="s">
        <v>6517</v>
      </c>
      <c r="D1740" t="s">
        <v>6517</v>
      </c>
      <c r="E1740" t="s">
        <v>6517</v>
      </c>
    </row>
    <row r="1741" spans="1:5" x14ac:dyDescent="0.3">
      <c r="A1741" t="s">
        <v>1441</v>
      </c>
      <c r="B1741" t="s">
        <v>7975</v>
      </c>
      <c r="C1741" t="s">
        <v>6517</v>
      </c>
      <c r="D1741" t="s">
        <v>6517</v>
      </c>
      <c r="E1741" t="s">
        <v>6517</v>
      </c>
    </row>
    <row r="1742" spans="1:5" x14ac:dyDescent="0.3">
      <c r="A1742" t="s">
        <v>1441</v>
      </c>
      <c r="B1742" t="s">
        <v>7974</v>
      </c>
      <c r="C1742" t="s">
        <v>6517</v>
      </c>
      <c r="D1742" t="s">
        <v>6517</v>
      </c>
      <c r="E1742" t="s">
        <v>6517</v>
      </c>
    </row>
    <row r="1743" spans="1:5" x14ac:dyDescent="0.3">
      <c r="A1743" t="s">
        <v>1442</v>
      </c>
      <c r="B1743" t="s">
        <v>7973</v>
      </c>
      <c r="C1743" t="s">
        <v>7973</v>
      </c>
      <c r="D1743" t="s">
        <v>7972</v>
      </c>
      <c r="E1743" t="s">
        <v>7971</v>
      </c>
    </row>
    <row r="1744" spans="1:5" x14ac:dyDescent="0.3">
      <c r="A1744" t="s">
        <v>1442</v>
      </c>
      <c r="B1744" t="s">
        <v>7970</v>
      </c>
      <c r="C1744" t="s">
        <v>6517</v>
      </c>
      <c r="D1744" t="s">
        <v>6517</v>
      </c>
      <c r="E1744" t="s">
        <v>6517</v>
      </c>
    </row>
    <row r="1745" spans="1:5" x14ac:dyDescent="0.3">
      <c r="A1745" t="s">
        <v>1442</v>
      </c>
      <c r="B1745" t="s">
        <v>7969</v>
      </c>
      <c r="C1745" t="s">
        <v>6517</v>
      </c>
      <c r="D1745" t="s">
        <v>6517</v>
      </c>
      <c r="E1745" t="s">
        <v>6517</v>
      </c>
    </row>
    <row r="1746" spans="1:5" x14ac:dyDescent="0.3">
      <c r="A1746" t="s">
        <v>1442</v>
      </c>
      <c r="B1746" t="s">
        <v>7968</v>
      </c>
      <c r="C1746" t="s">
        <v>6517</v>
      </c>
      <c r="D1746" t="s">
        <v>6517</v>
      </c>
      <c r="E1746" t="s">
        <v>6517</v>
      </c>
    </row>
    <row r="1747" spans="1:5" x14ac:dyDescent="0.3">
      <c r="A1747" t="s">
        <v>1442</v>
      </c>
      <c r="B1747" t="s">
        <v>7967</v>
      </c>
      <c r="C1747" t="s">
        <v>6517</v>
      </c>
      <c r="D1747" t="s">
        <v>6517</v>
      </c>
      <c r="E1747" t="s">
        <v>6517</v>
      </c>
    </row>
    <row r="1748" spans="1:5" x14ac:dyDescent="0.3">
      <c r="A1748" t="s">
        <v>1443</v>
      </c>
      <c r="B1748" t="s">
        <v>7966</v>
      </c>
      <c r="C1748" t="s">
        <v>7966</v>
      </c>
      <c r="D1748" t="s">
        <v>7965</v>
      </c>
      <c r="E1748" t="s">
        <v>7964</v>
      </c>
    </row>
    <row r="1749" spans="1:5" x14ac:dyDescent="0.3">
      <c r="A1749" t="s">
        <v>1443</v>
      </c>
      <c r="B1749" t="s">
        <v>7963</v>
      </c>
      <c r="C1749" t="s">
        <v>6517</v>
      </c>
      <c r="D1749" t="s">
        <v>6517</v>
      </c>
      <c r="E1749" t="s">
        <v>6517</v>
      </c>
    </row>
    <row r="1750" spans="1:5" x14ac:dyDescent="0.3">
      <c r="A1750" t="s">
        <v>1443</v>
      </c>
      <c r="B1750" t="s">
        <v>7962</v>
      </c>
      <c r="C1750" t="s">
        <v>6517</v>
      </c>
      <c r="D1750" t="s">
        <v>6517</v>
      </c>
      <c r="E1750" t="s">
        <v>6517</v>
      </c>
    </row>
    <row r="1751" spans="1:5" x14ac:dyDescent="0.3">
      <c r="A1751" t="s">
        <v>1443</v>
      </c>
      <c r="B1751" t="s">
        <v>7961</v>
      </c>
      <c r="C1751" t="s">
        <v>6517</v>
      </c>
      <c r="D1751" t="s">
        <v>6517</v>
      </c>
      <c r="E1751" t="s">
        <v>6517</v>
      </c>
    </row>
    <row r="1752" spans="1:5" x14ac:dyDescent="0.3">
      <c r="A1752" t="s">
        <v>1443</v>
      </c>
      <c r="B1752" t="s">
        <v>7960</v>
      </c>
      <c r="C1752" t="s">
        <v>6517</v>
      </c>
      <c r="D1752" t="s">
        <v>6517</v>
      </c>
      <c r="E1752" t="s">
        <v>6517</v>
      </c>
    </row>
    <row r="1753" spans="1:5" x14ac:dyDescent="0.3">
      <c r="A1753" t="s">
        <v>1444</v>
      </c>
      <c r="B1753" t="s">
        <v>7959</v>
      </c>
      <c r="C1753" t="s">
        <v>7959</v>
      </c>
      <c r="D1753" t="s">
        <v>7958</v>
      </c>
      <c r="E1753" t="s">
        <v>7957</v>
      </c>
    </row>
    <row r="1754" spans="1:5" x14ac:dyDescent="0.3">
      <c r="A1754" t="s">
        <v>1444</v>
      </c>
      <c r="B1754" t="s">
        <v>7956</v>
      </c>
      <c r="C1754" t="s">
        <v>6517</v>
      </c>
      <c r="D1754" t="s">
        <v>6517</v>
      </c>
      <c r="E1754" t="s">
        <v>6517</v>
      </c>
    </row>
    <row r="1755" spans="1:5" x14ac:dyDescent="0.3">
      <c r="A1755" t="s">
        <v>1444</v>
      </c>
      <c r="B1755" t="s">
        <v>7955</v>
      </c>
      <c r="C1755" t="s">
        <v>6517</v>
      </c>
      <c r="D1755" t="s">
        <v>6517</v>
      </c>
      <c r="E1755" t="s">
        <v>6517</v>
      </c>
    </row>
    <row r="1756" spans="1:5" x14ac:dyDescent="0.3">
      <c r="A1756" t="s">
        <v>1444</v>
      </c>
      <c r="B1756" t="s">
        <v>7954</v>
      </c>
      <c r="C1756" t="s">
        <v>6517</v>
      </c>
      <c r="D1756" t="s">
        <v>6517</v>
      </c>
      <c r="E1756" t="s">
        <v>6517</v>
      </c>
    </row>
    <row r="1757" spans="1:5" x14ac:dyDescent="0.3">
      <c r="A1757" t="s">
        <v>1444</v>
      </c>
      <c r="B1757" t="s">
        <v>7953</v>
      </c>
      <c r="C1757" t="s">
        <v>6517</v>
      </c>
      <c r="D1757" t="s">
        <v>6517</v>
      </c>
      <c r="E1757" t="s">
        <v>6517</v>
      </c>
    </row>
    <row r="1758" spans="1:5" x14ac:dyDescent="0.3">
      <c r="A1758" t="s">
        <v>1445</v>
      </c>
      <c r="B1758" t="s">
        <v>7952</v>
      </c>
      <c r="C1758" t="s">
        <v>6517</v>
      </c>
      <c r="D1758" t="s">
        <v>6517</v>
      </c>
      <c r="E1758" t="s">
        <v>6517</v>
      </c>
    </row>
    <row r="1759" spans="1:5" x14ac:dyDescent="0.3">
      <c r="A1759" t="s">
        <v>1445</v>
      </c>
      <c r="B1759" t="s">
        <v>7951</v>
      </c>
      <c r="C1759" t="s">
        <v>7951</v>
      </c>
      <c r="D1759" t="s">
        <v>7950</v>
      </c>
      <c r="E1759" t="s">
        <v>7949</v>
      </c>
    </row>
    <row r="1760" spans="1:5" x14ac:dyDescent="0.3">
      <c r="A1760" t="s">
        <v>1445</v>
      </c>
      <c r="B1760" t="s">
        <v>7948</v>
      </c>
      <c r="C1760" t="s">
        <v>6517</v>
      </c>
      <c r="D1760" t="s">
        <v>6517</v>
      </c>
      <c r="E1760" t="s">
        <v>6517</v>
      </c>
    </row>
    <row r="1761" spans="1:5" x14ac:dyDescent="0.3">
      <c r="A1761" t="s">
        <v>1445</v>
      </c>
      <c r="B1761" t="s">
        <v>7947</v>
      </c>
      <c r="C1761" t="s">
        <v>6517</v>
      </c>
      <c r="D1761" t="s">
        <v>6517</v>
      </c>
      <c r="E1761" t="s">
        <v>6517</v>
      </c>
    </row>
    <row r="1762" spans="1:5" x14ac:dyDescent="0.3">
      <c r="A1762" t="s">
        <v>1445</v>
      </c>
      <c r="B1762" t="s">
        <v>7946</v>
      </c>
      <c r="C1762" t="s">
        <v>6517</v>
      </c>
      <c r="D1762" t="s">
        <v>6517</v>
      </c>
      <c r="E1762" t="s">
        <v>6517</v>
      </c>
    </row>
    <row r="1763" spans="1:5" x14ac:dyDescent="0.3">
      <c r="A1763" t="s">
        <v>1446</v>
      </c>
      <c r="B1763" t="s">
        <v>7945</v>
      </c>
      <c r="C1763" t="s">
        <v>7945</v>
      </c>
      <c r="D1763" t="s">
        <v>7944</v>
      </c>
      <c r="E1763" t="s">
        <v>7943</v>
      </c>
    </row>
    <row r="1764" spans="1:5" x14ac:dyDescent="0.3">
      <c r="A1764" t="s">
        <v>1446</v>
      </c>
      <c r="B1764" t="s">
        <v>7942</v>
      </c>
      <c r="C1764" t="s">
        <v>6517</v>
      </c>
      <c r="D1764" t="s">
        <v>6517</v>
      </c>
      <c r="E1764" t="s">
        <v>6517</v>
      </c>
    </row>
    <row r="1765" spans="1:5" x14ac:dyDescent="0.3">
      <c r="A1765" t="s">
        <v>1446</v>
      </c>
      <c r="B1765" t="s">
        <v>7941</v>
      </c>
      <c r="C1765" t="s">
        <v>6517</v>
      </c>
      <c r="D1765" t="s">
        <v>6517</v>
      </c>
      <c r="E1765" t="s">
        <v>6517</v>
      </c>
    </row>
    <row r="1766" spans="1:5" x14ac:dyDescent="0.3">
      <c r="A1766" t="s">
        <v>1446</v>
      </c>
      <c r="B1766" t="s">
        <v>7940</v>
      </c>
      <c r="C1766" t="s">
        <v>6517</v>
      </c>
      <c r="D1766" t="s">
        <v>6517</v>
      </c>
      <c r="E1766" t="s">
        <v>6517</v>
      </c>
    </row>
    <row r="1767" spans="1:5" x14ac:dyDescent="0.3">
      <c r="A1767" t="s">
        <v>1446</v>
      </c>
      <c r="B1767" t="s">
        <v>7939</v>
      </c>
      <c r="C1767" t="s">
        <v>6517</v>
      </c>
      <c r="D1767" t="s">
        <v>6517</v>
      </c>
      <c r="E1767" t="s">
        <v>6517</v>
      </c>
    </row>
    <row r="1768" spans="1:5" x14ac:dyDescent="0.3">
      <c r="A1768" t="s">
        <v>1447</v>
      </c>
      <c r="B1768" t="s">
        <v>7938</v>
      </c>
      <c r="C1768" t="s">
        <v>7938</v>
      </c>
      <c r="D1768" t="s">
        <v>7937</v>
      </c>
      <c r="E1768" t="s">
        <v>7936</v>
      </c>
    </row>
    <row r="1769" spans="1:5" x14ac:dyDescent="0.3">
      <c r="A1769" t="s">
        <v>1447</v>
      </c>
      <c r="B1769" t="s">
        <v>7935</v>
      </c>
      <c r="C1769" t="s">
        <v>6517</v>
      </c>
      <c r="D1769" t="s">
        <v>6517</v>
      </c>
      <c r="E1769" t="s">
        <v>6517</v>
      </c>
    </row>
    <row r="1770" spans="1:5" x14ac:dyDescent="0.3">
      <c r="A1770" t="s">
        <v>1447</v>
      </c>
      <c r="B1770" t="s">
        <v>7934</v>
      </c>
      <c r="C1770" t="s">
        <v>6517</v>
      </c>
      <c r="D1770" t="s">
        <v>6517</v>
      </c>
      <c r="E1770" t="s">
        <v>6517</v>
      </c>
    </row>
    <row r="1771" spans="1:5" x14ac:dyDescent="0.3">
      <c r="A1771" t="s">
        <v>1447</v>
      </c>
      <c r="B1771" t="s">
        <v>7933</v>
      </c>
      <c r="C1771" t="s">
        <v>6517</v>
      </c>
      <c r="D1771" t="s">
        <v>6517</v>
      </c>
      <c r="E1771" t="s">
        <v>6517</v>
      </c>
    </row>
    <row r="1772" spans="1:5" x14ac:dyDescent="0.3">
      <c r="A1772" t="s">
        <v>1447</v>
      </c>
      <c r="B1772" t="s">
        <v>7932</v>
      </c>
      <c r="C1772" t="s">
        <v>6517</v>
      </c>
      <c r="D1772" t="s">
        <v>6517</v>
      </c>
      <c r="E1772" t="s">
        <v>6517</v>
      </c>
    </row>
    <row r="1773" spans="1:5" x14ac:dyDescent="0.3">
      <c r="A1773" t="s">
        <v>1448</v>
      </c>
      <c r="B1773" t="s">
        <v>7931</v>
      </c>
      <c r="C1773" t="s">
        <v>6517</v>
      </c>
      <c r="D1773" t="s">
        <v>6517</v>
      </c>
      <c r="E1773" t="s">
        <v>6517</v>
      </c>
    </row>
    <row r="1774" spans="1:5" x14ac:dyDescent="0.3">
      <c r="A1774" t="s">
        <v>1448</v>
      </c>
      <c r="B1774" t="s">
        <v>7930</v>
      </c>
      <c r="C1774" t="s">
        <v>6517</v>
      </c>
      <c r="D1774" t="s">
        <v>6517</v>
      </c>
      <c r="E1774" t="s">
        <v>6517</v>
      </c>
    </row>
    <row r="1775" spans="1:5" x14ac:dyDescent="0.3">
      <c r="A1775" t="s">
        <v>1448</v>
      </c>
      <c r="B1775" t="s">
        <v>7929</v>
      </c>
      <c r="C1775" t="s">
        <v>6517</v>
      </c>
      <c r="D1775" t="s">
        <v>6517</v>
      </c>
      <c r="E1775" t="s">
        <v>6517</v>
      </c>
    </row>
    <row r="1776" spans="1:5" x14ac:dyDescent="0.3">
      <c r="A1776" t="s">
        <v>1448</v>
      </c>
      <c r="B1776" t="s">
        <v>7928</v>
      </c>
      <c r="C1776" t="s">
        <v>7928</v>
      </c>
      <c r="D1776" t="s">
        <v>7927</v>
      </c>
      <c r="E1776" t="s">
        <v>7926</v>
      </c>
    </row>
    <row r="1777" spans="1:5" x14ac:dyDescent="0.3">
      <c r="A1777" t="s">
        <v>1448</v>
      </c>
      <c r="B1777" t="s">
        <v>7925</v>
      </c>
      <c r="C1777" t="s">
        <v>6517</v>
      </c>
      <c r="D1777" t="s">
        <v>6517</v>
      </c>
      <c r="E1777" t="s">
        <v>6517</v>
      </c>
    </row>
    <row r="1778" spans="1:5" x14ac:dyDescent="0.3">
      <c r="A1778" t="s">
        <v>1449</v>
      </c>
      <c r="B1778" t="s">
        <v>7924</v>
      </c>
      <c r="C1778" t="s">
        <v>7924</v>
      </c>
      <c r="D1778" t="s">
        <v>7923</v>
      </c>
      <c r="E1778" t="s">
        <v>7922</v>
      </c>
    </row>
    <row r="1779" spans="1:5" x14ac:dyDescent="0.3">
      <c r="A1779" t="s">
        <v>1449</v>
      </c>
      <c r="B1779" t="s">
        <v>7921</v>
      </c>
      <c r="C1779" t="s">
        <v>6517</v>
      </c>
      <c r="D1779" t="s">
        <v>6517</v>
      </c>
      <c r="E1779" t="s">
        <v>6517</v>
      </c>
    </row>
    <row r="1780" spans="1:5" x14ac:dyDescent="0.3">
      <c r="A1780" t="s">
        <v>1449</v>
      </c>
      <c r="B1780" t="s">
        <v>7920</v>
      </c>
      <c r="C1780" t="s">
        <v>6517</v>
      </c>
      <c r="D1780" t="s">
        <v>6517</v>
      </c>
      <c r="E1780" t="s">
        <v>6517</v>
      </c>
    </row>
    <row r="1781" spans="1:5" x14ac:dyDescent="0.3">
      <c r="A1781" t="s">
        <v>1449</v>
      </c>
      <c r="B1781" t="s">
        <v>7919</v>
      </c>
      <c r="C1781" t="s">
        <v>6517</v>
      </c>
      <c r="D1781" t="s">
        <v>6517</v>
      </c>
      <c r="E1781" t="s">
        <v>6517</v>
      </c>
    </row>
    <row r="1782" spans="1:5" x14ac:dyDescent="0.3">
      <c r="A1782" t="s">
        <v>1449</v>
      </c>
      <c r="B1782" t="s">
        <v>7918</v>
      </c>
      <c r="C1782" t="s">
        <v>6517</v>
      </c>
      <c r="D1782" t="s">
        <v>6517</v>
      </c>
      <c r="E1782" t="s">
        <v>6517</v>
      </c>
    </row>
    <row r="1783" spans="1:5" x14ac:dyDescent="0.3">
      <c r="A1783" t="s">
        <v>1450</v>
      </c>
      <c r="B1783" t="s">
        <v>7917</v>
      </c>
      <c r="C1783" t="s">
        <v>7917</v>
      </c>
      <c r="D1783" t="s">
        <v>7916</v>
      </c>
      <c r="E1783" t="s">
        <v>7915</v>
      </c>
    </row>
    <row r="1784" spans="1:5" x14ac:dyDescent="0.3">
      <c r="A1784" t="s">
        <v>1450</v>
      </c>
      <c r="B1784" t="s">
        <v>7914</v>
      </c>
      <c r="C1784" t="s">
        <v>6517</v>
      </c>
      <c r="D1784" t="s">
        <v>6517</v>
      </c>
      <c r="E1784" t="s">
        <v>6517</v>
      </c>
    </row>
    <row r="1785" spans="1:5" x14ac:dyDescent="0.3">
      <c r="A1785" t="s">
        <v>1450</v>
      </c>
      <c r="B1785" t="s">
        <v>7913</v>
      </c>
      <c r="C1785" t="s">
        <v>6517</v>
      </c>
      <c r="D1785" t="s">
        <v>6517</v>
      </c>
      <c r="E1785" t="s">
        <v>6517</v>
      </c>
    </row>
    <row r="1786" spans="1:5" x14ac:dyDescent="0.3">
      <c r="A1786" t="s">
        <v>1450</v>
      </c>
      <c r="B1786" t="s">
        <v>7912</v>
      </c>
      <c r="C1786" t="s">
        <v>6517</v>
      </c>
      <c r="D1786" t="s">
        <v>6517</v>
      </c>
      <c r="E1786" t="s">
        <v>6517</v>
      </c>
    </row>
    <row r="1787" spans="1:5" x14ac:dyDescent="0.3">
      <c r="A1787" t="s">
        <v>1450</v>
      </c>
      <c r="B1787" t="s">
        <v>7911</v>
      </c>
      <c r="C1787" t="s">
        <v>6517</v>
      </c>
      <c r="D1787" t="s">
        <v>6517</v>
      </c>
      <c r="E1787" t="s">
        <v>6517</v>
      </c>
    </row>
    <row r="1788" spans="1:5" x14ac:dyDescent="0.3">
      <c r="A1788" t="s">
        <v>1451</v>
      </c>
      <c r="B1788" t="s">
        <v>7910</v>
      </c>
      <c r="C1788" t="s">
        <v>7910</v>
      </c>
      <c r="D1788" t="s">
        <v>7909</v>
      </c>
      <c r="E1788" t="s">
        <v>7908</v>
      </c>
    </row>
    <row r="1789" spans="1:5" x14ac:dyDescent="0.3">
      <c r="A1789" t="s">
        <v>1451</v>
      </c>
      <c r="B1789" t="s">
        <v>7907</v>
      </c>
      <c r="C1789" t="s">
        <v>6517</v>
      </c>
      <c r="D1789" t="s">
        <v>6517</v>
      </c>
      <c r="E1789" t="s">
        <v>6517</v>
      </c>
    </row>
    <row r="1790" spans="1:5" x14ac:dyDescent="0.3">
      <c r="A1790" t="s">
        <v>1451</v>
      </c>
      <c r="B1790" t="s">
        <v>7906</v>
      </c>
      <c r="C1790" t="s">
        <v>6517</v>
      </c>
      <c r="D1790" t="s">
        <v>6517</v>
      </c>
      <c r="E1790" t="s">
        <v>6517</v>
      </c>
    </row>
    <row r="1791" spans="1:5" x14ac:dyDescent="0.3">
      <c r="A1791" t="s">
        <v>1451</v>
      </c>
      <c r="B1791" t="s">
        <v>7905</v>
      </c>
      <c r="C1791" t="s">
        <v>6517</v>
      </c>
      <c r="D1791" t="s">
        <v>6517</v>
      </c>
      <c r="E1791" t="s">
        <v>6517</v>
      </c>
    </row>
    <row r="1792" spans="1:5" x14ac:dyDescent="0.3">
      <c r="A1792" t="s">
        <v>1451</v>
      </c>
      <c r="B1792" t="s">
        <v>7904</v>
      </c>
      <c r="C1792" t="s">
        <v>6517</v>
      </c>
      <c r="D1792" t="s">
        <v>6517</v>
      </c>
      <c r="E1792" t="s">
        <v>6517</v>
      </c>
    </row>
    <row r="1793" spans="1:5" x14ac:dyDescent="0.3">
      <c r="A1793" t="s">
        <v>1452</v>
      </c>
      <c r="B1793" t="s">
        <v>7903</v>
      </c>
      <c r="C1793" t="s">
        <v>7903</v>
      </c>
      <c r="D1793" t="s">
        <v>7902</v>
      </c>
      <c r="E1793" t="s">
        <v>7901</v>
      </c>
    </row>
    <row r="1794" spans="1:5" x14ac:dyDescent="0.3">
      <c r="A1794" t="s">
        <v>1452</v>
      </c>
      <c r="B1794" t="s">
        <v>7900</v>
      </c>
      <c r="C1794" t="s">
        <v>6517</v>
      </c>
      <c r="D1794" t="s">
        <v>6517</v>
      </c>
      <c r="E1794" t="s">
        <v>6517</v>
      </c>
    </row>
    <row r="1795" spans="1:5" x14ac:dyDescent="0.3">
      <c r="A1795" t="s">
        <v>1452</v>
      </c>
      <c r="B1795" t="s">
        <v>7899</v>
      </c>
      <c r="C1795" t="s">
        <v>6517</v>
      </c>
      <c r="D1795" t="s">
        <v>6517</v>
      </c>
      <c r="E1795" t="s">
        <v>6517</v>
      </c>
    </row>
    <row r="1796" spans="1:5" x14ac:dyDescent="0.3">
      <c r="A1796" t="s">
        <v>1452</v>
      </c>
      <c r="B1796" t="s">
        <v>7898</v>
      </c>
      <c r="C1796" t="s">
        <v>6517</v>
      </c>
      <c r="D1796" t="s">
        <v>6517</v>
      </c>
      <c r="E1796" t="s">
        <v>6517</v>
      </c>
    </row>
    <row r="1797" spans="1:5" x14ac:dyDescent="0.3">
      <c r="A1797" t="s">
        <v>1452</v>
      </c>
      <c r="B1797" t="s">
        <v>7897</v>
      </c>
      <c r="C1797" t="s">
        <v>6517</v>
      </c>
      <c r="D1797" t="s">
        <v>6517</v>
      </c>
      <c r="E1797" t="s">
        <v>6517</v>
      </c>
    </row>
    <row r="1798" spans="1:5" x14ac:dyDescent="0.3">
      <c r="A1798" t="s">
        <v>1453</v>
      </c>
      <c r="B1798" t="s">
        <v>7896</v>
      </c>
      <c r="C1798" t="s">
        <v>7896</v>
      </c>
      <c r="D1798" t="s">
        <v>7895</v>
      </c>
      <c r="E1798" t="s">
        <v>7894</v>
      </c>
    </row>
    <row r="1799" spans="1:5" x14ac:dyDescent="0.3">
      <c r="A1799" t="s">
        <v>1453</v>
      </c>
      <c r="B1799" t="s">
        <v>7893</v>
      </c>
      <c r="C1799" t="s">
        <v>6517</v>
      </c>
      <c r="D1799" t="s">
        <v>6517</v>
      </c>
      <c r="E1799" t="s">
        <v>6517</v>
      </c>
    </row>
    <row r="1800" spans="1:5" x14ac:dyDescent="0.3">
      <c r="A1800" t="s">
        <v>1453</v>
      </c>
      <c r="B1800" t="s">
        <v>7892</v>
      </c>
      <c r="C1800" t="s">
        <v>6517</v>
      </c>
      <c r="D1800" t="s">
        <v>6517</v>
      </c>
      <c r="E1800" t="s">
        <v>6517</v>
      </c>
    </row>
    <row r="1801" spans="1:5" x14ac:dyDescent="0.3">
      <c r="A1801" t="s">
        <v>1453</v>
      </c>
      <c r="B1801" t="s">
        <v>7891</v>
      </c>
      <c r="C1801" t="s">
        <v>6517</v>
      </c>
      <c r="D1801" t="s">
        <v>6517</v>
      </c>
      <c r="E1801" t="s">
        <v>6517</v>
      </c>
    </row>
    <row r="1802" spans="1:5" x14ac:dyDescent="0.3">
      <c r="A1802" t="s">
        <v>1453</v>
      </c>
      <c r="B1802" t="s">
        <v>7890</v>
      </c>
      <c r="C1802" t="s">
        <v>6517</v>
      </c>
      <c r="D1802" t="s">
        <v>6517</v>
      </c>
      <c r="E1802" t="s">
        <v>6517</v>
      </c>
    </row>
    <row r="1803" spans="1:5" x14ac:dyDescent="0.3">
      <c r="A1803" t="s">
        <v>1454</v>
      </c>
      <c r="B1803" t="s">
        <v>7889</v>
      </c>
      <c r="C1803" t="s">
        <v>7889</v>
      </c>
      <c r="D1803" t="s">
        <v>7888</v>
      </c>
      <c r="E1803" t="s">
        <v>7887</v>
      </c>
    </row>
    <row r="1804" spans="1:5" x14ac:dyDescent="0.3">
      <c r="A1804" t="s">
        <v>1454</v>
      </c>
      <c r="B1804" t="s">
        <v>7886</v>
      </c>
      <c r="C1804" t="s">
        <v>6517</v>
      </c>
      <c r="D1804" t="s">
        <v>6517</v>
      </c>
      <c r="E1804" t="s">
        <v>6517</v>
      </c>
    </row>
    <row r="1805" spans="1:5" x14ac:dyDescent="0.3">
      <c r="A1805" t="s">
        <v>1454</v>
      </c>
      <c r="B1805" t="s">
        <v>7885</v>
      </c>
      <c r="C1805" t="s">
        <v>6517</v>
      </c>
      <c r="D1805" t="s">
        <v>6517</v>
      </c>
      <c r="E1805" t="s">
        <v>6517</v>
      </c>
    </row>
    <row r="1806" spans="1:5" x14ac:dyDescent="0.3">
      <c r="A1806" t="s">
        <v>1454</v>
      </c>
      <c r="B1806" t="s">
        <v>7884</v>
      </c>
      <c r="C1806" t="s">
        <v>6517</v>
      </c>
      <c r="D1806" t="s">
        <v>6517</v>
      </c>
      <c r="E1806" t="s">
        <v>6517</v>
      </c>
    </row>
    <row r="1807" spans="1:5" x14ac:dyDescent="0.3">
      <c r="A1807" t="s">
        <v>1454</v>
      </c>
      <c r="B1807" t="s">
        <v>7883</v>
      </c>
      <c r="C1807" t="s">
        <v>6517</v>
      </c>
      <c r="D1807" t="s">
        <v>6517</v>
      </c>
      <c r="E1807" t="s">
        <v>6517</v>
      </c>
    </row>
    <row r="1808" spans="1:5" x14ac:dyDescent="0.3">
      <c r="A1808" t="s">
        <v>1455</v>
      </c>
      <c r="B1808" t="s">
        <v>7882</v>
      </c>
      <c r="C1808" t="s">
        <v>7882</v>
      </c>
      <c r="D1808" t="s">
        <v>7881</v>
      </c>
      <c r="E1808" t="s">
        <v>7880</v>
      </c>
    </row>
    <row r="1809" spans="1:5" x14ac:dyDescent="0.3">
      <c r="A1809" t="s">
        <v>1455</v>
      </c>
      <c r="B1809" t="s">
        <v>7879</v>
      </c>
      <c r="C1809" t="s">
        <v>6517</v>
      </c>
      <c r="D1809" t="s">
        <v>6517</v>
      </c>
      <c r="E1809" t="s">
        <v>6517</v>
      </c>
    </row>
    <row r="1810" spans="1:5" x14ac:dyDescent="0.3">
      <c r="A1810" t="s">
        <v>1455</v>
      </c>
      <c r="B1810" t="s">
        <v>7878</v>
      </c>
      <c r="C1810" t="s">
        <v>6517</v>
      </c>
      <c r="D1810" t="s">
        <v>6517</v>
      </c>
      <c r="E1810" t="s">
        <v>6517</v>
      </c>
    </row>
    <row r="1811" spans="1:5" x14ac:dyDescent="0.3">
      <c r="A1811" t="s">
        <v>1455</v>
      </c>
      <c r="B1811" t="s">
        <v>7877</v>
      </c>
      <c r="C1811" t="s">
        <v>6517</v>
      </c>
      <c r="D1811" t="s">
        <v>6517</v>
      </c>
      <c r="E1811" t="s">
        <v>6517</v>
      </c>
    </row>
    <row r="1812" spans="1:5" x14ac:dyDescent="0.3">
      <c r="A1812" t="s">
        <v>1455</v>
      </c>
      <c r="B1812" t="s">
        <v>7876</v>
      </c>
      <c r="C1812" t="s">
        <v>6517</v>
      </c>
      <c r="D1812" t="s">
        <v>6517</v>
      </c>
      <c r="E1812" t="s">
        <v>6517</v>
      </c>
    </row>
    <row r="1813" spans="1:5" x14ac:dyDescent="0.3">
      <c r="A1813" t="s">
        <v>1456</v>
      </c>
      <c r="B1813" t="s">
        <v>7875</v>
      </c>
      <c r="C1813" t="s">
        <v>7875</v>
      </c>
      <c r="D1813" t="s">
        <v>7874</v>
      </c>
      <c r="E1813" t="s">
        <v>7873</v>
      </c>
    </row>
    <row r="1814" spans="1:5" x14ac:dyDescent="0.3">
      <c r="A1814" t="s">
        <v>1456</v>
      </c>
      <c r="B1814" t="s">
        <v>7872</v>
      </c>
      <c r="C1814" t="s">
        <v>6517</v>
      </c>
      <c r="D1814" t="s">
        <v>6517</v>
      </c>
      <c r="E1814" t="s">
        <v>6517</v>
      </c>
    </row>
    <row r="1815" spans="1:5" x14ac:dyDescent="0.3">
      <c r="A1815" t="s">
        <v>1456</v>
      </c>
      <c r="B1815" t="s">
        <v>7871</v>
      </c>
      <c r="C1815" t="s">
        <v>6517</v>
      </c>
      <c r="D1815" t="s">
        <v>6517</v>
      </c>
      <c r="E1815" t="s">
        <v>6517</v>
      </c>
    </row>
    <row r="1816" spans="1:5" x14ac:dyDescent="0.3">
      <c r="A1816" t="s">
        <v>1456</v>
      </c>
      <c r="B1816" t="s">
        <v>7870</v>
      </c>
      <c r="C1816" t="s">
        <v>6517</v>
      </c>
      <c r="D1816" t="s">
        <v>6517</v>
      </c>
      <c r="E1816" t="s">
        <v>6517</v>
      </c>
    </row>
    <row r="1817" spans="1:5" x14ac:dyDescent="0.3">
      <c r="A1817" t="s">
        <v>1456</v>
      </c>
      <c r="B1817" t="s">
        <v>7869</v>
      </c>
      <c r="C1817" t="s">
        <v>6517</v>
      </c>
      <c r="D1817" t="s">
        <v>6517</v>
      </c>
      <c r="E1817" t="s">
        <v>6517</v>
      </c>
    </row>
    <row r="1818" spans="1:5" x14ac:dyDescent="0.3">
      <c r="A1818" t="s">
        <v>1457</v>
      </c>
      <c r="B1818" t="s">
        <v>7868</v>
      </c>
      <c r="C1818" t="s">
        <v>7868</v>
      </c>
      <c r="D1818" t="s">
        <v>7867</v>
      </c>
      <c r="E1818" t="s">
        <v>7866</v>
      </c>
    </row>
    <row r="1819" spans="1:5" x14ac:dyDescent="0.3">
      <c r="A1819" t="s">
        <v>1457</v>
      </c>
      <c r="B1819" t="s">
        <v>7865</v>
      </c>
      <c r="C1819" t="s">
        <v>6517</v>
      </c>
      <c r="D1819" t="s">
        <v>6517</v>
      </c>
      <c r="E1819" t="s">
        <v>6517</v>
      </c>
    </row>
    <row r="1820" spans="1:5" x14ac:dyDescent="0.3">
      <c r="A1820" t="s">
        <v>1457</v>
      </c>
      <c r="B1820" t="s">
        <v>7864</v>
      </c>
      <c r="C1820" t="s">
        <v>6517</v>
      </c>
      <c r="D1820" t="s">
        <v>6517</v>
      </c>
      <c r="E1820" t="s">
        <v>6517</v>
      </c>
    </row>
    <row r="1821" spans="1:5" x14ac:dyDescent="0.3">
      <c r="A1821" t="s">
        <v>1457</v>
      </c>
      <c r="B1821" t="s">
        <v>7863</v>
      </c>
      <c r="C1821" t="s">
        <v>6517</v>
      </c>
      <c r="D1821" t="s">
        <v>6517</v>
      </c>
      <c r="E1821" t="s">
        <v>6517</v>
      </c>
    </row>
    <row r="1822" spans="1:5" x14ac:dyDescent="0.3">
      <c r="A1822" t="s">
        <v>1457</v>
      </c>
      <c r="B1822" t="s">
        <v>7862</v>
      </c>
      <c r="C1822" t="s">
        <v>6517</v>
      </c>
      <c r="D1822" t="s">
        <v>6517</v>
      </c>
      <c r="E1822" t="s">
        <v>6517</v>
      </c>
    </row>
    <row r="1823" spans="1:5" x14ac:dyDescent="0.3">
      <c r="A1823" t="s">
        <v>1458</v>
      </c>
      <c r="B1823" t="s">
        <v>7861</v>
      </c>
      <c r="C1823" t="s">
        <v>7861</v>
      </c>
      <c r="D1823" t="s">
        <v>7860</v>
      </c>
      <c r="E1823" t="s">
        <v>7859</v>
      </c>
    </row>
    <row r="1824" spans="1:5" x14ac:dyDescent="0.3">
      <c r="A1824" t="s">
        <v>1458</v>
      </c>
      <c r="B1824" t="s">
        <v>7858</v>
      </c>
      <c r="C1824" t="s">
        <v>6517</v>
      </c>
      <c r="D1824" t="s">
        <v>6517</v>
      </c>
      <c r="E1824" t="s">
        <v>6517</v>
      </c>
    </row>
    <row r="1825" spans="1:5" x14ac:dyDescent="0.3">
      <c r="A1825" t="s">
        <v>1458</v>
      </c>
      <c r="B1825" t="s">
        <v>7857</v>
      </c>
      <c r="C1825" t="s">
        <v>6517</v>
      </c>
      <c r="D1825" t="s">
        <v>6517</v>
      </c>
      <c r="E1825" t="s">
        <v>6517</v>
      </c>
    </row>
    <row r="1826" spans="1:5" x14ac:dyDescent="0.3">
      <c r="A1826" t="s">
        <v>1458</v>
      </c>
      <c r="B1826" t="s">
        <v>7856</v>
      </c>
      <c r="C1826" t="s">
        <v>6517</v>
      </c>
      <c r="D1826" t="s">
        <v>6517</v>
      </c>
      <c r="E1826" t="s">
        <v>6517</v>
      </c>
    </row>
    <row r="1827" spans="1:5" x14ac:dyDescent="0.3">
      <c r="A1827" t="s">
        <v>1458</v>
      </c>
      <c r="B1827" t="s">
        <v>7855</v>
      </c>
      <c r="C1827" t="s">
        <v>6517</v>
      </c>
      <c r="D1827" t="s">
        <v>6517</v>
      </c>
      <c r="E1827" t="s">
        <v>6517</v>
      </c>
    </row>
    <row r="1828" spans="1:5" x14ac:dyDescent="0.3">
      <c r="A1828" t="s">
        <v>1459</v>
      </c>
      <c r="B1828" t="s">
        <v>7854</v>
      </c>
      <c r="C1828" t="s">
        <v>7854</v>
      </c>
      <c r="D1828" t="s">
        <v>7853</v>
      </c>
      <c r="E1828" t="s">
        <v>7852</v>
      </c>
    </row>
    <row r="1829" spans="1:5" x14ac:dyDescent="0.3">
      <c r="A1829" t="s">
        <v>1459</v>
      </c>
      <c r="B1829" t="s">
        <v>7851</v>
      </c>
      <c r="C1829" t="s">
        <v>6517</v>
      </c>
      <c r="D1829" t="s">
        <v>6517</v>
      </c>
      <c r="E1829" t="s">
        <v>6517</v>
      </c>
    </row>
    <row r="1830" spans="1:5" x14ac:dyDescent="0.3">
      <c r="A1830" t="s">
        <v>1459</v>
      </c>
      <c r="B1830" t="s">
        <v>7850</v>
      </c>
      <c r="C1830" t="s">
        <v>6517</v>
      </c>
      <c r="D1830" t="s">
        <v>6517</v>
      </c>
      <c r="E1830" t="s">
        <v>6517</v>
      </c>
    </row>
    <row r="1831" spans="1:5" x14ac:dyDescent="0.3">
      <c r="A1831" t="s">
        <v>1459</v>
      </c>
      <c r="B1831" t="s">
        <v>7849</v>
      </c>
      <c r="C1831" t="s">
        <v>6517</v>
      </c>
      <c r="D1831" t="s">
        <v>6517</v>
      </c>
      <c r="E1831" t="s">
        <v>6517</v>
      </c>
    </row>
    <row r="1832" spans="1:5" x14ac:dyDescent="0.3">
      <c r="A1832" t="s">
        <v>1459</v>
      </c>
      <c r="B1832" t="s">
        <v>7848</v>
      </c>
      <c r="C1832" t="s">
        <v>6517</v>
      </c>
      <c r="D1832" t="s">
        <v>6517</v>
      </c>
      <c r="E1832" t="s">
        <v>6517</v>
      </c>
    </row>
    <row r="1833" spans="1:5" x14ac:dyDescent="0.3">
      <c r="A1833" t="s">
        <v>1460</v>
      </c>
      <c r="B1833" t="s">
        <v>7847</v>
      </c>
      <c r="C1833" t="s">
        <v>7847</v>
      </c>
      <c r="D1833" t="s">
        <v>7846</v>
      </c>
      <c r="E1833" t="s">
        <v>7845</v>
      </c>
    </row>
    <row r="1834" spans="1:5" x14ac:dyDescent="0.3">
      <c r="A1834" t="s">
        <v>1460</v>
      </c>
      <c r="B1834" t="s">
        <v>7844</v>
      </c>
      <c r="C1834" t="s">
        <v>6517</v>
      </c>
      <c r="D1834" t="s">
        <v>6517</v>
      </c>
      <c r="E1834" t="s">
        <v>6517</v>
      </c>
    </row>
    <row r="1835" spans="1:5" x14ac:dyDescent="0.3">
      <c r="A1835" t="s">
        <v>1460</v>
      </c>
      <c r="B1835" t="s">
        <v>7843</v>
      </c>
      <c r="C1835" t="s">
        <v>6517</v>
      </c>
      <c r="D1835" t="s">
        <v>6517</v>
      </c>
      <c r="E1835" t="s">
        <v>6517</v>
      </c>
    </row>
    <row r="1836" spans="1:5" x14ac:dyDescent="0.3">
      <c r="A1836" t="s">
        <v>1460</v>
      </c>
      <c r="B1836" t="s">
        <v>7842</v>
      </c>
      <c r="C1836" t="s">
        <v>6517</v>
      </c>
      <c r="D1836" t="s">
        <v>6517</v>
      </c>
      <c r="E1836" t="s">
        <v>6517</v>
      </c>
    </row>
    <row r="1837" spans="1:5" x14ac:dyDescent="0.3">
      <c r="A1837" t="s">
        <v>1460</v>
      </c>
      <c r="B1837" t="s">
        <v>7841</v>
      </c>
      <c r="C1837" t="s">
        <v>6517</v>
      </c>
      <c r="D1837" t="s">
        <v>6517</v>
      </c>
      <c r="E1837" t="s">
        <v>6517</v>
      </c>
    </row>
    <row r="1838" spans="1:5" x14ac:dyDescent="0.3">
      <c r="A1838" t="s">
        <v>1461</v>
      </c>
      <c r="B1838" t="s">
        <v>7840</v>
      </c>
      <c r="C1838" t="s">
        <v>7840</v>
      </c>
      <c r="D1838" t="s">
        <v>7839</v>
      </c>
      <c r="E1838" t="s">
        <v>7838</v>
      </c>
    </row>
    <row r="1839" spans="1:5" x14ac:dyDescent="0.3">
      <c r="A1839" t="s">
        <v>1461</v>
      </c>
      <c r="B1839" t="s">
        <v>7837</v>
      </c>
      <c r="C1839" t="s">
        <v>6517</v>
      </c>
      <c r="D1839" t="s">
        <v>6517</v>
      </c>
      <c r="E1839" t="s">
        <v>6517</v>
      </c>
    </row>
    <row r="1840" spans="1:5" x14ac:dyDescent="0.3">
      <c r="A1840" t="s">
        <v>1461</v>
      </c>
      <c r="B1840" t="s">
        <v>7836</v>
      </c>
      <c r="C1840" t="s">
        <v>6517</v>
      </c>
      <c r="D1840" t="s">
        <v>6517</v>
      </c>
      <c r="E1840" t="s">
        <v>6517</v>
      </c>
    </row>
    <row r="1841" spans="1:5" x14ac:dyDescent="0.3">
      <c r="A1841" t="s">
        <v>1461</v>
      </c>
      <c r="B1841" t="s">
        <v>7835</v>
      </c>
      <c r="C1841" t="s">
        <v>6517</v>
      </c>
      <c r="D1841" t="s">
        <v>6517</v>
      </c>
      <c r="E1841" t="s">
        <v>6517</v>
      </c>
    </row>
    <row r="1842" spans="1:5" x14ac:dyDescent="0.3">
      <c r="A1842" t="s">
        <v>1461</v>
      </c>
      <c r="B1842" t="s">
        <v>7834</v>
      </c>
      <c r="C1842" t="s">
        <v>6517</v>
      </c>
      <c r="D1842" t="s">
        <v>6517</v>
      </c>
      <c r="E1842" t="s">
        <v>6517</v>
      </c>
    </row>
    <row r="1843" spans="1:5" x14ac:dyDescent="0.3">
      <c r="A1843" t="s">
        <v>1462</v>
      </c>
      <c r="B1843" t="s">
        <v>7833</v>
      </c>
      <c r="C1843" t="s">
        <v>7833</v>
      </c>
      <c r="D1843" t="s">
        <v>7832</v>
      </c>
      <c r="E1843" t="s">
        <v>7831</v>
      </c>
    </row>
    <row r="1844" spans="1:5" x14ac:dyDescent="0.3">
      <c r="A1844" t="s">
        <v>1462</v>
      </c>
      <c r="B1844" t="s">
        <v>7830</v>
      </c>
      <c r="C1844" t="s">
        <v>6517</v>
      </c>
      <c r="D1844" t="s">
        <v>6517</v>
      </c>
      <c r="E1844" t="s">
        <v>6517</v>
      </c>
    </row>
    <row r="1845" spans="1:5" x14ac:dyDescent="0.3">
      <c r="A1845" t="s">
        <v>1462</v>
      </c>
      <c r="B1845" t="s">
        <v>7829</v>
      </c>
      <c r="C1845" t="s">
        <v>6517</v>
      </c>
      <c r="D1845" t="s">
        <v>6517</v>
      </c>
      <c r="E1845" t="s">
        <v>6517</v>
      </c>
    </row>
    <row r="1846" spans="1:5" x14ac:dyDescent="0.3">
      <c r="A1846" t="s">
        <v>1462</v>
      </c>
      <c r="B1846" t="s">
        <v>7828</v>
      </c>
      <c r="C1846" t="s">
        <v>6517</v>
      </c>
      <c r="D1846" t="s">
        <v>6517</v>
      </c>
      <c r="E1846" t="s">
        <v>6517</v>
      </c>
    </row>
    <row r="1847" spans="1:5" x14ac:dyDescent="0.3">
      <c r="A1847" t="s">
        <v>1462</v>
      </c>
      <c r="B1847" t="s">
        <v>7827</v>
      </c>
      <c r="C1847" t="s">
        <v>6517</v>
      </c>
      <c r="D1847" t="s">
        <v>6517</v>
      </c>
      <c r="E1847" t="s">
        <v>6517</v>
      </c>
    </row>
    <row r="1848" spans="1:5" x14ac:dyDescent="0.3">
      <c r="A1848" t="s">
        <v>1463</v>
      </c>
      <c r="B1848" t="s">
        <v>7826</v>
      </c>
      <c r="C1848" t="s">
        <v>7826</v>
      </c>
      <c r="D1848" t="s">
        <v>7825</v>
      </c>
      <c r="E1848" t="s">
        <v>7824</v>
      </c>
    </row>
    <row r="1849" spans="1:5" x14ac:dyDescent="0.3">
      <c r="A1849" t="s">
        <v>1463</v>
      </c>
      <c r="B1849" t="s">
        <v>7823</v>
      </c>
      <c r="C1849" t="s">
        <v>6517</v>
      </c>
      <c r="D1849" t="s">
        <v>6517</v>
      </c>
      <c r="E1849" t="s">
        <v>6517</v>
      </c>
    </row>
    <row r="1850" spans="1:5" x14ac:dyDescent="0.3">
      <c r="A1850" t="s">
        <v>1463</v>
      </c>
      <c r="B1850" t="s">
        <v>7822</v>
      </c>
      <c r="C1850" t="s">
        <v>6517</v>
      </c>
      <c r="D1850" t="s">
        <v>6517</v>
      </c>
      <c r="E1850" t="s">
        <v>6517</v>
      </c>
    </row>
    <row r="1851" spans="1:5" x14ac:dyDescent="0.3">
      <c r="A1851" t="s">
        <v>1463</v>
      </c>
      <c r="B1851" t="s">
        <v>7821</v>
      </c>
      <c r="C1851" t="s">
        <v>6517</v>
      </c>
      <c r="D1851" t="s">
        <v>6517</v>
      </c>
      <c r="E1851" t="s">
        <v>6517</v>
      </c>
    </row>
    <row r="1852" spans="1:5" x14ac:dyDescent="0.3">
      <c r="A1852" t="s">
        <v>1463</v>
      </c>
      <c r="B1852" t="s">
        <v>7820</v>
      </c>
      <c r="C1852" t="s">
        <v>6517</v>
      </c>
      <c r="D1852" t="s">
        <v>6517</v>
      </c>
      <c r="E1852" t="s">
        <v>6517</v>
      </c>
    </row>
    <row r="1853" spans="1:5" x14ac:dyDescent="0.3">
      <c r="A1853" t="s">
        <v>1464</v>
      </c>
      <c r="B1853" t="s">
        <v>7819</v>
      </c>
      <c r="C1853" t="s">
        <v>7819</v>
      </c>
      <c r="D1853" t="s">
        <v>7818</v>
      </c>
      <c r="E1853" t="s">
        <v>7817</v>
      </c>
    </row>
    <row r="1854" spans="1:5" x14ac:dyDescent="0.3">
      <c r="A1854" t="s">
        <v>1464</v>
      </c>
      <c r="B1854" t="s">
        <v>7816</v>
      </c>
      <c r="C1854" t="s">
        <v>6517</v>
      </c>
      <c r="D1854" t="s">
        <v>6517</v>
      </c>
      <c r="E1854" t="s">
        <v>6517</v>
      </c>
    </row>
    <row r="1855" spans="1:5" x14ac:dyDescent="0.3">
      <c r="A1855" t="s">
        <v>1464</v>
      </c>
      <c r="B1855" t="s">
        <v>7815</v>
      </c>
      <c r="C1855" t="s">
        <v>6517</v>
      </c>
      <c r="D1855" t="s">
        <v>6517</v>
      </c>
      <c r="E1855" t="s">
        <v>6517</v>
      </c>
    </row>
    <row r="1856" spans="1:5" x14ac:dyDescent="0.3">
      <c r="A1856" t="s">
        <v>1464</v>
      </c>
      <c r="B1856" t="s">
        <v>7814</v>
      </c>
      <c r="C1856" t="s">
        <v>6517</v>
      </c>
      <c r="D1856" t="s">
        <v>6517</v>
      </c>
      <c r="E1856" t="s">
        <v>6517</v>
      </c>
    </row>
    <row r="1857" spans="1:5" x14ac:dyDescent="0.3">
      <c r="A1857" t="s">
        <v>1464</v>
      </c>
      <c r="B1857" t="s">
        <v>7813</v>
      </c>
      <c r="C1857" t="s">
        <v>6517</v>
      </c>
      <c r="D1857" t="s">
        <v>6517</v>
      </c>
      <c r="E1857" t="s">
        <v>6517</v>
      </c>
    </row>
    <row r="1858" spans="1:5" x14ac:dyDescent="0.3">
      <c r="A1858" t="s">
        <v>1465</v>
      </c>
      <c r="B1858" t="s">
        <v>7812</v>
      </c>
      <c r="C1858" t="s">
        <v>7812</v>
      </c>
      <c r="D1858" t="s">
        <v>7811</v>
      </c>
      <c r="E1858" t="s">
        <v>7810</v>
      </c>
    </row>
    <row r="1859" spans="1:5" x14ac:dyDescent="0.3">
      <c r="A1859" t="s">
        <v>1465</v>
      </c>
      <c r="B1859" t="s">
        <v>7809</v>
      </c>
      <c r="C1859" t="s">
        <v>6517</v>
      </c>
      <c r="D1859" t="s">
        <v>6517</v>
      </c>
      <c r="E1859" t="s">
        <v>6517</v>
      </c>
    </row>
    <row r="1860" spans="1:5" x14ac:dyDescent="0.3">
      <c r="A1860" t="s">
        <v>1465</v>
      </c>
      <c r="B1860" t="s">
        <v>7808</v>
      </c>
      <c r="C1860" t="s">
        <v>6517</v>
      </c>
      <c r="D1860" t="s">
        <v>6517</v>
      </c>
      <c r="E1860" t="s">
        <v>6517</v>
      </c>
    </row>
    <row r="1861" spans="1:5" x14ac:dyDescent="0.3">
      <c r="A1861" t="s">
        <v>1465</v>
      </c>
      <c r="B1861" t="s">
        <v>7807</v>
      </c>
      <c r="C1861" t="s">
        <v>6517</v>
      </c>
      <c r="D1861" t="s">
        <v>6517</v>
      </c>
      <c r="E1861" t="s">
        <v>6517</v>
      </c>
    </row>
    <row r="1862" spans="1:5" x14ac:dyDescent="0.3">
      <c r="A1862" t="s">
        <v>1465</v>
      </c>
      <c r="B1862" t="s">
        <v>7806</v>
      </c>
      <c r="C1862" t="s">
        <v>6517</v>
      </c>
      <c r="D1862" t="s">
        <v>6517</v>
      </c>
      <c r="E1862" t="s">
        <v>6517</v>
      </c>
    </row>
    <row r="1863" spans="1:5" x14ac:dyDescent="0.3">
      <c r="A1863" t="s">
        <v>1466</v>
      </c>
      <c r="B1863" t="s">
        <v>7805</v>
      </c>
      <c r="C1863" t="s">
        <v>7805</v>
      </c>
      <c r="D1863" t="s">
        <v>7804</v>
      </c>
      <c r="E1863" t="s">
        <v>7803</v>
      </c>
    </row>
    <row r="1864" spans="1:5" x14ac:dyDescent="0.3">
      <c r="A1864" t="s">
        <v>1466</v>
      </c>
      <c r="B1864" t="s">
        <v>7802</v>
      </c>
      <c r="C1864" t="s">
        <v>6517</v>
      </c>
      <c r="D1864" t="s">
        <v>6517</v>
      </c>
      <c r="E1864" t="s">
        <v>6517</v>
      </c>
    </row>
    <row r="1865" spans="1:5" x14ac:dyDescent="0.3">
      <c r="A1865" t="s">
        <v>1466</v>
      </c>
      <c r="B1865" t="s">
        <v>7801</v>
      </c>
      <c r="C1865" t="s">
        <v>6517</v>
      </c>
      <c r="D1865" t="s">
        <v>6517</v>
      </c>
      <c r="E1865" t="s">
        <v>6517</v>
      </c>
    </row>
    <row r="1866" spans="1:5" x14ac:dyDescent="0.3">
      <c r="A1866" t="s">
        <v>1466</v>
      </c>
      <c r="B1866" t="s">
        <v>7800</v>
      </c>
      <c r="C1866" t="s">
        <v>6517</v>
      </c>
      <c r="D1866" t="s">
        <v>6517</v>
      </c>
      <c r="E1866" t="s">
        <v>6517</v>
      </c>
    </row>
    <row r="1867" spans="1:5" x14ac:dyDescent="0.3">
      <c r="A1867" t="s">
        <v>1466</v>
      </c>
      <c r="B1867" t="s">
        <v>7799</v>
      </c>
      <c r="C1867" t="s">
        <v>6517</v>
      </c>
      <c r="D1867" t="s">
        <v>6517</v>
      </c>
      <c r="E1867" t="s">
        <v>6517</v>
      </c>
    </row>
    <row r="1868" spans="1:5" x14ac:dyDescent="0.3">
      <c r="A1868" t="s">
        <v>1467</v>
      </c>
      <c r="B1868" t="s">
        <v>7798</v>
      </c>
      <c r="C1868" t="s">
        <v>7798</v>
      </c>
      <c r="D1868" t="s">
        <v>7797</v>
      </c>
      <c r="E1868" t="s">
        <v>7796</v>
      </c>
    </row>
    <row r="1869" spans="1:5" x14ac:dyDescent="0.3">
      <c r="A1869" t="s">
        <v>1467</v>
      </c>
      <c r="B1869" t="s">
        <v>7795</v>
      </c>
      <c r="C1869" t="s">
        <v>6517</v>
      </c>
      <c r="D1869" t="s">
        <v>6517</v>
      </c>
      <c r="E1869" t="s">
        <v>6517</v>
      </c>
    </row>
    <row r="1870" spans="1:5" x14ac:dyDescent="0.3">
      <c r="A1870" t="s">
        <v>1467</v>
      </c>
      <c r="B1870" t="s">
        <v>7794</v>
      </c>
      <c r="C1870" t="s">
        <v>6517</v>
      </c>
      <c r="D1870" t="s">
        <v>6517</v>
      </c>
      <c r="E1870" t="s">
        <v>6517</v>
      </c>
    </row>
    <row r="1871" spans="1:5" x14ac:dyDescent="0.3">
      <c r="A1871" t="s">
        <v>1467</v>
      </c>
      <c r="B1871" t="s">
        <v>7793</v>
      </c>
      <c r="C1871" t="s">
        <v>6517</v>
      </c>
      <c r="D1871" t="s">
        <v>6517</v>
      </c>
      <c r="E1871" t="s">
        <v>6517</v>
      </c>
    </row>
    <row r="1872" spans="1:5" x14ac:dyDescent="0.3">
      <c r="A1872" t="s">
        <v>1467</v>
      </c>
      <c r="B1872" t="s">
        <v>7792</v>
      </c>
      <c r="C1872" t="s">
        <v>6517</v>
      </c>
      <c r="D1872" t="s">
        <v>6517</v>
      </c>
      <c r="E1872" t="s">
        <v>6517</v>
      </c>
    </row>
    <row r="1873" spans="1:5" x14ac:dyDescent="0.3">
      <c r="A1873" t="s">
        <v>1468</v>
      </c>
      <c r="B1873" t="s">
        <v>7791</v>
      </c>
      <c r="C1873" t="s">
        <v>7791</v>
      </c>
      <c r="D1873" t="s">
        <v>7790</v>
      </c>
      <c r="E1873" t="s">
        <v>7789</v>
      </c>
    </row>
    <row r="1874" spans="1:5" x14ac:dyDescent="0.3">
      <c r="A1874" t="s">
        <v>1468</v>
      </c>
      <c r="B1874" t="s">
        <v>7788</v>
      </c>
      <c r="C1874" t="s">
        <v>6517</v>
      </c>
      <c r="D1874" t="s">
        <v>6517</v>
      </c>
      <c r="E1874" t="s">
        <v>6517</v>
      </c>
    </row>
    <row r="1875" spans="1:5" x14ac:dyDescent="0.3">
      <c r="A1875" t="s">
        <v>1468</v>
      </c>
      <c r="B1875" t="s">
        <v>7787</v>
      </c>
      <c r="C1875" t="s">
        <v>6517</v>
      </c>
      <c r="D1875" t="s">
        <v>6517</v>
      </c>
      <c r="E1875" t="s">
        <v>6517</v>
      </c>
    </row>
    <row r="1876" spans="1:5" x14ac:dyDescent="0.3">
      <c r="A1876" t="s">
        <v>1468</v>
      </c>
      <c r="B1876" t="s">
        <v>7786</v>
      </c>
      <c r="C1876" t="s">
        <v>6517</v>
      </c>
      <c r="D1876" t="s">
        <v>6517</v>
      </c>
      <c r="E1876" t="s">
        <v>6517</v>
      </c>
    </row>
    <row r="1877" spans="1:5" x14ac:dyDescent="0.3">
      <c r="A1877" t="s">
        <v>1468</v>
      </c>
      <c r="B1877" t="s">
        <v>7785</v>
      </c>
      <c r="C1877" t="s">
        <v>6517</v>
      </c>
      <c r="D1877" t="s">
        <v>6517</v>
      </c>
      <c r="E1877" t="s">
        <v>6517</v>
      </c>
    </row>
    <row r="1878" spans="1:5" x14ac:dyDescent="0.3">
      <c r="A1878" t="s">
        <v>1469</v>
      </c>
      <c r="B1878" t="s">
        <v>7784</v>
      </c>
      <c r="C1878" t="s">
        <v>7784</v>
      </c>
      <c r="D1878" t="s">
        <v>7783</v>
      </c>
      <c r="E1878" t="s">
        <v>7782</v>
      </c>
    </row>
    <row r="1879" spans="1:5" x14ac:dyDescent="0.3">
      <c r="A1879" t="s">
        <v>1469</v>
      </c>
      <c r="B1879" t="s">
        <v>7781</v>
      </c>
      <c r="C1879" t="s">
        <v>6517</v>
      </c>
      <c r="D1879" t="s">
        <v>6517</v>
      </c>
      <c r="E1879" t="s">
        <v>6517</v>
      </c>
    </row>
    <row r="1880" spans="1:5" x14ac:dyDescent="0.3">
      <c r="A1880" t="s">
        <v>1469</v>
      </c>
      <c r="B1880" t="s">
        <v>7780</v>
      </c>
      <c r="C1880" t="s">
        <v>6517</v>
      </c>
      <c r="D1880" t="s">
        <v>6517</v>
      </c>
      <c r="E1880" t="s">
        <v>6517</v>
      </c>
    </row>
    <row r="1881" spans="1:5" x14ac:dyDescent="0.3">
      <c r="A1881" t="s">
        <v>1469</v>
      </c>
      <c r="B1881" t="s">
        <v>7779</v>
      </c>
      <c r="C1881" t="s">
        <v>6517</v>
      </c>
      <c r="D1881" t="s">
        <v>6517</v>
      </c>
      <c r="E1881" t="s">
        <v>6517</v>
      </c>
    </row>
    <row r="1882" spans="1:5" x14ac:dyDescent="0.3">
      <c r="A1882" t="s">
        <v>1469</v>
      </c>
      <c r="B1882" t="s">
        <v>7778</v>
      </c>
      <c r="C1882" t="s">
        <v>6517</v>
      </c>
      <c r="D1882" t="s">
        <v>6517</v>
      </c>
      <c r="E1882" t="s">
        <v>6517</v>
      </c>
    </row>
    <row r="1883" spans="1:5" x14ac:dyDescent="0.3">
      <c r="A1883" t="s">
        <v>1470</v>
      </c>
      <c r="B1883" t="s">
        <v>7777</v>
      </c>
      <c r="C1883" t="s">
        <v>7777</v>
      </c>
      <c r="D1883" t="s">
        <v>7776</v>
      </c>
      <c r="E1883" t="s">
        <v>7775</v>
      </c>
    </row>
    <row r="1884" spans="1:5" x14ac:dyDescent="0.3">
      <c r="A1884" t="s">
        <v>1470</v>
      </c>
      <c r="B1884" t="s">
        <v>7774</v>
      </c>
      <c r="C1884" t="s">
        <v>6517</v>
      </c>
      <c r="D1884" t="s">
        <v>6517</v>
      </c>
      <c r="E1884" t="s">
        <v>6517</v>
      </c>
    </row>
    <row r="1885" spans="1:5" x14ac:dyDescent="0.3">
      <c r="A1885" t="s">
        <v>1470</v>
      </c>
      <c r="B1885" t="s">
        <v>7773</v>
      </c>
      <c r="C1885" t="s">
        <v>6517</v>
      </c>
      <c r="D1885" t="s">
        <v>6517</v>
      </c>
      <c r="E1885" t="s">
        <v>6517</v>
      </c>
    </row>
    <row r="1886" spans="1:5" x14ac:dyDescent="0.3">
      <c r="A1886" t="s">
        <v>1470</v>
      </c>
      <c r="B1886" t="s">
        <v>7772</v>
      </c>
      <c r="C1886" t="s">
        <v>6517</v>
      </c>
      <c r="D1886" t="s">
        <v>6517</v>
      </c>
      <c r="E1886" t="s">
        <v>6517</v>
      </c>
    </row>
    <row r="1887" spans="1:5" x14ac:dyDescent="0.3">
      <c r="A1887" t="s">
        <v>1470</v>
      </c>
      <c r="B1887" t="s">
        <v>7771</v>
      </c>
      <c r="C1887" t="s">
        <v>6517</v>
      </c>
      <c r="D1887" t="s">
        <v>6517</v>
      </c>
      <c r="E1887" t="s">
        <v>6517</v>
      </c>
    </row>
    <row r="1888" spans="1:5" x14ac:dyDescent="0.3">
      <c r="A1888" t="s">
        <v>1471</v>
      </c>
      <c r="B1888" t="s">
        <v>7770</v>
      </c>
      <c r="C1888" t="s">
        <v>7770</v>
      </c>
      <c r="D1888" t="s">
        <v>7769</v>
      </c>
      <c r="E1888" t="s">
        <v>7768</v>
      </c>
    </row>
    <row r="1889" spans="1:5" x14ac:dyDescent="0.3">
      <c r="A1889" t="s">
        <v>1471</v>
      </c>
      <c r="B1889" t="s">
        <v>7767</v>
      </c>
      <c r="C1889" t="s">
        <v>6517</v>
      </c>
      <c r="D1889" t="s">
        <v>6517</v>
      </c>
      <c r="E1889" t="s">
        <v>6517</v>
      </c>
    </row>
    <row r="1890" spans="1:5" x14ac:dyDescent="0.3">
      <c r="A1890" t="s">
        <v>1471</v>
      </c>
      <c r="B1890" t="s">
        <v>7766</v>
      </c>
      <c r="C1890" t="s">
        <v>6517</v>
      </c>
      <c r="D1890" t="s">
        <v>6517</v>
      </c>
      <c r="E1890" t="s">
        <v>6517</v>
      </c>
    </row>
    <row r="1891" spans="1:5" x14ac:dyDescent="0.3">
      <c r="A1891" t="s">
        <v>1471</v>
      </c>
      <c r="B1891" t="s">
        <v>7765</v>
      </c>
      <c r="C1891" t="s">
        <v>6517</v>
      </c>
      <c r="D1891" t="s">
        <v>6517</v>
      </c>
      <c r="E1891" t="s">
        <v>6517</v>
      </c>
    </row>
    <row r="1892" spans="1:5" x14ac:dyDescent="0.3">
      <c r="A1892" t="s">
        <v>1471</v>
      </c>
      <c r="B1892" t="s">
        <v>7764</v>
      </c>
      <c r="C1892" t="s">
        <v>6517</v>
      </c>
      <c r="D1892" t="s">
        <v>6517</v>
      </c>
      <c r="E1892" t="s">
        <v>6517</v>
      </c>
    </row>
    <row r="1893" spans="1:5" x14ac:dyDescent="0.3">
      <c r="A1893" t="s">
        <v>1472</v>
      </c>
      <c r="B1893" t="s">
        <v>7763</v>
      </c>
      <c r="C1893" t="s">
        <v>7763</v>
      </c>
      <c r="D1893" t="s">
        <v>7762</v>
      </c>
      <c r="E1893" t="s">
        <v>7761</v>
      </c>
    </row>
    <row r="1894" spans="1:5" x14ac:dyDescent="0.3">
      <c r="A1894" t="s">
        <v>1472</v>
      </c>
      <c r="B1894" t="s">
        <v>7760</v>
      </c>
      <c r="C1894" t="s">
        <v>6517</v>
      </c>
      <c r="D1894" t="s">
        <v>6517</v>
      </c>
      <c r="E1894" t="s">
        <v>6517</v>
      </c>
    </row>
    <row r="1895" spans="1:5" x14ac:dyDescent="0.3">
      <c r="A1895" t="s">
        <v>1472</v>
      </c>
      <c r="B1895" t="s">
        <v>7759</v>
      </c>
      <c r="C1895" t="s">
        <v>6517</v>
      </c>
      <c r="D1895" t="s">
        <v>6517</v>
      </c>
      <c r="E1895" t="s">
        <v>6517</v>
      </c>
    </row>
    <row r="1896" spans="1:5" x14ac:dyDescent="0.3">
      <c r="A1896" t="s">
        <v>1472</v>
      </c>
      <c r="B1896" t="s">
        <v>7758</v>
      </c>
      <c r="C1896" t="s">
        <v>6517</v>
      </c>
      <c r="D1896" t="s">
        <v>6517</v>
      </c>
      <c r="E1896" t="s">
        <v>6517</v>
      </c>
    </row>
    <row r="1897" spans="1:5" x14ac:dyDescent="0.3">
      <c r="A1897" t="s">
        <v>1472</v>
      </c>
      <c r="B1897" t="s">
        <v>7757</v>
      </c>
      <c r="C1897" t="s">
        <v>6517</v>
      </c>
      <c r="D1897" t="s">
        <v>6517</v>
      </c>
      <c r="E1897" t="s">
        <v>6517</v>
      </c>
    </row>
    <row r="1898" spans="1:5" x14ac:dyDescent="0.3">
      <c r="A1898" t="s">
        <v>1473</v>
      </c>
      <c r="B1898" t="s">
        <v>7756</v>
      </c>
      <c r="C1898" t="s">
        <v>7756</v>
      </c>
      <c r="D1898" t="s">
        <v>7755</v>
      </c>
      <c r="E1898" t="s">
        <v>7754</v>
      </c>
    </row>
    <row r="1899" spans="1:5" x14ac:dyDescent="0.3">
      <c r="A1899" t="s">
        <v>1473</v>
      </c>
      <c r="B1899" t="s">
        <v>7753</v>
      </c>
      <c r="C1899" t="s">
        <v>6517</v>
      </c>
      <c r="D1899" t="s">
        <v>6517</v>
      </c>
      <c r="E1899" t="s">
        <v>6517</v>
      </c>
    </row>
    <row r="1900" spans="1:5" x14ac:dyDescent="0.3">
      <c r="A1900" t="s">
        <v>1473</v>
      </c>
      <c r="B1900" t="s">
        <v>7752</v>
      </c>
      <c r="C1900" t="s">
        <v>6517</v>
      </c>
      <c r="D1900" t="s">
        <v>6517</v>
      </c>
      <c r="E1900" t="s">
        <v>6517</v>
      </c>
    </row>
    <row r="1901" spans="1:5" x14ac:dyDescent="0.3">
      <c r="A1901" t="s">
        <v>1473</v>
      </c>
      <c r="B1901" t="s">
        <v>7751</v>
      </c>
      <c r="C1901" t="s">
        <v>6517</v>
      </c>
      <c r="D1901" t="s">
        <v>6517</v>
      </c>
      <c r="E1901" t="s">
        <v>6517</v>
      </c>
    </row>
    <row r="1902" spans="1:5" x14ac:dyDescent="0.3">
      <c r="A1902" t="s">
        <v>1473</v>
      </c>
      <c r="B1902" t="s">
        <v>7750</v>
      </c>
      <c r="C1902" t="s">
        <v>6517</v>
      </c>
      <c r="D1902" t="s">
        <v>6517</v>
      </c>
      <c r="E1902" t="s">
        <v>6517</v>
      </c>
    </row>
    <row r="1903" spans="1:5" x14ac:dyDescent="0.3">
      <c r="A1903" t="s">
        <v>1474</v>
      </c>
      <c r="B1903" t="s">
        <v>7749</v>
      </c>
      <c r="C1903" t="s">
        <v>7749</v>
      </c>
      <c r="D1903" t="s">
        <v>7748</v>
      </c>
      <c r="E1903" t="s">
        <v>7747</v>
      </c>
    </row>
    <row r="1904" spans="1:5" x14ac:dyDescent="0.3">
      <c r="A1904" t="s">
        <v>1474</v>
      </c>
      <c r="B1904" t="s">
        <v>7746</v>
      </c>
      <c r="C1904" t="s">
        <v>6517</v>
      </c>
      <c r="D1904" t="s">
        <v>6517</v>
      </c>
      <c r="E1904" t="s">
        <v>6517</v>
      </c>
    </row>
    <row r="1905" spans="1:5" x14ac:dyDescent="0.3">
      <c r="A1905" t="s">
        <v>1474</v>
      </c>
      <c r="B1905" t="s">
        <v>7745</v>
      </c>
      <c r="C1905" t="s">
        <v>6517</v>
      </c>
      <c r="D1905" t="s">
        <v>6517</v>
      </c>
      <c r="E1905" t="s">
        <v>6517</v>
      </c>
    </row>
    <row r="1906" spans="1:5" x14ac:dyDescent="0.3">
      <c r="A1906" t="s">
        <v>1474</v>
      </c>
      <c r="B1906" t="s">
        <v>7744</v>
      </c>
      <c r="C1906" t="s">
        <v>6517</v>
      </c>
      <c r="D1906" t="s">
        <v>6517</v>
      </c>
      <c r="E1906" t="s">
        <v>6517</v>
      </c>
    </row>
    <row r="1907" spans="1:5" x14ac:dyDescent="0.3">
      <c r="A1907" t="s">
        <v>1474</v>
      </c>
      <c r="B1907" t="s">
        <v>7743</v>
      </c>
      <c r="C1907" t="s">
        <v>6517</v>
      </c>
      <c r="D1907" t="s">
        <v>6517</v>
      </c>
      <c r="E1907" t="s">
        <v>6517</v>
      </c>
    </row>
    <row r="1908" spans="1:5" x14ac:dyDescent="0.3">
      <c r="A1908" t="s">
        <v>1475</v>
      </c>
      <c r="B1908" t="s">
        <v>7742</v>
      </c>
      <c r="C1908" t="s">
        <v>7742</v>
      </c>
      <c r="D1908" t="s">
        <v>7741</v>
      </c>
      <c r="E1908" t="s">
        <v>7740</v>
      </c>
    </row>
    <row r="1909" spans="1:5" x14ac:dyDescent="0.3">
      <c r="A1909" t="s">
        <v>1475</v>
      </c>
      <c r="B1909" t="s">
        <v>7739</v>
      </c>
      <c r="C1909" t="s">
        <v>6517</v>
      </c>
      <c r="D1909" t="s">
        <v>6517</v>
      </c>
      <c r="E1909" t="s">
        <v>6517</v>
      </c>
    </row>
    <row r="1910" spans="1:5" x14ac:dyDescent="0.3">
      <c r="A1910" t="s">
        <v>1475</v>
      </c>
      <c r="B1910" t="s">
        <v>7738</v>
      </c>
      <c r="C1910" t="s">
        <v>6517</v>
      </c>
      <c r="D1910" t="s">
        <v>6517</v>
      </c>
      <c r="E1910" t="s">
        <v>6517</v>
      </c>
    </row>
    <row r="1911" spans="1:5" x14ac:dyDescent="0.3">
      <c r="A1911" t="s">
        <v>1475</v>
      </c>
      <c r="B1911" t="s">
        <v>7737</v>
      </c>
      <c r="C1911" t="s">
        <v>6517</v>
      </c>
      <c r="D1911" t="s">
        <v>6517</v>
      </c>
      <c r="E1911" t="s">
        <v>6517</v>
      </c>
    </row>
    <row r="1912" spans="1:5" x14ac:dyDescent="0.3">
      <c r="A1912" t="s">
        <v>1475</v>
      </c>
      <c r="B1912" t="s">
        <v>7736</v>
      </c>
      <c r="C1912" t="s">
        <v>6517</v>
      </c>
      <c r="D1912" t="s">
        <v>6517</v>
      </c>
      <c r="E1912" t="s">
        <v>6517</v>
      </c>
    </row>
    <row r="1913" spans="1:5" x14ac:dyDescent="0.3">
      <c r="A1913" t="s">
        <v>1476</v>
      </c>
      <c r="B1913" t="s">
        <v>7735</v>
      </c>
      <c r="C1913" t="s">
        <v>7735</v>
      </c>
      <c r="D1913" t="s">
        <v>7734</v>
      </c>
      <c r="E1913" t="s">
        <v>7733</v>
      </c>
    </row>
    <row r="1914" spans="1:5" x14ac:dyDescent="0.3">
      <c r="A1914" t="s">
        <v>1476</v>
      </c>
      <c r="B1914" t="s">
        <v>7732</v>
      </c>
      <c r="C1914" t="s">
        <v>6517</v>
      </c>
      <c r="D1914" t="s">
        <v>6517</v>
      </c>
      <c r="E1914" t="s">
        <v>6517</v>
      </c>
    </row>
    <row r="1915" spans="1:5" x14ac:dyDescent="0.3">
      <c r="A1915" t="s">
        <v>1476</v>
      </c>
      <c r="B1915" t="s">
        <v>7731</v>
      </c>
      <c r="C1915" t="s">
        <v>6517</v>
      </c>
      <c r="D1915" t="s">
        <v>6517</v>
      </c>
      <c r="E1915" t="s">
        <v>6517</v>
      </c>
    </row>
    <row r="1916" spans="1:5" x14ac:dyDescent="0.3">
      <c r="A1916" t="s">
        <v>1476</v>
      </c>
      <c r="B1916" t="s">
        <v>7730</v>
      </c>
      <c r="C1916" t="s">
        <v>6517</v>
      </c>
      <c r="D1916" t="s">
        <v>6517</v>
      </c>
      <c r="E1916" t="s">
        <v>6517</v>
      </c>
    </row>
    <row r="1917" spans="1:5" x14ac:dyDescent="0.3">
      <c r="A1917" t="s">
        <v>1476</v>
      </c>
      <c r="B1917" t="s">
        <v>7729</v>
      </c>
      <c r="C1917" t="s">
        <v>6517</v>
      </c>
      <c r="D1917" t="s">
        <v>6517</v>
      </c>
      <c r="E1917" t="s">
        <v>6517</v>
      </c>
    </row>
    <row r="1918" spans="1:5" x14ac:dyDescent="0.3">
      <c r="A1918" t="s">
        <v>1477</v>
      </c>
      <c r="B1918" t="s">
        <v>7728</v>
      </c>
      <c r="C1918" t="s">
        <v>7728</v>
      </c>
      <c r="D1918" t="s">
        <v>7727</v>
      </c>
      <c r="E1918" t="s">
        <v>7726</v>
      </c>
    </row>
    <row r="1919" spans="1:5" x14ac:dyDescent="0.3">
      <c r="A1919" t="s">
        <v>1477</v>
      </c>
      <c r="B1919" t="s">
        <v>7725</v>
      </c>
      <c r="C1919" t="s">
        <v>6517</v>
      </c>
      <c r="D1919" t="s">
        <v>6517</v>
      </c>
      <c r="E1919" t="s">
        <v>6517</v>
      </c>
    </row>
    <row r="1920" spans="1:5" x14ac:dyDescent="0.3">
      <c r="A1920" t="s">
        <v>1477</v>
      </c>
      <c r="B1920" t="s">
        <v>7724</v>
      </c>
      <c r="C1920" t="s">
        <v>6517</v>
      </c>
      <c r="D1920" t="s">
        <v>6517</v>
      </c>
      <c r="E1920" t="s">
        <v>6517</v>
      </c>
    </row>
    <row r="1921" spans="1:5" x14ac:dyDescent="0.3">
      <c r="A1921" t="s">
        <v>1477</v>
      </c>
      <c r="B1921" t="s">
        <v>7723</v>
      </c>
      <c r="C1921" t="s">
        <v>6517</v>
      </c>
      <c r="D1921" t="s">
        <v>6517</v>
      </c>
      <c r="E1921" t="s">
        <v>6517</v>
      </c>
    </row>
    <row r="1922" spans="1:5" x14ac:dyDescent="0.3">
      <c r="A1922" t="s">
        <v>1477</v>
      </c>
      <c r="B1922" t="s">
        <v>7722</v>
      </c>
      <c r="C1922" t="s">
        <v>6517</v>
      </c>
      <c r="D1922" t="s">
        <v>6517</v>
      </c>
      <c r="E1922" t="s">
        <v>6517</v>
      </c>
    </row>
    <row r="1923" spans="1:5" x14ac:dyDescent="0.3">
      <c r="A1923" t="s">
        <v>1478</v>
      </c>
      <c r="B1923" t="s">
        <v>7721</v>
      </c>
      <c r="C1923" t="s">
        <v>7721</v>
      </c>
      <c r="D1923" t="s">
        <v>7720</v>
      </c>
      <c r="E1923" t="s">
        <v>7719</v>
      </c>
    </row>
    <row r="1924" spans="1:5" x14ac:dyDescent="0.3">
      <c r="A1924" t="s">
        <v>1478</v>
      </c>
      <c r="B1924" t="s">
        <v>7718</v>
      </c>
      <c r="C1924" t="s">
        <v>6517</v>
      </c>
      <c r="D1924" t="s">
        <v>6517</v>
      </c>
      <c r="E1924" t="s">
        <v>6517</v>
      </c>
    </row>
    <row r="1925" spans="1:5" x14ac:dyDescent="0.3">
      <c r="A1925" t="s">
        <v>1478</v>
      </c>
      <c r="B1925" t="s">
        <v>7717</v>
      </c>
      <c r="C1925" t="s">
        <v>6517</v>
      </c>
      <c r="D1925" t="s">
        <v>6517</v>
      </c>
      <c r="E1925" t="s">
        <v>6517</v>
      </c>
    </row>
    <row r="1926" spans="1:5" x14ac:dyDescent="0.3">
      <c r="A1926" t="s">
        <v>1478</v>
      </c>
      <c r="B1926" t="s">
        <v>7716</v>
      </c>
      <c r="C1926" t="s">
        <v>6517</v>
      </c>
      <c r="D1926" t="s">
        <v>6517</v>
      </c>
      <c r="E1926" t="s">
        <v>6517</v>
      </c>
    </row>
    <row r="1927" spans="1:5" x14ac:dyDescent="0.3">
      <c r="A1927" t="s">
        <v>1478</v>
      </c>
      <c r="B1927" t="s">
        <v>7715</v>
      </c>
      <c r="C1927" t="s">
        <v>6517</v>
      </c>
      <c r="D1927" t="s">
        <v>6517</v>
      </c>
      <c r="E1927" t="s">
        <v>6517</v>
      </c>
    </row>
    <row r="1928" spans="1:5" x14ac:dyDescent="0.3">
      <c r="A1928" t="s">
        <v>1479</v>
      </c>
      <c r="B1928" t="s">
        <v>7714</v>
      </c>
      <c r="C1928" t="s">
        <v>7714</v>
      </c>
      <c r="D1928" t="s">
        <v>7713</v>
      </c>
      <c r="E1928" t="s">
        <v>7712</v>
      </c>
    </row>
    <row r="1929" spans="1:5" x14ac:dyDescent="0.3">
      <c r="A1929" t="s">
        <v>1479</v>
      </c>
      <c r="B1929" t="s">
        <v>7711</v>
      </c>
      <c r="C1929" t="s">
        <v>6517</v>
      </c>
      <c r="D1929" t="s">
        <v>6517</v>
      </c>
      <c r="E1929" t="s">
        <v>6517</v>
      </c>
    </row>
    <row r="1930" spans="1:5" x14ac:dyDescent="0.3">
      <c r="A1930" t="s">
        <v>1479</v>
      </c>
      <c r="B1930" t="s">
        <v>7710</v>
      </c>
      <c r="C1930" t="s">
        <v>6517</v>
      </c>
      <c r="D1930" t="s">
        <v>6517</v>
      </c>
      <c r="E1930" t="s">
        <v>6517</v>
      </c>
    </row>
    <row r="1931" spans="1:5" x14ac:dyDescent="0.3">
      <c r="A1931" t="s">
        <v>1479</v>
      </c>
      <c r="B1931" t="s">
        <v>7709</v>
      </c>
      <c r="C1931" t="s">
        <v>6517</v>
      </c>
      <c r="D1931" t="s">
        <v>6517</v>
      </c>
      <c r="E1931" t="s">
        <v>6517</v>
      </c>
    </row>
    <row r="1932" spans="1:5" x14ac:dyDescent="0.3">
      <c r="A1932" t="s">
        <v>1479</v>
      </c>
      <c r="B1932" t="s">
        <v>7708</v>
      </c>
      <c r="C1932" t="s">
        <v>6517</v>
      </c>
      <c r="D1932" t="s">
        <v>6517</v>
      </c>
      <c r="E1932" t="s">
        <v>6517</v>
      </c>
    </row>
    <row r="1933" spans="1:5" x14ac:dyDescent="0.3">
      <c r="A1933" t="s">
        <v>1480</v>
      </c>
      <c r="B1933" t="s">
        <v>7707</v>
      </c>
      <c r="C1933" t="s">
        <v>7707</v>
      </c>
      <c r="D1933" t="s">
        <v>7706</v>
      </c>
      <c r="E1933" t="s">
        <v>7705</v>
      </c>
    </row>
    <row r="1934" spans="1:5" x14ac:dyDescent="0.3">
      <c r="A1934" t="s">
        <v>1480</v>
      </c>
      <c r="B1934" t="s">
        <v>7704</v>
      </c>
      <c r="C1934" t="s">
        <v>6517</v>
      </c>
      <c r="D1934" t="s">
        <v>6517</v>
      </c>
      <c r="E1934" t="s">
        <v>6517</v>
      </c>
    </row>
    <row r="1935" spans="1:5" x14ac:dyDescent="0.3">
      <c r="A1935" t="s">
        <v>1480</v>
      </c>
      <c r="B1935" t="s">
        <v>7703</v>
      </c>
      <c r="C1935" t="s">
        <v>6517</v>
      </c>
      <c r="D1935" t="s">
        <v>6517</v>
      </c>
      <c r="E1935" t="s">
        <v>6517</v>
      </c>
    </row>
    <row r="1936" spans="1:5" x14ac:dyDescent="0.3">
      <c r="A1936" t="s">
        <v>1480</v>
      </c>
      <c r="B1936" t="s">
        <v>7702</v>
      </c>
      <c r="C1936" t="s">
        <v>6517</v>
      </c>
      <c r="D1936" t="s">
        <v>6517</v>
      </c>
      <c r="E1936" t="s">
        <v>6517</v>
      </c>
    </row>
    <row r="1937" spans="1:5" x14ac:dyDescent="0.3">
      <c r="A1937" t="s">
        <v>1480</v>
      </c>
      <c r="B1937" t="s">
        <v>7701</v>
      </c>
      <c r="C1937" t="s">
        <v>6517</v>
      </c>
      <c r="D1937" t="s">
        <v>6517</v>
      </c>
      <c r="E1937" t="s">
        <v>6517</v>
      </c>
    </row>
    <row r="1938" spans="1:5" x14ac:dyDescent="0.3">
      <c r="A1938" t="s">
        <v>1481</v>
      </c>
      <c r="B1938" t="s">
        <v>7700</v>
      </c>
      <c r="C1938" t="s">
        <v>7700</v>
      </c>
      <c r="D1938" t="s">
        <v>7699</v>
      </c>
      <c r="E1938" t="s">
        <v>7698</v>
      </c>
    </row>
    <row r="1939" spans="1:5" x14ac:dyDescent="0.3">
      <c r="A1939" t="s">
        <v>1481</v>
      </c>
      <c r="B1939" t="s">
        <v>7697</v>
      </c>
      <c r="C1939" t="s">
        <v>6517</v>
      </c>
      <c r="D1939" t="s">
        <v>6517</v>
      </c>
      <c r="E1939" t="s">
        <v>6517</v>
      </c>
    </row>
    <row r="1940" spans="1:5" x14ac:dyDescent="0.3">
      <c r="A1940" t="s">
        <v>1481</v>
      </c>
      <c r="B1940" t="s">
        <v>7696</v>
      </c>
      <c r="C1940" t="s">
        <v>6517</v>
      </c>
      <c r="D1940" t="s">
        <v>6517</v>
      </c>
      <c r="E1940" t="s">
        <v>6517</v>
      </c>
    </row>
    <row r="1941" spans="1:5" x14ac:dyDescent="0.3">
      <c r="A1941" t="s">
        <v>1481</v>
      </c>
      <c r="B1941" t="s">
        <v>7695</v>
      </c>
      <c r="C1941" t="s">
        <v>6517</v>
      </c>
      <c r="D1941" t="s">
        <v>6517</v>
      </c>
      <c r="E1941" t="s">
        <v>6517</v>
      </c>
    </row>
    <row r="1942" spans="1:5" x14ac:dyDescent="0.3">
      <c r="A1942" t="s">
        <v>1481</v>
      </c>
      <c r="B1942" t="s">
        <v>7694</v>
      </c>
      <c r="C1942" t="s">
        <v>6517</v>
      </c>
      <c r="D1942" t="s">
        <v>6517</v>
      </c>
      <c r="E1942" t="s">
        <v>6517</v>
      </c>
    </row>
    <row r="1943" spans="1:5" x14ac:dyDescent="0.3">
      <c r="A1943" t="s">
        <v>1482</v>
      </c>
      <c r="B1943" t="s">
        <v>7693</v>
      </c>
      <c r="C1943" t="s">
        <v>7693</v>
      </c>
      <c r="D1943" t="s">
        <v>7692</v>
      </c>
      <c r="E1943" t="s">
        <v>7691</v>
      </c>
    </row>
    <row r="1944" spans="1:5" x14ac:dyDescent="0.3">
      <c r="A1944" t="s">
        <v>1482</v>
      </c>
      <c r="B1944" t="s">
        <v>7690</v>
      </c>
      <c r="C1944" t="s">
        <v>6517</v>
      </c>
      <c r="D1944" t="s">
        <v>6517</v>
      </c>
      <c r="E1944" t="s">
        <v>6517</v>
      </c>
    </row>
    <row r="1945" spans="1:5" x14ac:dyDescent="0.3">
      <c r="A1945" t="s">
        <v>1482</v>
      </c>
      <c r="B1945" t="s">
        <v>7689</v>
      </c>
      <c r="C1945" t="s">
        <v>6517</v>
      </c>
      <c r="D1945" t="s">
        <v>6517</v>
      </c>
      <c r="E1945" t="s">
        <v>6517</v>
      </c>
    </row>
    <row r="1946" spans="1:5" x14ac:dyDescent="0.3">
      <c r="A1946" t="s">
        <v>1482</v>
      </c>
      <c r="B1946" t="s">
        <v>7688</v>
      </c>
      <c r="C1946" t="s">
        <v>6517</v>
      </c>
      <c r="D1946" t="s">
        <v>6517</v>
      </c>
      <c r="E1946" t="s">
        <v>6517</v>
      </c>
    </row>
    <row r="1947" spans="1:5" x14ac:dyDescent="0.3">
      <c r="A1947" t="s">
        <v>1482</v>
      </c>
      <c r="B1947" t="s">
        <v>7687</v>
      </c>
      <c r="C1947" t="s">
        <v>6517</v>
      </c>
      <c r="D1947" t="s">
        <v>6517</v>
      </c>
      <c r="E1947" t="s">
        <v>6517</v>
      </c>
    </row>
    <row r="1948" spans="1:5" x14ac:dyDescent="0.3">
      <c r="A1948" t="s">
        <v>1483</v>
      </c>
      <c r="B1948" t="s">
        <v>7686</v>
      </c>
      <c r="C1948" t="s">
        <v>7686</v>
      </c>
      <c r="D1948" t="s">
        <v>7685</v>
      </c>
      <c r="E1948" t="s">
        <v>7684</v>
      </c>
    </row>
    <row r="1949" spans="1:5" x14ac:dyDescent="0.3">
      <c r="A1949" t="s">
        <v>1483</v>
      </c>
      <c r="B1949" t="s">
        <v>7683</v>
      </c>
      <c r="C1949" t="s">
        <v>6517</v>
      </c>
      <c r="D1949" t="s">
        <v>6517</v>
      </c>
      <c r="E1949" t="s">
        <v>6517</v>
      </c>
    </row>
    <row r="1950" spans="1:5" x14ac:dyDescent="0.3">
      <c r="A1950" t="s">
        <v>1483</v>
      </c>
      <c r="B1950" t="s">
        <v>7682</v>
      </c>
      <c r="C1950" t="s">
        <v>6517</v>
      </c>
      <c r="D1950" t="s">
        <v>6517</v>
      </c>
      <c r="E1950" t="s">
        <v>6517</v>
      </c>
    </row>
    <row r="1951" spans="1:5" x14ac:dyDescent="0.3">
      <c r="A1951" t="s">
        <v>1483</v>
      </c>
      <c r="B1951" t="s">
        <v>7681</v>
      </c>
      <c r="C1951" t="s">
        <v>6517</v>
      </c>
      <c r="D1951" t="s">
        <v>6517</v>
      </c>
      <c r="E1951" t="s">
        <v>6517</v>
      </c>
    </row>
    <row r="1952" spans="1:5" x14ac:dyDescent="0.3">
      <c r="A1952" t="s">
        <v>1483</v>
      </c>
      <c r="B1952" t="s">
        <v>7680</v>
      </c>
      <c r="C1952" t="s">
        <v>6517</v>
      </c>
      <c r="D1952" t="s">
        <v>6517</v>
      </c>
      <c r="E1952" t="s">
        <v>6517</v>
      </c>
    </row>
    <row r="1953" spans="1:5" x14ac:dyDescent="0.3">
      <c r="A1953" t="s">
        <v>1484</v>
      </c>
      <c r="B1953" t="s">
        <v>7679</v>
      </c>
      <c r="C1953" t="s">
        <v>7679</v>
      </c>
      <c r="D1953" t="s">
        <v>7678</v>
      </c>
      <c r="E1953" t="s">
        <v>7677</v>
      </c>
    </row>
    <row r="1954" spans="1:5" x14ac:dyDescent="0.3">
      <c r="A1954" t="s">
        <v>1484</v>
      </c>
      <c r="B1954" t="s">
        <v>7676</v>
      </c>
      <c r="C1954" t="s">
        <v>6517</v>
      </c>
      <c r="D1954" t="s">
        <v>6517</v>
      </c>
      <c r="E1954" t="s">
        <v>6517</v>
      </c>
    </row>
    <row r="1955" spans="1:5" x14ac:dyDescent="0.3">
      <c r="A1955" t="s">
        <v>1484</v>
      </c>
      <c r="B1955" t="s">
        <v>7675</v>
      </c>
      <c r="C1955" t="s">
        <v>6517</v>
      </c>
      <c r="D1955" t="s">
        <v>6517</v>
      </c>
      <c r="E1955" t="s">
        <v>6517</v>
      </c>
    </row>
    <row r="1956" spans="1:5" x14ac:dyDescent="0.3">
      <c r="A1956" t="s">
        <v>1484</v>
      </c>
      <c r="B1956" t="s">
        <v>7674</v>
      </c>
      <c r="C1956" t="s">
        <v>6517</v>
      </c>
      <c r="D1956" t="s">
        <v>6517</v>
      </c>
      <c r="E1956" t="s">
        <v>6517</v>
      </c>
    </row>
    <row r="1957" spans="1:5" x14ac:dyDescent="0.3">
      <c r="A1957" t="s">
        <v>1484</v>
      </c>
      <c r="B1957" t="s">
        <v>7673</v>
      </c>
      <c r="C1957" t="s">
        <v>6517</v>
      </c>
      <c r="D1957" t="s">
        <v>6517</v>
      </c>
      <c r="E1957" t="s">
        <v>6517</v>
      </c>
    </row>
    <row r="1958" spans="1:5" x14ac:dyDescent="0.3">
      <c r="A1958" t="s">
        <v>1485</v>
      </c>
      <c r="B1958" t="s">
        <v>7672</v>
      </c>
      <c r="C1958" t="s">
        <v>7672</v>
      </c>
      <c r="D1958" t="s">
        <v>7671</v>
      </c>
      <c r="E1958" t="s">
        <v>7670</v>
      </c>
    </row>
    <row r="1959" spans="1:5" x14ac:dyDescent="0.3">
      <c r="A1959" t="s">
        <v>1485</v>
      </c>
      <c r="B1959" t="s">
        <v>7669</v>
      </c>
      <c r="C1959" t="s">
        <v>6517</v>
      </c>
      <c r="D1959" t="s">
        <v>6517</v>
      </c>
      <c r="E1959" t="s">
        <v>6517</v>
      </c>
    </row>
    <row r="1960" spans="1:5" x14ac:dyDescent="0.3">
      <c r="A1960" t="s">
        <v>1485</v>
      </c>
      <c r="B1960" t="s">
        <v>7668</v>
      </c>
      <c r="C1960" t="s">
        <v>6517</v>
      </c>
      <c r="D1960" t="s">
        <v>6517</v>
      </c>
      <c r="E1960" t="s">
        <v>6517</v>
      </c>
    </row>
    <row r="1961" spans="1:5" x14ac:dyDescent="0.3">
      <c r="A1961" t="s">
        <v>1485</v>
      </c>
      <c r="B1961" t="s">
        <v>7667</v>
      </c>
      <c r="C1961" t="s">
        <v>6517</v>
      </c>
      <c r="D1961" t="s">
        <v>6517</v>
      </c>
      <c r="E1961" t="s">
        <v>6517</v>
      </c>
    </row>
    <row r="1962" spans="1:5" x14ac:dyDescent="0.3">
      <c r="A1962" t="s">
        <v>1485</v>
      </c>
      <c r="B1962" t="s">
        <v>7666</v>
      </c>
      <c r="C1962" t="s">
        <v>6517</v>
      </c>
      <c r="D1962" t="s">
        <v>6517</v>
      </c>
      <c r="E1962" t="s">
        <v>6517</v>
      </c>
    </row>
    <row r="1963" spans="1:5" x14ac:dyDescent="0.3">
      <c r="A1963" t="s">
        <v>1486</v>
      </c>
      <c r="B1963" t="s">
        <v>7665</v>
      </c>
      <c r="C1963" t="s">
        <v>7665</v>
      </c>
      <c r="D1963" t="s">
        <v>7664</v>
      </c>
      <c r="E1963" t="s">
        <v>7663</v>
      </c>
    </row>
    <row r="1964" spans="1:5" x14ac:dyDescent="0.3">
      <c r="A1964" t="s">
        <v>1486</v>
      </c>
      <c r="B1964" t="s">
        <v>7662</v>
      </c>
      <c r="C1964" t="s">
        <v>6517</v>
      </c>
      <c r="D1964" t="s">
        <v>6517</v>
      </c>
      <c r="E1964" t="s">
        <v>6517</v>
      </c>
    </row>
    <row r="1965" spans="1:5" x14ac:dyDescent="0.3">
      <c r="A1965" t="s">
        <v>1486</v>
      </c>
      <c r="B1965" t="s">
        <v>7661</v>
      </c>
      <c r="C1965" t="s">
        <v>6517</v>
      </c>
      <c r="D1965" t="s">
        <v>6517</v>
      </c>
      <c r="E1965" t="s">
        <v>6517</v>
      </c>
    </row>
    <row r="1966" spans="1:5" x14ac:dyDescent="0.3">
      <c r="A1966" t="s">
        <v>1486</v>
      </c>
      <c r="B1966" t="s">
        <v>7660</v>
      </c>
      <c r="C1966" t="s">
        <v>6517</v>
      </c>
      <c r="D1966" t="s">
        <v>6517</v>
      </c>
      <c r="E1966" t="s">
        <v>6517</v>
      </c>
    </row>
    <row r="1967" spans="1:5" x14ac:dyDescent="0.3">
      <c r="A1967" t="s">
        <v>1486</v>
      </c>
      <c r="B1967" t="s">
        <v>7659</v>
      </c>
      <c r="C1967" t="s">
        <v>6517</v>
      </c>
      <c r="D1967" t="s">
        <v>6517</v>
      </c>
      <c r="E1967" t="s">
        <v>6517</v>
      </c>
    </row>
    <row r="1968" spans="1:5" x14ac:dyDescent="0.3">
      <c r="A1968" t="s">
        <v>1487</v>
      </c>
      <c r="B1968" t="s">
        <v>7658</v>
      </c>
      <c r="C1968" t="s">
        <v>7658</v>
      </c>
      <c r="D1968" t="s">
        <v>7657</v>
      </c>
      <c r="E1968" t="s">
        <v>7656</v>
      </c>
    </row>
    <row r="1969" spans="1:5" x14ac:dyDescent="0.3">
      <c r="A1969" t="s">
        <v>1487</v>
      </c>
      <c r="B1969" t="s">
        <v>7655</v>
      </c>
      <c r="C1969" t="s">
        <v>6517</v>
      </c>
      <c r="D1969" t="s">
        <v>6517</v>
      </c>
      <c r="E1969" t="s">
        <v>6517</v>
      </c>
    </row>
    <row r="1970" spans="1:5" x14ac:dyDescent="0.3">
      <c r="A1970" t="s">
        <v>1487</v>
      </c>
      <c r="B1970" t="s">
        <v>7654</v>
      </c>
      <c r="C1970" t="s">
        <v>6517</v>
      </c>
      <c r="D1970" t="s">
        <v>6517</v>
      </c>
      <c r="E1970" t="s">
        <v>6517</v>
      </c>
    </row>
    <row r="1971" spans="1:5" x14ac:dyDescent="0.3">
      <c r="A1971" t="s">
        <v>1487</v>
      </c>
      <c r="B1971" t="s">
        <v>7653</v>
      </c>
      <c r="C1971" t="s">
        <v>6517</v>
      </c>
      <c r="D1971" t="s">
        <v>6517</v>
      </c>
      <c r="E1971" t="s">
        <v>6517</v>
      </c>
    </row>
    <row r="1972" spans="1:5" x14ac:dyDescent="0.3">
      <c r="A1972" t="s">
        <v>1487</v>
      </c>
      <c r="B1972" t="s">
        <v>7652</v>
      </c>
      <c r="C1972" t="s">
        <v>6517</v>
      </c>
      <c r="D1972" t="s">
        <v>6517</v>
      </c>
      <c r="E1972" t="s">
        <v>6517</v>
      </c>
    </row>
    <row r="1973" spans="1:5" x14ac:dyDescent="0.3">
      <c r="A1973" t="s">
        <v>1488</v>
      </c>
      <c r="B1973" t="s">
        <v>7651</v>
      </c>
      <c r="C1973" t="s">
        <v>7651</v>
      </c>
      <c r="D1973" t="s">
        <v>7650</v>
      </c>
      <c r="E1973" t="s">
        <v>7649</v>
      </c>
    </row>
    <row r="1974" spans="1:5" x14ac:dyDescent="0.3">
      <c r="A1974" t="s">
        <v>1488</v>
      </c>
      <c r="B1974" t="s">
        <v>7648</v>
      </c>
      <c r="C1974" t="s">
        <v>6517</v>
      </c>
      <c r="D1974" t="s">
        <v>6517</v>
      </c>
      <c r="E1974" t="s">
        <v>6517</v>
      </c>
    </row>
    <row r="1975" spans="1:5" x14ac:dyDescent="0.3">
      <c r="A1975" t="s">
        <v>1488</v>
      </c>
      <c r="B1975" t="s">
        <v>7647</v>
      </c>
      <c r="C1975" t="s">
        <v>6517</v>
      </c>
      <c r="D1975" t="s">
        <v>6517</v>
      </c>
      <c r="E1975" t="s">
        <v>6517</v>
      </c>
    </row>
    <row r="1976" spans="1:5" x14ac:dyDescent="0.3">
      <c r="A1976" t="s">
        <v>1488</v>
      </c>
      <c r="B1976" t="s">
        <v>7646</v>
      </c>
      <c r="C1976" t="s">
        <v>6517</v>
      </c>
      <c r="D1976" t="s">
        <v>6517</v>
      </c>
      <c r="E1976" t="s">
        <v>6517</v>
      </c>
    </row>
    <row r="1977" spans="1:5" x14ac:dyDescent="0.3">
      <c r="A1977" t="s">
        <v>1488</v>
      </c>
      <c r="B1977" t="s">
        <v>7645</v>
      </c>
      <c r="C1977" t="s">
        <v>6517</v>
      </c>
      <c r="D1977" t="s">
        <v>6517</v>
      </c>
      <c r="E1977" t="s">
        <v>6517</v>
      </c>
    </row>
    <row r="1978" spans="1:5" x14ac:dyDescent="0.3">
      <c r="A1978" t="s">
        <v>1489</v>
      </c>
      <c r="B1978" t="s">
        <v>7644</v>
      </c>
      <c r="C1978" t="s">
        <v>7644</v>
      </c>
      <c r="D1978" t="s">
        <v>7643</v>
      </c>
      <c r="E1978" t="s">
        <v>7642</v>
      </c>
    </row>
    <row r="1979" spans="1:5" x14ac:dyDescent="0.3">
      <c r="A1979" t="s">
        <v>1489</v>
      </c>
      <c r="B1979" t="s">
        <v>7641</v>
      </c>
      <c r="C1979" t="s">
        <v>6517</v>
      </c>
      <c r="D1979" t="s">
        <v>6517</v>
      </c>
      <c r="E1979" t="s">
        <v>6517</v>
      </c>
    </row>
    <row r="1980" spans="1:5" x14ac:dyDescent="0.3">
      <c r="A1980" t="s">
        <v>1489</v>
      </c>
      <c r="B1980" t="s">
        <v>7640</v>
      </c>
      <c r="C1980" t="s">
        <v>6517</v>
      </c>
      <c r="D1980" t="s">
        <v>6517</v>
      </c>
      <c r="E1980" t="s">
        <v>6517</v>
      </c>
    </row>
    <row r="1981" spans="1:5" x14ac:dyDescent="0.3">
      <c r="A1981" t="s">
        <v>1489</v>
      </c>
      <c r="B1981" t="s">
        <v>7639</v>
      </c>
      <c r="C1981" t="s">
        <v>6517</v>
      </c>
      <c r="D1981" t="s">
        <v>6517</v>
      </c>
      <c r="E1981" t="s">
        <v>6517</v>
      </c>
    </row>
    <row r="1982" spans="1:5" x14ac:dyDescent="0.3">
      <c r="A1982" t="s">
        <v>1489</v>
      </c>
      <c r="B1982" t="s">
        <v>7638</v>
      </c>
      <c r="C1982" t="s">
        <v>6517</v>
      </c>
      <c r="D1982" t="s">
        <v>6517</v>
      </c>
      <c r="E1982" t="s">
        <v>6517</v>
      </c>
    </row>
    <row r="1983" spans="1:5" x14ac:dyDescent="0.3">
      <c r="A1983" t="s">
        <v>1490</v>
      </c>
      <c r="B1983" t="s">
        <v>7637</v>
      </c>
      <c r="C1983" t="s">
        <v>7637</v>
      </c>
      <c r="D1983" t="s">
        <v>7636</v>
      </c>
      <c r="E1983" t="s">
        <v>7635</v>
      </c>
    </row>
    <row r="1984" spans="1:5" x14ac:dyDescent="0.3">
      <c r="A1984" t="s">
        <v>1490</v>
      </c>
      <c r="B1984" t="s">
        <v>7634</v>
      </c>
      <c r="C1984" t="s">
        <v>6517</v>
      </c>
      <c r="D1984" t="s">
        <v>6517</v>
      </c>
      <c r="E1984" t="s">
        <v>6517</v>
      </c>
    </row>
    <row r="1985" spans="1:5" x14ac:dyDescent="0.3">
      <c r="A1985" t="s">
        <v>1490</v>
      </c>
      <c r="B1985" t="s">
        <v>7633</v>
      </c>
      <c r="C1985" t="s">
        <v>6517</v>
      </c>
      <c r="D1985" t="s">
        <v>6517</v>
      </c>
      <c r="E1985" t="s">
        <v>6517</v>
      </c>
    </row>
    <row r="1986" spans="1:5" x14ac:dyDescent="0.3">
      <c r="A1986" t="s">
        <v>1490</v>
      </c>
      <c r="B1986" t="s">
        <v>7632</v>
      </c>
      <c r="C1986" t="s">
        <v>6517</v>
      </c>
      <c r="D1986" t="s">
        <v>6517</v>
      </c>
      <c r="E1986" t="s">
        <v>6517</v>
      </c>
    </row>
    <row r="1987" spans="1:5" x14ac:dyDescent="0.3">
      <c r="A1987" t="s">
        <v>1490</v>
      </c>
      <c r="B1987" t="s">
        <v>7631</v>
      </c>
      <c r="C1987" t="s">
        <v>6517</v>
      </c>
      <c r="D1987" t="s">
        <v>6517</v>
      </c>
      <c r="E1987" t="s">
        <v>6517</v>
      </c>
    </row>
    <row r="1988" spans="1:5" x14ac:dyDescent="0.3">
      <c r="A1988" t="s">
        <v>1491</v>
      </c>
      <c r="B1988" t="s">
        <v>7630</v>
      </c>
      <c r="C1988" t="s">
        <v>7630</v>
      </c>
      <c r="D1988" t="s">
        <v>7629</v>
      </c>
      <c r="E1988" t="s">
        <v>7628</v>
      </c>
    </row>
    <row r="1989" spans="1:5" x14ac:dyDescent="0.3">
      <c r="A1989" t="s">
        <v>1491</v>
      </c>
      <c r="B1989" t="s">
        <v>7627</v>
      </c>
      <c r="C1989" t="s">
        <v>6517</v>
      </c>
      <c r="D1989" t="s">
        <v>6517</v>
      </c>
      <c r="E1989" t="s">
        <v>6517</v>
      </c>
    </row>
    <row r="1990" spans="1:5" x14ac:dyDescent="0.3">
      <c r="A1990" t="s">
        <v>1491</v>
      </c>
      <c r="B1990" t="s">
        <v>7626</v>
      </c>
      <c r="C1990" t="s">
        <v>6517</v>
      </c>
      <c r="D1990" t="s">
        <v>6517</v>
      </c>
      <c r="E1990" t="s">
        <v>6517</v>
      </c>
    </row>
    <row r="1991" spans="1:5" x14ac:dyDescent="0.3">
      <c r="A1991" t="s">
        <v>1491</v>
      </c>
      <c r="B1991" t="s">
        <v>7625</v>
      </c>
      <c r="C1991" t="s">
        <v>6517</v>
      </c>
      <c r="D1991" t="s">
        <v>6517</v>
      </c>
      <c r="E1991" t="s">
        <v>6517</v>
      </c>
    </row>
    <row r="1992" spans="1:5" x14ac:dyDescent="0.3">
      <c r="A1992" t="s">
        <v>1491</v>
      </c>
      <c r="B1992" t="s">
        <v>7624</v>
      </c>
      <c r="C1992" t="s">
        <v>6517</v>
      </c>
      <c r="D1992" t="s">
        <v>6517</v>
      </c>
      <c r="E1992" t="s">
        <v>6517</v>
      </c>
    </row>
    <row r="1993" spans="1:5" x14ac:dyDescent="0.3">
      <c r="A1993" t="s">
        <v>1492</v>
      </c>
      <c r="B1993" t="s">
        <v>7623</v>
      </c>
      <c r="C1993" t="s">
        <v>7623</v>
      </c>
      <c r="D1993" t="s">
        <v>7622</v>
      </c>
      <c r="E1993" t="s">
        <v>7621</v>
      </c>
    </row>
    <row r="1994" spans="1:5" x14ac:dyDescent="0.3">
      <c r="A1994" t="s">
        <v>1492</v>
      </c>
      <c r="B1994" t="s">
        <v>7620</v>
      </c>
      <c r="C1994" t="s">
        <v>6517</v>
      </c>
      <c r="D1994" t="s">
        <v>6517</v>
      </c>
      <c r="E1994" t="s">
        <v>6517</v>
      </c>
    </row>
    <row r="1995" spans="1:5" x14ac:dyDescent="0.3">
      <c r="A1995" t="s">
        <v>1492</v>
      </c>
      <c r="B1995" t="s">
        <v>7619</v>
      </c>
      <c r="C1995" t="s">
        <v>6517</v>
      </c>
      <c r="D1995" t="s">
        <v>6517</v>
      </c>
      <c r="E1995" t="s">
        <v>6517</v>
      </c>
    </row>
    <row r="1996" spans="1:5" x14ac:dyDescent="0.3">
      <c r="A1996" t="s">
        <v>1492</v>
      </c>
      <c r="B1996" t="s">
        <v>7618</v>
      </c>
      <c r="C1996" t="s">
        <v>6517</v>
      </c>
      <c r="D1996" t="s">
        <v>6517</v>
      </c>
      <c r="E1996" t="s">
        <v>6517</v>
      </c>
    </row>
    <row r="1997" spans="1:5" x14ac:dyDescent="0.3">
      <c r="A1997" t="s">
        <v>1492</v>
      </c>
      <c r="B1997" t="s">
        <v>7617</v>
      </c>
      <c r="C1997" t="s">
        <v>6517</v>
      </c>
      <c r="D1997" t="s">
        <v>6517</v>
      </c>
      <c r="E1997" t="s">
        <v>6517</v>
      </c>
    </row>
    <row r="1998" spans="1:5" x14ac:dyDescent="0.3">
      <c r="A1998" t="s">
        <v>1493</v>
      </c>
      <c r="B1998" t="s">
        <v>7616</v>
      </c>
      <c r="C1998" t="s">
        <v>7616</v>
      </c>
      <c r="D1998" t="s">
        <v>7615</v>
      </c>
      <c r="E1998" t="s">
        <v>7614</v>
      </c>
    </row>
    <row r="1999" spans="1:5" x14ac:dyDescent="0.3">
      <c r="A1999" t="s">
        <v>1493</v>
      </c>
      <c r="B1999" t="s">
        <v>7613</v>
      </c>
      <c r="C1999" t="s">
        <v>6517</v>
      </c>
      <c r="D1999" t="s">
        <v>6517</v>
      </c>
      <c r="E1999" t="s">
        <v>6517</v>
      </c>
    </row>
    <row r="2000" spans="1:5" x14ac:dyDescent="0.3">
      <c r="A2000" t="s">
        <v>1493</v>
      </c>
      <c r="B2000" t="s">
        <v>7612</v>
      </c>
      <c r="C2000" t="s">
        <v>6517</v>
      </c>
      <c r="D2000" t="s">
        <v>6517</v>
      </c>
      <c r="E2000" t="s">
        <v>6517</v>
      </c>
    </row>
    <row r="2001" spans="1:5" x14ac:dyDescent="0.3">
      <c r="A2001" t="s">
        <v>1493</v>
      </c>
      <c r="B2001" t="s">
        <v>7611</v>
      </c>
      <c r="C2001" t="s">
        <v>6517</v>
      </c>
      <c r="D2001" t="s">
        <v>6517</v>
      </c>
      <c r="E2001" t="s">
        <v>6517</v>
      </c>
    </row>
    <row r="2002" spans="1:5" x14ac:dyDescent="0.3">
      <c r="A2002" t="s">
        <v>1493</v>
      </c>
      <c r="B2002" t="s">
        <v>7610</v>
      </c>
      <c r="C2002" t="s">
        <v>6517</v>
      </c>
      <c r="D2002" t="s">
        <v>6517</v>
      </c>
      <c r="E2002" t="s">
        <v>6517</v>
      </c>
    </row>
    <row r="2003" spans="1:5" x14ac:dyDescent="0.3">
      <c r="A2003" t="s">
        <v>1494</v>
      </c>
      <c r="B2003" t="s">
        <v>7609</v>
      </c>
      <c r="C2003" t="s">
        <v>7609</v>
      </c>
      <c r="D2003" t="s">
        <v>7608</v>
      </c>
      <c r="E2003" t="s">
        <v>7607</v>
      </c>
    </row>
    <row r="2004" spans="1:5" x14ac:dyDescent="0.3">
      <c r="A2004" t="s">
        <v>1494</v>
      </c>
      <c r="B2004" t="s">
        <v>7606</v>
      </c>
      <c r="C2004" t="s">
        <v>6517</v>
      </c>
      <c r="D2004" t="s">
        <v>6517</v>
      </c>
      <c r="E2004" t="s">
        <v>6517</v>
      </c>
    </row>
    <row r="2005" spans="1:5" x14ac:dyDescent="0.3">
      <c r="A2005" t="s">
        <v>1494</v>
      </c>
      <c r="B2005" t="s">
        <v>7605</v>
      </c>
      <c r="C2005" t="s">
        <v>6517</v>
      </c>
      <c r="D2005" t="s">
        <v>6517</v>
      </c>
      <c r="E2005" t="s">
        <v>6517</v>
      </c>
    </row>
    <row r="2006" spans="1:5" x14ac:dyDescent="0.3">
      <c r="A2006" t="s">
        <v>1494</v>
      </c>
      <c r="B2006" t="s">
        <v>7604</v>
      </c>
      <c r="C2006" t="s">
        <v>6517</v>
      </c>
      <c r="D2006" t="s">
        <v>6517</v>
      </c>
      <c r="E2006" t="s">
        <v>6517</v>
      </c>
    </row>
    <row r="2007" spans="1:5" x14ac:dyDescent="0.3">
      <c r="A2007" t="s">
        <v>1494</v>
      </c>
      <c r="B2007" t="s">
        <v>7603</v>
      </c>
      <c r="C2007" t="s">
        <v>6517</v>
      </c>
      <c r="D2007" t="s">
        <v>6517</v>
      </c>
      <c r="E2007" t="s">
        <v>6517</v>
      </c>
    </row>
    <row r="2008" spans="1:5" x14ac:dyDescent="0.3">
      <c r="A2008" t="s">
        <v>1495</v>
      </c>
      <c r="B2008" t="s">
        <v>7602</v>
      </c>
      <c r="C2008" t="s">
        <v>7602</v>
      </c>
      <c r="D2008" t="s">
        <v>7601</v>
      </c>
      <c r="E2008" t="s">
        <v>7600</v>
      </c>
    </row>
    <row r="2009" spans="1:5" x14ac:dyDescent="0.3">
      <c r="A2009" t="s">
        <v>1495</v>
      </c>
      <c r="B2009" t="s">
        <v>7599</v>
      </c>
      <c r="C2009" t="s">
        <v>6517</v>
      </c>
      <c r="D2009" t="s">
        <v>6517</v>
      </c>
      <c r="E2009" t="s">
        <v>6517</v>
      </c>
    </row>
    <row r="2010" spans="1:5" x14ac:dyDescent="0.3">
      <c r="A2010" t="s">
        <v>1495</v>
      </c>
      <c r="B2010" t="s">
        <v>7598</v>
      </c>
      <c r="C2010" t="s">
        <v>6517</v>
      </c>
      <c r="D2010" t="s">
        <v>6517</v>
      </c>
      <c r="E2010" t="s">
        <v>6517</v>
      </c>
    </row>
    <row r="2011" spans="1:5" x14ac:dyDescent="0.3">
      <c r="A2011" t="s">
        <v>1495</v>
      </c>
      <c r="B2011" t="s">
        <v>7597</v>
      </c>
      <c r="C2011" t="s">
        <v>6517</v>
      </c>
      <c r="D2011" t="s">
        <v>6517</v>
      </c>
      <c r="E2011" t="s">
        <v>6517</v>
      </c>
    </row>
    <row r="2012" spans="1:5" x14ac:dyDescent="0.3">
      <c r="A2012" t="s">
        <v>1495</v>
      </c>
      <c r="B2012" t="s">
        <v>7596</v>
      </c>
      <c r="C2012" t="s">
        <v>6517</v>
      </c>
      <c r="D2012" t="s">
        <v>6517</v>
      </c>
      <c r="E2012" t="s">
        <v>6517</v>
      </c>
    </row>
    <row r="2013" spans="1:5" x14ac:dyDescent="0.3">
      <c r="A2013" t="s">
        <v>1496</v>
      </c>
      <c r="B2013" t="s">
        <v>7595</v>
      </c>
      <c r="C2013" t="s">
        <v>7595</v>
      </c>
      <c r="D2013" t="s">
        <v>7594</v>
      </c>
      <c r="E2013" t="s">
        <v>7593</v>
      </c>
    </row>
    <row r="2014" spans="1:5" x14ac:dyDescent="0.3">
      <c r="A2014" t="s">
        <v>1496</v>
      </c>
      <c r="B2014" t="s">
        <v>7592</v>
      </c>
      <c r="C2014" t="s">
        <v>6517</v>
      </c>
      <c r="D2014" t="s">
        <v>6517</v>
      </c>
      <c r="E2014" t="s">
        <v>6517</v>
      </c>
    </row>
    <row r="2015" spans="1:5" x14ac:dyDescent="0.3">
      <c r="A2015" t="s">
        <v>1496</v>
      </c>
      <c r="B2015" t="s">
        <v>7591</v>
      </c>
      <c r="C2015" t="s">
        <v>6517</v>
      </c>
      <c r="D2015" t="s">
        <v>6517</v>
      </c>
      <c r="E2015" t="s">
        <v>6517</v>
      </c>
    </row>
    <row r="2016" spans="1:5" x14ac:dyDescent="0.3">
      <c r="A2016" t="s">
        <v>1496</v>
      </c>
      <c r="B2016" t="s">
        <v>7590</v>
      </c>
      <c r="C2016" t="s">
        <v>6517</v>
      </c>
      <c r="D2016" t="s">
        <v>6517</v>
      </c>
      <c r="E2016" t="s">
        <v>6517</v>
      </c>
    </row>
    <row r="2017" spans="1:5" x14ac:dyDescent="0.3">
      <c r="A2017" t="s">
        <v>1496</v>
      </c>
      <c r="B2017" t="s">
        <v>7589</v>
      </c>
      <c r="C2017" t="s">
        <v>6517</v>
      </c>
      <c r="D2017" t="s">
        <v>6517</v>
      </c>
      <c r="E2017" t="s">
        <v>6517</v>
      </c>
    </row>
    <row r="2018" spans="1:5" x14ac:dyDescent="0.3">
      <c r="A2018" t="s">
        <v>1497</v>
      </c>
      <c r="B2018" t="s">
        <v>7588</v>
      </c>
      <c r="C2018" t="s">
        <v>7588</v>
      </c>
      <c r="D2018" t="s">
        <v>7587</v>
      </c>
      <c r="E2018" t="s">
        <v>7586</v>
      </c>
    </row>
    <row r="2019" spans="1:5" x14ac:dyDescent="0.3">
      <c r="A2019" t="s">
        <v>1497</v>
      </c>
      <c r="B2019" t="s">
        <v>7585</v>
      </c>
      <c r="C2019" t="s">
        <v>6517</v>
      </c>
      <c r="D2019" t="s">
        <v>6517</v>
      </c>
      <c r="E2019" t="s">
        <v>6517</v>
      </c>
    </row>
    <row r="2020" spans="1:5" x14ac:dyDescent="0.3">
      <c r="A2020" t="s">
        <v>1497</v>
      </c>
      <c r="B2020" t="s">
        <v>7584</v>
      </c>
      <c r="C2020" t="s">
        <v>6517</v>
      </c>
      <c r="D2020" t="s">
        <v>6517</v>
      </c>
      <c r="E2020" t="s">
        <v>6517</v>
      </c>
    </row>
    <row r="2021" spans="1:5" x14ac:dyDescent="0.3">
      <c r="A2021" t="s">
        <v>1497</v>
      </c>
      <c r="B2021" t="s">
        <v>7583</v>
      </c>
      <c r="C2021" t="s">
        <v>6517</v>
      </c>
      <c r="D2021" t="s">
        <v>6517</v>
      </c>
      <c r="E2021" t="s">
        <v>6517</v>
      </c>
    </row>
    <row r="2022" spans="1:5" x14ac:dyDescent="0.3">
      <c r="A2022" t="s">
        <v>1497</v>
      </c>
      <c r="B2022" t="s">
        <v>7582</v>
      </c>
      <c r="C2022" t="s">
        <v>6517</v>
      </c>
      <c r="D2022" t="s">
        <v>6517</v>
      </c>
      <c r="E2022" t="s">
        <v>6517</v>
      </c>
    </row>
    <row r="2023" spans="1:5" x14ac:dyDescent="0.3">
      <c r="A2023" t="s">
        <v>1498</v>
      </c>
      <c r="B2023" t="s">
        <v>7581</v>
      </c>
      <c r="C2023" t="s">
        <v>7581</v>
      </c>
      <c r="D2023" t="s">
        <v>7580</v>
      </c>
      <c r="E2023" t="s">
        <v>7579</v>
      </c>
    </row>
    <row r="2024" spans="1:5" x14ac:dyDescent="0.3">
      <c r="A2024" t="s">
        <v>1498</v>
      </c>
      <c r="B2024" t="s">
        <v>7578</v>
      </c>
      <c r="C2024" t="s">
        <v>6517</v>
      </c>
      <c r="D2024" t="s">
        <v>6517</v>
      </c>
      <c r="E2024" t="s">
        <v>6517</v>
      </c>
    </row>
    <row r="2025" spans="1:5" x14ac:dyDescent="0.3">
      <c r="A2025" t="s">
        <v>1498</v>
      </c>
      <c r="B2025" t="s">
        <v>7577</v>
      </c>
      <c r="C2025" t="s">
        <v>6517</v>
      </c>
      <c r="D2025" t="s">
        <v>6517</v>
      </c>
      <c r="E2025" t="s">
        <v>6517</v>
      </c>
    </row>
    <row r="2026" spans="1:5" x14ac:dyDescent="0.3">
      <c r="A2026" t="s">
        <v>1498</v>
      </c>
      <c r="B2026" t="s">
        <v>7576</v>
      </c>
      <c r="C2026" t="s">
        <v>6517</v>
      </c>
      <c r="D2026" t="s">
        <v>6517</v>
      </c>
      <c r="E2026" t="s">
        <v>6517</v>
      </c>
    </row>
    <row r="2027" spans="1:5" x14ac:dyDescent="0.3">
      <c r="A2027" t="s">
        <v>1498</v>
      </c>
      <c r="B2027" t="s">
        <v>7575</v>
      </c>
      <c r="C2027" t="s">
        <v>6517</v>
      </c>
      <c r="D2027" t="s">
        <v>6517</v>
      </c>
      <c r="E2027" t="s">
        <v>6517</v>
      </c>
    </row>
    <row r="2028" spans="1:5" x14ac:dyDescent="0.3">
      <c r="A2028" t="s">
        <v>1499</v>
      </c>
      <c r="B2028" t="s">
        <v>7574</v>
      </c>
      <c r="C2028" t="s">
        <v>7574</v>
      </c>
      <c r="D2028" t="s">
        <v>7573</v>
      </c>
      <c r="E2028" t="s">
        <v>7572</v>
      </c>
    </row>
    <row r="2029" spans="1:5" x14ac:dyDescent="0.3">
      <c r="A2029" t="s">
        <v>1499</v>
      </c>
      <c r="B2029" t="s">
        <v>7571</v>
      </c>
      <c r="C2029" t="s">
        <v>6517</v>
      </c>
      <c r="D2029" t="s">
        <v>6517</v>
      </c>
      <c r="E2029" t="s">
        <v>6517</v>
      </c>
    </row>
    <row r="2030" spans="1:5" x14ac:dyDescent="0.3">
      <c r="A2030" t="s">
        <v>1499</v>
      </c>
      <c r="B2030" t="s">
        <v>7570</v>
      </c>
      <c r="C2030" t="s">
        <v>6517</v>
      </c>
      <c r="D2030" t="s">
        <v>6517</v>
      </c>
      <c r="E2030" t="s">
        <v>6517</v>
      </c>
    </row>
    <row r="2031" spans="1:5" x14ac:dyDescent="0.3">
      <c r="A2031" t="s">
        <v>1499</v>
      </c>
      <c r="B2031" t="s">
        <v>7569</v>
      </c>
      <c r="C2031" t="s">
        <v>6517</v>
      </c>
      <c r="D2031" t="s">
        <v>6517</v>
      </c>
      <c r="E2031" t="s">
        <v>6517</v>
      </c>
    </row>
    <row r="2032" spans="1:5" x14ac:dyDescent="0.3">
      <c r="A2032" t="s">
        <v>1499</v>
      </c>
      <c r="B2032" t="s">
        <v>7568</v>
      </c>
      <c r="C2032" t="s">
        <v>6517</v>
      </c>
      <c r="D2032" t="s">
        <v>6517</v>
      </c>
      <c r="E2032" t="s">
        <v>6517</v>
      </c>
    </row>
    <row r="2033" spans="1:5" x14ac:dyDescent="0.3">
      <c r="A2033" t="s">
        <v>1500</v>
      </c>
      <c r="B2033" t="s">
        <v>7567</v>
      </c>
      <c r="C2033" t="s">
        <v>6517</v>
      </c>
      <c r="D2033" t="s">
        <v>6517</v>
      </c>
      <c r="E2033" t="s">
        <v>6517</v>
      </c>
    </row>
    <row r="2034" spans="1:5" x14ac:dyDescent="0.3">
      <c r="A2034" t="s">
        <v>1500</v>
      </c>
      <c r="B2034" t="s">
        <v>7566</v>
      </c>
      <c r="C2034" t="s">
        <v>6517</v>
      </c>
      <c r="D2034" t="s">
        <v>6517</v>
      </c>
      <c r="E2034" t="s">
        <v>6517</v>
      </c>
    </row>
    <row r="2035" spans="1:5" x14ac:dyDescent="0.3">
      <c r="A2035" t="s">
        <v>1500</v>
      </c>
      <c r="B2035" t="s">
        <v>7565</v>
      </c>
      <c r="C2035" t="s">
        <v>6517</v>
      </c>
      <c r="D2035" t="s">
        <v>6517</v>
      </c>
      <c r="E2035" t="s">
        <v>6517</v>
      </c>
    </row>
    <row r="2036" spans="1:5" x14ac:dyDescent="0.3">
      <c r="A2036" t="s">
        <v>1500</v>
      </c>
      <c r="B2036" t="s">
        <v>7564</v>
      </c>
      <c r="C2036" t="s">
        <v>6517</v>
      </c>
      <c r="D2036" t="s">
        <v>6517</v>
      </c>
      <c r="E2036" t="s">
        <v>6517</v>
      </c>
    </row>
    <row r="2037" spans="1:5" x14ac:dyDescent="0.3">
      <c r="A2037" t="s">
        <v>1500</v>
      </c>
      <c r="B2037" t="s">
        <v>7563</v>
      </c>
      <c r="C2037" t="s">
        <v>7563</v>
      </c>
      <c r="D2037" t="s">
        <v>7562</v>
      </c>
      <c r="E2037" t="s">
        <v>7561</v>
      </c>
    </row>
    <row r="2038" spans="1:5" x14ac:dyDescent="0.3">
      <c r="A2038" t="s">
        <v>1501</v>
      </c>
      <c r="B2038" t="s">
        <v>7560</v>
      </c>
      <c r="C2038" t="s">
        <v>6517</v>
      </c>
      <c r="D2038" t="s">
        <v>6517</v>
      </c>
      <c r="E2038" t="s">
        <v>6517</v>
      </c>
    </row>
    <row r="2039" spans="1:5" x14ac:dyDescent="0.3">
      <c r="A2039" t="s">
        <v>1501</v>
      </c>
      <c r="B2039" t="s">
        <v>7559</v>
      </c>
      <c r="C2039" t="s">
        <v>6517</v>
      </c>
      <c r="D2039" t="s">
        <v>6517</v>
      </c>
      <c r="E2039" t="s">
        <v>6517</v>
      </c>
    </row>
    <row r="2040" spans="1:5" x14ac:dyDescent="0.3">
      <c r="A2040" t="s">
        <v>1501</v>
      </c>
      <c r="B2040" t="s">
        <v>7558</v>
      </c>
      <c r="C2040" t="s">
        <v>6517</v>
      </c>
      <c r="D2040" t="s">
        <v>6517</v>
      </c>
      <c r="E2040" t="s">
        <v>6517</v>
      </c>
    </row>
    <row r="2041" spans="1:5" x14ac:dyDescent="0.3">
      <c r="A2041" t="s">
        <v>1501</v>
      </c>
      <c r="B2041" t="s">
        <v>7557</v>
      </c>
      <c r="C2041" t="s">
        <v>6517</v>
      </c>
      <c r="D2041" t="s">
        <v>6517</v>
      </c>
      <c r="E2041" t="s">
        <v>6517</v>
      </c>
    </row>
    <row r="2042" spans="1:5" x14ac:dyDescent="0.3">
      <c r="A2042" t="s">
        <v>1501</v>
      </c>
      <c r="B2042" t="s">
        <v>7556</v>
      </c>
      <c r="C2042" t="s">
        <v>7556</v>
      </c>
      <c r="D2042" t="s">
        <v>7555</v>
      </c>
      <c r="E2042" t="s">
        <v>7554</v>
      </c>
    </row>
    <row r="2043" spans="1:5" x14ac:dyDescent="0.3">
      <c r="A2043" t="s">
        <v>1502</v>
      </c>
      <c r="B2043" t="s">
        <v>7553</v>
      </c>
      <c r="C2043" t="s">
        <v>7553</v>
      </c>
      <c r="D2043" t="s">
        <v>7552</v>
      </c>
      <c r="E2043" t="s">
        <v>7551</v>
      </c>
    </row>
    <row r="2044" spans="1:5" x14ac:dyDescent="0.3">
      <c r="A2044" t="s">
        <v>1502</v>
      </c>
      <c r="B2044" t="s">
        <v>7550</v>
      </c>
      <c r="C2044" t="s">
        <v>6517</v>
      </c>
      <c r="D2044" t="s">
        <v>6517</v>
      </c>
      <c r="E2044" t="s">
        <v>6517</v>
      </c>
    </row>
    <row r="2045" spans="1:5" x14ac:dyDescent="0.3">
      <c r="A2045" t="s">
        <v>1502</v>
      </c>
      <c r="B2045" t="s">
        <v>7549</v>
      </c>
      <c r="C2045" t="s">
        <v>6517</v>
      </c>
      <c r="D2045" t="s">
        <v>6517</v>
      </c>
      <c r="E2045" t="s">
        <v>6517</v>
      </c>
    </row>
    <row r="2046" spans="1:5" x14ac:dyDescent="0.3">
      <c r="A2046" t="s">
        <v>1502</v>
      </c>
      <c r="B2046" t="s">
        <v>7548</v>
      </c>
      <c r="C2046" t="s">
        <v>6517</v>
      </c>
      <c r="D2046" t="s">
        <v>6517</v>
      </c>
      <c r="E2046" t="s">
        <v>6517</v>
      </c>
    </row>
    <row r="2047" spans="1:5" x14ac:dyDescent="0.3">
      <c r="A2047" t="s">
        <v>1502</v>
      </c>
      <c r="B2047" t="s">
        <v>7547</v>
      </c>
      <c r="C2047" t="s">
        <v>6517</v>
      </c>
      <c r="D2047" t="s">
        <v>6517</v>
      </c>
      <c r="E2047" t="s">
        <v>6517</v>
      </c>
    </row>
    <row r="2048" spans="1:5" x14ac:dyDescent="0.3">
      <c r="A2048" t="s">
        <v>1503</v>
      </c>
      <c r="B2048" t="s">
        <v>7546</v>
      </c>
      <c r="C2048" t="s">
        <v>7546</v>
      </c>
      <c r="D2048" t="s">
        <v>7545</v>
      </c>
      <c r="E2048" t="s">
        <v>7544</v>
      </c>
    </row>
    <row r="2049" spans="1:5" x14ac:dyDescent="0.3">
      <c r="A2049" t="s">
        <v>1503</v>
      </c>
      <c r="B2049" t="s">
        <v>7543</v>
      </c>
      <c r="C2049" t="s">
        <v>6517</v>
      </c>
      <c r="D2049" t="s">
        <v>6517</v>
      </c>
      <c r="E2049" t="s">
        <v>6517</v>
      </c>
    </row>
    <row r="2050" spans="1:5" x14ac:dyDescent="0.3">
      <c r="A2050" t="s">
        <v>1503</v>
      </c>
      <c r="B2050" t="s">
        <v>7542</v>
      </c>
      <c r="C2050" t="s">
        <v>6517</v>
      </c>
      <c r="D2050" t="s">
        <v>6517</v>
      </c>
      <c r="E2050" t="s">
        <v>6517</v>
      </c>
    </row>
    <row r="2051" spans="1:5" x14ac:dyDescent="0.3">
      <c r="A2051" t="s">
        <v>1503</v>
      </c>
      <c r="B2051" t="s">
        <v>7541</v>
      </c>
      <c r="C2051" t="s">
        <v>6517</v>
      </c>
      <c r="D2051" t="s">
        <v>6517</v>
      </c>
      <c r="E2051" t="s">
        <v>6517</v>
      </c>
    </row>
    <row r="2052" spans="1:5" x14ac:dyDescent="0.3">
      <c r="A2052" t="s">
        <v>1503</v>
      </c>
      <c r="B2052" t="s">
        <v>7540</v>
      </c>
      <c r="C2052" t="s">
        <v>6517</v>
      </c>
      <c r="D2052" t="s">
        <v>6517</v>
      </c>
      <c r="E2052" t="s">
        <v>6517</v>
      </c>
    </row>
    <row r="2053" spans="1:5" x14ac:dyDescent="0.3">
      <c r="A2053" t="s">
        <v>1504</v>
      </c>
      <c r="B2053" t="s">
        <v>7539</v>
      </c>
      <c r="C2053" t="s">
        <v>7539</v>
      </c>
      <c r="D2053" t="s">
        <v>7538</v>
      </c>
      <c r="E2053" t="s">
        <v>7537</v>
      </c>
    </row>
    <row r="2054" spans="1:5" x14ac:dyDescent="0.3">
      <c r="A2054" t="s">
        <v>1504</v>
      </c>
      <c r="B2054" t="s">
        <v>7536</v>
      </c>
      <c r="C2054" t="s">
        <v>6517</v>
      </c>
      <c r="D2054" t="s">
        <v>6517</v>
      </c>
      <c r="E2054" t="s">
        <v>6517</v>
      </c>
    </row>
    <row r="2055" spans="1:5" x14ac:dyDescent="0.3">
      <c r="A2055" t="s">
        <v>1504</v>
      </c>
      <c r="B2055" t="s">
        <v>7535</v>
      </c>
      <c r="C2055" t="s">
        <v>6517</v>
      </c>
      <c r="D2055" t="s">
        <v>6517</v>
      </c>
      <c r="E2055" t="s">
        <v>6517</v>
      </c>
    </row>
    <row r="2056" spans="1:5" x14ac:dyDescent="0.3">
      <c r="A2056" t="s">
        <v>1504</v>
      </c>
      <c r="B2056" t="s">
        <v>7534</v>
      </c>
      <c r="C2056" t="s">
        <v>6517</v>
      </c>
      <c r="D2056" t="s">
        <v>6517</v>
      </c>
      <c r="E2056" t="s">
        <v>6517</v>
      </c>
    </row>
    <row r="2057" spans="1:5" x14ac:dyDescent="0.3">
      <c r="A2057" t="s">
        <v>1504</v>
      </c>
      <c r="B2057" t="s">
        <v>7533</v>
      </c>
      <c r="C2057" t="s">
        <v>6517</v>
      </c>
      <c r="D2057" t="s">
        <v>6517</v>
      </c>
      <c r="E2057" t="s">
        <v>6517</v>
      </c>
    </row>
    <row r="2058" spans="1:5" x14ac:dyDescent="0.3">
      <c r="A2058" t="s">
        <v>1505</v>
      </c>
      <c r="B2058" t="s">
        <v>7532</v>
      </c>
      <c r="C2058" t="s">
        <v>7532</v>
      </c>
      <c r="D2058" t="s">
        <v>7531</v>
      </c>
      <c r="E2058" t="s">
        <v>7530</v>
      </c>
    </row>
    <row r="2059" spans="1:5" x14ac:dyDescent="0.3">
      <c r="A2059" t="s">
        <v>1505</v>
      </c>
      <c r="B2059" t="s">
        <v>7529</v>
      </c>
      <c r="C2059" t="s">
        <v>6517</v>
      </c>
      <c r="D2059" t="s">
        <v>6517</v>
      </c>
      <c r="E2059" t="s">
        <v>6517</v>
      </c>
    </row>
    <row r="2060" spans="1:5" x14ac:dyDescent="0.3">
      <c r="A2060" t="s">
        <v>1505</v>
      </c>
      <c r="B2060" t="s">
        <v>7528</v>
      </c>
      <c r="C2060" t="s">
        <v>6517</v>
      </c>
      <c r="D2060" t="s">
        <v>6517</v>
      </c>
      <c r="E2060" t="s">
        <v>6517</v>
      </c>
    </row>
    <row r="2061" spans="1:5" x14ac:dyDescent="0.3">
      <c r="A2061" t="s">
        <v>1505</v>
      </c>
      <c r="B2061" t="s">
        <v>7527</v>
      </c>
      <c r="C2061" t="s">
        <v>6517</v>
      </c>
      <c r="D2061" t="s">
        <v>6517</v>
      </c>
      <c r="E2061" t="s">
        <v>6517</v>
      </c>
    </row>
    <row r="2062" spans="1:5" x14ac:dyDescent="0.3">
      <c r="A2062" t="s">
        <v>1505</v>
      </c>
      <c r="B2062" t="s">
        <v>7526</v>
      </c>
      <c r="C2062" t="s">
        <v>6517</v>
      </c>
      <c r="D2062" t="s">
        <v>6517</v>
      </c>
      <c r="E2062" t="s">
        <v>6517</v>
      </c>
    </row>
    <row r="2063" spans="1:5" x14ac:dyDescent="0.3">
      <c r="A2063" t="s">
        <v>1506</v>
      </c>
      <c r="B2063" t="s">
        <v>7525</v>
      </c>
      <c r="C2063" t="s">
        <v>6517</v>
      </c>
      <c r="D2063" t="s">
        <v>6517</v>
      </c>
      <c r="E2063" t="s">
        <v>6517</v>
      </c>
    </row>
    <row r="2064" spans="1:5" x14ac:dyDescent="0.3">
      <c r="A2064" t="s">
        <v>1506</v>
      </c>
      <c r="B2064" t="s">
        <v>7524</v>
      </c>
      <c r="C2064" t="s">
        <v>7524</v>
      </c>
      <c r="D2064" t="s">
        <v>7523</v>
      </c>
      <c r="E2064" t="s">
        <v>7522</v>
      </c>
    </row>
    <row r="2065" spans="1:5" x14ac:dyDescent="0.3">
      <c r="A2065" t="s">
        <v>1506</v>
      </c>
      <c r="B2065" t="s">
        <v>7521</v>
      </c>
      <c r="C2065" t="s">
        <v>6517</v>
      </c>
      <c r="D2065" t="s">
        <v>6517</v>
      </c>
      <c r="E2065" t="s">
        <v>6517</v>
      </c>
    </row>
    <row r="2066" spans="1:5" x14ac:dyDescent="0.3">
      <c r="A2066" t="s">
        <v>1506</v>
      </c>
      <c r="B2066" t="s">
        <v>7520</v>
      </c>
      <c r="C2066" t="s">
        <v>6517</v>
      </c>
      <c r="D2066" t="s">
        <v>6517</v>
      </c>
      <c r="E2066" t="s">
        <v>6517</v>
      </c>
    </row>
    <row r="2067" spans="1:5" x14ac:dyDescent="0.3">
      <c r="A2067" t="s">
        <v>1506</v>
      </c>
      <c r="B2067" t="s">
        <v>7519</v>
      </c>
      <c r="C2067" t="s">
        <v>6517</v>
      </c>
      <c r="D2067" t="s">
        <v>6517</v>
      </c>
      <c r="E2067" t="s">
        <v>6517</v>
      </c>
    </row>
    <row r="2068" spans="1:5" x14ac:dyDescent="0.3">
      <c r="A2068" t="s">
        <v>1507</v>
      </c>
      <c r="B2068" t="s">
        <v>7518</v>
      </c>
      <c r="C2068" t="s">
        <v>7518</v>
      </c>
      <c r="D2068" t="s">
        <v>7517</v>
      </c>
      <c r="E2068" t="s">
        <v>7516</v>
      </c>
    </row>
    <row r="2069" spans="1:5" x14ac:dyDescent="0.3">
      <c r="A2069" t="s">
        <v>1507</v>
      </c>
      <c r="B2069" t="s">
        <v>7515</v>
      </c>
      <c r="C2069" t="s">
        <v>6517</v>
      </c>
      <c r="D2069" t="s">
        <v>6517</v>
      </c>
      <c r="E2069" t="s">
        <v>6517</v>
      </c>
    </row>
    <row r="2070" spans="1:5" x14ac:dyDescent="0.3">
      <c r="A2070" t="s">
        <v>1507</v>
      </c>
      <c r="B2070" t="s">
        <v>7514</v>
      </c>
      <c r="C2070" t="s">
        <v>6517</v>
      </c>
      <c r="D2070" t="s">
        <v>6517</v>
      </c>
      <c r="E2070" t="s">
        <v>6517</v>
      </c>
    </row>
    <row r="2071" spans="1:5" x14ac:dyDescent="0.3">
      <c r="A2071" t="s">
        <v>1507</v>
      </c>
      <c r="B2071" t="s">
        <v>7513</v>
      </c>
      <c r="C2071" t="s">
        <v>6517</v>
      </c>
      <c r="D2071" t="s">
        <v>6517</v>
      </c>
      <c r="E2071" t="s">
        <v>6517</v>
      </c>
    </row>
    <row r="2072" spans="1:5" x14ac:dyDescent="0.3">
      <c r="A2072" t="s">
        <v>1507</v>
      </c>
      <c r="B2072" t="s">
        <v>7512</v>
      </c>
      <c r="C2072" t="s">
        <v>6517</v>
      </c>
      <c r="D2072" t="s">
        <v>6517</v>
      </c>
      <c r="E2072" t="s">
        <v>6517</v>
      </c>
    </row>
    <row r="2073" spans="1:5" x14ac:dyDescent="0.3">
      <c r="A2073" t="s">
        <v>1508</v>
      </c>
      <c r="B2073" t="s">
        <v>7511</v>
      </c>
      <c r="C2073" t="s">
        <v>7511</v>
      </c>
      <c r="D2073" t="s">
        <v>7510</v>
      </c>
      <c r="E2073" t="s">
        <v>7509</v>
      </c>
    </row>
    <row r="2074" spans="1:5" x14ac:dyDescent="0.3">
      <c r="A2074" t="s">
        <v>1508</v>
      </c>
      <c r="B2074" t="s">
        <v>7508</v>
      </c>
      <c r="C2074" t="s">
        <v>6517</v>
      </c>
      <c r="D2074" t="s">
        <v>6517</v>
      </c>
      <c r="E2074" t="s">
        <v>6517</v>
      </c>
    </row>
    <row r="2075" spans="1:5" x14ac:dyDescent="0.3">
      <c r="A2075" t="s">
        <v>1508</v>
      </c>
      <c r="B2075" t="s">
        <v>7507</v>
      </c>
      <c r="C2075" t="s">
        <v>6517</v>
      </c>
      <c r="D2075" t="s">
        <v>6517</v>
      </c>
      <c r="E2075" t="s">
        <v>6517</v>
      </c>
    </row>
    <row r="2076" spans="1:5" x14ac:dyDescent="0.3">
      <c r="A2076" t="s">
        <v>1508</v>
      </c>
      <c r="B2076" t="s">
        <v>7506</v>
      </c>
      <c r="C2076" t="s">
        <v>6517</v>
      </c>
      <c r="D2076" t="s">
        <v>6517</v>
      </c>
      <c r="E2076" t="s">
        <v>6517</v>
      </c>
    </row>
    <row r="2077" spans="1:5" x14ac:dyDescent="0.3">
      <c r="A2077" t="s">
        <v>1508</v>
      </c>
      <c r="B2077" t="s">
        <v>7505</v>
      </c>
      <c r="C2077" t="s">
        <v>6517</v>
      </c>
      <c r="D2077" t="s">
        <v>6517</v>
      </c>
      <c r="E2077" t="s">
        <v>6517</v>
      </c>
    </row>
    <row r="2078" spans="1:5" x14ac:dyDescent="0.3">
      <c r="A2078" t="s">
        <v>1509</v>
      </c>
      <c r="B2078" t="s">
        <v>7504</v>
      </c>
      <c r="C2078" t="s">
        <v>7504</v>
      </c>
      <c r="D2078" t="s">
        <v>7503</v>
      </c>
      <c r="E2078" t="s">
        <v>7502</v>
      </c>
    </row>
    <row r="2079" spans="1:5" x14ac:dyDescent="0.3">
      <c r="A2079" t="s">
        <v>1509</v>
      </c>
      <c r="B2079" t="s">
        <v>7501</v>
      </c>
      <c r="C2079" t="s">
        <v>6517</v>
      </c>
      <c r="D2079" t="s">
        <v>6517</v>
      </c>
      <c r="E2079" t="s">
        <v>6517</v>
      </c>
    </row>
    <row r="2080" spans="1:5" x14ac:dyDescent="0.3">
      <c r="A2080" t="s">
        <v>1509</v>
      </c>
      <c r="B2080" t="s">
        <v>7500</v>
      </c>
      <c r="C2080" t="s">
        <v>6517</v>
      </c>
      <c r="D2080" t="s">
        <v>6517</v>
      </c>
      <c r="E2080" t="s">
        <v>6517</v>
      </c>
    </row>
    <row r="2081" spans="1:5" x14ac:dyDescent="0.3">
      <c r="A2081" t="s">
        <v>1509</v>
      </c>
      <c r="B2081" t="s">
        <v>7499</v>
      </c>
      <c r="C2081" t="s">
        <v>6517</v>
      </c>
      <c r="D2081" t="s">
        <v>6517</v>
      </c>
      <c r="E2081" t="s">
        <v>6517</v>
      </c>
    </row>
    <row r="2082" spans="1:5" x14ac:dyDescent="0.3">
      <c r="A2082" t="s">
        <v>1509</v>
      </c>
      <c r="B2082" t="s">
        <v>7498</v>
      </c>
      <c r="C2082" t="s">
        <v>6517</v>
      </c>
      <c r="D2082" t="s">
        <v>6517</v>
      </c>
      <c r="E2082" t="s">
        <v>6517</v>
      </c>
    </row>
    <row r="2083" spans="1:5" x14ac:dyDescent="0.3">
      <c r="A2083" t="s">
        <v>1510</v>
      </c>
      <c r="B2083" t="s">
        <v>7497</v>
      </c>
      <c r="C2083" t="s">
        <v>7497</v>
      </c>
      <c r="D2083" t="s">
        <v>7496</v>
      </c>
      <c r="E2083" t="s">
        <v>7495</v>
      </c>
    </row>
    <row r="2084" spans="1:5" x14ac:dyDescent="0.3">
      <c r="A2084" t="s">
        <v>1510</v>
      </c>
      <c r="B2084" t="s">
        <v>7494</v>
      </c>
      <c r="C2084" t="s">
        <v>6517</v>
      </c>
      <c r="D2084" t="s">
        <v>6517</v>
      </c>
      <c r="E2084" t="s">
        <v>6517</v>
      </c>
    </row>
    <row r="2085" spans="1:5" x14ac:dyDescent="0.3">
      <c r="A2085" t="s">
        <v>1510</v>
      </c>
      <c r="B2085" t="s">
        <v>7493</v>
      </c>
      <c r="C2085" t="s">
        <v>6517</v>
      </c>
      <c r="D2085" t="s">
        <v>6517</v>
      </c>
      <c r="E2085" t="s">
        <v>6517</v>
      </c>
    </row>
    <row r="2086" spans="1:5" x14ac:dyDescent="0.3">
      <c r="A2086" t="s">
        <v>1510</v>
      </c>
      <c r="B2086" t="s">
        <v>7492</v>
      </c>
      <c r="C2086" t="s">
        <v>6517</v>
      </c>
      <c r="D2086" t="s">
        <v>6517</v>
      </c>
      <c r="E2086" t="s">
        <v>6517</v>
      </c>
    </row>
    <row r="2087" spans="1:5" x14ac:dyDescent="0.3">
      <c r="A2087" t="s">
        <v>1510</v>
      </c>
      <c r="B2087" t="s">
        <v>7491</v>
      </c>
      <c r="C2087" t="s">
        <v>6517</v>
      </c>
      <c r="D2087" t="s">
        <v>6517</v>
      </c>
      <c r="E2087" t="s">
        <v>6517</v>
      </c>
    </row>
    <row r="2088" spans="1:5" x14ac:dyDescent="0.3">
      <c r="A2088" t="s">
        <v>1511</v>
      </c>
      <c r="B2088" t="s">
        <v>7490</v>
      </c>
      <c r="C2088" t="s">
        <v>7490</v>
      </c>
      <c r="D2088" t="s">
        <v>7489</v>
      </c>
      <c r="E2088" t="s">
        <v>7488</v>
      </c>
    </row>
    <row r="2089" spans="1:5" x14ac:dyDescent="0.3">
      <c r="A2089" t="s">
        <v>1511</v>
      </c>
      <c r="B2089" t="s">
        <v>7487</v>
      </c>
      <c r="C2089" t="s">
        <v>6517</v>
      </c>
      <c r="D2089" t="s">
        <v>6517</v>
      </c>
      <c r="E2089" t="s">
        <v>6517</v>
      </c>
    </row>
    <row r="2090" spans="1:5" x14ac:dyDescent="0.3">
      <c r="A2090" t="s">
        <v>1511</v>
      </c>
      <c r="B2090" t="s">
        <v>7486</v>
      </c>
      <c r="C2090" t="s">
        <v>6517</v>
      </c>
      <c r="D2090" t="s">
        <v>6517</v>
      </c>
      <c r="E2090" t="s">
        <v>6517</v>
      </c>
    </row>
    <row r="2091" spans="1:5" x14ac:dyDescent="0.3">
      <c r="A2091" t="s">
        <v>1511</v>
      </c>
      <c r="B2091" t="s">
        <v>7485</v>
      </c>
      <c r="C2091" t="s">
        <v>6517</v>
      </c>
      <c r="D2091" t="s">
        <v>6517</v>
      </c>
      <c r="E2091" t="s">
        <v>6517</v>
      </c>
    </row>
    <row r="2092" spans="1:5" x14ac:dyDescent="0.3">
      <c r="A2092" t="s">
        <v>1511</v>
      </c>
      <c r="B2092" t="s">
        <v>7484</v>
      </c>
      <c r="C2092" t="s">
        <v>6517</v>
      </c>
      <c r="D2092" t="s">
        <v>6517</v>
      </c>
      <c r="E2092" t="s">
        <v>6517</v>
      </c>
    </row>
    <row r="2093" spans="1:5" x14ac:dyDescent="0.3">
      <c r="A2093" t="s">
        <v>1512</v>
      </c>
      <c r="B2093" t="s">
        <v>7483</v>
      </c>
      <c r="C2093" t="s">
        <v>7483</v>
      </c>
      <c r="D2093" t="s">
        <v>7482</v>
      </c>
      <c r="E2093" t="s">
        <v>7481</v>
      </c>
    </row>
    <row r="2094" spans="1:5" x14ac:dyDescent="0.3">
      <c r="A2094" t="s">
        <v>1512</v>
      </c>
      <c r="B2094" t="s">
        <v>7480</v>
      </c>
      <c r="C2094" t="s">
        <v>6517</v>
      </c>
      <c r="D2094" t="s">
        <v>6517</v>
      </c>
      <c r="E2094" t="s">
        <v>6517</v>
      </c>
    </row>
    <row r="2095" spans="1:5" x14ac:dyDescent="0.3">
      <c r="A2095" t="s">
        <v>1512</v>
      </c>
      <c r="B2095" t="s">
        <v>7479</v>
      </c>
      <c r="C2095" t="s">
        <v>6517</v>
      </c>
      <c r="D2095" t="s">
        <v>6517</v>
      </c>
      <c r="E2095" t="s">
        <v>6517</v>
      </c>
    </row>
    <row r="2096" spans="1:5" x14ac:dyDescent="0.3">
      <c r="A2096" t="s">
        <v>1512</v>
      </c>
      <c r="B2096" t="s">
        <v>7478</v>
      </c>
      <c r="C2096" t="s">
        <v>6517</v>
      </c>
      <c r="D2096" t="s">
        <v>6517</v>
      </c>
      <c r="E2096" t="s">
        <v>6517</v>
      </c>
    </row>
    <row r="2097" spans="1:5" x14ac:dyDescent="0.3">
      <c r="A2097" t="s">
        <v>1512</v>
      </c>
      <c r="B2097" t="s">
        <v>7477</v>
      </c>
      <c r="C2097" t="s">
        <v>6517</v>
      </c>
      <c r="D2097" t="s">
        <v>6517</v>
      </c>
      <c r="E2097" t="s">
        <v>6517</v>
      </c>
    </row>
    <row r="2098" spans="1:5" x14ac:dyDescent="0.3">
      <c r="A2098" t="s">
        <v>1513</v>
      </c>
      <c r="B2098" t="s">
        <v>7476</v>
      </c>
      <c r="C2098" t="s">
        <v>6517</v>
      </c>
      <c r="D2098" t="s">
        <v>6517</v>
      </c>
      <c r="E2098" t="s">
        <v>6517</v>
      </c>
    </row>
    <row r="2099" spans="1:5" x14ac:dyDescent="0.3">
      <c r="A2099" t="s">
        <v>1513</v>
      </c>
      <c r="B2099" t="s">
        <v>7475</v>
      </c>
      <c r="C2099" t="s">
        <v>7475</v>
      </c>
      <c r="D2099" t="s">
        <v>7474</v>
      </c>
      <c r="E2099" t="s">
        <v>7473</v>
      </c>
    </row>
    <row r="2100" spans="1:5" x14ac:dyDescent="0.3">
      <c r="A2100" t="s">
        <v>1513</v>
      </c>
      <c r="B2100" t="s">
        <v>7472</v>
      </c>
      <c r="C2100" t="s">
        <v>6517</v>
      </c>
      <c r="D2100" t="s">
        <v>6517</v>
      </c>
      <c r="E2100" t="s">
        <v>6517</v>
      </c>
    </row>
    <row r="2101" spans="1:5" x14ac:dyDescent="0.3">
      <c r="A2101" t="s">
        <v>1513</v>
      </c>
      <c r="B2101" t="s">
        <v>7471</v>
      </c>
      <c r="C2101" t="s">
        <v>6517</v>
      </c>
      <c r="D2101" t="s">
        <v>6517</v>
      </c>
      <c r="E2101" t="s">
        <v>6517</v>
      </c>
    </row>
    <row r="2102" spans="1:5" x14ac:dyDescent="0.3">
      <c r="A2102" t="s">
        <v>1513</v>
      </c>
      <c r="B2102" t="s">
        <v>7470</v>
      </c>
      <c r="C2102" t="s">
        <v>6517</v>
      </c>
      <c r="D2102" t="s">
        <v>6517</v>
      </c>
      <c r="E2102" t="s">
        <v>6517</v>
      </c>
    </row>
    <row r="2103" spans="1:5" x14ac:dyDescent="0.3">
      <c r="A2103" t="s">
        <v>1514</v>
      </c>
      <c r="B2103" t="s">
        <v>7469</v>
      </c>
      <c r="C2103" t="s">
        <v>7469</v>
      </c>
      <c r="D2103" t="s">
        <v>7468</v>
      </c>
      <c r="E2103" t="s">
        <v>7467</v>
      </c>
    </row>
    <row r="2104" spans="1:5" x14ac:dyDescent="0.3">
      <c r="A2104" t="s">
        <v>1514</v>
      </c>
      <c r="B2104" t="s">
        <v>7466</v>
      </c>
      <c r="C2104" t="s">
        <v>6517</v>
      </c>
      <c r="D2104" t="s">
        <v>6517</v>
      </c>
      <c r="E2104" t="s">
        <v>6517</v>
      </c>
    </row>
    <row r="2105" spans="1:5" x14ac:dyDescent="0.3">
      <c r="A2105" t="s">
        <v>1514</v>
      </c>
      <c r="B2105" t="s">
        <v>7465</v>
      </c>
      <c r="C2105" t="s">
        <v>6517</v>
      </c>
      <c r="D2105" t="s">
        <v>6517</v>
      </c>
      <c r="E2105" t="s">
        <v>6517</v>
      </c>
    </row>
    <row r="2106" spans="1:5" x14ac:dyDescent="0.3">
      <c r="A2106" t="s">
        <v>1514</v>
      </c>
      <c r="B2106" t="s">
        <v>7464</v>
      </c>
      <c r="C2106" t="s">
        <v>6517</v>
      </c>
      <c r="D2106" t="s">
        <v>6517</v>
      </c>
      <c r="E2106" t="s">
        <v>6517</v>
      </c>
    </row>
    <row r="2107" spans="1:5" x14ac:dyDescent="0.3">
      <c r="A2107" t="s">
        <v>1514</v>
      </c>
      <c r="B2107" t="s">
        <v>7463</v>
      </c>
      <c r="C2107" t="s">
        <v>6517</v>
      </c>
      <c r="D2107" t="s">
        <v>6517</v>
      </c>
      <c r="E2107" t="s">
        <v>6517</v>
      </c>
    </row>
    <row r="2108" spans="1:5" x14ac:dyDescent="0.3">
      <c r="A2108" t="s">
        <v>1515</v>
      </c>
      <c r="B2108" t="s">
        <v>7462</v>
      </c>
      <c r="C2108" t="s">
        <v>7462</v>
      </c>
      <c r="D2108" t="s">
        <v>7461</v>
      </c>
      <c r="E2108" t="s">
        <v>7460</v>
      </c>
    </row>
    <row r="2109" spans="1:5" x14ac:dyDescent="0.3">
      <c r="A2109" t="s">
        <v>1515</v>
      </c>
      <c r="B2109" t="s">
        <v>7459</v>
      </c>
      <c r="C2109" t="s">
        <v>6517</v>
      </c>
      <c r="D2109" t="s">
        <v>6517</v>
      </c>
      <c r="E2109" t="s">
        <v>6517</v>
      </c>
    </row>
    <row r="2110" spans="1:5" x14ac:dyDescent="0.3">
      <c r="A2110" t="s">
        <v>1515</v>
      </c>
      <c r="B2110" t="s">
        <v>7458</v>
      </c>
      <c r="C2110" t="s">
        <v>6517</v>
      </c>
      <c r="D2110" t="s">
        <v>6517</v>
      </c>
      <c r="E2110" t="s">
        <v>6517</v>
      </c>
    </row>
    <row r="2111" spans="1:5" x14ac:dyDescent="0.3">
      <c r="A2111" t="s">
        <v>1515</v>
      </c>
      <c r="B2111" t="s">
        <v>7457</v>
      </c>
      <c r="C2111" t="s">
        <v>6517</v>
      </c>
      <c r="D2111" t="s">
        <v>6517</v>
      </c>
      <c r="E2111" t="s">
        <v>6517</v>
      </c>
    </row>
    <row r="2112" spans="1:5" x14ac:dyDescent="0.3">
      <c r="A2112" t="s">
        <v>1515</v>
      </c>
      <c r="B2112" t="s">
        <v>7456</v>
      </c>
      <c r="C2112" t="s">
        <v>6517</v>
      </c>
      <c r="D2112" t="s">
        <v>6517</v>
      </c>
      <c r="E2112" t="s">
        <v>6517</v>
      </c>
    </row>
    <row r="2113" spans="1:5" x14ac:dyDescent="0.3">
      <c r="A2113" t="s">
        <v>1516</v>
      </c>
      <c r="B2113" t="s">
        <v>7455</v>
      </c>
      <c r="C2113" t="s">
        <v>7455</v>
      </c>
      <c r="D2113" t="s">
        <v>7454</v>
      </c>
      <c r="E2113" t="s">
        <v>7453</v>
      </c>
    </row>
    <row r="2114" spans="1:5" x14ac:dyDescent="0.3">
      <c r="A2114" t="s">
        <v>1516</v>
      </c>
      <c r="B2114" t="s">
        <v>7452</v>
      </c>
      <c r="C2114" t="s">
        <v>6517</v>
      </c>
      <c r="D2114" t="s">
        <v>6517</v>
      </c>
      <c r="E2114" t="s">
        <v>6517</v>
      </c>
    </row>
    <row r="2115" spans="1:5" x14ac:dyDescent="0.3">
      <c r="A2115" t="s">
        <v>1516</v>
      </c>
      <c r="B2115" t="s">
        <v>7451</v>
      </c>
      <c r="C2115" t="s">
        <v>6517</v>
      </c>
      <c r="D2115" t="s">
        <v>6517</v>
      </c>
      <c r="E2115" t="s">
        <v>6517</v>
      </c>
    </row>
    <row r="2116" spans="1:5" x14ac:dyDescent="0.3">
      <c r="A2116" t="s">
        <v>1516</v>
      </c>
      <c r="B2116" t="s">
        <v>7450</v>
      </c>
      <c r="C2116" t="s">
        <v>6517</v>
      </c>
      <c r="D2116" t="s">
        <v>6517</v>
      </c>
      <c r="E2116" t="s">
        <v>6517</v>
      </c>
    </row>
    <row r="2117" spans="1:5" x14ac:dyDescent="0.3">
      <c r="A2117" t="s">
        <v>1516</v>
      </c>
      <c r="B2117" t="s">
        <v>7449</v>
      </c>
      <c r="C2117" t="s">
        <v>6517</v>
      </c>
      <c r="D2117" t="s">
        <v>6517</v>
      </c>
      <c r="E2117" t="s">
        <v>6517</v>
      </c>
    </row>
    <row r="2118" spans="1:5" x14ac:dyDescent="0.3">
      <c r="A2118" t="s">
        <v>1517</v>
      </c>
      <c r="B2118" t="s">
        <v>7448</v>
      </c>
      <c r="C2118" t="s">
        <v>7448</v>
      </c>
      <c r="D2118" t="s">
        <v>7447</v>
      </c>
      <c r="E2118" t="s">
        <v>7446</v>
      </c>
    </row>
    <row r="2119" spans="1:5" x14ac:dyDescent="0.3">
      <c r="A2119" t="s">
        <v>1517</v>
      </c>
      <c r="B2119" t="s">
        <v>7445</v>
      </c>
      <c r="C2119" t="s">
        <v>6517</v>
      </c>
      <c r="D2119" t="s">
        <v>6517</v>
      </c>
      <c r="E2119" t="s">
        <v>6517</v>
      </c>
    </row>
    <row r="2120" spans="1:5" x14ac:dyDescent="0.3">
      <c r="A2120" t="s">
        <v>1517</v>
      </c>
      <c r="B2120" t="s">
        <v>7444</v>
      </c>
      <c r="C2120" t="s">
        <v>6517</v>
      </c>
      <c r="D2120" t="s">
        <v>6517</v>
      </c>
      <c r="E2120" t="s">
        <v>6517</v>
      </c>
    </row>
    <row r="2121" spans="1:5" x14ac:dyDescent="0.3">
      <c r="A2121" t="s">
        <v>1517</v>
      </c>
      <c r="B2121" t="s">
        <v>7443</v>
      </c>
      <c r="C2121" t="s">
        <v>6517</v>
      </c>
      <c r="D2121" t="s">
        <v>6517</v>
      </c>
      <c r="E2121" t="s">
        <v>6517</v>
      </c>
    </row>
    <row r="2122" spans="1:5" x14ac:dyDescent="0.3">
      <c r="A2122" t="s">
        <v>1517</v>
      </c>
      <c r="B2122" t="s">
        <v>7442</v>
      </c>
      <c r="C2122" t="s">
        <v>6517</v>
      </c>
      <c r="D2122" t="s">
        <v>6517</v>
      </c>
      <c r="E2122" t="s">
        <v>6517</v>
      </c>
    </row>
    <row r="2123" spans="1:5" x14ac:dyDescent="0.3">
      <c r="A2123" t="s">
        <v>1518</v>
      </c>
      <c r="B2123" t="s">
        <v>7441</v>
      </c>
      <c r="C2123" t="s">
        <v>7441</v>
      </c>
      <c r="D2123" t="s">
        <v>7440</v>
      </c>
      <c r="E2123" t="s">
        <v>7439</v>
      </c>
    </row>
    <row r="2124" spans="1:5" x14ac:dyDescent="0.3">
      <c r="A2124" t="s">
        <v>1518</v>
      </c>
      <c r="B2124" t="s">
        <v>7438</v>
      </c>
      <c r="C2124" t="s">
        <v>6517</v>
      </c>
      <c r="D2124" t="s">
        <v>6517</v>
      </c>
      <c r="E2124" t="s">
        <v>6517</v>
      </c>
    </row>
    <row r="2125" spans="1:5" x14ac:dyDescent="0.3">
      <c r="A2125" t="s">
        <v>1518</v>
      </c>
      <c r="B2125" t="s">
        <v>7437</v>
      </c>
      <c r="C2125" t="s">
        <v>6517</v>
      </c>
      <c r="D2125" t="s">
        <v>6517</v>
      </c>
      <c r="E2125" t="s">
        <v>6517</v>
      </c>
    </row>
    <row r="2126" spans="1:5" x14ac:dyDescent="0.3">
      <c r="A2126" t="s">
        <v>1518</v>
      </c>
      <c r="B2126" t="s">
        <v>7436</v>
      </c>
      <c r="C2126" t="s">
        <v>6517</v>
      </c>
      <c r="D2126" t="s">
        <v>6517</v>
      </c>
      <c r="E2126" t="s">
        <v>6517</v>
      </c>
    </row>
    <row r="2127" spans="1:5" x14ac:dyDescent="0.3">
      <c r="A2127" t="s">
        <v>1518</v>
      </c>
      <c r="B2127" t="s">
        <v>7435</v>
      </c>
      <c r="C2127" t="s">
        <v>6517</v>
      </c>
      <c r="D2127" t="s">
        <v>6517</v>
      </c>
      <c r="E2127" t="s">
        <v>6517</v>
      </c>
    </row>
    <row r="2128" spans="1:5" x14ac:dyDescent="0.3">
      <c r="A2128" t="s">
        <v>1519</v>
      </c>
      <c r="B2128" t="s">
        <v>7434</v>
      </c>
      <c r="C2128" t="s">
        <v>7434</v>
      </c>
      <c r="D2128" t="s">
        <v>7433</v>
      </c>
      <c r="E2128" t="s">
        <v>7432</v>
      </c>
    </row>
    <row r="2129" spans="1:5" x14ac:dyDescent="0.3">
      <c r="A2129" t="s">
        <v>1519</v>
      </c>
      <c r="B2129" t="s">
        <v>7431</v>
      </c>
      <c r="C2129" t="s">
        <v>6517</v>
      </c>
      <c r="D2129" t="s">
        <v>6517</v>
      </c>
      <c r="E2129" t="s">
        <v>6517</v>
      </c>
    </row>
    <row r="2130" spans="1:5" x14ac:dyDescent="0.3">
      <c r="A2130" t="s">
        <v>1519</v>
      </c>
      <c r="B2130" t="s">
        <v>7430</v>
      </c>
      <c r="C2130" t="s">
        <v>6517</v>
      </c>
      <c r="D2130" t="s">
        <v>6517</v>
      </c>
      <c r="E2130" t="s">
        <v>6517</v>
      </c>
    </row>
    <row r="2131" spans="1:5" x14ac:dyDescent="0.3">
      <c r="A2131" t="s">
        <v>1519</v>
      </c>
      <c r="B2131" t="s">
        <v>7429</v>
      </c>
      <c r="C2131" t="s">
        <v>6517</v>
      </c>
      <c r="D2131" t="s">
        <v>6517</v>
      </c>
      <c r="E2131" t="s">
        <v>6517</v>
      </c>
    </row>
    <row r="2132" spans="1:5" x14ac:dyDescent="0.3">
      <c r="A2132" t="s">
        <v>1519</v>
      </c>
      <c r="B2132" t="s">
        <v>7428</v>
      </c>
      <c r="C2132" t="s">
        <v>6517</v>
      </c>
      <c r="D2132" t="s">
        <v>6517</v>
      </c>
      <c r="E2132" t="s">
        <v>6517</v>
      </c>
    </row>
    <row r="2133" spans="1:5" x14ac:dyDescent="0.3">
      <c r="A2133" t="s">
        <v>1520</v>
      </c>
      <c r="B2133" t="s">
        <v>7427</v>
      </c>
      <c r="C2133" t="s">
        <v>7427</v>
      </c>
      <c r="D2133" t="s">
        <v>7426</v>
      </c>
      <c r="E2133" t="s">
        <v>7425</v>
      </c>
    </row>
    <row r="2134" spans="1:5" x14ac:dyDescent="0.3">
      <c r="A2134" t="s">
        <v>1520</v>
      </c>
      <c r="B2134" t="s">
        <v>7424</v>
      </c>
      <c r="C2134" t="s">
        <v>6517</v>
      </c>
      <c r="D2134" t="s">
        <v>6517</v>
      </c>
      <c r="E2134" t="s">
        <v>6517</v>
      </c>
    </row>
    <row r="2135" spans="1:5" x14ac:dyDescent="0.3">
      <c r="A2135" t="s">
        <v>1520</v>
      </c>
      <c r="B2135" t="s">
        <v>7423</v>
      </c>
      <c r="C2135" t="s">
        <v>6517</v>
      </c>
      <c r="D2135" t="s">
        <v>6517</v>
      </c>
      <c r="E2135" t="s">
        <v>6517</v>
      </c>
    </row>
    <row r="2136" spans="1:5" x14ac:dyDescent="0.3">
      <c r="A2136" t="s">
        <v>1520</v>
      </c>
      <c r="B2136" t="s">
        <v>7422</v>
      </c>
      <c r="C2136" t="s">
        <v>6517</v>
      </c>
      <c r="D2136" t="s">
        <v>6517</v>
      </c>
      <c r="E2136" t="s">
        <v>6517</v>
      </c>
    </row>
    <row r="2137" spans="1:5" x14ac:dyDescent="0.3">
      <c r="A2137" t="s">
        <v>1520</v>
      </c>
      <c r="B2137" t="s">
        <v>7421</v>
      </c>
      <c r="C2137" t="s">
        <v>6517</v>
      </c>
      <c r="D2137" t="s">
        <v>6517</v>
      </c>
      <c r="E2137" t="s">
        <v>6517</v>
      </c>
    </row>
    <row r="2138" spans="1:5" x14ac:dyDescent="0.3">
      <c r="A2138" t="s">
        <v>1521</v>
      </c>
      <c r="B2138" t="s">
        <v>7420</v>
      </c>
      <c r="C2138" t="s">
        <v>7420</v>
      </c>
      <c r="D2138" t="s">
        <v>7419</v>
      </c>
      <c r="E2138" t="s">
        <v>7418</v>
      </c>
    </row>
    <row r="2139" spans="1:5" x14ac:dyDescent="0.3">
      <c r="A2139" t="s">
        <v>1521</v>
      </c>
      <c r="B2139" t="s">
        <v>7417</v>
      </c>
      <c r="C2139" t="s">
        <v>6517</v>
      </c>
      <c r="D2139" t="s">
        <v>6517</v>
      </c>
      <c r="E2139" t="s">
        <v>6517</v>
      </c>
    </row>
    <row r="2140" spans="1:5" x14ac:dyDescent="0.3">
      <c r="A2140" t="s">
        <v>1521</v>
      </c>
      <c r="B2140" t="s">
        <v>7416</v>
      </c>
      <c r="C2140" t="s">
        <v>6517</v>
      </c>
      <c r="D2140" t="s">
        <v>6517</v>
      </c>
      <c r="E2140" t="s">
        <v>6517</v>
      </c>
    </row>
    <row r="2141" spans="1:5" x14ac:dyDescent="0.3">
      <c r="A2141" t="s">
        <v>1521</v>
      </c>
      <c r="B2141" t="s">
        <v>7415</v>
      </c>
      <c r="C2141" t="s">
        <v>6517</v>
      </c>
      <c r="D2141" t="s">
        <v>6517</v>
      </c>
      <c r="E2141" t="s">
        <v>6517</v>
      </c>
    </row>
    <row r="2142" spans="1:5" x14ac:dyDescent="0.3">
      <c r="A2142" t="s">
        <v>1521</v>
      </c>
      <c r="B2142" t="s">
        <v>7414</v>
      </c>
      <c r="C2142" t="s">
        <v>6517</v>
      </c>
      <c r="D2142" t="s">
        <v>6517</v>
      </c>
      <c r="E2142" t="s">
        <v>6517</v>
      </c>
    </row>
    <row r="2143" spans="1:5" x14ac:dyDescent="0.3">
      <c r="A2143" t="s">
        <v>1522</v>
      </c>
      <c r="B2143" t="s">
        <v>7413</v>
      </c>
      <c r="C2143" t="s">
        <v>7413</v>
      </c>
      <c r="D2143" t="s">
        <v>7412</v>
      </c>
      <c r="E2143" t="s">
        <v>7411</v>
      </c>
    </row>
    <row r="2144" spans="1:5" x14ac:dyDescent="0.3">
      <c r="A2144" t="s">
        <v>1522</v>
      </c>
      <c r="B2144" t="s">
        <v>7410</v>
      </c>
      <c r="C2144" t="s">
        <v>6517</v>
      </c>
      <c r="D2144" t="s">
        <v>6517</v>
      </c>
      <c r="E2144" t="s">
        <v>6517</v>
      </c>
    </row>
    <row r="2145" spans="1:5" x14ac:dyDescent="0.3">
      <c r="A2145" t="s">
        <v>1522</v>
      </c>
      <c r="B2145" t="s">
        <v>7409</v>
      </c>
      <c r="C2145" t="s">
        <v>6517</v>
      </c>
      <c r="D2145" t="s">
        <v>6517</v>
      </c>
      <c r="E2145" t="s">
        <v>6517</v>
      </c>
    </row>
    <row r="2146" spans="1:5" x14ac:dyDescent="0.3">
      <c r="A2146" t="s">
        <v>1522</v>
      </c>
      <c r="B2146" t="s">
        <v>7408</v>
      </c>
      <c r="C2146" t="s">
        <v>6517</v>
      </c>
      <c r="D2146" t="s">
        <v>6517</v>
      </c>
      <c r="E2146" t="s">
        <v>6517</v>
      </c>
    </row>
    <row r="2147" spans="1:5" x14ac:dyDescent="0.3">
      <c r="A2147" t="s">
        <v>1522</v>
      </c>
      <c r="B2147" t="s">
        <v>7407</v>
      </c>
      <c r="C2147" t="s">
        <v>6517</v>
      </c>
      <c r="D2147" t="s">
        <v>6517</v>
      </c>
      <c r="E2147" t="s">
        <v>6517</v>
      </c>
    </row>
    <row r="2148" spans="1:5" x14ac:dyDescent="0.3">
      <c r="A2148" t="s">
        <v>1523</v>
      </c>
      <c r="B2148" t="s">
        <v>7406</v>
      </c>
      <c r="C2148" t="s">
        <v>7406</v>
      </c>
      <c r="D2148" t="s">
        <v>7405</v>
      </c>
      <c r="E2148" t="s">
        <v>7404</v>
      </c>
    </row>
    <row r="2149" spans="1:5" x14ac:dyDescent="0.3">
      <c r="A2149" t="s">
        <v>1523</v>
      </c>
      <c r="B2149" t="s">
        <v>7403</v>
      </c>
      <c r="C2149" t="s">
        <v>6517</v>
      </c>
      <c r="D2149" t="s">
        <v>6517</v>
      </c>
      <c r="E2149" t="s">
        <v>6517</v>
      </c>
    </row>
    <row r="2150" spans="1:5" x14ac:dyDescent="0.3">
      <c r="A2150" t="s">
        <v>1523</v>
      </c>
      <c r="B2150" t="s">
        <v>7402</v>
      </c>
      <c r="C2150" t="s">
        <v>6517</v>
      </c>
      <c r="D2150" t="s">
        <v>6517</v>
      </c>
      <c r="E2150" t="s">
        <v>6517</v>
      </c>
    </row>
    <row r="2151" spans="1:5" x14ac:dyDescent="0.3">
      <c r="A2151" t="s">
        <v>1523</v>
      </c>
      <c r="B2151" t="s">
        <v>7401</v>
      </c>
      <c r="C2151" t="s">
        <v>6517</v>
      </c>
      <c r="D2151" t="s">
        <v>6517</v>
      </c>
      <c r="E2151" t="s">
        <v>6517</v>
      </c>
    </row>
    <row r="2152" spans="1:5" x14ac:dyDescent="0.3">
      <c r="A2152" t="s">
        <v>1523</v>
      </c>
      <c r="B2152" t="s">
        <v>7400</v>
      </c>
      <c r="C2152" t="s">
        <v>6517</v>
      </c>
      <c r="D2152" t="s">
        <v>6517</v>
      </c>
      <c r="E2152" t="s">
        <v>6517</v>
      </c>
    </row>
    <row r="2153" spans="1:5" x14ac:dyDescent="0.3">
      <c r="A2153" t="s">
        <v>109</v>
      </c>
      <c r="B2153" t="s">
        <v>7399</v>
      </c>
      <c r="C2153" t="s">
        <v>7399</v>
      </c>
      <c r="D2153" t="s">
        <v>7398</v>
      </c>
      <c r="E2153" t="s">
        <v>7397</v>
      </c>
    </row>
    <row r="2154" spans="1:5" x14ac:dyDescent="0.3">
      <c r="A2154" t="s">
        <v>109</v>
      </c>
      <c r="B2154" t="s">
        <v>7396</v>
      </c>
      <c r="C2154" t="s">
        <v>6517</v>
      </c>
      <c r="D2154" t="s">
        <v>6517</v>
      </c>
      <c r="E2154" t="s">
        <v>6517</v>
      </c>
    </row>
    <row r="2155" spans="1:5" x14ac:dyDescent="0.3">
      <c r="A2155" t="s">
        <v>109</v>
      </c>
      <c r="B2155" t="s">
        <v>7395</v>
      </c>
      <c r="C2155" t="s">
        <v>6517</v>
      </c>
      <c r="D2155" t="s">
        <v>6517</v>
      </c>
      <c r="E2155" t="s">
        <v>6517</v>
      </c>
    </row>
    <row r="2156" spans="1:5" x14ac:dyDescent="0.3">
      <c r="A2156" t="s">
        <v>109</v>
      </c>
      <c r="B2156" t="s">
        <v>7394</v>
      </c>
      <c r="C2156" t="s">
        <v>6517</v>
      </c>
      <c r="D2156" t="s">
        <v>6517</v>
      </c>
      <c r="E2156" t="s">
        <v>6517</v>
      </c>
    </row>
    <row r="2157" spans="1:5" x14ac:dyDescent="0.3">
      <c r="A2157" t="s">
        <v>109</v>
      </c>
      <c r="B2157" t="s">
        <v>7393</v>
      </c>
      <c r="C2157" t="s">
        <v>6517</v>
      </c>
      <c r="D2157" t="s">
        <v>6517</v>
      </c>
      <c r="E2157" t="s">
        <v>6517</v>
      </c>
    </row>
    <row r="2158" spans="1:5" x14ac:dyDescent="0.3">
      <c r="A2158" t="s">
        <v>1524</v>
      </c>
      <c r="B2158" t="s">
        <v>7392</v>
      </c>
      <c r="C2158" t="s">
        <v>7392</v>
      </c>
      <c r="D2158" t="s">
        <v>7391</v>
      </c>
      <c r="E2158" t="s">
        <v>7390</v>
      </c>
    </row>
    <row r="2159" spans="1:5" x14ac:dyDescent="0.3">
      <c r="A2159" t="s">
        <v>1524</v>
      </c>
      <c r="B2159" t="s">
        <v>7389</v>
      </c>
      <c r="C2159" t="s">
        <v>6517</v>
      </c>
      <c r="D2159" t="s">
        <v>6517</v>
      </c>
      <c r="E2159" t="s">
        <v>6517</v>
      </c>
    </row>
    <row r="2160" spans="1:5" x14ac:dyDescent="0.3">
      <c r="A2160" t="s">
        <v>1524</v>
      </c>
      <c r="B2160" t="s">
        <v>7388</v>
      </c>
      <c r="C2160" t="s">
        <v>6517</v>
      </c>
      <c r="D2160" t="s">
        <v>6517</v>
      </c>
      <c r="E2160" t="s">
        <v>6517</v>
      </c>
    </row>
    <row r="2161" spans="1:5" x14ac:dyDescent="0.3">
      <c r="A2161" t="s">
        <v>1524</v>
      </c>
      <c r="B2161" t="s">
        <v>7387</v>
      </c>
      <c r="C2161" t="s">
        <v>6517</v>
      </c>
      <c r="D2161" t="s">
        <v>6517</v>
      </c>
      <c r="E2161" t="s">
        <v>6517</v>
      </c>
    </row>
    <row r="2162" spans="1:5" x14ac:dyDescent="0.3">
      <c r="A2162" t="s">
        <v>1524</v>
      </c>
      <c r="B2162" t="s">
        <v>7386</v>
      </c>
      <c r="C2162" t="s">
        <v>6517</v>
      </c>
      <c r="D2162" t="s">
        <v>6517</v>
      </c>
      <c r="E2162" t="s">
        <v>6517</v>
      </c>
    </row>
    <row r="2163" spans="1:5" x14ac:dyDescent="0.3">
      <c r="A2163" t="s">
        <v>1525</v>
      </c>
      <c r="B2163" t="s">
        <v>7385</v>
      </c>
      <c r="C2163" t="s">
        <v>7385</v>
      </c>
      <c r="D2163" t="s">
        <v>7384</v>
      </c>
      <c r="E2163" t="s">
        <v>7383</v>
      </c>
    </row>
    <row r="2164" spans="1:5" x14ac:dyDescent="0.3">
      <c r="A2164" t="s">
        <v>1525</v>
      </c>
      <c r="B2164" t="s">
        <v>7382</v>
      </c>
      <c r="C2164" t="s">
        <v>6517</v>
      </c>
      <c r="D2164" t="s">
        <v>6517</v>
      </c>
      <c r="E2164" t="s">
        <v>6517</v>
      </c>
    </row>
    <row r="2165" spans="1:5" x14ac:dyDescent="0.3">
      <c r="A2165" t="s">
        <v>1525</v>
      </c>
      <c r="B2165" t="s">
        <v>7381</v>
      </c>
      <c r="C2165" t="s">
        <v>6517</v>
      </c>
      <c r="D2165" t="s">
        <v>6517</v>
      </c>
      <c r="E2165" t="s">
        <v>6517</v>
      </c>
    </row>
    <row r="2166" spans="1:5" x14ac:dyDescent="0.3">
      <c r="A2166" t="s">
        <v>1525</v>
      </c>
      <c r="B2166" t="s">
        <v>7380</v>
      </c>
      <c r="C2166" t="s">
        <v>6517</v>
      </c>
      <c r="D2166" t="s">
        <v>6517</v>
      </c>
      <c r="E2166" t="s">
        <v>6517</v>
      </c>
    </row>
    <row r="2167" spans="1:5" x14ac:dyDescent="0.3">
      <c r="A2167" t="s">
        <v>1525</v>
      </c>
      <c r="B2167" t="s">
        <v>7379</v>
      </c>
      <c r="C2167" t="s">
        <v>6517</v>
      </c>
      <c r="D2167" t="s">
        <v>6517</v>
      </c>
      <c r="E2167" t="s">
        <v>6517</v>
      </c>
    </row>
    <row r="2168" spans="1:5" x14ac:dyDescent="0.3">
      <c r="A2168" t="s">
        <v>1526</v>
      </c>
      <c r="B2168" t="s">
        <v>7378</v>
      </c>
      <c r="C2168" t="s">
        <v>7378</v>
      </c>
      <c r="D2168" t="s">
        <v>7377</v>
      </c>
      <c r="E2168" t="s">
        <v>7376</v>
      </c>
    </row>
    <row r="2169" spans="1:5" x14ac:dyDescent="0.3">
      <c r="A2169" t="s">
        <v>1526</v>
      </c>
      <c r="B2169" t="s">
        <v>7375</v>
      </c>
      <c r="C2169" t="s">
        <v>6517</v>
      </c>
      <c r="D2169" t="s">
        <v>6517</v>
      </c>
      <c r="E2169" t="s">
        <v>6517</v>
      </c>
    </row>
    <row r="2170" spans="1:5" x14ac:dyDescent="0.3">
      <c r="A2170" t="s">
        <v>1526</v>
      </c>
      <c r="B2170" t="s">
        <v>7374</v>
      </c>
      <c r="C2170" t="s">
        <v>6517</v>
      </c>
      <c r="D2170" t="s">
        <v>6517</v>
      </c>
      <c r="E2170" t="s">
        <v>6517</v>
      </c>
    </row>
    <row r="2171" spans="1:5" x14ac:dyDescent="0.3">
      <c r="A2171" t="s">
        <v>1526</v>
      </c>
      <c r="B2171" t="s">
        <v>7373</v>
      </c>
      <c r="C2171" t="s">
        <v>6517</v>
      </c>
      <c r="D2171" t="s">
        <v>6517</v>
      </c>
      <c r="E2171" t="s">
        <v>6517</v>
      </c>
    </row>
    <row r="2172" spans="1:5" x14ac:dyDescent="0.3">
      <c r="A2172" t="s">
        <v>1526</v>
      </c>
      <c r="B2172" t="s">
        <v>7372</v>
      </c>
      <c r="C2172" t="s">
        <v>6517</v>
      </c>
      <c r="D2172" t="s">
        <v>6517</v>
      </c>
      <c r="E2172" t="s">
        <v>6517</v>
      </c>
    </row>
    <row r="2173" spans="1:5" x14ac:dyDescent="0.3">
      <c r="A2173" t="s">
        <v>1527</v>
      </c>
      <c r="B2173" t="s">
        <v>7371</v>
      </c>
      <c r="C2173" t="s">
        <v>7371</v>
      </c>
      <c r="D2173" t="s">
        <v>7370</v>
      </c>
      <c r="E2173" t="s">
        <v>7369</v>
      </c>
    </row>
    <row r="2174" spans="1:5" x14ac:dyDescent="0.3">
      <c r="A2174" t="s">
        <v>1527</v>
      </c>
      <c r="B2174" t="s">
        <v>7368</v>
      </c>
      <c r="C2174" t="s">
        <v>6517</v>
      </c>
      <c r="D2174" t="s">
        <v>6517</v>
      </c>
      <c r="E2174" t="s">
        <v>6517</v>
      </c>
    </row>
    <row r="2175" spans="1:5" x14ac:dyDescent="0.3">
      <c r="A2175" t="s">
        <v>1527</v>
      </c>
      <c r="B2175" t="s">
        <v>7367</v>
      </c>
      <c r="C2175" t="s">
        <v>6517</v>
      </c>
      <c r="D2175" t="s">
        <v>6517</v>
      </c>
      <c r="E2175" t="s">
        <v>6517</v>
      </c>
    </row>
    <row r="2176" spans="1:5" x14ac:dyDescent="0.3">
      <c r="A2176" t="s">
        <v>1527</v>
      </c>
      <c r="B2176" t="s">
        <v>7366</v>
      </c>
      <c r="C2176" t="s">
        <v>6517</v>
      </c>
      <c r="D2176" t="s">
        <v>6517</v>
      </c>
      <c r="E2176" t="s">
        <v>6517</v>
      </c>
    </row>
    <row r="2177" spans="1:5" x14ac:dyDescent="0.3">
      <c r="A2177" t="s">
        <v>1527</v>
      </c>
      <c r="B2177" t="s">
        <v>7365</v>
      </c>
      <c r="C2177" t="s">
        <v>6517</v>
      </c>
      <c r="D2177" t="s">
        <v>6517</v>
      </c>
      <c r="E2177" t="s">
        <v>6517</v>
      </c>
    </row>
    <row r="2178" spans="1:5" x14ac:dyDescent="0.3">
      <c r="A2178" t="s">
        <v>1528</v>
      </c>
      <c r="B2178" t="s">
        <v>7364</v>
      </c>
      <c r="C2178" t="s">
        <v>7364</v>
      </c>
      <c r="D2178" t="s">
        <v>7363</v>
      </c>
      <c r="E2178" t="s">
        <v>7362</v>
      </c>
    </row>
    <row r="2179" spans="1:5" x14ac:dyDescent="0.3">
      <c r="A2179" t="s">
        <v>1528</v>
      </c>
      <c r="B2179" t="s">
        <v>7361</v>
      </c>
      <c r="C2179" t="s">
        <v>6517</v>
      </c>
      <c r="D2179" t="s">
        <v>6517</v>
      </c>
      <c r="E2179" t="s">
        <v>6517</v>
      </c>
    </row>
    <row r="2180" spans="1:5" x14ac:dyDescent="0.3">
      <c r="A2180" t="s">
        <v>1528</v>
      </c>
      <c r="B2180" t="s">
        <v>7360</v>
      </c>
      <c r="C2180" t="s">
        <v>6517</v>
      </c>
      <c r="D2180" t="s">
        <v>6517</v>
      </c>
      <c r="E2180" t="s">
        <v>6517</v>
      </c>
    </row>
    <row r="2181" spans="1:5" x14ac:dyDescent="0.3">
      <c r="A2181" t="s">
        <v>1528</v>
      </c>
      <c r="B2181" t="s">
        <v>7359</v>
      </c>
      <c r="C2181" t="s">
        <v>6517</v>
      </c>
      <c r="D2181" t="s">
        <v>6517</v>
      </c>
      <c r="E2181" t="s">
        <v>6517</v>
      </c>
    </row>
    <row r="2182" spans="1:5" x14ac:dyDescent="0.3">
      <c r="A2182" t="s">
        <v>1528</v>
      </c>
      <c r="B2182" t="s">
        <v>7358</v>
      </c>
      <c r="C2182" t="s">
        <v>6517</v>
      </c>
      <c r="D2182" t="s">
        <v>6517</v>
      </c>
      <c r="E2182" t="s">
        <v>6517</v>
      </c>
    </row>
    <row r="2183" spans="1:5" x14ac:dyDescent="0.3">
      <c r="A2183" t="s">
        <v>1529</v>
      </c>
      <c r="B2183" t="s">
        <v>7357</v>
      </c>
      <c r="C2183" t="s">
        <v>7357</v>
      </c>
      <c r="D2183" t="s">
        <v>7356</v>
      </c>
      <c r="E2183" t="s">
        <v>7355</v>
      </c>
    </row>
    <row r="2184" spans="1:5" x14ac:dyDescent="0.3">
      <c r="A2184" t="s">
        <v>1529</v>
      </c>
      <c r="B2184" t="s">
        <v>7354</v>
      </c>
      <c r="C2184" t="s">
        <v>6517</v>
      </c>
      <c r="D2184" t="s">
        <v>6517</v>
      </c>
      <c r="E2184" t="s">
        <v>6517</v>
      </c>
    </row>
    <row r="2185" spans="1:5" x14ac:dyDescent="0.3">
      <c r="A2185" t="s">
        <v>1529</v>
      </c>
      <c r="B2185" t="s">
        <v>7353</v>
      </c>
      <c r="C2185" t="s">
        <v>6517</v>
      </c>
      <c r="D2185" t="s">
        <v>6517</v>
      </c>
      <c r="E2185" t="s">
        <v>6517</v>
      </c>
    </row>
    <row r="2186" spans="1:5" x14ac:dyDescent="0.3">
      <c r="A2186" t="s">
        <v>1529</v>
      </c>
      <c r="B2186" t="s">
        <v>7352</v>
      </c>
      <c r="C2186" t="s">
        <v>6517</v>
      </c>
      <c r="D2186" t="s">
        <v>6517</v>
      </c>
      <c r="E2186" t="s">
        <v>6517</v>
      </c>
    </row>
    <row r="2187" spans="1:5" x14ac:dyDescent="0.3">
      <c r="A2187" t="s">
        <v>1529</v>
      </c>
      <c r="B2187" t="s">
        <v>7351</v>
      </c>
      <c r="C2187" t="s">
        <v>6517</v>
      </c>
      <c r="D2187" t="s">
        <v>6517</v>
      </c>
      <c r="E2187" t="s">
        <v>6517</v>
      </c>
    </row>
    <row r="2188" spans="1:5" x14ac:dyDescent="0.3">
      <c r="A2188" t="s">
        <v>1530</v>
      </c>
      <c r="B2188" t="s">
        <v>7350</v>
      </c>
      <c r="C2188" t="s">
        <v>7350</v>
      </c>
      <c r="D2188" t="s">
        <v>7349</v>
      </c>
      <c r="E2188" t="s">
        <v>7348</v>
      </c>
    </row>
    <row r="2189" spans="1:5" x14ac:dyDescent="0.3">
      <c r="A2189" t="s">
        <v>1530</v>
      </c>
      <c r="B2189" t="s">
        <v>7347</v>
      </c>
      <c r="C2189" t="s">
        <v>6517</v>
      </c>
      <c r="D2189" t="s">
        <v>6517</v>
      </c>
      <c r="E2189" t="s">
        <v>6517</v>
      </c>
    </row>
    <row r="2190" spans="1:5" x14ac:dyDescent="0.3">
      <c r="A2190" t="s">
        <v>1530</v>
      </c>
      <c r="B2190" t="s">
        <v>7346</v>
      </c>
      <c r="C2190" t="s">
        <v>6517</v>
      </c>
      <c r="D2190" t="s">
        <v>6517</v>
      </c>
      <c r="E2190" t="s">
        <v>6517</v>
      </c>
    </row>
    <row r="2191" spans="1:5" x14ac:dyDescent="0.3">
      <c r="A2191" t="s">
        <v>1530</v>
      </c>
      <c r="B2191" t="s">
        <v>7345</v>
      </c>
      <c r="C2191" t="s">
        <v>6517</v>
      </c>
      <c r="D2191" t="s">
        <v>6517</v>
      </c>
      <c r="E2191" t="s">
        <v>6517</v>
      </c>
    </row>
    <row r="2192" spans="1:5" x14ac:dyDescent="0.3">
      <c r="A2192" t="s">
        <v>1530</v>
      </c>
      <c r="B2192" t="s">
        <v>7344</v>
      </c>
      <c r="C2192" t="s">
        <v>6517</v>
      </c>
      <c r="D2192" t="s">
        <v>6517</v>
      </c>
      <c r="E2192" t="s">
        <v>6517</v>
      </c>
    </row>
    <row r="2193" spans="1:5" x14ac:dyDescent="0.3">
      <c r="A2193" t="s">
        <v>1531</v>
      </c>
      <c r="B2193" t="s">
        <v>7343</v>
      </c>
      <c r="C2193" t="s">
        <v>7343</v>
      </c>
      <c r="D2193" t="s">
        <v>7342</v>
      </c>
      <c r="E2193" t="s">
        <v>7341</v>
      </c>
    </row>
    <row r="2194" spans="1:5" x14ac:dyDescent="0.3">
      <c r="A2194" t="s">
        <v>1531</v>
      </c>
      <c r="B2194" t="s">
        <v>7340</v>
      </c>
      <c r="C2194" t="s">
        <v>6517</v>
      </c>
      <c r="D2194" t="s">
        <v>6517</v>
      </c>
      <c r="E2194" t="s">
        <v>6517</v>
      </c>
    </row>
    <row r="2195" spans="1:5" x14ac:dyDescent="0.3">
      <c r="A2195" t="s">
        <v>1531</v>
      </c>
      <c r="B2195" t="s">
        <v>7339</v>
      </c>
      <c r="C2195" t="s">
        <v>6517</v>
      </c>
      <c r="D2195" t="s">
        <v>6517</v>
      </c>
      <c r="E2195" t="s">
        <v>6517</v>
      </c>
    </row>
    <row r="2196" spans="1:5" x14ac:dyDescent="0.3">
      <c r="A2196" t="s">
        <v>1531</v>
      </c>
      <c r="B2196" t="s">
        <v>7338</v>
      </c>
      <c r="C2196" t="s">
        <v>6517</v>
      </c>
      <c r="D2196" t="s">
        <v>6517</v>
      </c>
      <c r="E2196" t="s">
        <v>6517</v>
      </c>
    </row>
    <row r="2197" spans="1:5" x14ac:dyDescent="0.3">
      <c r="A2197" t="s">
        <v>1531</v>
      </c>
      <c r="B2197" t="s">
        <v>7337</v>
      </c>
      <c r="C2197" t="s">
        <v>6517</v>
      </c>
      <c r="D2197" t="s">
        <v>6517</v>
      </c>
      <c r="E2197" t="s">
        <v>6517</v>
      </c>
    </row>
    <row r="2198" spans="1:5" x14ac:dyDescent="0.3">
      <c r="A2198" t="s">
        <v>1532</v>
      </c>
      <c r="B2198" t="s">
        <v>7336</v>
      </c>
      <c r="C2198" t="s">
        <v>7336</v>
      </c>
      <c r="D2198" t="s">
        <v>7335</v>
      </c>
      <c r="E2198" t="s">
        <v>7334</v>
      </c>
    </row>
    <row r="2199" spans="1:5" x14ac:dyDescent="0.3">
      <c r="A2199" t="s">
        <v>1532</v>
      </c>
      <c r="B2199" t="s">
        <v>7333</v>
      </c>
      <c r="C2199" t="s">
        <v>6517</v>
      </c>
      <c r="D2199" t="s">
        <v>6517</v>
      </c>
      <c r="E2199" t="s">
        <v>6517</v>
      </c>
    </row>
    <row r="2200" spans="1:5" x14ac:dyDescent="0.3">
      <c r="A2200" t="s">
        <v>1532</v>
      </c>
      <c r="B2200" t="s">
        <v>7332</v>
      </c>
      <c r="C2200" t="s">
        <v>6517</v>
      </c>
      <c r="D2200" t="s">
        <v>6517</v>
      </c>
      <c r="E2200" t="s">
        <v>6517</v>
      </c>
    </row>
    <row r="2201" spans="1:5" x14ac:dyDescent="0.3">
      <c r="A2201" t="s">
        <v>1532</v>
      </c>
      <c r="B2201" t="s">
        <v>7331</v>
      </c>
      <c r="C2201" t="s">
        <v>6517</v>
      </c>
      <c r="D2201" t="s">
        <v>6517</v>
      </c>
      <c r="E2201" t="s">
        <v>6517</v>
      </c>
    </row>
    <row r="2202" spans="1:5" x14ac:dyDescent="0.3">
      <c r="A2202" t="s">
        <v>1532</v>
      </c>
      <c r="B2202" t="s">
        <v>7330</v>
      </c>
      <c r="C2202" t="s">
        <v>6517</v>
      </c>
      <c r="D2202" t="s">
        <v>6517</v>
      </c>
      <c r="E2202" t="s">
        <v>6517</v>
      </c>
    </row>
    <row r="2203" spans="1:5" x14ac:dyDescent="0.3">
      <c r="A2203" t="s">
        <v>1533</v>
      </c>
      <c r="B2203" t="s">
        <v>7329</v>
      </c>
      <c r="C2203" t="s">
        <v>7329</v>
      </c>
      <c r="D2203" t="s">
        <v>7328</v>
      </c>
      <c r="E2203" t="s">
        <v>7327</v>
      </c>
    </row>
    <row r="2204" spans="1:5" x14ac:dyDescent="0.3">
      <c r="A2204" t="s">
        <v>1533</v>
      </c>
      <c r="B2204" t="s">
        <v>7326</v>
      </c>
      <c r="C2204" t="s">
        <v>6517</v>
      </c>
      <c r="D2204" t="s">
        <v>6517</v>
      </c>
      <c r="E2204" t="s">
        <v>6517</v>
      </c>
    </row>
    <row r="2205" spans="1:5" x14ac:dyDescent="0.3">
      <c r="A2205" t="s">
        <v>1533</v>
      </c>
      <c r="B2205" t="s">
        <v>7325</v>
      </c>
      <c r="C2205" t="s">
        <v>6517</v>
      </c>
      <c r="D2205" t="s">
        <v>6517</v>
      </c>
      <c r="E2205" t="s">
        <v>6517</v>
      </c>
    </row>
    <row r="2206" spans="1:5" x14ac:dyDescent="0.3">
      <c r="A2206" t="s">
        <v>1533</v>
      </c>
      <c r="B2206" t="s">
        <v>7324</v>
      </c>
      <c r="C2206" t="s">
        <v>6517</v>
      </c>
      <c r="D2206" t="s">
        <v>6517</v>
      </c>
      <c r="E2206" t="s">
        <v>6517</v>
      </c>
    </row>
    <row r="2207" spans="1:5" x14ac:dyDescent="0.3">
      <c r="A2207" t="s">
        <v>1533</v>
      </c>
      <c r="B2207" t="s">
        <v>7323</v>
      </c>
      <c r="C2207" t="s">
        <v>6517</v>
      </c>
      <c r="D2207" t="s">
        <v>6517</v>
      </c>
      <c r="E2207" t="s">
        <v>6517</v>
      </c>
    </row>
    <row r="2208" spans="1:5" x14ac:dyDescent="0.3">
      <c r="A2208" t="s">
        <v>1534</v>
      </c>
      <c r="B2208" t="s">
        <v>7322</v>
      </c>
      <c r="C2208" t="s">
        <v>7322</v>
      </c>
      <c r="D2208" t="s">
        <v>7321</v>
      </c>
      <c r="E2208" t="s">
        <v>7320</v>
      </c>
    </row>
    <row r="2209" spans="1:5" x14ac:dyDescent="0.3">
      <c r="A2209" t="s">
        <v>1534</v>
      </c>
      <c r="B2209" t="s">
        <v>7319</v>
      </c>
      <c r="C2209" t="s">
        <v>6517</v>
      </c>
      <c r="D2209" t="s">
        <v>6517</v>
      </c>
      <c r="E2209" t="s">
        <v>6517</v>
      </c>
    </row>
    <row r="2210" spans="1:5" x14ac:dyDescent="0.3">
      <c r="A2210" t="s">
        <v>1534</v>
      </c>
      <c r="B2210" t="s">
        <v>7318</v>
      </c>
      <c r="C2210" t="s">
        <v>6517</v>
      </c>
      <c r="D2210" t="s">
        <v>6517</v>
      </c>
      <c r="E2210" t="s">
        <v>6517</v>
      </c>
    </row>
    <row r="2211" spans="1:5" x14ac:dyDescent="0.3">
      <c r="A2211" t="s">
        <v>1534</v>
      </c>
      <c r="B2211" t="s">
        <v>7317</v>
      </c>
      <c r="C2211" t="s">
        <v>6517</v>
      </c>
      <c r="D2211" t="s">
        <v>6517</v>
      </c>
      <c r="E2211" t="s">
        <v>6517</v>
      </c>
    </row>
    <row r="2212" spans="1:5" x14ac:dyDescent="0.3">
      <c r="A2212" t="s">
        <v>1534</v>
      </c>
      <c r="B2212" t="s">
        <v>7316</v>
      </c>
      <c r="C2212" t="s">
        <v>6517</v>
      </c>
      <c r="D2212" t="s">
        <v>6517</v>
      </c>
      <c r="E2212" t="s">
        <v>6517</v>
      </c>
    </row>
    <row r="2213" spans="1:5" x14ac:dyDescent="0.3">
      <c r="A2213" t="s">
        <v>1535</v>
      </c>
      <c r="B2213" t="s">
        <v>7315</v>
      </c>
      <c r="C2213" t="s">
        <v>7315</v>
      </c>
      <c r="D2213" t="s">
        <v>7314</v>
      </c>
      <c r="E2213" t="s">
        <v>7313</v>
      </c>
    </row>
    <row r="2214" spans="1:5" x14ac:dyDescent="0.3">
      <c r="A2214" t="s">
        <v>1535</v>
      </c>
      <c r="B2214" t="s">
        <v>7312</v>
      </c>
      <c r="C2214" t="s">
        <v>6517</v>
      </c>
      <c r="D2214" t="s">
        <v>6517</v>
      </c>
      <c r="E2214" t="s">
        <v>6517</v>
      </c>
    </row>
    <row r="2215" spans="1:5" x14ac:dyDescent="0.3">
      <c r="A2215" t="s">
        <v>1535</v>
      </c>
      <c r="B2215" t="s">
        <v>7311</v>
      </c>
      <c r="C2215" t="s">
        <v>6517</v>
      </c>
      <c r="D2215" t="s">
        <v>6517</v>
      </c>
      <c r="E2215" t="s">
        <v>6517</v>
      </c>
    </row>
    <row r="2216" spans="1:5" x14ac:dyDescent="0.3">
      <c r="A2216" t="s">
        <v>1535</v>
      </c>
      <c r="B2216" t="s">
        <v>7310</v>
      </c>
      <c r="C2216" t="s">
        <v>6517</v>
      </c>
      <c r="D2216" t="s">
        <v>6517</v>
      </c>
      <c r="E2216" t="s">
        <v>6517</v>
      </c>
    </row>
    <row r="2217" spans="1:5" x14ac:dyDescent="0.3">
      <c r="A2217" t="s">
        <v>1535</v>
      </c>
      <c r="B2217" t="s">
        <v>7309</v>
      </c>
      <c r="C2217" t="s">
        <v>6517</v>
      </c>
      <c r="D2217" t="s">
        <v>6517</v>
      </c>
      <c r="E2217" t="s">
        <v>6517</v>
      </c>
    </row>
    <row r="2218" spans="1:5" x14ac:dyDescent="0.3">
      <c r="A2218" t="s">
        <v>1536</v>
      </c>
      <c r="B2218" t="s">
        <v>7308</v>
      </c>
      <c r="C2218" t="s">
        <v>7308</v>
      </c>
      <c r="D2218" t="s">
        <v>7307</v>
      </c>
      <c r="E2218" t="s">
        <v>7306</v>
      </c>
    </row>
    <row r="2219" spans="1:5" x14ac:dyDescent="0.3">
      <c r="A2219" t="s">
        <v>1536</v>
      </c>
      <c r="B2219" t="s">
        <v>7305</v>
      </c>
      <c r="C2219" t="s">
        <v>6517</v>
      </c>
      <c r="D2219" t="s">
        <v>6517</v>
      </c>
      <c r="E2219" t="s">
        <v>6517</v>
      </c>
    </row>
    <row r="2220" spans="1:5" x14ac:dyDescent="0.3">
      <c r="A2220" t="s">
        <v>1536</v>
      </c>
      <c r="B2220" t="s">
        <v>7304</v>
      </c>
      <c r="C2220" t="s">
        <v>6517</v>
      </c>
      <c r="D2220" t="s">
        <v>6517</v>
      </c>
      <c r="E2220" t="s">
        <v>6517</v>
      </c>
    </row>
    <row r="2221" spans="1:5" x14ac:dyDescent="0.3">
      <c r="A2221" t="s">
        <v>1536</v>
      </c>
      <c r="B2221" t="s">
        <v>7303</v>
      </c>
      <c r="C2221" t="s">
        <v>6517</v>
      </c>
      <c r="D2221" t="s">
        <v>6517</v>
      </c>
      <c r="E2221" t="s">
        <v>6517</v>
      </c>
    </row>
    <row r="2222" spans="1:5" x14ac:dyDescent="0.3">
      <c r="A2222" t="s">
        <v>1536</v>
      </c>
      <c r="B2222" t="s">
        <v>7302</v>
      </c>
      <c r="C2222" t="s">
        <v>6517</v>
      </c>
      <c r="D2222" t="s">
        <v>6517</v>
      </c>
      <c r="E2222" t="s">
        <v>6517</v>
      </c>
    </row>
    <row r="2223" spans="1:5" x14ac:dyDescent="0.3">
      <c r="A2223" t="s">
        <v>1537</v>
      </c>
      <c r="B2223" t="s">
        <v>7301</v>
      </c>
      <c r="C2223" t="s">
        <v>7301</v>
      </c>
      <c r="D2223" t="s">
        <v>7300</v>
      </c>
      <c r="E2223" t="s">
        <v>7299</v>
      </c>
    </row>
    <row r="2224" spans="1:5" x14ac:dyDescent="0.3">
      <c r="A2224" t="s">
        <v>1537</v>
      </c>
      <c r="B2224" t="s">
        <v>7298</v>
      </c>
      <c r="C2224" t="s">
        <v>6517</v>
      </c>
      <c r="D2224" t="s">
        <v>6517</v>
      </c>
      <c r="E2224" t="s">
        <v>6517</v>
      </c>
    </row>
    <row r="2225" spans="1:5" x14ac:dyDescent="0.3">
      <c r="A2225" t="s">
        <v>1537</v>
      </c>
      <c r="B2225" t="s">
        <v>7297</v>
      </c>
      <c r="C2225" t="s">
        <v>6517</v>
      </c>
      <c r="D2225" t="s">
        <v>6517</v>
      </c>
      <c r="E2225" t="s">
        <v>6517</v>
      </c>
    </row>
    <row r="2226" spans="1:5" x14ac:dyDescent="0.3">
      <c r="A2226" t="s">
        <v>1537</v>
      </c>
      <c r="B2226" t="s">
        <v>7296</v>
      </c>
      <c r="C2226" t="s">
        <v>6517</v>
      </c>
      <c r="D2226" t="s">
        <v>6517</v>
      </c>
      <c r="E2226" t="s">
        <v>6517</v>
      </c>
    </row>
    <row r="2227" spans="1:5" x14ac:dyDescent="0.3">
      <c r="A2227" t="s">
        <v>1537</v>
      </c>
      <c r="B2227" t="s">
        <v>7295</v>
      </c>
      <c r="C2227" t="s">
        <v>6517</v>
      </c>
      <c r="D2227" t="s">
        <v>6517</v>
      </c>
      <c r="E2227" t="s">
        <v>6517</v>
      </c>
    </row>
    <row r="2228" spans="1:5" x14ac:dyDescent="0.3">
      <c r="A2228" t="s">
        <v>1538</v>
      </c>
      <c r="B2228" t="s">
        <v>7294</v>
      </c>
      <c r="C2228" t="s">
        <v>7294</v>
      </c>
      <c r="D2228" t="s">
        <v>7293</v>
      </c>
      <c r="E2228" t="s">
        <v>7292</v>
      </c>
    </row>
    <row r="2229" spans="1:5" x14ac:dyDescent="0.3">
      <c r="A2229" t="s">
        <v>1538</v>
      </c>
      <c r="B2229" t="s">
        <v>7291</v>
      </c>
      <c r="C2229" t="s">
        <v>6517</v>
      </c>
      <c r="D2229" t="s">
        <v>6517</v>
      </c>
      <c r="E2229" t="s">
        <v>6517</v>
      </c>
    </row>
    <row r="2230" spans="1:5" x14ac:dyDescent="0.3">
      <c r="A2230" t="s">
        <v>1538</v>
      </c>
      <c r="B2230" t="s">
        <v>7290</v>
      </c>
      <c r="C2230" t="s">
        <v>6517</v>
      </c>
      <c r="D2230" t="s">
        <v>6517</v>
      </c>
      <c r="E2230" t="s">
        <v>6517</v>
      </c>
    </row>
    <row r="2231" spans="1:5" x14ac:dyDescent="0.3">
      <c r="A2231" t="s">
        <v>1538</v>
      </c>
      <c r="B2231" t="s">
        <v>7289</v>
      </c>
      <c r="C2231" t="s">
        <v>6517</v>
      </c>
      <c r="D2231" t="s">
        <v>6517</v>
      </c>
      <c r="E2231" t="s">
        <v>6517</v>
      </c>
    </row>
    <row r="2232" spans="1:5" x14ac:dyDescent="0.3">
      <c r="A2232" t="s">
        <v>1538</v>
      </c>
      <c r="B2232" t="s">
        <v>7288</v>
      </c>
      <c r="C2232" t="s">
        <v>6517</v>
      </c>
      <c r="D2232" t="s">
        <v>6517</v>
      </c>
      <c r="E2232" t="s">
        <v>6517</v>
      </c>
    </row>
    <row r="2233" spans="1:5" x14ac:dyDescent="0.3">
      <c r="A2233" t="s">
        <v>1539</v>
      </c>
      <c r="B2233" t="s">
        <v>7287</v>
      </c>
      <c r="C2233" t="s">
        <v>7287</v>
      </c>
      <c r="D2233" t="s">
        <v>7286</v>
      </c>
      <c r="E2233" t="s">
        <v>7285</v>
      </c>
    </row>
    <row r="2234" spans="1:5" x14ac:dyDescent="0.3">
      <c r="A2234" t="s">
        <v>1539</v>
      </c>
      <c r="B2234" t="s">
        <v>7284</v>
      </c>
      <c r="C2234" t="s">
        <v>6517</v>
      </c>
      <c r="D2234" t="s">
        <v>6517</v>
      </c>
      <c r="E2234" t="s">
        <v>6517</v>
      </c>
    </row>
    <row r="2235" spans="1:5" x14ac:dyDescent="0.3">
      <c r="A2235" t="s">
        <v>1539</v>
      </c>
      <c r="B2235" t="s">
        <v>7283</v>
      </c>
      <c r="C2235" t="s">
        <v>6517</v>
      </c>
      <c r="D2235" t="s">
        <v>6517</v>
      </c>
      <c r="E2235" t="s">
        <v>6517</v>
      </c>
    </row>
    <row r="2236" spans="1:5" x14ac:dyDescent="0.3">
      <c r="A2236" t="s">
        <v>1539</v>
      </c>
      <c r="B2236" t="s">
        <v>7282</v>
      </c>
      <c r="C2236" t="s">
        <v>6517</v>
      </c>
      <c r="D2236" t="s">
        <v>6517</v>
      </c>
      <c r="E2236" t="s">
        <v>6517</v>
      </c>
    </row>
    <row r="2237" spans="1:5" x14ac:dyDescent="0.3">
      <c r="A2237" t="s">
        <v>1539</v>
      </c>
      <c r="B2237" t="s">
        <v>7281</v>
      </c>
      <c r="C2237" t="s">
        <v>6517</v>
      </c>
      <c r="D2237" t="s">
        <v>6517</v>
      </c>
      <c r="E2237" t="s">
        <v>6517</v>
      </c>
    </row>
    <row r="2238" spans="1:5" x14ac:dyDescent="0.3">
      <c r="A2238" t="s">
        <v>1540</v>
      </c>
      <c r="B2238" t="s">
        <v>7280</v>
      </c>
      <c r="C2238" t="s">
        <v>7280</v>
      </c>
      <c r="D2238" t="s">
        <v>7279</v>
      </c>
      <c r="E2238" t="s">
        <v>7278</v>
      </c>
    </row>
    <row r="2239" spans="1:5" x14ac:dyDescent="0.3">
      <c r="A2239" t="s">
        <v>1540</v>
      </c>
      <c r="B2239" t="s">
        <v>7277</v>
      </c>
      <c r="C2239" t="s">
        <v>6517</v>
      </c>
      <c r="D2239" t="s">
        <v>6517</v>
      </c>
      <c r="E2239" t="s">
        <v>6517</v>
      </c>
    </row>
    <row r="2240" spans="1:5" x14ac:dyDescent="0.3">
      <c r="A2240" t="s">
        <v>1540</v>
      </c>
      <c r="B2240" t="s">
        <v>7276</v>
      </c>
      <c r="C2240" t="s">
        <v>6517</v>
      </c>
      <c r="D2240" t="s">
        <v>6517</v>
      </c>
      <c r="E2240" t="s">
        <v>6517</v>
      </c>
    </row>
    <row r="2241" spans="1:5" x14ac:dyDescent="0.3">
      <c r="A2241" t="s">
        <v>1540</v>
      </c>
      <c r="B2241" t="s">
        <v>7275</v>
      </c>
      <c r="C2241" t="s">
        <v>6517</v>
      </c>
      <c r="D2241" t="s">
        <v>6517</v>
      </c>
      <c r="E2241" t="s">
        <v>6517</v>
      </c>
    </row>
    <row r="2242" spans="1:5" x14ac:dyDescent="0.3">
      <c r="A2242" t="s">
        <v>1540</v>
      </c>
      <c r="B2242" t="s">
        <v>7274</v>
      </c>
      <c r="C2242" t="s">
        <v>6517</v>
      </c>
      <c r="D2242" t="s">
        <v>6517</v>
      </c>
      <c r="E2242" t="s">
        <v>6517</v>
      </c>
    </row>
    <row r="2243" spans="1:5" x14ac:dyDescent="0.3">
      <c r="A2243" t="s">
        <v>1541</v>
      </c>
      <c r="B2243" t="s">
        <v>7273</v>
      </c>
      <c r="C2243" t="s">
        <v>7273</v>
      </c>
      <c r="D2243" t="s">
        <v>7272</v>
      </c>
      <c r="E2243" t="s">
        <v>7271</v>
      </c>
    </row>
    <row r="2244" spans="1:5" x14ac:dyDescent="0.3">
      <c r="A2244" t="s">
        <v>1541</v>
      </c>
      <c r="B2244" t="s">
        <v>7270</v>
      </c>
      <c r="C2244" t="s">
        <v>6517</v>
      </c>
      <c r="D2244" t="s">
        <v>6517</v>
      </c>
      <c r="E2244" t="s">
        <v>6517</v>
      </c>
    </row>
    <row r="2245" spans="1:5" x14ac:dyDescent="0.3">
      <c r="A2245" t="s">
        <v>1541</v>
      </c>
      <c r="B2245" t="s">
        <v>7269</v>
      </c>
      <c r="C2245" t="s">
        <v>6517</v>
      </c>
      <c r="D2245" t="s">
        <v>6517</v>
      </c>
      <c r="E2245" t="s">
        <v>6517</v>
      </c>
    </row>
    <row r="2246" spans="1:5" x14ac:dyDescent="0.3">
      <c r="A2246" t="s">
        <v>1541</v>
      </c>
      <c r="B2246" t="s">
        <v>7268</v>
      </c>
      <c r="C2246" t="s">
        <v>6517</v>
      </c>
      <c r="D2246" t="s">
        <v>6517</v>
      </c>
      <c r="E2246" t="s">
        <v>6517</v>
      </c>
    </row>
    <row r="2247" spans="1:5" x14ac:dyDescent="0.3">
      <c r="A2247" t="s">
        <v>1541</v>
      </c>
      <c r="B2247" t="s">
        <v>7267</v>
      </c>
      <c r="C2247" t="s">
        <v>6517</v>
      </c>
      <c r="D2247" t="s">
        <v>6517</v>
      </c>
      <c r="E2247" t="s">
        <v>6517</v>
      </c>
    </row>
    <row r="2248" spans="1:5" x14ac:dyDescent="0.3">
      <c r="A2248" t="s">
        <v>1542</v>
      </c>
      <c r="B2248" t="s">
        <v>7266</v>
      </c>
      <c r="C2248" t="s">
        <v>7266</v>
      </c>
      <c r="D2248" t="s">
        <v>7265</v>
      </c>
      <c r="E2248" t="s">
        <v>7264</v>
      </c>
    </row>
    <row r="2249" spans="1:5" x14ac:dyDescent="0.3">
      <c r="A2249" t="s">
        <v>1542</v>
      </c>
      <c r="B2249" t="s">
        <v>7263</v>
      </c>
      <c r="C2249" t="s">
        <v>6517</v>
      </c>
      <c r="D2249" t="s">
        <v>6517</v>
      </c>
      <c r="E2249" t="s">
        <v>6517</v>
      </c>
    </row>
    <row r="2250" spans="1:5" x14ac:dyDescent="0.3">
      <c r="A2250" t="s">
        <v>1542</v>
      </c>
      <c r="B2250" t="s">
        <v>7262</v>
      </c>
      <c r="C2250" t="s">
        <v>6517</v>
      </c>
      <c r="D2250" t="s">
        <v>6517</v>
      </c>
      <c r="E2250" t="s">
        <v>6517</v>
      </c>
    </row>
    <row r="2251" spans="1:5" x14ac:dyDescent="0.3">
      <c r="A2251" t="s">
        <v>1542</v>
      </c>
      <c r="B2251" t="s">
        <v>7261</v>
      </c>
      <c r="C2251" t="s">
        <v>6517</v>
      </c>
      <c r="D2251" t="s">
        <v>6517</v>
      </c>
      <c r="E2251" t="s">
        <v>6517</v>
      </c>
    </row>
    <row r="2252" spans="1:5" x14ac:dyDescent="0.3">
      <c r="A2252" t="s">
        <v>1542</v>
      </c>
      <c r="B2252" t="s">
        <v>7260</v>
      </c>
      <c r="C2252" t="s">
        <v>6517</v>
      </c>
      <c r="D2252" t="s">
        <v>6517</v>
      </c>
      <c r="E2252" t="s">
        <v>6517</v>
      </c>
    </row>
    <row r="2253" spans="1:5" x14ac:dyDescent="0.3">
      <c r="A2253" t="s">
        <v>1543</v>
      </c>
      <c r="B2253" t="s">
        <v>7259</v>
      </c>
      <c r="C2253" t="s">
        <v>7259</v>
      </c>
      <c r="D2253" t="s">
        <v>7258</v>
      </c>
      <c r="E2253" t="s">
        <v>7257</v>
      </c>
    </row>
    <row r="2254" spans="1:5" x14ac:dyDescent="0.3">
      <c r="A2254" t="s">
        <v>1543</v>
      </c>
      <c r="B2254" t="s">
        <v>7256</v>
      </c>
      <c r="C2254" t="s">
        <v>6517</v>
      </c>
      <c r="D2254" t="s">
        <v>6517</v>
      </c>
      <c r="E2254" t="s">
        <v>6517</v>
      </c>
    </row>
    <row r="2255" spans="1:5" x14ac:dyDescent="0.3">
      <c r="A2255" t="s">
        <v>1543</v>
      </c>
      <c r="B2255" t="s">
        <v>7255</v>
      </c>
      <c r="C2255" t="s">
        <v>6517</v>
      </c>
      <c r="D2255" t="s">
        <v>6517</v>
      </c>
      <c r="E2255" t="s">
        <v>6517</v>
      </c>
    </row>
    <row r="2256" spans="1:5" x14ac:dyDescent="0.3">
      <c r="A2256" t="s">
        <v>1543</v>
      </c>
      <c r="B2256" t="s">
        <v>7254</v>
      </c>
      <c r="C2256" t="s">
        <v>6517</v>
      </c>
      <c r="D2256" t="s">
        <v>6517</v>
      </c>
      <c r="E2256" t="s">
        <v>6517</v>
      </c>
    </row>
    <row r="2257" spans="1:5" x14ac:dyDescent="0.3">
      <c r="A2257" t="s">
        <v>1543</v>
      </c>
      <c r="B2257" t="s">
        <v>7253</v>
      </c>
      <c r="C2257" t="s">
        <v>6517</v>
      </c>
      <c r="D2257" t="s">
        <v>6517</v>
      </c>
      <c r="E2257" t="s">
        <v>6517</v>
      </c>
    </row>
    <row r="2258" spans="1:5" x14ac:dyDescent="0.3">
      <c r="A2258" t="s">
        <v>1544</v>
      </c>
      <c r="B2258" t="s">
        <v>7252</v>
      </c>
      <c r="C2258" t="s">
        <v>6517</v>
      </c>
      <c r="D2258" t="s">
        <v>6517</v>
      </c>
      <c r="E2258" t="s">
        <v>6517</v>
      </c>
    </row>
    <row r="2259" spans="1:5" x14ac:dyDescent="0.3">
      <c r="A2259" t="s">
        <v>1544</v>
      </c>
      <c r="B2259" t="s">
        <v>7251</v>
      </c>
      <c r="C2259" t="s">
        <v>6517</v>
      </c>
      <c r="D2259" t="s">
        <v>6517</v>
      </c>
      <c r="E2259" t="s">
        <v>6517</v>
      </c>
    </row>
    <row r="2260" spans="1:5" x14ac:dyDescent="0.3">
      <c r="A2260" t="s">
        <v>1544</v>
      </c>
      <c r="B2260" t="s">
        <v>7250</v>
      </c>
      <c r="C2260" t="s">
        <v>7250</v>
      </c>
      <c r="D2260" t="s">
        <v>7249</v>
      </c>
      <c r="E2260" t="s">
        <v>7248</v>
      </c>
    </row>
    <row r="2261" spans="1:5" x14ac:dyDescent="0.3">
      <c r="A2261" t="s">
        <v>1544</v>
      </c>
      <c r="B2261" t="s">
        <v>7247</v>
      </c>
      <c r="C2261" t="s">
        <v>6517</v>
      </c>
      <c r="D2261" t="s">
        <v>6517</v>
      </c>
      <c r="E2261" t="s">
        <v>6517</v>
      </c>
    </row>
    <row r="2262" spans="1:5" x14ac:dyDescent="0.3">
      <c r="A2262" t="s">
        <v>1544</v>
      </c>
      <c r="B2262" t="s">
        <v>7246</v>
      </c>
      <c r="C2262" t="s">
        <v>6517</v>
      </c>
      <c r="D2262" t="s">
        <v>6517</v>
      </c>
      <c r="E2262" t="s">
        <v>6517</v>
      </c>
    </row>
    <row r="2263" spans="1:5" x14ac:dyDescent="0.3">
      <c r="A2263" t="s">
        <v>1545</v>
      </c>
      <c r="B2263" t="s">
        <v>7245</v>
      </c>
      <c r="C2263" t="s">
        <v>7245</v>
      </c>
      <c r="D2263" t="s">
        <v>7244</v>
      </c>
      <c r="E2263" t="s">
        <v>7243</v>
      </c>
    </row>
    <row r="2264" spans="1:5" x14ac:dyDescent="0.3">
      <c r="A2264" t="s">
        <v>1545</v>
      </c>
      <c r="B2264" t="s">
        <v>7242</v>
      </c>
      <c r="C2264" t="s">
        <v>6517</v>
      </c>
      <c r="D2264" t="s">
        <v>6517</v>
      </c>
      <c r="E2264" t="s">
        <v>6517</v>
      </c>
    </row>
    <row r="2265" spans="1:5" x14ac:dyDescent="0.3">
      <c r="A2265" t="s">
        <v>1545</v>
      </c>
      <c r="B2265" t="s">
        <v>7241</v>
      </c>
      <c r="C2265" t="s">
        <v>6517</v>
      </c>
      <c r="D2265" t="s">
        <v>6517</v>
      </c>
      <c r="E2265" t="s">
        <v>6517</v>
      </c>
    </row>
    <row r="2266" spans="1:5" x14ac:dyDescent="0.3">
      <c r="A2266" t="s">
        <v>1545</v>
      </c>
      <c r="B2266" t="s">
        <v>7240</v>
      </c>
      <c r="C2266" t="s">
        <v>6517</v>
      </c>
      <c r="D2266" t="s">
        <v>6517</v>
      </c>
      <c r="E2266" t="s">
        <v>6517</v>
      </c>
    </row>
    <row r="2267" spans="1:5" x14ac:dyDescent="0.3">
      <c r="A2267" t="s">
        <v>1545</v>
      </c>
      <c r="B2267" t="s">
        <v>7239</v>
      </c>
      <c r="C2267" t="s">
        <v>6517</v>
      </c>
      <c r="D2267" t="s">
        <v>6517</v>
      </c>
      <c r="E2267" t="s">
        <v>6517</v>
      </c>
    </row>
    <row r="2268" spans="1:5" x14ac:dyDescent="0.3">
      <c r="A2268" t="s">
        <v>1546</v>
      </c>
      <c r="B2268" t="s">
        <v>7238</v>
      </c>
      <c r="C2268" t="s">
        <v>7238</v>
      </c>
      <c r="D2268" t="s">
        <v>7237</v>
      </c>
      <c r="E2268" t="s">
        <v>7236</v>
      </c>
    </row>
    <row r="2269" spans="1:5" x14ac:dyDescent="0.3">
      <c r="A2269" t="s">
        <v>1546</v>
      </c>
      <c r="B2269" t="s">
        <v>7235</v>
      </c>
      <c r="C2269" t="s">
        <v>6517</v>
      </c>
      <c r="D2269" t="s">
        <v>6517</v>
      </c>
      <c r="E2269" t="s">
        <v>6517</v>
      </c>
    </row>
    <row r="2270" spans="1:5" x14ac:dyDescent="0.3">
      <c r="A2270" t="s">
        <v>1546</v>
      </c>
      <c r="B2270" t="s">
        <v>7234</v>
      </c>
      <c r="C2270" t="s">
        <v>6517</v>
      </c>
      <c r="D2270" t="s">
        <v>6517</v>
      </c>
      <c r="E2270" t="s">
        <v>6517</v>
      </c>
    </row>
    <row r="2271" spans="1:5" x14ac:dyDescent="0.3">
      <c r="A2271" t="s">
        <v>1546</v>
      </c>
      <c r="B2271" t="s">
        <v>7233</v>
      </c>
      <c r="C2271" t="s">
        <v>6517</v>
      </c>
      <c r="D2271" t="s">
        <v>6517</v>
      </c>
      <c r="E2271" t="s">
        <v>6517</v>
      </c>
    </row>
    <row r="2272" spans="1:5" x14ac:dyDescent="0.3">
      <c r="A2272" t="s">
        <v>1546</v>
      </c>
      <c r="B2272" t="s">
        <v>7232</v>
      </c>
      <c r="C2272" t="s">
        <v>6517</v>
      </c>
      <c r="D2272" t="s">
        <v>6517</v>
      </c>
      <c r="E2272" t="s">
        <v>6517</v>
      </c>
    </row>
    <row r="2273" spans="1:5" x14ac:dyDescent="0.3">
      <c r="A2273" t="s">
        <v>1547</v>
      </c>
      <c r="B2273" t="s">
        <v>7231</v>
      </c>
      <c r="C2273" t="s">
        <v>7231</v>
      </c>
      <c r="D2273" t="s">
        <v>7230</v>
      </c>
      <c r="E2273" t="s">
        <v>7229</v>
      </c>
    </row>
    <row r="2274" spans="1:5" x14ac:dyDescent="0.3">
      <c r="A2274" t="s">
        <v>1547</v>
      </c>
      <c r="B2274" t="s">
        <v>7228</v>
      </c>
      <c r="C2274" t="s">
        <v>6517</v>
      </c>
      <c r="D2274" t="s">
        <v>6517</v>
      </c>
      <c r="E2274" t="s">
        <v>6517</v>
      </c>
    </row>
    <row r="2275" spans="1:5" x14ac:dyDescent="0.3">
      <c r="A2275" t="s">
        <v>1547</v>
      </c>
      <c r="B2275" t="s">
        <v>7227</v>
      </c>
      <c r="C2275" t="s">
        <v>6517</v>
      </c>
      <c r="D2275" t="s">
        <v>6517</v>
      </c>
      <c r="E2275" t="s">
        <v>6517</v>
      </c>
    </row>
    <row r="2276" spans="1:5" x14ac:dyDescent="0.3">
      <c r="A2276" t="s">
        <v>1547</v>
      </c>
      <c r="B2276" t="s">
        <v>7226</v>
      </c>
      <c r="C2276" t="s">
        <v>6517</v>
      </c>
      <c r="D2276" t="s">
        <v>6517</v>
      </c>
      <c r="E2276" t="s">
        <v>6517</v>
      </c>
    </row>
    <row r="2277" spans="1:5" x14ac:dyDescent="0.3">
      <c r="A2277" t="s">
        <v>1547</v>
      </c>
      <c r="B2277" t="s">
        <v>7225</v>
      </c>
      <c r="C2277" t="s">
        <v>6517</v>
      </c>
      <c r="D2277" t="s">
        <v>6517</v>
      </c>
      <c r="E2277" t="s">
        <v>6517</v>
      </c>
    </row>
    <row r="2278" spans="1:5" x14ac:dyDescent="0.3">
      <c r="A2278" t="s">
        <v>1548</v>
      </c>
      <c r="B2278" t="s">
        <v>7224</v>
      </c>
      <c r="C2278" t="s">
        <v>7224</v>
      </c>
      <c r="D2278" t="s">
        <v>7223</v>
      </c>
      <c r="E2278" t="s">
        <v>7222</v>
      </c>
    </row>
    <row r="2279" spans="1:5" x14ac:dyDescent="0.3">
      <c r="A2279" t="s">
        <v>1548</v>
      </c>
      <c r="B2279" t="s">
        <v>7221</v>
      </c>
      <c r="C2279" t="s">
        <v>6517</v>
      </c>
      <c r="D2279" t="s">
        <v>6517</v>
      </c>
      <c r="E2279" t="s">
        <v>6517</v>
      </c>
    </row>
    <row r="2280" spans="1:5" x14ac:dyDescent="0.3">
      <c r="A2280" t="s">
        <v>1548</v>
      </c>
      <c r="B2280" t="s">
        <v>7220</v>
      </c>
      <c r="C2280" t="s">
        <v>6517</v>
      </c>
      <c r="D2280" t="s">
        <v>6517</v>
      </c>
      <c r="E2280" t="s">
        <v>6517</v>
      </c>
    </row>
    <row r="2281" spans="1:5" x14ac:dyDescent="0.3">
      <c r="A2281" t="s">
        <v>1548</v>
      </c>
      <c r="B2281" t="s">
        <v>7219</v>
      </c>
      <c r="C2281" t="s">
        <v>6517</v>
      </c>
      <c r="D2281" t="s">
        <v>6517</v>
      </c>
      <c r="E2281" t="s">
        <v>6517</v>
      </c>
    </row>
    <row r="2282" spans="1:5" x14ac:dyDescent="0.3">
      <c r="A2282" t="s">
        <v>1548</v>
      </c>
      <c r="B2282" t="s">
        <v>7218</v>
      </c>
      <c r="C2282" t="s">
        <v>6517</v>
      </c>
      <c r="D2282" t="s">
        <v>6517</v>
      </c>
      <c r="E2282" t="s">
        <v>6517</v>
      </c>
    </row>
    <row r="2283" spans="1:5" x14ac:dyDescent="0.3">
      <c r="A2283" t="s">
        <v>1549</v>
      </c>
      <c r="B2283" t="s">
        <v>7217</v>
      </c>
      <c r="C2283" t="s">
        <v>7217</v>
      </c>
      <c r="D2283" t="s">
        <v>7216</v>
      </c>
      <c r="E2283" t="s">
        <v>7215</v>
      </c>
    </row>
    <row r="2284" spans="1:5" x14ac:dyDescent="0.3">
      <c r="A2284" t="s">
        <v>1549</v>
      </c>
      <c r="B2284" t="s">
        <v>7214</v>
      </c>
      <c r="C2284" t="s">
        <v>6517</v>
      </c>
      <c r="D2284" t="s">
        <v>6517</v>
      </c>
      <c r="E2284" t="s">
        <v>6517</v>
      </c>
    </row>
    <row r="2285" spans="1:5" x14ac:dyDescent="0.3">
      <c r="A2285" t="s">
        <v>1549</v>
      </c>
      <c r="B2285" t="s">
        <v>7213</v>
      </c>
      <c r="C2285" t="s">
        <v>6517</v>
      </c>
      <c r="D2285" t="s">
        <v>6517</v>
      </c>
      <c r="E2285" t="s">
        <v>6517</v>
      </c>
    </row>
    <row r="2286" spans="1:5" x14ac:dyDescent="0.3">
      <c r="A2286" t="s">
        <v>1549</v>
      </c>
      <c r="B2286" t="s">
        <v>7212</v>
      </c>
      <c r="C2286" t="s">
        <v>6517</v>
      </c>
      <c r="D2286" t="s">
        <v>6517</v>
      </c>
      <c r="E2286" t="s">
        <v>6517</v>
      </c>
    </row>
    <row r="2287" spans="1:5" x14ac:dyDescent="0.3">
      <c r="A2287" t="s">
        <v>1549</v>
      </c>
      <c r="B2287" t="s">
        <v>7211</v>
      </c>
      <c r="C2287" t="s">
        <v>6517</v>
      </c>
      <c r="D2287" t="s">
        <v>6517</v>
      </c>
      <c r="E2287" t="s">
        <v>6517</v>
      </c>
    </row>
    <row r="2288" spans="1:5" x14ac:dyDescent="0.3">
      <c r="A2288" t="s">
        <v>1550</v>
      </c>
      <c r="B2288" t="s">
        <v>7210</v>
      </c>
      <c r="C2288" t="s">
        <v>7210</v>
      </c>
      <c r="D2288" t="s">
        <v>7209</v>
      </c>
      <c r="E2288" t="s">
        <v>7208</v>
      </c>
    </row>
    <row r="2289" spans="1:5" x14ac:dyDescent="0.3">
      <c r="A2289" t="s">
        <v>1550</v>
      </c>
      <c r="B2289" t="s">
        <v>7207</v>
      </c>
      <c r="C2289" t="s">
        <v>6517</v>
      </c>
      <c r="D2289" t="s">
        <v>6517</v>
      </c>
      <c r="E2289" t="s">
        <v>6517</v>
      </c>
    </row>
    <row r="2290" spans="1:5" x14ac:dyDescent="0.3">
      <c r="A2290" t="s">
        <v>1550</v>
      </c>
      <c r="B2290" t="s">
        <v>7206</v>
      </c>
      <c r="C2290" t="s">
        <v>6517</v>
      </c>
      <c r="D2290" t="s">
        <v>6517</v>
      </c>
      <c r="E2290" t="s">
        <v>6517</v>
      </c>
    </row>
    <row r="2291" spans="1:5" x14ac:dyDescent="0.3">
      <c r="A2291" t="s">
        <v>1550</v>
      </c>
      <c r="B2291" t="s">
        <v>7205</v>
      </c>
      <c r="C2291" t="s">
        <v>6517</v>
      </c>
      <c r="D2291" t="s">
        <v>6517</v>
      </c>
      <c r="E2291" t="s">
        <v>6517</v>
      </c>
    </row>
    <row r="2292" spans="1:5" x14ac:dyDescent="0.3">
      <c r="A2292" t="s">
        <v>1550</v>
      </c>
      <c r="B2292" t="s">
        <v>7204</v>
      </c>
      <c r="C2292" t="s">
        <v>6517</v>
      </c>
      <c r="D2292" t="s">
        <v>6517</v>
      </c>
      <c r="E2292" t="s">
        <v>6517</v>
      </c>
    </row>
    <row r="2293" spans="1:5" x14ac:dyDescent="0.3">
      <c r="A2293" t="s">
        <v>1551</v>
      </c>
      <c r="B2293" t="s">
        <v>7203</v>
      </c>
      <c r="C2293" t="s">
        <v>7203</v>
      </c>
      <c r="D2293" t="s">
        <v>7202</v>
      </c>
      <c r="E2293" t="s">
        <v>7201</v>
      </c>
    </row>
    <row r="2294" spans="1:5" x14ac:dyDescent="0.3">
      <c r="A2294" t="s">
        <v>1551</v>
      </c>
      <c r="B2294" t="s">
        <v>7200</v>
      </c>
      <c r="C2294" t="s">
        <v>6517</v>
      </c>
      <c r="D2294" t="s">
        <v>6517</v>
      </c>
      <c r="E2294" t="s">
        <v>6517</v>
      </c>
    </row>
    <row r="2295" spans="1:5" x14ac:dyDescent="0.3">
      <c r="A2295" t="s">
        <v>1551</v>
      </c>
      <c r="B2295" t="s">
        <v>7199</v>
      </c>
      <c r="C2295" t="s">
        <v>6517</v>
      </c>
      <c r="D2295" t="s">
        <v>6517</v>
      </c>
      <c r="E2295" t="s">
        <v>6517</v>
      </c>
    </row>
    <row r="2296" spans="1:5" x14ac:dyDescent="0.3">
      <c r="A2296" t="s">
        <v>1551</v>
      </c>
      <c r="B2296" t="s">
        <v>7198</v>
      </c>
      <c r="C2296" t="s">
        <v>6517</v>
      </c>
      <c r="D2296" t="s">
        <v>6517</v>
      </c>
      <c r="E2296" t="s">
        <v>6517</v>
      </c>
    </row>
    <row r="2297" spans="1:5" x14ac:dyDescent="0.3">
      <c r="A2297" t="s">
        <v>1551</v>
      </c>
      <c r="B2297" t="s">
        <v>7197</v>
      </c>
      <c r="C2297" t="s">
        <v>6517</v>
      </c>
      <c r="D2297" t="s">
        <v>6517</v>
      </c>
      <c r="E2297" t="s">
        <v>6517</v>
      </c>
    </row>
    <row r="2298" spans="1:5" x14ac:dyDescent="0.3">
      <c r="A2298" t="s">
        <v>1552</v>
      </c>
      <c r="B2298" t="s">
        <v>7196</v>
      </c>
      <c r="C2298" t="s">
        <v>7196</v>
      </c>
      <c r="D2298" t="s">
        <v>7195</v>
      </c>
      <c r="E2298" t="s">
        <v>7194</v>
      </c>
    </row>
    <row r="2299" spans="1:5" x14ac:dyDescent="0.3">
      <c r="A2299" t="s">
        <v>1552</v>
      </c>
      <c r="B2299" t="s">
        <v>7193</v>
      </c>
      <c r="C2299" t="s">
        <v>6517</v>
      </c>
      <c r="D2299" t="s">
        <v>6517</v>
      </c>
      <c r="E2299" t="s">
        <v>6517</v>
      </c>
    </row>
    <row r="2300" spans="1:5" x14ac:dyDescent="0.3">
      <c r="A2300" t="s">
        <v>1552</v>
      </c>
      <c r="B2300" t="s">
        <v>7192</v>
      </c>
      <c r="C2300" t="s">
        <v>6517</v>
      </c>
      <c r="D2300" t="s">
        <v>6517</v>
      </c>
      <c r="E2300" t="s">
        <v>6517</v>
      </c>
    </row>
    <row r="2301" spans="1:5" x14ac:dyDescent="0.3">
      <c r="A2301" t="s">
        <v>1552</v>
      </c>
      <c r="B2301" t="s">
        <v>7191</v>
      </c>
      <c r="C2301" t="s">
        <v>6517</v>
      </c>
      <c r="D2301" t="s">
        <v>6517</v>
      </c>
      <c r="E2301" t="s">
        <v>6517</v>
      </c>
    </row>
    <row r="2302" spans="1:5" x14ac:dyDescent="0.3">
      <c r="A2302" t="s">
        <v>1552</v>
      </c>
      <c r="B2302" t="s">
        <v>7190</v>
      </c>
      <c r="C2302" t="s">
        <v>6517</v>
      </c>
      <c r="D2302" t="s">
        <v>6517</v>
      </c>
      <c r="E2302" t="s">
        <v>6517</v>
      </c>
    </row>
    <row r="2303" spans="1:5" x14ac:dyDescent="0.3">
      <c r="A2303" t="s">
        <v>1553</v>
      </c>
      <c r="B2303" t="s">
        <v>7189</v>
      </c>
      <c r="C2303" t="s">
        <v>7189</v>
      </c>
      <c r="D2303" t="s">
        <v>7188</v>
      </c>
      <c r="E2303" t="s">
        <v>7187</v>
      </c>
    </row>
    <row r="2304" spans="1:5" x14ac:dyDescent="0.3">
      <c r="A2304" t="s">
        <v>1553</v>
      </c>
      <c r="B2304" t="s">
        <v>7186</v>
      </c>
      <c r="C2304" t="s">
        <v>6517</v>
      </c>
      <c r="D2304" t="s">
        <v>6517</v>
      </c>
      <c r="E2304" t="s">
        <v>6517</v>
      </c>
    </row>
    <row r="2305" spans="1:5" x14ac:dyDescent="0.3">
      <c r="A2305" t="s">
        <v>1553</v>
      </c>
      <c r="B2305" t="s">
        <v>7185</v>
      </c>
      <c r="C2305" t="s">
        <v>6517</v>
      </c>
      <c r="D2305" t="s">
        <v>6517</v>
      </c>
      <c r="E2305" t="s">
        <v>6517</v>
      </c>
    </row>
    <row r="2306" spans="1:5" x14ac:dyDescent="0.3">
      <c r="A2306" t="s">
        <v>1553</v>
      </c>
      <c r="B2306" t="s">
        <v>7184</v>
      </c>
      <c r="C2306" t="s">
        <v>6517</v>
      </c>
      <c r="D2306" t="s">
        <v>6517</v>
      </c>
      <c r="E2306" t="s">
        <v>6517</v>
      </c>
    </row>
    <row r="2307" spans="1:5" x14ac:dyDescent="0.3">
      <c r="A2307" t="s">
        <v>1553</v>
      </c>
      <c r="B2307" t="s">
        <v>7183</v>
      </c>
      <c r="C2307" t="s">
        <v>6517</v>
      </c>
      <c r="D2307" t="s">
        <v>6517</v>
      </c>
      <c r="E2307" t="s">
        <v>6517</v>
      </c>
    </row>
    <row r="2308" spans="1:5" x14ac:dyDescent="0.3">
      <c r="A2308" t="s">
        <v>1554</v>
      </c>
      <c r="B2308" t="s">
        <v>7182</v>
      </c>
      <c r="C2308" t="s">
        <v>7182</v>
      </c>
      <c r="D2308" t="s">
        <v>7181</v>
      </c>
      <c r="E2308" t="s">
        <v>7180</v>
      </c>
    </row>
    <row r="2309" spans="1:5" x14ac:dyDescent="0.3">
      <c r="A2309" t="s">
        <v>1554</v>
      </c>
      <c r="B2309" t="s">
        <v>7179</v>
      </c>
      <c r="C2309" t="s">
        <v>6517</v>
      </c>
      <c r="D2309" t="s">
        <v>6517</v>
      </c>
      <c r="E2309" t="s">
        <v>6517</v>
      </c>
    </row>
    <row r="2310" spans="1:5" x14ac:dyDescent="0.3">
      <c r="A2310" t="s">
        <v>1554</v>
      </c>
      <c r="B2310" t="s">
        <v>7178</v>
      </c>
      <c r="C2310" t="s">
        <v>6517</v>
      </c>
      <c r="D2310" t="s">
        <v>6517</v>
      </c>
      <c r="E2310" t="s">
        <v>6517</v>
      </c>
    </row>
    <row r="2311" spans="1:5" x14ac:dyDescent="0.3">
      <c r="A2311" t="s">
        <v>1554</v>
      </c>
      <c r="B2311" t="s">
        <v>7177</v>
      </c>
      <c r="C2311" t="s">
        <v>6517</v>
      </c>
      <c r="D2311" t="s">
        <v>6517</v>
      </c>
      <c r="E2311" t="s">
        <v>6517</v>
      </c>
    </row>
    <row r="2312" spans="1:5" x14ac:dyDescent="0.3">
      <c r="A2312" t="s">
        <v>1554</v>
      </c>
      <c r="B2312" t="s">
        <v>7176</v>
      </c>
      <c r="C2312" t="s">
        <v>6517</v>
      </c>
      <c r="D2312" t="s">
        <v>6517</v>
      </c>
      <c r="E2312" t="s">
        <v>6517</v>
      </c>
    </row>
    <row r="2313" spans="1:5" x14ac:dyDescent="0.3">
      <c r="A2313" t="s">
        <v>1555</v>
      </c>
      <c r="B2313" t="s">
        <v>7175</v>
      </c>
      <c r="C2313" t="s">
        <v>7175</v>
      </c>
      <c r="D2313" t="s">
        <v>7174</v>
      </c>
      <c r="E2313" t="s">
        <v>7173</v>
      </c>
    </row>
    <row r="2314" spans="1:5" x14ac:dyDescent="0.3">
      <c r="A2314" t="s">
        <v>1555</v>
      </c>
      <c r="B2314" t="s">
        <v>7172</v>
      </c>
      <c r="C2314" t="s">
        <v>6517</v>
      </c>
      <c r="D2314" t="s">
        <v>6517</v>
      </c>
      <c r="E2314" t="s">
        <v>6517</v>
      </c>
    </row>
    <row r="2315" spans="1:5" x14ac:dyDescent="0.3">
      <c r="A2315" t="s">
        <v>1555</v>
      </c>
      <c r="B2315" t="s">
        <v>7171</v>
      </c>
      <c r="C2315" t="s">
        <v>6517</v>
      </c>
      <c r="D2315" t="s">
        <v>6517</v>
      </c>
      <c r="E2315" t="s">
        <v>6517</v>
      </c>
    </row>
    <row r="2316" spans="1:5" x14ac:dyDescent="0.3">
      <c r="A2316" t="s">
        <v>1555</v>
      </c>
      <c r="B2316" t="s">
        <v>7170</v>
      </c>
      <c r="C2316" t="s">
        <v>6517</v>
      </c>
      <c r="D2316" t="s">
        <v>6517</v>
      </c>
      <c r="E2316" t="s">
        <v>6517</v>
      </c>
    </row>
    <row r="2317" spans="1:5" x14ac:dyDescent="0.3">
      <c r="A2317" t="s">
        <v>1555</v>
      </c>
      <c r="B2317" t="s">
        <v>7169</v>
      </c>
      <c r="C2317" t="s">
        <v>6517</v>
      </c>
      <c r="D2317" t="s">
        <v>6517</v>
      </c>
      <c r="E2317" t="s">
        <v>6517</v>
      </c>
    </row>
    <row r="2318" spans="1:5" x14ac:dyDescent="0.3">
      <c r="A2318" t="s">
        <v>1556</v>
      </c>
      <c r="B2318" t="s">
        <v>7168</v>
      </c>
      <c r="C2318" t="s">
        <v>7168</v>
      </c>
      <c r="D2318" t="s">
        <v>7167</v>
      </c>
      <c r="E2318" t="s">
        <v>7166</v>
      </c>
    </row>
    <row r="2319" spans="1:5" x14ac:dyDescent="0.3">
      <c r="A2319" t="s">
        <v>1556</v>
      </c>
      <c r="B2319" t="s">
        <v>7165</v>
      </c>
      <c r="C2319" t="s">
        <v>6517</v>
      </c>
      <c r="D2319" t="s">
        <v>6517</v>
      </c>
      <c r="E2319" t="s">
        <v>6517</v>
      </c>
    </row>
    <row r="2320" spans="1:5" x14ac:dyDescent="0.3">
      <c r="A2320" t="s">
        <v>1556</v>
      </c>
      <c r="B2320" t="s">
        <v>7164</v>
      </c>
      <c r="C2320" t="s">
        <v>6517</v>
      </c>
      <c r="D2320" t="s">
        <v>6517</v>
      </c>
      <c r="E2320" t="s">
        <v>6517</v>
      </c>
    </row>
    <row r="2321" spans="1:5" x14ac:dyDescent="0.3">
      <c r="A2321" t="s">
        <v>1556</v>
      </c>
      <c r="B2321" t="s">
        <v>7163</v>
      </c>
      <c r="C2321" t="s">
        <v>6517</v>
      </c>
      <c r="D2321" t="s">
        <v>6517</v>
      </c>
      <c r="E2321" t="s">
        <v>6517</v>
      </c>
    </row>
    <row r="2322" spans="1:5" x14ac:dyDescent="0.3">
      <c r="A2322" t="s">
        <v>1556</v>
      </c>
      <c r="B2322" t="s">
        <v>7162</v>
      </c>
      <c r="C2322" t="s">
        <v>6517</v>
      </c>
      <c r="D2322" t="s">
        <v>6517</v>
      </c>
      <c r="E2322" t="s">
        <v>6517</v>
      </c>
    </row>
    <row r="2323" spans="1:5" x14ac:dyDescent="0.3">
      <c r="A2323" t="s">
        <v>1557</v>
      </c>
      <c r="B2323" t="s">
        <v>7161</v>
      </c>
      <c r="C2323" t="s">
        <v>7161</v>
      </c>
      <c r="D2323" t="s">
        <v>7160</v>
      </c>
      <c r="E2323" t="s">
        <v>7159</v>
      </c>
    </row>
    <row r="2324" spans="1:5" x14ac:dyDescent="0.3">
      <c r="A2324" t="s">
        <v>1557</v>
      </c>
      <c r="B2324" t="s">
        <v>7158</v>
      </c>
      <c r="C2324" t="s">
        <v>6517</v>
      </c>
      <c r="D2324" t="s">
        <v>6517</v>
      </c>
      <c r="E2324" t="s">
        <v>6517</v>
      </c>
    </row>
    <row r="2325" spans="1:5" x14ac:dyDescent="0.3">
      <c r="A2325" t="s">
        <v>1557</v>
      </c>
      <c r="B2325" t="s">
        <v>7157</v>
      </c>
      <c r="C2325" t="s">
        <v>6517</v>
      </c>
      <c r="D2325" t="s">
        <v>6517</v>
      </c>
      <c r="E2325" t="s">
        <v>6517</v>
      </c>
    </row>
    <row r="2326" spans="1:5" x14ac:dyDescent="0.3">
      <c r="A2326" t="s">
        <v>1557</v>
      </c>
      <c r="B2326" t="s">
        <v>7156</v>
      </c>
      <c r="C2326" t="s">
        <v>6517</v>
      </c>
      <c r="D2326" t="s">
        <v>6517</v>
      </c>
      <c r="E2326" t="s">
        <v>6517</v>
      </c>
    </row>
    <row r="2327" spans="1:5" x14ac:dyDescent="0.3">
      <c r="A2327" t="s">
        <v>1557</v>
      </c>
      <c r="B2327" t="s">
        <v>7155</v>
      </c>
      <c r="C2327" t="s">
        <v>6517</v>
      </c>
      <c r="D2327" t="s">
        <v>6517</v>
      </c>
      <c r="E2327" t="s">
        <v>6517</v>
      </c>
    </row>
    <row r="2328" spans="1:5" x14ac:dyDescent="0.3">
      <c r="A2328" t="s">
        <v>1558</v>
      </c>
      <c r="B2328" t="s">
        <v>7154</v>
      </c>
      <c r="C2328" t="s">
        <v>7154</v>
      </c>
      <c r="D2328" t="s">
        <v>7153</v>
      </c>
      <c r="E2328" t="s">
        <v>7152</v>
      </c>
    </row>
    <row r="2329" spans="1:5" x14ac:dyDescent="0.3">
      <c r="A2329" t="s">
        <v>1558</v>
      </c>
      <c r="B2329" t="s">
        <v>7151</v>
      </c>
      <c r="C2329" t="s">
        <v>6517</v>
      </c>
      <c r="D2329" t="s">
        <v>6517</v>
      </c>
      <c r="E2329" t="s">
        <v>6517</v>
      </c>
    </row>
    <row r="2330" spans="1:5" x14ac:dyDescent="0.3">
      <c r="A2330" t="s">
        <v>1558</v>
      </c>
      <c r="B2330" t="s">
        <v>7150</v>
      </c>
      <c r="C2330" t="s">
        <v>6517</v>
      </c>
      <c r="D2330" t="s">
        <v>6517</v>
      </c>
      <c r="E2330" t="s">
        <v>6517</v>
      </c>
    </row>
    <row r="2331" spans="1:5" x14ac:dyDescent="0.3">
      <c r="A2331" t="s">
        <v>1558</v>
      </c>
      <c r="B2331" t="s">
        <v>7149</v>
      </c>
      <c r="C2331" t="s">
        <v>6517</v>
      </c>
      <c r="D2331" t="s">
        <v>6517</v>
      </c>
      <c r="E2331" t="s">
        <v>6517</v>
      </c>
    </row>
    <row r="2332" spans="1:5" x14ac:dyDescent="0.3">
      <c r="A2332" t="s">
        <v>1558</v>
      </c>
      <c r="B2332" t="s">
        <v>7148</v>
      </c>
      <c r="C2332" t="s">
        <v>6517</v>
      </c>
      <c r="D2332" t="s">
        <v>6517</v>
      </c>
      <c r="E2332" t="s">
        <v>6517</v>
      </c>
    </row>
    <row r="2333" spans="1:5" x14ac:dyDescent="0.3">
      <c r="A2333" t="s">
        <v>1559</v>
      </c>
      <c r="B2333" t="s">
        <v>7147</v>
      </c>
      <c r="C2333" t="s">
        <v>7147</v>
      </c>
      <c r="D2333" t="s">
        <v>7146</v>
      </c>
      <c r="E2333" t="s">
        <v>7145</v>
      </c>
    </row>
    <row r="2334" spans="1:5" x14ac:dyDescent="0.3">
      <c r="A2334" t="s">
        <v>1559</v>
      </c>
      <c r="B2334" t="s">
        <v>7144</v>
      </c>
      <c r="C2334" t="s">
        <v>6517</v>
      </c>
      <c r="D2334" t="s">
        <v>6517</v>
      </c>
      <c r="E2334" t="s">
        <v>6517</v>
      </c>
    </row>
    <row r="2335" spans="1:5" x14ac:dyDescent="0.3">
      <c r="A2335" t="s">
        <v>1559</v>
      </c>
      <c r="B2335" t="s">
        <v>7143</v>
      </c>
      <c r="C2335" t="s">
        <v>6517</v>
      </c>
      <c r="D2335" t="s">
        <v>6517</v>
      </c>
      <c r="E2335" t="s">
        <v>6517</v>
      </c>
    </row>
    <row r="2336" spans="1:5" x14ac:dyDescent="0.3">
      <c r="A2336" t="s">
        <v>1559</v>
      </c>
      <c r="B2336" t="s">
        <v>7142</v>
      </c>
      <c r="C2336" t="s">
        <v>6517</v>
      </c>
      <c r="D2336" t="s">
        <v>6517</v>
      </c>
      <c r="E2336" t="s">
        <v>6517</v>
      </c>
    </row>
    <row r="2337" spans="1:5" x14ac:dyDescent="0.3">
      <c r="A2337" t="s">
        <v>1559</v>
      </c>
      <c r="B2337" t="s">
        <v>7141</v>
      </c>
      <c r="C2337" t="s">
        <v>6517</v>
      </c>
      <c r="D2337" t="s">
        <v>6517</v>
      </c>
      <c r="E2337" t="s">
        <v>6517</v>
      </c>
    </row>
    <row r="2338" spans="1:5" x14ac:dyDescent="0.3">
      <c r="A2338" t="s">
        <v>1560</v>
      </c>
      <c r="B2338" t="s">
        <v>7140</v>
      </c>
      <c r="C2338" t="s">
        <v>7140</v>
      </c>
      <c r="D2338" t="s">
        <v>7139</v>
      </c>
      <c r="E2338" t="s">
        <v>7138</v>
      </c>
    </row>
    <row r="2339" spans="1:5" x14ac:dyDescent="0.3">
      <c r="A2339" t="s">
        <v>1560</v>
      </c>
      <c r="B2339" t="s">
        <v>7137</v>
      </c>
      <c r="C2339" t="s">
        <v>6517</v>
      </c>
      <c r="D2339" t="s">
        <v>6517</v>
      </c>
      <c r="E2339" t="s">
        <v>6517</v>
      </c>
    </row>
    <row r="2340" spans="1:5" x14ac:dyDescent="0.3">
      <c r="A2340" t="s">
        <v>1560</v>
      </c>
      <c r="B2340" t="s">
        <v>7136</v>
      </c>
      <c r="C2340" t="s">
        <v>6517</v>
      </c>
      <c r="D2340" t="s">
        <v>6517</v>
      </c>
      <c r="E2340" t="s">
        <v>6517</v>
      </c>
    </row>
    <row r="2341" spans="1:5" x14ac:dyDescent="0.3">
      <c r="A2341" t="s">
        <v>1560</v>
      </c>
      <c r="B2341" t="s">
        <v>7135</v>
      </c>
      <c r="C2341" t="s">
        <v>6517</v>
      </c>
      <c r="D2341" t="s">
        <v>6517</v>
      </c>
      <c r="E2341" t="s">
        <v>6517</v>
      </c>
    </row>
    <row r="2342" spans="1:5" x14ac:dyDescent="0.3">
      <c r="A2342" t="s">
        <v>1560</v>
      </c>
      <c r="B2342" t="s">
        <v>7134</v>
      </c>
      <c r="C2342" t="s">
        <v>6517</v>
      </c>
      <c r="D2342" t="s">
        <v>6517</v>
      </c>
      <c r="E2342" t="s">
        <v>6517</v>
      </c>
    </row>
    <row r="2343" spans="1:5" x14ac:dyDescent="0.3">
      <c r="A2343" t="s">
        <v>1561</v>
      </c>
      <c r="B2343" t="s">
        <v>7133</v>
      </c>
      <c r="C2343" t="s">
        <v>7133</v>
      </c>
      <c r="D2343" t="s">
        <v>7132</v>
      </c>
      <c r="E2343" t="s">
        <v>7131</v>
      </c>
    </row>
    <row r="2344" spans="1:5" x14ac:dyDescent="0.3">
      <c r="A2344" t="s">
        <v>1561</v>
      </c>
      <c r="B2344" t="s">
        <v>7130</v>
      </c>
      <c r="C2344" t="s">
        <v>6517</v>
      </c>
      <c r="D2344" t="s">
        <v>6517</v>
      </c>
      <c r="E2344" t="s">
        <v>6517</v>
      </c>
    </row>
    <row r="2345" spans="1:5" x14ac:dyDescent="0.3">
      <c r="A2345" t="s">
        <v>1561</v>
      </c>
      <c r="B2345" t="s">
        <v>7129</v>
      </c>
      <c r="C2345" t="s">
        <v>6517</v>
      </c>
      <c r="D2345" t="s">
        <v>6517</v>
      </c>
      <c r="E2345" t="s">
        <v>6517</v>
      </c>
    </row>
    <row r="2346" spans="1:5" x14ac:dyDescent="0.3">
      <c r="A2346" t="s">
        <v>1561</v>
      </c>
      <c r="B2346" t="s">
        <v>7128</v>
      </c>
      <c r="C2346" t="s">
        <v>6517</v>
      </c>
      <c r="D2346" t="s">
        <v>6517</v>
      </c>
      <c r="E2346" t="s">
        <v>6517</v>
      </c>
    </row>
    <row r="2347" spans="1:5" x14ac:dyDescent="0.3">
      <c r="A2347" t="s">
        <v>1561</v>
      </c>
      <c r="B2347" t="s">
        <v>7127</v>
      </c>
      <c r="C2347" t="s">
        <v>6517</v>
      </c>
      <c r="D2347" t="s">
        <v>6517</v>
      </c>
      <c r="E2347" t="s">
        <v>6517</v>
      </c>
    </row>
    <row r="2348" spans="1:5" x14ac:dyDescent="0.3">
      <c r="A2348" t="s">
        <v>1562</v>
      </c>
      <c r="B2348" t="s">
        <v>7126</v>
      </c>
      <c r="C2348" t="s">
        <v>7126</v>
      </c>
      <c r="D2348" t="s">
        <v>7125</v>
      </c>
      <c r="E2348" t="s">
        <v>7124</v>
      </c>
    </row>
    <row r="2349" spans="1:5" x14ac:dyDescent="0.3">
      <c r="A2349" t="s">
        <v>1562</v>
      </c>
      <c r="B2349" t="s">
        <v>7123</v>
      </c>
      <c r="C2349" t="s">
        <v>6517</v>
      </c>
      <c r="D2349" t="s">
        <v>6517</v>
      </c>
      <c r="E2349" t="s">
        <v>6517</v>
      </c>
    </row>
    <row r="2350" spans="1:5" x14ac:dyDescent="0.3">
      <c r="A2350" t="s">
        <v>1562</v>
      </c>
      <c r="B2350" t="s">
        <v>7122</v>
      </c>
      <c r="C2350" t="s">
        <v>6517</v>
      </c>
      <c r="D2350" t="s">
        <v>6517</v>
      </c>
      <c r="E2350" t="s">
        <v>6517</v>
      </c>
    </row>
    <row r="2351" spans="1:5" x14ac:dyDescent="0.3">
      <c r="A2351" t="s">
        <v>1562</v>
      </c>
      <c r="B2351" t="s">
        <v>7121</v>
      </c>
      <c r="C2351" t="s">
        <v>6517</v>
      </c>
      <c r="D2351" t="s">
        <v>6517</v>
      </c>
      <c r="E2351" t="s">
        <v>6517</v>
      </c>
    </row>
    <row r="2352" spans="1:5" x14ac:dyDescent="0.3">
      <c r="A2352" t="s">
        <v>1562</v>
      </c>
      <c r="B2352" t="s">
        <v>7120</v>
      </c>
      <c r="C2352" t="s">
        <v>6517</v>
      </c>
      <c r="D2352" t="s">
        <v>6517</v>
      </c>
      <c r="E2352" t="s">
        <v>6517</v>
      </c>
    </row>
    <row r="2353" spans="1:5" x14ac:dyDescent="0.3">
      <c r="A2353" t="s">
        <v>1563</v>
      </c>
      <c r="B2353" t="s">
        <v>7119</v>
      </c>
      <c r="C2353" t="s">
        <v>6517</v>
      </c>
      <c r="D2353" t="s">
        <v>6517</v>
      </c>
      <c r="E2353" t="s">
        <v>6517</v>
      </c>
    </row>
    <row r="2354" spans="1:5" x14ac:dyDescent="0.3">
      <c r="A2354" t="s">
        <v>1563</v>
      </c>
      <c r="B2354" t="s">
        <v>7118</v>
      </c>
      <c r="C2354" t="s">
        <v>6517</v>
      </c>
      <c r="D2354" t="s">
        <v>6517</v>
      </c>
      <c r="E2354" t="s">
        <v>6517</v>
      </c>
    </row>
    <row r="2355" spans="1:5" x14ac:dyDescent="0.3">
      <c r="A2355" t="s">
        <v>1563</v>
      </c>
      <c r="B2355" t="s">
        <v>7117</v>
      </c>
      <c r="C2355" t="s">
        <v>6517</v>
      </c>
      <c r="D2355" t="s">
        <v>6517</v>
      </c>
      <c r="E2355" t="s">
        <v>6517</v>
      </c>
    </row>
    <row r="2356" spans="1:5" x14ac:dyDescent="0.3">
      <c r="A2356" t="s">
        <v>1563</v>
      </c>
      <c r="B2356" t="s">
        <v>7116</v>
      </c>
      <c r="C2356" t="s">
        <v>7116</v>
      </c>
      <c r="D2356" t="s">
        <v>7115</v>
      </c>
      <c r="E2356" t="s">
        <v>7114</v>
      </c>
    </row>
    <row r="2357" spans="1:5" x14ac:dyDescent="0.3">
      <c r="A2357" t="s">
        <v>1563</v>
      </c>
      <c r="B2357" t="s">
        <v>7113</v>
      </c>
      <c r="C2357" t="s">
        <v>6517</v>
      </c>
      <c r="D2357" t="s">
        <v>6517</v>
      </c>
      <c r="E2357" t="s">
        <v>6517</v>
      </c>
    </row>
    <row r="2358" spans="1:5" x14ac:dyDescent="0.3">
      <c r="A2358" t="s">
        <v>1564</v>
      </c>
      <c r="B2358" t="s">
        <v>7112</v>
      </c>
      <c r="C2358" t="s">
        <v>7112</v>
      </c>
      <c r="D2358" t="s">
        <v>7111</v>
      </c>
      <c r="E2358" t="s">
        <v>7110</v>
      </c>
    </row>
    <row r="2359" spans="1:5" x14ac:dyDescent="0.3">
      <c r="A2359" t="s">
        <v>1564</v>
      </c>
      <c r="B2359" t="s">
        <v>7109</v>
      </c>
      <c r="C2359" t="s">
        <v>6517</v>
      </c>
      <c r="D2359" t="s">
        <v>6517</v>
      </c>
      <c r="E2359" t="s">
        <v>6517</v>
      </c>
    </row>
    <row r="2360" spans="1:5" x14ac:dyDescent="0.3">
      <c r="A2360" t="s">
        <v>1564</v>
      </c>
      <c r="B2360" t="s">
        <v>7108</v>
      </c>
      <c r="C2360" t="s">
        <v>6517</v>
      </c>
      <c r="D2360" t="s">
        <v>6517</v>
      </c>
      <c r="E2360" t="s">
        <v>6517</v>
      </c>
    </row>
    <row r="2361" spans="1:5" x14ac:dyDescent="0.3">
      <c r="A2361" t="s">
        <v>1564</v>
      </c>
      <c r="B2361" t="s">
        <v>7107</v>
      </c>
      <c r="C2361" t="s">
        <v>6517</v>
      </c>
      <c r="D2361" t="s">
        <v>6517</v>
      </c>
      <c r="E2361" t="s">
        <v>6517</v>
      </c>
    </row>
    <row r="2362" spans="1:5" x14ac:dyDescent="0.3">
      <c r="A2362" t="s">
        <v>1564</v>
      </c>
      <c r="B2362" t="s">
        <v>7106</v>
      </c>
      <c r="C2362" t="s">
        <v>6517</v>
      </c>
      <c r="D2362" t="s">
        <v>6517</v>
      </c>
      <c r="E2362" t="s">
        <v>6517</v>
      </c>
    </row>
    <row r="2363" spans="1:5" x14ac:dyDescent="0.3">
      <c r="A2363" t="s">
        <v>1565</v>
      </c>
      <c r="B2363" t="s">
        <v>7105</v>
      </c>
      <c r="C2363" t="s">
        <v>7105</v>
      </c>
      <c r="D2363" t="s">
        <v>7104</v>
      </c>
      <c r="E2363" t="s">
        <v>7103</v>
      </c>
    </row>
    <row r="2364" spans="1:5" x14ac:dyDescent="0.3">
      <c r="A2364" t="s">
        <v>1565</v>
      </c>
      <c r="B2364" t="s">
        <v>7102</v>
      </c>
      <c r="C2364" t="s">
        <v>6517</v>
      </c>
      <c r="D2364" t="s">
        <v>6517</v>
      </c>
      <c r="E2364" t="s">
        <v>6517</v>
      </c>
    </row>
    <row r="2365" spans="1:5" x14ac:dyDescent="0.3">
      <c r="A2365" t="s">
        <v>1565</v>
      </c>
      <c r="B2365" t="s">
        <v>7101</v>
      </c>
      <c r="C2365" t="s">
        <v>6517</v>
      </c>
      <c r="D2365" t="s">
        <v>6517</v>
      </c>
      <c r="E2365" t="s">
        <v>6517</v>
      </c>
    </row>
    <row r="2366" spans="1:5" x14ac:dyDescent="0.3">
      <c r="A2366" t="s">
        <v>1565</v>
      </c>
      <c r="B2366" t="s">
        <v>7100</v>
      </c>
      <c r="C2366" t="s">
        <v>6517</v>
      </c>
      <c r="D2366" t="s">
        <v>6517</v>
      </c>
      <c r="E2366" t="s">
        <v>6517</v>
      </c>
    </row>
    <row r="2367" spans="1:5" x14ac:dyDescent="0.3">
      <c r="A2367" t="s">
        <v>1565</v>
      </c>
      <c r="B2367" t="s">
        <v>7099</v>
      </c>
      <c r="C2367" t="s">
        <v>6517</v>
      </c>
      <c r="D2367" t="s">
        <v>6517</v>
      </c>
      <c r="E2367" t="s">
        <v>6517</v>
      </c>
    </row>
    <row r="2368" spans="1:5" x14ac:dyDescent="0.3">
      <c r="A2368" t="s">
        <v>1566</v>
      </c>
      <c r="B2368" t="s">
        <v>7098</v>
      </c>
      <c r="C2368" t="s">
        <v>7098</v>
      </c>
      <c r="D2368" t="s">
        <v>7097</v>
      </c>
      <c r="E2368" t="s">
        <v>7096</v>
      </c>
    </row>
    <row r="2369" spans="1:5" x14ac:dyDescent="0.3">
      <c r="A2369" t="s">
        <v>1566</v>
      </c>
      <c r="B2369" t="s">
        <v>7095</v>
      </c>
      <c r="C2369" t="s">
        <v>6517</v>
      </c>
      <c r="D2369" t="s">
        <v>6517</v>
      </c>
      <c r="E2369" t="s">
        <v>6517</v>
      </c>
    </row>
    <row r="2370" spans="1:5" x14ac:dyDescent="0.3">
      <c r="A2370" t="s">
        <v>1566</v>
      </c>
      <c r="B2370" t="s">
        <v>7094</v>
      </c>
      <c r="C2370" t="s">
        <v>6517</v>
      </c>
      <c r="D2370" t="s">
        <v>6517</v>
      </c>
      <c r="E2370" t="s">
        <v>6517</v>
      </c>
    </row>
    <row r="2371" spans="1:5" x14ac:dyDescent="0.3">
      <c r="A2371" t="s">
        <v>1566</v>
      </c>
      <c r="B2371" t="s">
        <v>7093</v>
      </c>
      <c r="C2371" t="s">
        <v>6517</v>
      </c>
      <c r="D2371" t="s">
        <v>6517</v>
      </c>
      <c r="E2371" t="s">
        <v>6517</v>
      </c>
    </row>
    <row r="2372" spans="1:5" x14ac:dyDescent="0.3">
      <c r="A2372" t="s">
        <v>1566</v>
      </c>
      <c r="B2372" t="s">
        <v>7092</v>
      </c>
      <c r="C2372" t="s">
        <v>6517</v>
      </c>
      <c r="D2372" t="s">
        <v>6517</v>
      </c>
      <c r="E2372" t="s">
        <v>6517</v>
      </c>
    </row>
    <row r="2373" spans="1:5" x14ac:dyDescent="0.3">
      <c r="A2373" t="s">
        <v>1567</v>
      </c>
      <c r="B2373" t="s">
        <v>7091</v>
      </c>
      <c r="C2373" t="s">
        <v>7091</v>
      </c>
      <c r="D2373" t="s">
        <v>7090</v>
      </c>
      <c r="E2373" t="s">
        <v>7089</v>
      </c>
    </row>
    <row r="2374" spans="1:5" x14ac:dyDescent="0.3">
      <c r="A2374" t="s">
        <v>1567</v>
      </c>
      <c r="B2374" t="s">
        <v>7088</v>
      </c>
      <c r="C2374" t="s">
        <v>6517</v>
      </c>
      <c r="D2374" t="s">
        <v>6517</v>
      </c>
      <c r="E2374" t="s">
        <v>6517</v>
      </c>
    </row>
    <row r="2375" spans="1:5" x14ac:dyDescent="0.3">
      <c r="A2375" t="s">
        <v>1567</v>
      </c>
      <c r="B2375" t="s">
        <v>7087</v>
      </c>
      <c r="C2375" t="s">
        <v>6517</v>
      </c>
      <c r="D2375" t="s">
        <v>6517</v>
      </c>
      <c r="E2375" t="s">
        <v>6517</v>
      </c>
    </row>
    <row r="2376" spans="1:5" x14ac:dyDescent="0.3">
      <c r="A2376" t="s">
        <v>1567</v>
      </c>
      <c r="B2376" t="s">
        <v>7086</v>
      </c>
      <c r="C2376" t="s">
        <v>6517</v>
      </c>
      <c r="D2376" t="s">
        <v>6517</v>
      </c>
      <c r="E2376" t="s">
        <v>6517</v>
      </c>
    </row>
    <row r="2377" spans="1:5" x14ac:dyDescent="0.3">
      <c r="A2377" t="s">
        <v>1567</v>
      </c>
      <c r="B2377" t="s">
        <v>7085</v>
      </c>
      <c r="C2377" t="s">
        <v>6517</v>
      </c>
      <c r="D2377" t="s">
        <v>6517</v>
      </c>
      <c r="E2377" t="s">
        <v>6517</v>
      </c>
    </row>
    <row r="2378" spans="1:5" x14ac:dyDescent="0.3">
      <c r="A2378" t="s">
        <v>1568</v>
      </c>
      <c r="B2378" t="s">
        <v>7084</v>
      </c>
      <c r="C2378" t="s">
        <v>7084</v>
      </c>
      <c r="D2378" t="s">
        <v>7083</v>
      </c>
      <c r="E2378" t="s">
        <v>7082</v>
      </c>
    </row>
    <row r="2379" spans="1:5" x14ac:dyDescent="0.3">
      <c r="A2379" t="s">
        <v>1568</v>
      </c>
      <c r="B2379" t="s">
        <v>7081</v>
      </c>
      <c r="C2379" t="s">
        <v>6517</v>
      </c>
      <c r="D2379" t="s">
        <v>6517</v>
      </c>
      <c r="E2379" t="s">
        <v>6517</v>
      </c>
    </row>
    <row r="2380" spans="1:5" x14ac:dyDescent="0.3">
      <c r="A2380" t="s">
        <v>1568</v>
      </c>
      <c r="B2380" t="s">
        <v>7080</v>
      </c>
      <c r="C2380" t="s">
        <v>6517</v>
      </c>
      <c r="D2380" t="s">
        <v>6517</v>
      </c>
      <c r="E2380" t="s">
        <v>6517</v>
      </c>
    </row>
    <row r="2381" spans="1:5" x14ac:dyDescent="0.3">
      <c r="A2381" t="s">
        <v>1568</v>
      </c>
      <c r="B2381" t="s">
        <v>7079</v>
      </c>
      <c r="C2381" t="s">
        <v>6517</v>
      </c>
      <c r="D2381" t="s">
        <v>6517</v>
      </c>
      <c r="E2381" t="s">
        <v>6517</v>
      </c>
    </row>
    <row r="2382" spans="1:5" x14ac:dyDescent="0.3">
      <c r="A2382" t="s">
        <v>1568</v>
      </c>
      <c r="B2382" t="s">
        <v>7078</v>
      </c>
      <c r="C2382" t="s">
        <v>6517</v>
      </c>
      <c r="D2382" t="s">
        <v>6517</v>
      </c>
      <c r="E2382" t="s">
        <v>6517</v>
      </c>
    </row>
    <row r="2383" spans="1:5" x14ac:dyDescent="0.3">
      <c r="A2383" t="s">
        <v>1569</v>
      </c>
      <c r="B2383" t="s">
        <v>7077</v>
      </c>
      <c r="C2383" t="s">
        <v>7077</v>
      </c>
      <c r="D2383" t="s">
        <v>7076</v>
      </c>
      <c r="E2383" t="s">
        <v>7075</v>
      </c>
    </row>
    <row r="2384" spans="1:5" x14ac:dyDescent="0.3">
      <c r="A2384" t="s">
        <v>1569</v>
      </c>
      <c r="B2384" t="s">
        <v>7074</v>
      </c>
      <c r="C2384" t="s">
        <v>6517</v>
      </c>
      <c r="D2384" t="s">
        <v>6517</v>
      </c>
      <c r="E2384" t="s">
        <v>6517</v>
      </c>
    </row>
    <row r="2385" spans="1:5" x14ac:dyDescent="0.3">
      <c r="A2385" t="s">
        <v>1569</v>
      </c>
      <c r="B2385" t="s">
        <v>7073</v>
      </c>
      <c r="C2385" t="s">
        <v>6517</v>
      </c>
      <c r="D2385" t="s">
        <v>6517</v>
      </c>
      <c r="E2385" t="s">
        <v>6517</v>
      </c>
    </row>
    <row r="2386" spans="1:5" x14ac:dyDescent="0.3">
      <c r="A2386" t="s">
        <v>1569</v>
      </c>
      <c r="B2386" t="s">
        <v>7072</v>
      </c>
      <c r="C2386" t="s">
        <v>6517</v>
      </c>
      <c r="D2386" t="s">
        <v>6517</v>
      </c>
      <c r="E2386" t="s">
        <v>6517</v>
      </c>
    </row>
    <row r="2387" spans="1:5" x14ac:dyDescent="0.3">
      <c r="A2387" t="s">
        <v>1569</v>
      </c>
      <c r="B2387" t="s">
        <v>7071</v>
      </c>
      <c r="C2387" t="s">
        <v>6517</v>
      </c>
      <c r="D2387" t="s">
        <v>6517</v>
      </c>
      <c r="E2387" t="s">
        <v>6517</v>
      </c>
    </row>
    <row r="2388" spans="1:5" x14ac:dyDescent="0.3">
      <c r="A2388" t="s">
        <v>1570</v>
      </c>
      <c r="B2388" t="s">
        <v>7070</v>
      </c>
      <c r="C2388" t="s">
        <v>7070</v>
      </c>
      <c r="D2388" t="s">
        <v>7069</v>
      </c>
      <c r="E2388" t="s">
        <v>7068</v>
      </c>
    </row>
    <row r="2389" spans="1:5" x14ac:dyDescent="0.3">
      <c r="A2389" t="s">
        <v>1570</v>
      </c>
      <c r="B2389" t="s">
        <v>7067</v>
      </c>
      <c r="C2389" t="s">
        <v>6517</v>
      </c>
      <c r="D2389" t="s">
        <v>6517</v>
      </c>
      <c r="E2389" t="s">
        <v>6517</v>
      </c>
    </row>
    <row r="2390" spans="1:5" x14ac:dyDescent="0.3">
      <c r="A2390" t="s">
        <v>1570</v>
      </c>
      <c r="B2390" t="s">
        <v>7066</v>
      </c>
      <c r="C2390" t="s">
        <v>6517</v>
      </c>
      <c r="D2390" t="s">
        <v>6517</v>
      </c>
      <c r="E2390" t="s">
        <v>6517</v>
      </c>
    </row>
    <row r="2391" spans="1:5" x14ac:dyDescent="0.3">
      <c r="A2391" t="s">
        <v>1570</v>
      </c>
      <c r="B2391" t="s">
        <v>7065</v>
      </c>
      <c r="C2391" t="s">
        <v>6517</v>
      </c>
      <c r="D2391" t="s">
        <v>6517</v>
      </c>
      <c r="E2391" t="s">
        <v>6517</v>
      </c>
    </row>
    <row r="2392" spans="1:5" x14ac:dyDescent="0.3">
      <c r="A2392" t="s">
        <v>1570</v>
      </c>
      <c r="B2392" t="s">
        <v>7064</v>
      </c>
      <c r="C2392" t="s">
        <v>6517</v>
      </c>
      <c r="D2392" t="s">
        <v>6517</v>
      </c>
      <c r="E2392" t="s">
        <v>6517</v>
      </c>
    </row>
    <row r="2393" spans="1:5" x14ac:dyDescent="0.3">
      <c r="A2393" t="s">
        <v>1571</v>
      </c>
      <c r="B2393" t="s">
        <v>7063</v>
      </c>
      <c r="C2393" t="s">
        <v>7063</v>
      </c>
      <c r="D2393" t="s">
        <v>7062</v>
      </c>
      <c r="E2393" t="s">
        <v>7061</v>
      </c>
    </row>
    <row r="2394" spans="1:5" x14ac:dyDescent="0.3">
      <c r="A2394" t="s">
        <v>1571</v>
      </c>
      <c r="B2394" t="s">
        <v>7060</v>
      </c>
      <c r="C2394" t="s">
        <v>6517</v>
      </c>
      <c r="D2394" t="s">
        <v>6517</v>
      </c>
      <c r="E2394" t="s">
        <v>6517</v>
      </c>
    </row>
    <row r="2395" spans="1:5" x14ac:dyDescent="0.3">
      <c r="A2395" t="s">
        <v>1571</v>
      </c>
      <c r="B2395" t="s">
        <v>7059</v>
      </c>
      <c r="C2395" t="s">
        <v>6517</v>
      </c>
      <c r="D2395" t="s">
        <v>6517</v>
      </c>
      <c r="E2395" t="s">
        <v>6517</v>
      </c>
    </row>
    <row r="2396" spans="1:5" x14ac:dyDescent="0.3">
      <c r="A2396" t="s">
        <v>1571</v>
      </c>
      <c r="B2396" t="s">
        <v>7058</v>
      </c>
      <c r="C2396" t="s">
        <v>6517</v>
      </c>
      <c r="D2396" t="s">
        <v>6517</v>
      </c>
      <c r="E2396" t="s">
        <v>6517</v>
      </c>
    </row>
    <row r="2397" spans="1:5" x14ac:dyDescent="0.3">
      <c r="A2397" t="s">
        <v>1571</v>
      </c>
      <c r="B2397" t="s">
        <v>7057</v>
      </c>
      <c r="C2397" t="s">
        <v>6517</v>
      </c>
      <c r="D2397" t="s">
        <v>6517</v>
      </c>
      <c r="E2397" t="s">
        <v>6517</v>
      </c>
    </row>
    <row r="2398" spans="1:5" x14ac:dyDescent="0.3">
      <c r="A2398" t="s">
        <v>1572</v>
      </c>
      <c r="B2398" t="s">
        <v>7056</v>
      </c>
      <c r="C2398" t="s">
        <v>7056</v>
      </c>
      <c r="D2398" t="s">
        <v>7055</v>
      </c>
      <c r="E2398" t="s">
        <v>7054</v>
      </c>
    </row>
    <row r="2399" spans="1:5" x14ac:dyDescent="0.3">
      <c r="A2399" t="s">
        <v>1572</v>
      </c>
      <c r="B2399" t="s">
        <v>7053</v>
      </c>
      <c r="C2399" t="s">
        <v>6517</v>
      </c>
      <c r="D2399" t="s">
        <v>6517</v>
      </c>
      <c r="E2399" t="s">
        <v>6517</v>
      </c>
    </row>
    <row r="2400" spans="1:5" x14ac:dyDescent="0.3">
      <c r="A2400" t="s">
        <v>1572</v>
      </c>
      <c r="B2400" t="s">
        <v>7052</v>
      </c>
      <c r="C2400" t="s">
        <v>6517</v>
      </c>
      <c r="D2400" t="s">
        <v>6517</v>
      </c>
      <c r="E2400" t="s">
        <v>6517</v>
      </c>
    </row>
    <row r="2401" spans="1:5" x14ac:dyDescent="0.3">
      <c r="A2401" t="s">
        <v>1572</v>
      </c>
      <c r="B2401" t="s">
        <v>7051</v>
      </c>
      <c r="C2401" t="s">
        <v>6517</v>
      </c>
      <c r="D2401" t="s">
        <v>6517</v>
      </c>
      <c r="E2401" t="s">
        <v>6517</v>
      </c>
    </row>
    <row r="2402" spans="1:5" x14ac:dyDescent="0.3">
      <c r="A2402" t="s">
        <v>1572</v>
      </c>
      <c r="B2402" t="s">
        <v>7050</v>
      </c>
      <c r="C2402" t="s">
        <v>6517</v>
      </c>
      <c r="D2402" t="s">
        <v>6517</v>
      </c>
      <c r="E2402" t="s">
        <v>6517</v>
      </c>
    </row>
    <row r="2403" spans="1:5" x14ac:dyDescent="0.3">
      <c r="A2403" t="s">
        <v>1573</v>
      </c>
      <c r="B2403" t="s">
        <v>7049</v>
      </c>
      <c r="C2403" t="s">
        <v>7049</v>
      </c>
      <c r="D2403" t="s">
        <v>7048</v>
      </c>
      <c r="E2403" t="s">
        <v>7047</v>
      </c>
    </row>
    <row r="2404" spans="1:5" x14ac:dyDescent="0.3">
      <c r="A2404" t="s">
        <v>1573</v>
      </c>
      <c r="B2404" t="s">
        <v>7046</v>
      </c>
      <c r="C2404" t="s">
        <v>6517</v>
      </c>
      <c r="D2404" t="s">
        <v>6517</v>
      </c>
      <c r="E2404" t="s">
        <v>6517</v>
      </c>
    </row>
    <row r="2405" spans="1:5" x14ac:dyDescent="0.3">
      <c r="A2405" t="s">
        <v>1573</v>
      </c>
      <c r="B2405" t="s">
        <v>7045</v>
      </c>
      <c r="C2405" t="s">
        <v>6517</v>
      </c>
      <c r="D2405" t="s">
        <v>6517</v>
      </c>
      <c r="E2405" t="s">
        <v>6517</v>
      </c>
    </row>
    <row r="2406" spans="1:5" x14ac:dyDescent="0.3">
      <c r="A2406" t="s">
        <v>1573</v>
      </c>
      <c r="B2406" t="s">
        <v>7044</v>
      </c>
      <c r="C2406" t="s">
        <v>6517</v>
      </c>
      <c r="D2406" t="s">
        <v>6517</v>
      </c>
      <c r="E2406" t="s">
        <v>6517</v>
      </c>
    </row>
    <row r="2407" spans="1:5" x14ac:dyDescent="0.3">
      <c r="A2407" t="s">
        <v>1573</v>
      </c>
      <c r="B2407" t="s">
        <v>7043</v>
      </c>
      <c r="C2407" t="s">
        <v>6517</v>
      </c>
      <c r="D2407" t="s">
        <v>6517</v>
      </c>
      <c r="E2407" t="s">
        <v>6517</v>
      </c>
    </row>
    <row r="2408" spans="1:5" x14ac:dyDescent="0.3">
      <c r="A2408" t="s">
        <v>1574</v>
      </c>
      <c r="B2408" t="s">
        <v>7042</v>
      </c>
      <c r="C2408" t="s">
        <v>7042</v>
      </c>
      <c r="D2408" t="s">
        <v>7041</v>
      </c>
      <c r="E2408" t="s">
        <v>7040</v>
      </c>
    </row>
    <row r="2409" spans="1:5" x14ac:dyDescent="0.3">
      <c r="A2409" t="s">
        <v>1574</v>
      </c>
      <c r="B2409" t="s">
        <v>7039</v>
      </c>
      <c r="C2409" t="s">
        <v>6517</v>
      </c>
      <c r="D2409" t="s">
        <v>6517</v>
      </c>
      <c r="E2409" t="s">
        <v>6517</v>
      </c>
    </row>
    <row r="2410" spans="1:5" x14ac:dyDescent="0.3">
      <c r="A2410" t="s">
        <v>1574</v>
      </c>
      <c r="B2410" t="s">
        <v>7038</v>
      </c>
      <c r="C2410" t="s">
        <v>6517</v>
      </c>
      <c r="D2410" t="s">
        <v>6517</v>
      </c>
      <c r="E2410" t="s">
        <v>6517</v>
      </c>
    </row>
    <row r="2411" spans="1:5" x14ac:dyDescent="0.3">
      <c r="A2411" t="s">
        <v>1574</v>
      </c>
      <c r="B2411" t="s">
        <v>7037</v>
      </c>
      <c r="C2411" t="s">
        <v>6517</v>
      </c>
      <c r="D2411" t="s">
        <v>6517</v>
      </c>
      <c r="E2411" t="s">
        <v>6517</v>
      </c>
    </row>
    <row r="2412" spans="1:5" x14ac:dyDescent="0.3">
      <c r="A2412" t="s">
        <v>1574</v>
      </c>
      <c r="B2412" t="s">
        <v>7036</v>
      </c>
      <c r="C2412" t="s">
        <v>6517</v>
      </c>
      <c r="D2412" t="s">
        <v>6517</v>
      </c>
      <c r="E2412" t="s">
        <v>6517</v>
      </c>
    </row>
    <row r="2413" spans="1:5" x14ac:dyDescent="0.3">
      <c r="A2413" t="s">
        <v>1575</v>
      </c>
      <c r="B2413" t="s">
        <v>7035</v>
      </c>
      <c r="C2413" t="s">
        <v>7035</v>
      </c>
      <c r="D2413" t="s">
        <v>7034</v>
      </c>
      <c r="E2413" t="s">
        <v>7033</v>
      </c>
    </row>
    <row r="2414" spans="1:5" x14ac:dyDescent="0.3">
      <c r="A2414" t="s">
        <v>1575</v>
      </c>
      <c r="B2414" t="s">
        <v>7032</v>
      </c>
      <c r="C2414" t="s">
        <v>6517</v>
      </c>
      <c r="D2414" t="s">
        <v>6517</v>
      </c>
      <c r="E2414" t="s">
        <v>6517</v>
      </c>
    </row>
    <row r="2415" spans="1:5" x14ac:dyDescent="0.3">
      <c r="A2415" t="s">
        <v>1575</v>
      </c>
      <c r="B2415" t="s">
        <v>7031</v>
      </c>
      <c r="C2415" t="s">
        <v>6517</v>
      </c>
      <c r="D2415" t="s">
        <v>6517</v>
      </c>
      <c r="E2415" t="s">
        <v>6517</v>
      </c>
    </row>
    <row r="2416" spans="1:5" x14ac:dyDescent="0.3">
      <c r="A2416" t="s">
        <v>1575</v>
      </c>
      <c r="B2416" t="s">
        <v>7030</v>
      </c>
      <c r="C2416" t="s">
        <v>6517</v>
      </c>
      <c r="D2416" t="s">
        <v>6517</v>
      </c>
      <c r="E2416" t="s">
        <v>6517</v>
      </c>
    </row>
    <row r="2417" spans="1:5" x14ac:dyDescent="0.3">
      <c r="A2417" t="s">
        <v>1575</v>
      </c>
      <c r="B2417" t="s">
        <v>7029</v>
      </c>
      <c r="C2417" t="s">
        <v>6517</v>
      </c>
      <c r="D2417" t="s">
        <v>6517</v>
      </c>
      <c r="E2417" t="s">
        <v>6517</v>
      </c>
    </row>
    <row r="2418" spans="1:5" x14ac:dyDescent="0.3">
      <c r="A2418" t="s">
        <v>1576</v>
      </c>
      <c r="B2418" t="s">
        <v>7028</v>
      </c>
      <c r="C2418" t="s">
        <v>7028</v>
      </c>
      <c r="D2418" t="s">
        <v>7027</v>
      </c>
      <c r="E2418" t="s">
        <v>7026</v>
      </c>
    </row>
    <row r="2419" spans="1:5" x14ac:dyDescent="0.3">
      <c r="A2419" t="s">
        <v>1576</v>
      </c>
      <c r="B2419" t="s">
        <v>7025</v>
      </c>
      <c r="C2419" t="s">
        <v>6517</v>
      </c>
      <c r="D2419" t="s">
        <v>6517</v>
      </c>
      <c r="E2419" t="s">
        <v>6517</v>
      </c>
    </row>
    <row r="2420" spans="1:5" x14ac:dyDescent="0.3">
      <c r="A2420" t="s">
        <v>1576</v>
      </c>
      <c r="B2420" t="s">
        <v>7024</v>
      </c>
      <c r="C2420" t="s">
        <v>6517</v>
      </c>
      <c r="D2420" t="s">
        <v>6517</v>
      </c>
      <c r="E2420" t="s">
        <v>6517</v>
      </c>
    </row>
    <row r="2421" spans="1:5" x14ac:dyDescent="0.3">
      <c r="A2421" t="s">
        <v>1576</v>
      </c>
      <c r="B2421" t="s">
        <v>7023</v>
      </c>
      <c r="C2421" t="s">
        <v>6517</v>
      </c>
      <c r="D2421" t="s">
        <v>6517</v>
      </c>
      <c r="E2421" t="s">
        <v>6517</v>
      </c>
    </row>
    <row r="2422" spans="1:5" x14ac:dyDescent="0.3">
      <c r="A2422" t="s">
        <v>1576</v>
      </c>
      <c r="B2422" t="s">
        <v>7022</v>
      </c>
      <c r="C2422" t="s">
        <v>6517</v>
      </c>
      <c r="D2422" t="s">
        <v>6517</v>
      </c>
      <c r="E2422" t="s">
        <v>6517</v>
      </c>
    </row>
    <row r="2423" spans="1:5" x14ac:dyDescent="0.3">
      <c r="A2423" t="s">
        <v>1577</v>
      </c>
      <c r="B2423" t="s">
        <v>7021</v>
      </c>
      <c r="C2423" t="s">
        <v>7021</v>
      </c>
      <c r="D2423" t="s">
        <v>7020</v>
      </c>
      <c r="E2423" t="s">
        <v>7019</v>
      </c>
    </row>
    <row r="2424" spans="1:5" x14ac:dyDescent="0.3">
      <c r="A2424" t="s">
        <v>1577</v>
      </c>
      <c r="B2424" t="s">
        <v>7018</v>
      </c>
      <c r="C2424" t="s">
        <v>6517</v>
      </c>
      <c r="D2424" t="s">
        <v>6517</v>
      </c>
      <c r="E2424" t="s">
        <v>6517</v>
      </c>
    </row>
    <row r="2425" spans="1:5" x14ac:dyDescent="0.3">
      <c r="A2425" t="s">
        <v>1577</v>
      </c>
      <c r="B2425" t="s">
        <v>7017</v>
      </c>
      <c r="C2425" t="s">
        <v>6517</v>
      </c>
      <c r="D2425" t="s">
        <v>6517</v>
      </c>
      <c r="E2425" t="s">
        <v>6517</v>
      </c>
    </row>
    <row r="2426" spans="1:5" x14ac:dyDescent="0.3">
      <c r="A2426" t="s">
        <v>1577</v>
      </c>
      <c r="B2426" t="s">
        <v>7016</v>
      </c>
      <c r="C2426" t="s">
        <v>6517</v>
      </c>
      <c r="D2426" t="s">
        <v>6517</v>
      </c>
      <c r="E2426" t="s">
        <v>6517</v>
      </c>
    </row>
    <row r="2427" spans="1:5" x14ac:dyDescent="0.3">
      <c r="A2427" t="s">
        <v>1577</v>
      </c>
      <c r="B2427" t="s">
        <v>7015</v>
      </c>
      <c r="C2427" t="s">
        <v>6517</v>
      </c>
      <c r="D2427" t="s">
        <v>6517</v>
      </c>
      <c r="E2427" t="s">
        <v>6517</v>
      </c>
    </row>
    <row r="2428" spans="1:5" x14ac:dyDescent="0.3">
      <c r="A2428" t="s">
        <v>1578</v>
      </c>
      <c r="B2428" t="s">
        <v>7014</v>
      </c>
      <c r="C2428" t="s">
        <v>7014</v>
      </c>
      <c r="D2428" t="s">
        <v>7013</v>
      </c>
      <c r="E2428" t="s">
        <v>7012</v>
      </c>
    </row>
    <row r="2429" spans="1:5" x14ac:dyDescent="0.3">
      <c r="A2429" t="s">
        <v>1578</v>
      </c>
      <c r="B2429" t="s">
        <v>7011</v>
      </c>
      <c r="C2429" t="s">
        <v>6517</v>
      </c>
      <c r="D2429" t="s">
        <v>6517</v>
      </c>
      <c r="E2429" t="s">
        <v>6517</v>
      </c>
    </row>
    <row r="2430" spans="1:5" x14ac:dyDescent="0.3">
      <c r="A2430" t="s">
        <v>1578</v>
      </c>
      <c r="B2430" t="s">
        <v>7010</v>
      </c>
      <c r="C2430" t="s">
        <v>6517</v>
      </c>
      <c r="D2430" t="s">
        <v>6517</v>
      </c>
      <c r="E2430" t="s">
        <v>6517</v>
      </c>
    </row>
    <row r="2431" spans="1:5" x14ac:dyDescent="0.3">
      <c r="A2431" t="s">
        <v>1578</v>
      </c>
      <c r="B2431" t="s">
        <v>7009</v>
      </c>
      <c r="C2431" t="s">
        <v>6517</v>
      </c>
      <c r="D2431" t="s">
        <v>6517</v>
      </c>
      <c r="E2431" t="s">
        <v>6517</v>
      </c>
    </row>
    <row r="2432" spans="1:5" x14ac:dyDescent="0.3">
      <c r="A2432" t="s">
        <v>1578</v>
      </c>
      <c r="B2432" t="s">
        <v>7008</v>
      </c>
      <c r="C2432" t="s">
        <v>6517</v>
      </c>
      <c r="D2432" t="s">
        <v>6517</v>
      </c>
      <c r="E2432" t="s">
        <v>6517</v>
      </c>
    </row>
    <row r="2433" spans="1:5" x14ac:dyDescent="0.3">
      <c r="A2433" t="s">
        <v>1579</v>
      </c>
      <c r="B2433" t="s">
        <v>7007</v>
      </c>
      <c r="C2433" t="s">
        <v>7007</v>
      </c>
      <c r="D2433" t="s">
        <v>7006</v>
      </c>
      <c r="E2433" t="s">
        <v>7005</v>
      </c>
    </row>
    <row r="2434" spans="1:5" x14ac:dyDescent="0.3">
      <c r="A2434" t="s">
        <v>1579</v>
      </c>
      <c r="B2434" t="s">
        <v>7004</v>
      </c>
      <c r="C2434" t="s">
        <v>6517</v>
      </c>
      <c r="D2434" t="s">
        <v>6517</v>
      </c>
      <c r="E2434" t="s">
        <v>6517</v>
      </c>
    </row>
    <row r="2435" spans="1:5" x14ac:dyDescent="0.3">
      <c r="A2435" t="s">
        <v>1579</v>
      </c>
      <c r="B2435" t="s">
        <v>7003</v>
      </c>
      <c r="C2435" t="s">
        <v>6517</v>
      </c>
      <c r="D2435" t="s">
        <v>6517</v>
      </c>
      <c r="E2435" t="s">
        <v>6517</v>
      </c>
    </row>
    <row r="2436" spans="1:5" x14ac:dyDescent="0.3">
      <c r="A2436" t="s">
        <v>1579</v>
      </c>
      <c r="B2436" t="s">
        <v>7002</v>
      </c>
      <c r="C2436" t="s">
        <v>6517</v>
      </c>
      <c r="D2436" t="s">
        <v>6517</v>
      </c>
      <c r="E2436" t="s">
        <v>6517</v>
      </c>
    </row>
    <row r="2437" spans="1:5" x14ac:dyDescent="0.3">
      <c r="A2437" t="s">
        <v>1579</v>
      </c>
      <c r="B2437" t="s">
        <v>7001</v>
      </c>
      <c r="C2437" t="s">
        <v>6517</v>
      </c>
      <c r="D2437" t="s">
        <v>6517</v>
      </c>
      <c r="E2437" t="s">
        <v>6517</v>
      </c>
    </row>
    <row r="2438" spans="1:5" x14ac:dyDescent="0.3">
      <c r="A2438" t="s">
        <v>1580</v>
      </c>
      <c r="B2438" t="s">
        <v>7000</v>
      </c>
      <c r="C2438" t="s">
        <v>7000</v>
      </c>
      <c r="D2438" t="s">
        <v>6999</v>
      </c>
      <c r="E2438" t="s">
        <v>6998</v>
      </c>
    </row>
    <row r="2439" spans="1:5" x14ac:dyDescent="0.3">
      <c r="A2439" t="s">
        <v>1580</v>
      </c>
      <c r="B2439" t="s">
        <v>6997</v>
      </c>
      <c r="C2439" t="s">
        <v>6517</v>
      </c>
      <c r="D2439" t="s">
        <v>6517</v>
      </c>
      <c r="E2439" t="s">
        <v>6517</v>
      </c>
    </row>
    <row r="2440" spans="1:5" x14ac:dyDescent="0.3">
      <c r="A2440" t="s">
        <v>1580</v>
      </c>
      <c r="B2440" t="s">
        <v>6996</v>
      </c>
      <c r="C2440" t="s">
        <v>6517</v>
      </c>
      <c r="D2440" t="s">
        <v>6517</v>
      </c>
      <c r="E2440" t="s">
        <v>6517</v>
      </c>
    </row>
    <row r="2441" spans="1:5" x14ac:dyDescent="0.3">
      <c r="A2441" t="s">
        <v>1580</v>
      </c>
      <c r="B2441" t="s">
        <v>6995</v>
      </c>
      <c r="C2441" t="s">
        <v>6517</v>
      </c>
      <c r="D2441" t="s">
        <v>6517</v>
      </c>
      <c r="E2441" t="s">
        <v>6517</v>
      </c>
    </row>
    <row r="2442" spans="1:5" x14ac:dyDescent="0.3">
      <c r="A2442" t="s">
        <v>1580</v>
      </c>
      <c r="B2442" t="s">
        <v>6994</v>
      </c>
      <c r="C2442" t="s">
        <v>6517</v>
      </c>
      <c r="D2442" t="s">
        <v>6517</v>
      </c>
      <c r="E2442" t="s">
        <v>6517</v>
      </c>
    </row>
    <row r="2443" spans="1:5" x14ac:dyDescent="0.3">
      <c r="A2443" t="s">
        <v>1581</v>
      </c>
      <c r="B2443" t="s">
        <v>6993</v>
      </c>
      <c r="C2443" t="s">
        <v>6993</v>
      </c>
      <c r="D2443" t="s">
        <v>6992</v>
      </c>
      <c r="E2443" t="s">
        <v>6991</v>
      </c>
    </row>
    <row r="2444" spans="1:5" x14ac:dyDescent="0.3">
      <c r="A2444" t="s">
        <v>1581</v>
      </c>
      <c r="B2444" t="s">
        <v>6990</v>
      </c>
      <c r="C2444" t="s">
        <v>6517</v>
      </c>
      <c r="D2444" t="s">
        <v>6517</v>
      </c>
      <c r="E2444" t="s">
        <v>6517</v>
      </c>
    </row>
    <row r="2445" spans="1:5" x14ac:dyDescent="0.3">
      <c r="A2445" t="s">
        <v>1581</v>
      </c>
      <c r="B2445" t="s">
        <v>6989</v>
      </c>
      <c r="C2445" t="s">
        <v>6517</v>
      </c>
      <c r="D2445" t="s">
        <v>6517</v>
      </c>
      <c r="E2445" t="s">
        <v>6517</v>
      </c>
    </row>
    <row r="2446" spans="1:5" x14ac:dyDescent="0.3">
      <c r="A2446" t="s">
        <v>1581</v>
      </c>
      <c r="B2446" t="s">
        <v>6988</v>
      </c>
      <c r="C2446" t="s">
        <v>6517</v>
      </c>
      <c r="D2446" t="s">
        <v>6517</v>
      </c>
      <c r="E2446" t="s">
        <v>6517</v>
      </c>
    </row>
    <row r="2447" spans="1:5" x14ac:dyDescent="0.3">
      <c r="A2447" t="s">
        <v>1581</v>
      </c>
      <c r="B2447" t="s">
        <v>6987</v>
      </c>
      <c r="C2447" t="s">
        <v>6517</v>
      </c>
      <c r="D2447" t="s">
        <v>6517</v>
      </c>
      <c r="E2447" t="s">
        <v>6517</v>
      </c>
    </row>
    <row r="2448" spans="1:5" x14ac:dyDescent="0.3">
      <c r="A2448" t="s">
        <v>1582</v>
      </c>
      <c r="B2448" t="s">
        <v>6986</v>
      </c>
      <c r="C2448" t="s">
        <v>6986</v>
      </c>
      <c r="D2448" t="s">
        <v>6985</v>
      </c>
      <c r="E2448" t="s">
        <v>6984</v>
      </c>
    </row>
    <row r="2449" spans="1:5" x14ac:dyDescent="0.3">
      <c r="A2449" t="s">
        <v>1582</v>
      </c>
      <c r="B2449" t="s">
        <v>6983</v>
      </c>
      <c r="C2449" t="s">
        <v>6517</v>
      </c>
      <c r="D2449" t="s">
        <v>6517</v>
      </c>
      <c r="E2449" t="s">
        <v>6517</v>
      </c>
    </row>
    <row r="2450" spans="1:5" x14ac:dyDescent="0.3">
      <c r="A2450" t="s">
        <v>1582</v>
      </c>
      <c r="B2450" t="s">
        <v>6982</v>
      </c>
      <c r="C2450" t="s">
        <v>6517</v>
      </c>
      <c r="D2450" t="s">
        <v>6517</v>
      </c>
      <c r="E2450" t="s">
        <v>6517</v>
      </c>
    </row>
    <row r="2451" spans="1:5" x14ac:dyDescent="0.3">
      <c r="A2451" t="s">
        <v>1582</v>
      </c>
      <c r="B2451" t="s">
        <v>6981</v>
      </c>
      <c r="C2451" t="s">
        <v>6517</v>
      </c>
      <c r="D2451" t="s">
        <v>6517</v>
      </c>
      <c r="E2451" t="s">
        <v>6517</v>
      </c>
    </row>
    <row r="2452" spans="1:5" x14ac:dyDescent="0.3">
      <c r="A2452" t="s">
        <v>1582</v>
      </c>
      <c r="B2452" t="s">
        <v>6980</v>
      </c>
      <c r="C2452" t="s">
        <v>6517</v>
      </c>
      <c r="D2452" t="s">
        <v>6517</v>
      </c>
      <c r="E2452" t="s">
        <v>6517</v>
      </c>
    </row>
    <row r="2453" spans="1:5" x14ac:dyDescent="0.3">
      <c r="A2453" t="s">
        <v>1583</v>
      </c>
      <c r="B2453" t="s">
        <v>6979</v>
      </c>
      <c r="C2453" t="s">
        <v>6979</v>
      </c>
      <c r="D2453" t="s">
        <v>6978</v>
      </c>
      <c r="E2453" t="s">
        <v>6977</v>
      </c>
    </row>
    <row r="2454" spans="1:5" x14ac:dyDescent="0.3">
      <c r="A2454" t="s">
        <v>1583</v>
      </c>
      <c r="B2454" t="s">
        <v>6976</v>
      </c>
      <c r="C2454" t="s">
        <v>6517</v>
      </c>
      <c r="D2454" t="s">
        <v>6517</v>
      </c>
      <c r="E2454" t="s">
        <v>6517</v>
      </c>
    </row>
    <row r="2455" spans="1:5" x14ac:dyDescent="0.3">
      <c r="A2455" t="s">
        <v>1583</v>
      </c>
      <c r="B2455" t="s">
        <v>6975</v>
      </c>
      <c r="C2455" t="s">
        <v>6517</v>
      </c>
      <c r="D2455" t="s">
        <v>6517</v>
      </c>
      <c r="E2455" t="s">
        <v>6517</v>
      </c>
    </row>
    <row r="2456" spans="1:5" x14ac:dyDescent="0.3">
      <c r="A2456" t="s">
        <v>1583</v>
      </c>
      <c r="B2456" t="s">
        <v>6974</v>
      </c>
      <c r="C2456" t="s">
        <v>6517</v>
      </c>
      <c r="D2456" t="s">
        <v>6517</v>
      </c>
      <c r="E2456" t="s">
        <v>6517</v>
      </c>
    </row>
    <row r="2457" spans="1:5" x14ac:dyDescent="0.3">
      <c r="A2457" t="s">
        <v>1583</v>
      </c>
      <c r="B2457" t="s">
        <v>6973</v>
      </c>
      <c r="C2457" t="s">
        <v>6517</v>
      </c>
      <c r="D2457" t="s">
        <v>6517</v>
      </c>
      <c r="E2457" t="s">
        <v>6517</v>
      </c>
    </row>
    <row r="2458" spans="1:5" x14ac:dyDescent="0.3">
      <c r="A2458" t="s">
        <v>1584</v>
      </c>
      <c r="B2458" t="s">
        <v>6972</v>
      </c>
      <c r="C2458" t="s">
        <v>6972</v>
      </c>
      <c r="D2458" t="s">
        <v>6971</v>
      </c>
      <c r="E2458" t="s">
        <v>6970</v>
      </c>
    </row>
    <row r="2459" spans="1:5" x14ac:dyDescent="0.3">
      <c r="A2459" t="s">
        <v>1584</v>
      </c>
      <c r="B2459" t="s">
        <v>6969</v>
      </c>
      <c r="C2459" t="s">
        <v>6517</v>
      </c>
      <c r="D2459" t="s">
        <v>6517</v>
      </c>
      <c r="E2459" t="s">
        <v>6517</v>
      </c>
    </row>
    <row r="2460" spans="1:5" x14ac:dyDescent="0.3">
      <c r="A2460" t="s">
        <v>1584</v>
      </c>
      <c r="B2460" t="s">
        <v>6968</v>
      </c>
      <c r="C2460" t="s">
        <v>6517</v>
      </c>
      <c r="D2460" t="s">
        <v>6517</v>
      </c>
      <c r="E2460" t="s">
        <v>6517</v>
      </c>
    </row>
    <row r="2461" spans="1:5" x14ac:dyDescent="0.3">
      <c r="A2461" t="s">
        <v>1584</v>
      </c>
      <c r="B2461" t="s">
        <v>6967</v>
      </c>
      <c r="C2461" t="s">
        <v>6517</v>
      </c>
      <c r="D2461" t="s">
        <v>6517</v>
      </c>
      <c r="E2461" t="s">
        <v>6517</v>
      </c>
    </row>
    <row r="2462" spans="1:5" x14ac:dyDescent="0.3">
      <c r="A2462" t="s">
        <v>1584</v>
      </c>
      <c r="B2462" t="s">
        <v>6966</v>
      </c>
      <c r="C2462" t="s">
        <v>6517</v>
      </c>
      <c r="D2462" t="s">
        <v>6517</v>
      </c>
      <c r="E2462" t="s">
        <v>6517</v>
      </c>
    </row>
    <row r="2463" spans="1:5" x14ac:dyDescent="0.3">
      <c r="A2463" t="s">
        <v>1585</v>
      </c>
      <c r="B2463" t="s">
        <v>6965</v>
      </c>
      <c r="C2463" t="s">
        <v>6965</v>
      </c>
      <c r="D2463" t="s">
        <v>6964</v>
      </c>
      <c r="E2463" t="s">
        <v>6963</v>
      </c>
    </row>
    <row r="2464" spans="1:5" x14ac:dyDescent="0.3">
      <c r="A2464" t="s">
        <v>1585</v>
      </c>
      <c r="B2464" t="s">
        <v>6962</v>
      </c>
      <c r="C2464" t="s">
        <v>6517</v>
      </c>
      <c r="D2464" t="s">
        <v>6517</v>
      </c>
      <c r="E2464" t="s">
        <v>6517</v>
      </c>
    </row>
    <row r="2465" spans="1:5" x14ac:dyDescent="0.3">
      <c r="A2465" t="s">
        <v>1585</v>
      </c>
      <c r="B2465" t="s">
        <v>6961</v>
      </c>
      <c r="C2465" t="s">
        <v>6517</v>
      </c>
      <c r="D2465" t="s">
        <v>6517</v>
      </c>
      <c r="E2465" t="s">
        <v>6517</v>
      </c>
    </row>
    <row r="2466" spans="1:5" x14ac:dyDescent="0.3">
      <c r="A2466" t="s">
        <v>1585</v>
      </c>
      <c r="B2466" t="s">
        <v>6960</v>
      </c>
      <c r="C2466" t="s">
        <v>6517</v>
      </c>
      <c r="D2466" t="s">
        <v>6517</v>
      </c>
      <c r="E2466" t="s">
        <v>6517</v>
      </c>
    </row>
    <row r="2467" spans="1:5" x14ac:dyDescent="0.3">
      <c r="A2467" t="s">
        <v>1585</v>
      </c>
      <c r="B2467" t="s">
        <v>6959</v>
      </c>
      <c r="C2467" t="s">
        <v>6517</v>
      </c>
      <c r="D2467" t="s">
        <v>6517</v>
      </c>
      <c r="E2467" t="s">
        <v>6517</v>
      </c>
    </row>
    <row r="2468" spans="1:5" x14ac:dyDescent="0.3">
      <c r="A2468" t="s">
        <v>1586</v>
      </c>
      <c r="B2468" t="s">
        <v>6958</v>
      </c>
      <c r="C2468" t="s">
        <v>6958</v>
      </c>
      <c r="D2468" t="s">
        <v>6957</v>
      </c>
      <c r="E2468" t="s">
        <v>6956</v>
      </c>
    </row>
    <row r="2469" spans="1:5" x14ac:dyDescent="0.3">
      <c r="A2469" t="s">
        <v>1586</v>
      </c>
      <c r="B2469" t="s">
        <v>6955</v>
      </c>
      <c r="C2469" t="s">
        <v>6517</v>
      </c>
      <c r="D2469" t="s">
        <v>6517</v>
      </c>
      <c r="E2469" t="s">
        <v>6517</v>
      </c>
    </row>
    <row r="2470" spans="1:5" x14ac:dyDescent="0.3">
      <c r="A2470" t="s">
        <v>1586</v>
      </c>
      <c r="B2470" t="s">
        <v>6954</v>
      </c>
      <c r="C2470" t="s">
        <v>6517</v>
      </c>
      <c r="D2470" t="s">
        <v>6517</v>
      </c>
      <c r="E2470" t="s">
        <v>6517</v>
      </c>
    </row>
    <row r="2471" spans="1:5" x14ac:dyDescent="0.3">
      <c r="A2471" t="s">
        <v>1586</v>
      </c>
      <c r="B2471" t="s">
        <v>6953</v>
      </c>
      <c r="C2471" t="s">
        <v>6517</v>
      </c>
      <c r="D2471" t="s">
        <v>6517</v>
      </c>
      <c r="E2471" t="s">
        <v>6517</v>
      </c>
    </row>
    <row r="2472" spans="1:5" x14ac:dyDescent="0.3">
      <c r="A2472" t="s">
        <v>1586</v>
      </c>
      <c r="B2472" t="s">
        <v>6952</v>
      </c>
      <c r="C2472" t="s">
        <v>6517</v>
      </c>
      <c r="D2472" t="s">
        <v>6517</v>
      </c>
      <c r="E2472" t="s">
        <v>6517</v>
      </c>
    </row>
    <row r="2473" spans="1:5" x14ac:dyDescent="0.3">
      <c r="A2473" t="s">
        <v>1587</v>
      </c>
      <c r="B2473" t="s">
        <v>6951</v>
      </c>
      <c r="C2473" t="s">
        <v>6951</v>
      </c>
      <c r="D2473" t="s">
        <v>6950</v>
      </c>
      <c r="E2473" t="s">
        <v>6949</v>
      </c>
    </row>
    <row r="2474" spans="1:5" x14ac:dyDescent="0.3">
      <c r="A2474" t="s">
        <v>1587</v>
      </c>
      <c r="B2474" t="s">
        <v>6948</v>
      </c>
      <c r="C2474" t="s">
        <v>6517</v>
      </c>
      <c r="D2474" t="s">
        <v>6517</v>
      </c>
      <c r="E2474" t="s">
        <v>6517</v>
      </c>
    </row>
    <row r="2475" spans="1:5" x14ac:dyDescent="0.3">
      <c r="A2475" t="s">
        <v>1587</v>
      </c>
      <c r="B2475" t="s">
        <v>6947</v>
      </c>
      <c r="C2475" t="s">
        <v>6517</v>
      </c>
      <c r="D2475" t="s">
        <v>6517</v>
      </c>
      <c r="E2475" t="s">
        <v>6517</v>
      </c>
    </row>
    <row r="2476" spans="1:5" x14ac:dyDescent="0.3">
      <c r="A2476" t="s">
        <v>1587</v>
      </c>
      <c r="B2476" t="s">
        <v>6946</v>
      </c>
      <c r="C2476" t="s">
        <v>6517</v>
      </c>
      <c r="D2476" t="s">
        <v>6517</v>
      </c>
      <c r="E2476" t="s">
        <v>6517</v>
      </c>
    </row>
    <row r="2477" spans="1:5" x14ac:dyDescent="0.3">
      <c r="A2477" t="s">
        <v>1587</v>
      </c>
      <c r="B2477" t="s">
        <v>6945</v>
      </c>
      <c r="C2477" t="s">
        <v>6517</v>
      </c>
      <c r="D2477" t="s">
        <v>6517</v>
      </c>
      <c r="E2477" t="s">
        <v>6517</v>
      </c>
    </row>
    <row r="2478" spans="1:5" x14ac:dyDescent="0.3">
      <c r="A2478" t="s">
        <v>1588</v>
      </c>
      <c r="B2478" t="s">
        <v>6944</v>
      </c>
      <c r="C2478" t="s">
        <v>6944</v>
      </c>
      <c r="D2478" t="s">
        <v>6943</v>
      </c>
      <c r="E2478" t="s">
        <v>6942</v>
      </c>
    </row>
    <row r="2479" spans="1:5" x14ac:dyDescent="0.3">
      <c r="A2479" t="s">
        <v>1588</v>
      </c>
      <c r="B2479" t="s">
        <v>6941</v>
      </c>
      <c r="C2479" t="s">
        <v>6517</v>
      </c>
      <c r="D2479" t="s">
        <v>6517</v>
      </c>
      <c r="E2479" t="s">
        <v>6517</v>
      </c>
    </row>
    <row r="2480" spans="1:5" x14ac:dyDescent="0.3">
      <c r="A2480" t="s">
        <v>1588</v>
      </c>
      <c r="B2480" t="s">
        <v>6940</v>
      </c>
      <c r="C2480" t="s">
        <v>6517</v>
      </c>
      <c r="D2480" t="s">
        <v>6517</v>
      </c>
      <c r="E2480" t="s">
        <v>6517</v>
      </c>
    </row>
    <row r="2481" spans="1:5" x14ac:dyDescent="0.3">
      <c r="A2481" t="s">
        <v>1588</v>
      </c>
      <c r="B2481" t="s">
        <v>6939</v>
      </c>
      <c r="C2481" t="s">
        <v>6517</v>
      </c>
      <c r="D2481" t="s">
        <v>6517</v>
      </c>
      <c r="E2481" t="s">
        <v>6517</v>
      </c>
    </row>
    <row r="2482" spans="1:5" x14ac:dyDescent="0.3">
      <c r="A2482" t="s">
        <v>1588</v>
      </c>
      <c r="B2482" t="s">
        <v>6938</v>
      </c>
      <c r="C2482" t="s">
        <v>6517</v>
      </c>
      <c r="D2482" t="s">
        <v>6517</v>
      </c>
      <c r="E2482" t="s">
        <v>6517</v>
      </c>
    </row>
    <row r="2483" spans="1:5" x14ac:dyDescent="0.3">
      <c r="A2483" t="s">
        <v>1589</v>
      </c>
      <c r="B2483" t="s">
        <v>6937</v>
      </c>
      <c r="C2483" t="s">
        <v>6937</v>
      </c>
      <c r="D2483" t="s">
        <v>6936</v>
      </c>
      <c r="E2483" t="s">
        <v>6935</v>
      </c>
    </row>
    <row r="2484" spans="1:5" x14ac:dyDescent="0.3">
      <c r="A2484" t="s">
        <v>1589</v>
      </c>
      <c r="B2484" t="s">
        <v>6934</v>
      </c>
      <c r="C2484" t="s">
        <v>6517</v>
      </c>
      <c r="D2484" t="s">
        <v>6517</v>
      </c>
      <c r="E2484" t="s">
        <v>6517</v>
      </c>
    </row>
    <row r="2485" spans="1:5" x14ac:dyDescent="0.3">
      <c r="A2485" t="s">
        <v>1589</v>
      </c>
      <c r="B2485" t="s">
        <v>6933</v>
      </c>
      <c r="C2485" t="s">
        <v>6517</v>
      </c>
      <c r="D2485" t="s">
        <v>6517</v>
      </c>
      <c r="E2485" t="s">
        <v>6517</v>
      </c>
    </row>
    <row r="2486" spans="1:5" x14ac:dyDescent="0.3">
      <c r="A2486" t="s">
        <v>1589</v>
      </c>
      <c r="B2486" t="s">
        <v>6932</v>
      </c>
      <c r="C2486" t="s">
        <v>6517</v>
      </c>
      <c r="D2486" t="s">
        <v>6517</v>
      </c>
      <c r="E2486" t="s">
        <v>6517</v>
      </c>
    </row>
    <row r="2487" spans="1:5" x14ac:dyDescent="0.3">
      <c r="A2487" t="s">
        <v>1589</v>
      </c>
      <c r="B2487" t="s">
        <v>6931</v>
      </c>
      <c r="C2487" t="s">
        <v>6517</v>
      </c>
      <c r="D2487" t="s">
        <v>6517</v>
      </c>
      <c r="E2487" t="s">
        <v>6517</v>
      </c>
    </row>
    <row r="2488" spans="1:5" x14ac:dyDescent="0.3">
      <c r="A2488" t="s">
        <v>1590</v>
      </c>
      <c r="B2488" t="s">
        <v>6930</v>
      </c>
      <c r="C2488" t="s">
        <v>6930</v>
      </c>
      <c r="D2488" t="s">
        <v>6929</v>
      </c>
      <c r="E2488" t="s">
        <v>6928</v>
      </c>
    </row>
    <row r="2489" spans="1:5" x14ac:dyDescent="0.3">
      <c r="A2489" t="s">
        <v>1590</v>
      </c>
      <c r="B2489" t="s">
        <v>6927</v>
      </c>
      <c r="C2489" t="s">
        <v>6517</v>
      </c>
      <c r="D2489" t="s">
        <v>6517</v>
      </c>
      <c r="E2489" t="s">
        <v>6517</v>
      </c>
    </row>
    <row r="2490" spans="1:5" x14ac:dyDescent="0.3">
      <c r="A2490" t="s">
        <v>1590</v>
      </c>
      <c r="B2490" t="s">
        <v>6926</v>
      </c>
      <c r="C2490" t="s">
        <v>6517</v>
      </c>
      <c r="D2490" t="s">
        <v>6517</v>
      </c>
      <c r="E2490" t="s">
        <v>6517</v>
      </c>
    </row>
    <row r="2491" spans="1:5" x14ac:dyDescent="0.3">
      <c r="A2491" t="s">
        <v>1590</v>
      </c>
      <c r="B2491" t="s">
        <v>6925</v>
      </c>
      <c r="C2491" t="s">
        <v>6517</v>
      </c>
      <c r="D2491" t="s">
        <v>6517</v>
      </c>
      <c r="E2491" t="s">
        <v>6517</v>
      </c>
    </row>
    <row r="2492" spans="1:5" x14ac:dyDescent="0.3">
      <c r="A2492" t="s">
        <v>1590</v>
      </c>
      <c r="B2492" t="s">
        <v>6924</v>
      </c>
      <c r="C2492" t="s">
        <v>6517</v>
      </c>
      <c r="D2492" t="s">
        <v>6517</v>
      </c>
      <c r="E2492" t="s">
        <v>6517</v>
      </c>
    </row>
    <row r="2493" spans="1:5" x14ac:dyDescent="0.3">
      <c r="A2493" t="s">
        <v>1591</v>
      </c>
      <c r="B2493" t="s">
        <v>6923</v>
      </c>
      <c r="C2493" t="s">
        <v>6923</v>
      </c>
      <c r="D2493" t="s">
        <v>6922</v>
      </c>
      <c r="E2493" t="s">
        <v>6921</v>
      </c>
    </row>
    <row r="2494" spans="1:5" x14ac:dyDescent="0.3">
      <c r="A2494" t="s">
        <v>1591</v>
      </c>
      <c r="B2494" t="s">
        <v>6920</v>
      </c>
      <c r="C2494" t="s">
        <v>6517</v>
      </c>
      <c r="D2494" t="s">
        <v>6517</v>
      </c>
      <c r="E2494" t="s">
        <v>6517</v>
      </c>
    </row>
    <row r="2495" spans="1:5" x14ac:dyDescent="0.3">
      <c r="A2495" t="s">
        <v>1591</v>
      </c>
      <c r="B2495" t="s">
        <v>6919</v>
      </c>
      <c r="C2495" t="s">
        <v>6517</v>
      </c>
      <c r="D2495" t="s">
        <v>6517</v>
      </c>
      <c r="E2495" t="s">
        <v>6517</v>
      </c>
    </row>
    <row r="2496" spans="1:5" x14ac:dyDescent="0.3">
      <c r="A2496" t="s">
        <v>1591</v>
      </c>
      <c r="B2496" t="s">
        <v>6918</v>
      </c>
      <c r="C2496" t="s">
        <v>6517</v>
      </c>
      <c r="D2496" t="s">
        <v>6517</v>
      </c>
      <c r="E2496" t="s">
        <v>6517</v>
      </c>
    </row>
    <row r="2497" spans="1:5" x14ac:dyDescent="0.3">
      <c r="A2497" t="s">
        <v>1591</v>
      </c>
      <c r="B2497" t="s">
        <v>6917</v>
      </c>
      <c r="C2497" t="s">
        <v>6517</v>
      </c>
      <c r="D2497" t="s">
        <v>6517</v>
      </c>
      <c r="E2497" t="s">
        <v>6517</v>
      </c>
    </row>
    <row r="2498" spans="1:5" x14ac:dyDescent="0.3">
      <c r="A2498" t="s">
        <v>1592</v>
      </c>
      <c r="B2498" t="s">
        <v>6916</v>
      </c>
      <c r="C2498" t="s">
        <v>6916</v>
      </c>
      <c r="D2498" t="s">
        <v>6915</v>
      </c>
      <c r="E2498" t="s">
        <v>6914</v>
      </c>
    </row>
    <row r="2499" spans="1:5" x14ac:dyDescent="0.3">
      <c r="A2499" t="s">
        <v>1592</v>
      </c>
      <c r="B2499" t="s">
        <v>6913</v>
      </c>
      <c r="C2499" t="s">
        <v>6517</v>
      </c>
      <c r="D2499" t="s">
        <v>6517</v>
      </c>
      <c r="E2499" t="s">
        <v>6517</v>
      </c>
    </row>
    <row r="2500" spans="1:5" x14ac:dyDescent="0.3">
      <c r="A2500" t="s">
        <v>1592</v>
      </c>
      <c r="B2500" t="s">
        <v>6912</v>
      </c>
      <c r="C2500" t="s">
        <v>6517</v>
      </c>
      <c r="D2500" t="s">
        <v>6517</v>
      </c>
      <c r="E2500" t="s">
        <v>6517</v>
      </c>
    </row>
    <row r="2501" spans="1:5" x14ac:dyDescent="0.3">
      <c r="A2501" t="s">
        <v>1592</v>
      </c>
      <c r="B2501" t="s">
        <v>6911</v>
      </c>
      <c r="C2501" t="s">
        <v>6517</v>
      </c>
      <c r="D2501" t="s">
        <v>6517</v>
      </c>
      <c r="E2501" t="s">
        <v>6517</v>
      </c>
    </row>
    <row r="2502" spans="1:5" x14ac:dyDescent="0.3">
      <c r="A2502" t="s">
        <v>1592</v>
      </c>
      <c r="B2502" t="s">
        <v>6910</v>
      </c>
      <c r="C2502" t="s">
        <v>6517</v>
      </c>
      <c r="D2502" t="s">
        <v>6517</v>
      </c>
      <c r="E2502" t="s">
        <v>6517</v>
      </c>
    </row>
    <row r="2503" spans="1:5" x14ac:dyDescent="0.3">
      <c r="A2503" t="s">
        <v>1593</v>
      </c>
      <c r="B2503" t="s">
        <v>6909</v>
      </c>
      <c r="C2503" t="s">
        <v>6909</v>
      </c>
      <c r="D2503" t="s">
        <v>6908</v>
      </c>
      <c r="E2503" t="s">
        <v>6907</v>
      </c>
    </row>
    <row r="2504" spans="1:5" x14ac:dyDescent="0.3">
      <c r="A2504" t="s">
        <v>1593</v>
      </c>
      <c r="B2504" t="s">
        <v>6906</v>
      </c>
      <c r="C2504" t="s">
        <v>6517</v>
      </c>
      <c r="D2504" t="s">
        <v>6517</v>
      </c>
      <c r="E2504" t="s">
        <v>6517</v>
      </c>
    </row>
    <row r="2505" spans="1:5" x14ac:dyDescent="0.3">
      <c r="A2505" t="s">
        <v>1593</v>
      </c>
      <c r="B2505" t="s">
        <v>6905</v>
      </c>
      <c r="C2505" t="s">
        <v>6517</v>
      </c>
      <c r="D2505" t="s">
        <v>6517</v>
      </c>
      <c r="E2505" t="s">
        <v>6517</v>
      </c>
    </row>
    <row r="2506" spans="1:5" x14ac:dyDescent="0.3">
      <c r="A2506" t="s">
        <v>1593</v>
      </c>
      <c r="B2506" t="s">
        <v>6904</v>
      </c>
      <c r="C2506" t="s">
        <v>6517</v>
      </c>
      <c r="D2506" t="s">
        <v>6517</v>
      </c>
      <c r="E2506" t="s">
        <v>6517</v>
      </c>
    </row>
    <row r="2507" spans="1:5" x14ac:dyDescent="0.3">
      <c r="A2507" t="s">
        <v>1593</v>
      </c>
      <c r="B2507" t="s">
        <v>6903</v>
      </c>
      <c r="C2507" t="s">
        <v>6517</v>
      </c>
      <c r="D2507" t="s">
        <v>6517</v>
      </c>
      <c r="E2507" t="s">
        <v>6517</v>
      </c>
    </row>
    <row r="2508" spans="1:5" x14ac:dyDescent="0.3">
      <c r="A2508" t="s">
        <v>1594</v>
      </c>
      <c r="B2508" t="s">
        <v>6902</v>
      </c>
      <c r="C2508" t="s">
        <v>6902</v>
      </c>
      <c r="D2508" t="s">
        <v>6901</v>
      </c>
      <c r="E2508" t="s">
        <v>6900</v>
      </c>
    </row>
    <row r="2509" spans="1:5" x14ac:dyDescent="0.3">
      <c r="A2509" t="s">
        <v>1594</v>
      </c>
      <c r="B2509" t="s">
        <v>6899</v>
      </c>
      <c r="C2509" t="s">
        <v>6517</v>
      </c>
      <c r="D2509" t="s">
        <v>6517</v>
      </c>
      <c r="E2509" t="s">
        <v>6517</v>
      </c>
    </row>
    <row r="2510" spans="1:5" x14ac:dyDescent="0.3">
      <c r="A2510" t="s">
        <v>1594</v>
      </c>
      <c r="B2510" t="s">
        <v>6898</v>
      </c>
      <c r="C2510" t="s">
        <v>6517</v>
      </c>
      <c r="D2510" t="s">
        <v>6517</v>
      </c>
      <c r="E2510" t="s">
        <v>6517</v>
      </c>
    </row>
    <row r="2511" spans="1:5" x14ac:dyDescent="0.3">
      <c r="A2511" t="s">
        <v>1594</v>
      </c>
      <c r="B2511" t="s">
        <v>6897</v>
      </c>
      <c r="C2511" t="s">
        <v>6517</v>
      </c>
      <c r="D2511" t="s">
        <v>6517</v>
      </c>
      <c r="E2511" t="s">
        <v>6517</v>
      </c>
    </row>
    <row r="2512" spans="1:5" x14ac:dyDescent="0.3">
      <c r="A2512" t="s">
        <v>1594</v>
      </c>
      <c r="B2512" t="s">
        <v>6896</v>
      </c>
      <c r="C2512" t="s">
        <v>6517</v>
      </c>
      <c r="D2512" t="s">
        <v>6517</v>
      </c>
      <c r="E2512" t="s">
        <v>6517</v>
      </c>
    </row>
    <row r="2513" spans="1:5" x14ac:dyDescent="0.3">
      <c r="A2513" t="s">
        <v>1595</v>
      </c>
      <c r="B2513" t="s">
        <v>6895</v>
      </c>
      <c r="C2513" t="s">
        <v>6895</v>
      </c>
      <c r="D2513" t="s">
        <v>6894</v>
      </c>
      <c r="E2513" t="s">
        <v>6893</v>
      </c>
    </row>
    <row r="2514" spans="1:5" x14ac:dyDescent="0.3">
      <c r="A2514" t="s">
        <v>1595</v>
      </c>
      <c r="B2514" t="s">
        <v>6892</v>
      </c>
      <c r="C2514" t="s">
        <v>6517</v>
      </c>
      <c r="D2514" t="s">
        <v>6517</v>
      </c>
      <c r="E2514" t="s">
        <v>6517</v>
      </c>
    </row>
    <row r="2515" spans="1:5" x14ac:dyDescent="0.3">
      <c r="A2515" t="s">
        <v>1595</v>
      </c>
      <c r="B2515" t="s">
        <v>6891</v>
      </c>
      <c r="C2515" t="s">
        <v>6517</v>
      </c>
      <c r="D2515" t="s">
        <v>6517</v>
      </c>
      <c r="E2515" t="s">
        <v>6517</v>
      </c>
    </row>
    <row r="2516" spans="1:5" x14ac:dyDescent="0.3">
      <c r="A2516" t="s">
        <v>1595</v>
      </c>
      <c r="B2516" t="s">
        <v>6890</v>
      </c>
      <c r="C2516" t="s">
        <v>6517</v>
      </c>
      <c r="D2516" t="s">
        <v>6517</v>
      </c>
      <c r="E2516" t="s">
        <v>6517</v>
      </c>
    </row>
    <row r="2517" spans="1:5" x14ac:dyDescent="0.3">
      <c r="A2517" t="s">
        <v>1595</v>
      </c>
      <c r="B2517" t="s">
        <v>6889</v>
      </c>
      <c r="C2517" t="s">
        <v>6517</v>
      </c>
      <c r="D2517" t="s">
        <v>6517</v>
      </c>
      <c r="E2517" t="s">
        <v>6517</v>
      </c>
    </row>
    <row r="2518" spans="1:5" x14ac:dyDescent="0.3">
      <c r="A2518" t="s">
        <v>1596</v>
      </c>
      <c r="B2518" t="s">
        <v>6888</v>
      </c>
      <c r="C2518" t="s">
        <v>6888</v>
      </c>
      <c r="D2518" t="s">
        <v>6887</v>
      </c>
      <c r="E2518" t="s">
        <v>6886</v>
      </c>
    </row>
    <row r="2519" spans="1:5" x14ac:dyDescent="0.3">
      <c r="A2519" t="s">
        <v>1596</v>
      </c>
      <c r="B2519" t="s">
        <v>6885</v>
      </c>
      <c r="C2519" t="s">
        <v>6517</v>
      </c>
      <c r="D2519" t="s">
        <v>6517</v>
      </c>
      <c r="E2519" t="s">
        <v>6517</v>
      </c>
    </row>
    <row r="2520" spans="1:5" x14ac:dyDescent="0.3">
      <c r="A2520" t="s">
        <v>1596</v>
      </c>
      <c r="B2520" t="s">
        <v>6884</v>
      </c>
      <c r="C2520" t="s">
        <v>6517</v>
      </c>
      <c r="D2520" t="s">
        <v>6517</v>
      </c>
      <c r="E2520" t="s">
        <v>6517</v>
      </c>
    </row>
    <row r="2521" spans="1:5" x14ac:dyDescent="0.3">
      <c r="A2521" t="s">
        <v>1596</v>
      </c>
      <c r="B2521" t="s">
        <v>6883</v>
      </c>
      <c r="C2521" t="s">
        <v>6517</v>
      </c>
      <c r="D2521" t="s">
        <v>6517</v>
      </c>
      <c r="E2521" t="s">
        <v>6517</v>
      </c>
    </row>
    <row r="2522" spans="1:5" x14ac:dyDescent="0.3">
      <c r="A2522" t="s">
        <v>1596</v>
      </c>
      <c r="B2522" t="s">
        <v>6882</v>
      </c>
      <c r="C2522" t="s">
        <v>6517</v>
      </c>
      <c r="D2522" t="s">
        <v>6517</v>
      </c>
      <c r="E2522" t="s">
        <v>6517</v>
      </c>
    </row>
    <row r="2523" spans="1:5" x14ac:dyDescent="0.3">
      <c r="A2523" t="s">
        <v>1597</v>
      </c>
      <c r="B2523" t="s">
        <v>6881</v>
      </c>
      <c r="C2523" t="s">
        <v>6881</v>
      </c>
      <c r="D2523" t="s">
        <v>6880</v>
      </c>
      <c r="E2523" t="s">
        <v>6879</v>
      </c>
    </row>
    <row r="2524" spans="1:5" x14ac:dyDescent="0.3">
      <c r="A2524" t="s">
        <v>1597</v>
      </c>
      <c r="B2524" t="s">
        <v>6878</v>
      </c>
      <c r="C2524" t="s">
        <v>6517</v>
      </c>
      <c r="D2524" t="s">
        <v>6517</v>
      </c>
      <c r="E2524" t="s">
        <v>6517</v>
      </c>
    </row>
    <row r="2525" spans="1:5" x14ac:dyDescent="0.3">
      <c r="A2525" t="s">
        <v>1597</v>
      </c>
      <c r="B2525" t="s">
        <v>6877</v>
      </c>
      <c r="C2525" t="s">
        <v>6517</v>
      </c>
      <c r="D2525" t="s">
        <v>6517</v>
      </c>
      <c r="E2525" t="s">
        <v>6517</v>
      </c>
    </row>
    <row r="2526" spans="1:5" x14ac:dyDescent="0.3">
      <c r="A2526" t="s">
        <v>1597</v>
      </c>
      <c r="B2526" t="s">
        <v>6876</v>
      </c>
      <c r="C2526" t="s">
        <v>6517</v>
      </c>
      <c r="D2526" t="s">
        <v>6517</v>
      </c>
      <c r="E2526" t="s">
        <v>6517</v>
      </c>
    </row>
    <row r="2527" spans="1:5" x14ac:dyDescent="0.3">
      <c r="A2527" t="s">
        <v>1597</v>
      </c>
      <c r="B2527" t="s">
        <v>6875</v>
      </c>
      <c r="C2527" t="s">
        <v>6517</v>
      </c>
      <c r="D2527" t="s">
        <v>6517</v>
      </c>
      <c r="E2527" t="s">
        <v>6517</v>
      </c>
    </row>
    <row r="2528" spans="1:5" x14ac:dyDescent="0.3">
      <c r="A2528" t="s">
        <v>1598</v>
      </c>
      <c r="B2528" t="s">
        <v>6874</v>
      </c>
      <c r="C2528" t="s">
        <v>6874</v>
      </c>
      <c r="D2528" t="s">
        <v>6873</v>
      </c>
      <c r="E2528" t="s">
        <v>6872</v>
      </c>
    </row>
    <row r="2529" spans="1:5" x14ac:dyDescent="0.3">
      <c r="A2529" t="s">
        <v>1598</v>
      </c>
      <c r="B2529" t="s">
        <v>6871</v>
      </c>
      <c r="C2529" t="s">
        <v>6517</v>
      </c>
      <c r="D2529" t="s">
        <v>6517</v>
      </c>
      <c r="E2529" t="s">
        <v>6517</v>
      </c>
    </row>
    <row r="2530" spans="1:5" x14ac:dyDescent="0.3">
      <c r="A2530" t="s">
        <v>1598</v>
      </c>
      <c r="B2530" t="s">
        <v>6870</v>
      </c>
      <c r="C2530" t="s">
        <v>6517</v>
      </c>
      <c r="D2530" t="s">
        <v>6517</v>
      </c>
      <c r="E2530" t="s">
        <v>6517</v>
      </c>
    </row>
    <row r="2531" spans="1:5" x14ac:dyDescent="0.3">
      <c r="A2531" t="s">
        <v>1598</v>
      </c>
      <c r="B2531" t="s">
        <v>6869</v>
      </c>
      <c r="C2531" t="s">
        <v>6517</v>
      </c>
      <c r="D2531" t="s">
        <v>6517</v>
      </c>
      <c r="E2531" t="s">
        <v>6517</v>
      </c>
    </row>
    <row r="2532" spans="1:5" x14ac:dyDescent="0.3">
      <c r="A2532" t="s">
        <v>1598</v>
      </c>
      <c r="B2532" t="s">
        <v>6868</v>
      </c>
      <c r="C2532" t="s">
        <v>6517</v>
      </c>
      <c r="D2532" t="s">
        <v>6517</v>
      </c>
      <c r="E2532" t="s">
        <v>6517</v>
      </c>
    </row>
    <row r="2533" spans="1:5" x14ac:dyDescent="0.3">
      <c r="A2533" t="s">
        <v>1599</v>
      </c>
      <c r="B2533" t="s">
        <v>6867</v>
      </c>
      <c r="C2533" t="s">
        <v>6867</v>
      </c>
      <c r="D2533" t="s">
        <v>6866</v>
      </c>
      <c r="E2533" t="s">
        <v>6865</v>
      </c>
    </row>
    <row r="2534" spans="1:5" x14ac:dyDescent="0.3">
      <c r="A2534" t="s">
        <v>1599</v>
      </c>
      <c r="B2534" t="s">
        <v>6864</v>
      </c>
      <c r="C2534" t="s">
        <v>6517</v>
      </c>
      <c r="D2534" t="s">
        <v>6517</v>
      </c>
      <c r="E2534" t="s">
        <v>6517</v>
      </c>
    </row>
    <row r="2535" spans="1:5" x14ac:dyDescent="0.3">
      <c r="A2535" t="s">
        <v>1599</v>
      </c>
      <c r="B2535" t="s">
        <v>6863</v>
      </c>
      <c r="C2535" t="s">
        <v>6517</v>
      </c>
      <c r="D2535" t="s">
        <v>6517</v>
      </c>
      <c r="E2535" t="s">
        <v>6517</v>
      </c>
    </row>
    <row r="2536" spans="1:5" x14ac:dyDescent="0.3">
      <c r="A2536" t="s">
        <v>1599</v>
      </c>
      <c r="B2536" t="s">
        <v>6862</v>
      </c>
      <c r="C2536" t="s">
        <v>6517</v>
      </c>
      <c r="D2536" t="s">
        <v>6517</v>
      </c>
      <c r="E2536" t="s">
        <v>6517</v>
      </c>
    </row>
    <row r="2537" spans="1:5" x14ac:dyDescent="0.3">
      <c r="A2537" t="s">
        <v>1599</v>
      </c>
      <c r="B2537" t="s">
        <v>6861</v>
      </c>
      <c r="C2537" t="s">
        <v>6517</v>
      </c>
      <c r="D2537" t="s">
        <v>6517</v>
      </c>
      <c r="E2537" t="s">
        <v>6517</v>
      </c>
    </row>
    <row r="2538" spans="1:5" x14ac:dyDescent="0.3">
      <c r="A2538" t="s">
        <v>1600</v>
      </c>
      <c r="B2538" t="s">
        <v>6860</v>
      </c>
      <c r="C2538" t="s">
        <v>6860</v>
      </c>
      <c r="D2538" t="s">
        <v>6859</v>
      </c>
      <c r="E2538" t="s">
        <v>6858</v>
      </c>
    </row>
    <row r="2539" spans="1:5" x14ac:dyDescent="0.3">
      <c r="A2539" t="s">
        <v>1600</v>
      </c>
      <c r="B2539" t="s">
        <v>6857</v>
      </c>
      <c r="C2539" t="s">
        <v>6517</v>
      </c>
      <c r="D2539" t="s">
        <v>6517</v>
      </c>
      <c r="E2539" t="s">
        <v>6517</v>
      </c>
    </row>
    <row r="2540" spans="1:5" x14ac:dyDescent="0.3">
      <c r="A2540" t="s">
        <v>1600</v>
      </c>
      <c r="B2540" t="s">
        <v>6856</v>
      </c>
      <c r="C2540" t="s">
        <v>6517</v>
      </c>
      <c r="D2540" t="s">
        <v>6517</v>
      </c>
      <c r="E2540" t="s">
        <v>6517</v>
      </c>
    </row>
    <row r="2541" spans="1:5" x14ac:dyDescent="0.3">
      <c r="A2541" t="s">
        <v>1600</v>
      </c>
      <c r="B2541" t="s">
        <v>6855</v>
      </c>
      <c r="C2541" t="s">
        <v>6517</v>
      </c>
      <c r="D2541" t="s">
        <v>6517</v>
      </c>
      <c r="E2541" t="s">
        <v>6517</v>
      </c>
    </row>
    <row r="2542" spans="1:5" x14ac:dyDescent="0.3">
      <c r="A2542" t="s">
        <v>1600</v>
      </c>
      <c r="B2542" t="s">
        <v>6854</v>
      </c>
      <c r="C2542" t="s">
        <v>6517</v>
      </c>
      <c r="D2542" t="s">
        <v>6517</v>
      </c>
      <c r="E2542" t="s">
        <v>6517</v>
      </c>
    </row>
    <row r="2543" spans="1:5" x14ac:dyDescent="0.3">
      <c r="A2543" t="s">
        <v>1601</v>
      </c>
      <c r="B2543" t="s">
        <v>6853</v>
      </c>
      <c r="C2543" t="s">
        <v>6853</v>
      </c>
      <c r="D2543" t="s">
        <v>6852</v>
      </c>
      <c r="E2543" t="s">
        <v>6851</v>
      </c>
    </row>
    <row r="2544" spans="1:5" x14ac:dyDescent="0.3">
      <c r="A2544" t="s">
        <v>1601</v>
      </c>
      <c r="B2544" t="s">
        <v>6850</v>
      </c>
      <c r="C2544" t="s">
        <v>6517</v>
      </c>
      <c r="D2544" t="s">
        <v>6517</v>
      </c>
      <c r="E2544" t="s">
        <v>6517</v>
      </c>
    </row>
    <row r="2545" spans="1:5" x14ac:dyDescent="0.3">
      <c r="A2545" t="s">
        <v>1601</v>
      </c>
      <c r="B2545" t="s">
        <v>6849</v>
      </c>
      <c r="C2545" t="s">
        <v>6517</v>
      </c>
      <c r="D2545" t="s">
        <v>6517</v>
      </c>
      <c r="E2545" t="s">
        <v>6517</v>
      </c>
    </row>
    <row r="2546" spans="1:5" x14ac:dyDescent="0.3">
      <c r="A2546" t="s">
        <v>1601</v>
      </c>
      <c r="B2546" t="s">
        <v>6848</v>
      </c>
      <c r="C2546" t="s">
        <v>6517</v>
      </c>
      <c r="D2546" t="s">
        <v>6517</v>
      </c>
      <c r="E2546" t="s">
        <v>6517</v>
      </c>
    </row>
    <row r="2547" spans="1:5" x14ac:dyDescent="0.3">
      <c r="A2547" t="s">
        <v>1601</v>
      </c>
      <c r="B2547" t="s">
        <v>6847</v>
      </c>
      <c r="C2547" t="s">
        <v>6517</v>
      </c>
      <c r="D2547" t="s">
        <v>6517</v>
      </c>
      <c r="E2547" t="s">
        <v>6517</v>
      </c>
    </row>
    <row r="2548" spans="1:5" x14ac:dyDescent="0.3">
      <c r="A2548" t="s">
        <v>1602</v>
      </c>
      <c r="B2548" t="s">
        <v>6846</v>
      </c>
      <c r="C2548" t="s">
        <v>6846</v>
      </c>
      <c r="D2548" t="s">
        <v>6845</v>
      </c>
      <c r="E2548" t="s">
        <v>6844</v>
      </c>
    </row>
    <row r="2549" spans="1:5" x14ac:dyDescent="0.3">
      <c r="A2549" t="s">
        <v>1602</v>
      </c>
      <c r="B2549" t="s">
        <v>6843</v>
      </c>
      <c r="C2549" t="s">
        <v>6517</v>
      </c>
      <c r="D2549" t="s">
        <v>6517</v>
      </c>
      <c r="E2549" t="s">
        <v>6517</v>
      </c>
    </row>
    <row r="2550" spans="1:5" x14ac:dyDescent="0.3">
      <c r="A2550" t="s">
        <v>1602</v>
      </c>
      <c r="B2550" t="s">
        <v>6842</v>
      </c>
      <c r="C2550" t="s">
        <v>6517</v>
      </c>
      <c r="D2550" t="s">
        <v>6517</v>
      </c>
      <c r="E2550" t="s">
        <v>6517</v>
      </c>
    </row>
    <row r="2551" spans="1:5" x14ac:dyDescent="0.3">
      <c r="A2551" t="s">
        <v>1602</v>
      </c>
      <c r="B2551" t="s">
        <v>6841</v>
      </c>
      <c r="C2551" t="s">
        <v>6517</v>
      </c>
      <c r="D2551" t="s">
        <v>6517</v>
      </c>
      <c r="E2551" t="s">
        <v>6517</v>
      </c>
    </row>
    <row r="2552" spans="1:5" x14ac:dyDescent="0.3">
      <c r="A2552" t="s">
        <v>1602</v>
      </c>
      <c r="B2552" t="s">
        <v>6840</v>
      </c>
      <c r="C2552" t="s">
        <v>6517</v>
      </c>
      <c r="D2552" t="s">
        <v>6517</v>
      </c>
      <c r="E2552" t="s">
        <v>6517</v>
      </c>
    </row>
    <row r="2553" spans="1:5" x14ac:dyDescent="0.3">
      <c r="A2553" t="s">
        <v>1603</v>
      </c>
      <c r="B2553" t="s">
        <v>6839</v>
      </c>
      <c r="C2553" t="s">
        <v>6517</v>
      </c>
      <c r="D2553" t="s">
        <v>6517</v>
      </c>
      <c r="E2553" t="s">
        <v>6517</v>
      </c>
    </row>
    <row r="2554" spans="1:5" x14ac:dyDescent="0.3">
      <c r="A2554" t="s">
        <v>1603</v>
      </c>
      <c r="B2554" t="s">
        <v>6838</v>
      </c>
      <c r="C2554" t="s">
        <v>6838</v>
      </c>
      <c r="D2554" t="s">
        <v>6837</v>
      </c>
      <c r="E2554" t="s">
        <v>6836</v>
      </c>
    </row>
    <row r="2555" spans="1:5" x14ac:dyDescent="0.3">
      <c r="A2555" t="s">
        <v>1603</v>
      </c>
      <c r="B2555" t="s">
        <v>6835</v>
      </c>
      <c r="C2555" t="s">
        <v>6517</v>
      </c>
      <c r="D2555" t="s">
        <v>6517</v>
      </c>
      <c r="E2555" t="s">
        <v>6517</v>
      </c>
    </row>
    <row r="2556" spans="1:5" x14ac:dyDescent="0.3">
      <c r="A2556" t="s">
        <v>1603</v>
      </c>
      <c r="B2556" t="s">
        <v>6834</v>
      </c>
      <c r="C2556" t="s">
        <v>6517</v>
      </c>
      <c r="D2556" t="s">
        <v>6517</v>
      </c>
      <c r="E2556" t="s">
        <v>6517</v>
      </c>
    </row>
    <row r="2557" spans="1:5" x14ac:dyDescent="0.3">
      <c r="A2557" t="s">
        <v>1603</v>
      </c>
      <c r="B2557" t="s">
        <v>6833</v>
      </c>
      <c r="C2557" t="s">
        <v>6517</v>
      </c>
      <c r="D2557" t="s">
        <v>6517</v>
      </c>
      <c r="E2557" t="s">
        <v>6517</v>
      </c>
    </row>
    <row r="2558" spans="1:5" x14ac:dyDescent="0.3">
      <c r="A2558" t="s">
        <v>1604</v>
      </c>
      <c r="B2558" t="s">
        <v>6832</v>
      </c>
      <c r="C2558" t="s">
        <v>6832</v>
      </c>
      <c r="D2558" t="s">
        <v>6831</v>
      </c>
      <c r="E2558" t="s">
        <v>6830</v>
      </c>
    </row>
    <row r="2559" spans="1:5" x14ac:dyDescent="0.3">
      <c r="A2559" t="s">
        <v>1604</v>
      </c>
      <c r="B2559" t="s">
        <v>6829</v>
      </c>
      <c r="C2559" t="s">
        <v>6517</v>
      </c>
      <c r="D2559" t="s">
        <v>6517</v>
      </c>
      <c r="E2559" t="s">
        <v>6517</v>
      </c>
    </row>
    <row r="2560" spans="1:5" x14ac:dyDescent="0.3">
      <c r="A2560" t="s">
        <v>1604</v>
      </c>
      <c r="B2560" t="s">
        <v>6828</v>
      </c>
      <c r="C2560" t="s">
        <v>6517</v>
      </c>
      <c r="D2560" t="s">
        <v>6517</v>
      </c>
      <c r="E2560" t="s">
        <v>6517</v>
      </c>
    </row>
    <row r="2561" spans="1:5" x14ac:dyDescent="0.3">
      <c r="A2561" t="s">
        <v>1604</v>
      </c>
      <c r="B2561" t="s">
        <v>6827</v>
      </c>
      <c r="C2561" t="s">
        <v>6517</v>
      </c>
      <c r="D2561" t="s">
        <v>6517</v>
      </c>
      <c r="E2561" t="s">
        <v>6517</v>
      </c>
    </row>
    <row r="2562" spans="1:5" x14ac:dyDescent="0.3">
      <c r="A2562" t="s">
        <v>1604</v>
      </c>
      <c r="B2562" t="s">
        <v>6826</v>
      </c>
      <c r="C2562" t="s">
        <v>6517</v>
      </c>
      <c r="D2562" t="s">
        <v>6517</v>
      </c>
      <c r="E2562" t="s">
        <v>6517</v>
      </c>
    </row>
    <row r="2563" spans="1:5" x14ac:dyDescent="0.3">
      <c r="A2563" t="s">
        <v>1605</v>
      </c>
      <c r="B2563" t="s">
        <v>6825</v>
      </c>
      <c r="C2563" t="s">
        <v>6825</v>
      </c>
      <c r="D2563" t="s">
        <v>6824</v>
      </c>
      <c r="E2563" t="s">
        <v>6823</v>
      </c>
    </row>
    <row r="2564" spans="1:5" x14ac:dyDescent="0.3">
      <c r="A2564" t="s">
        <v>1605</v>
      </c>
      <c r="B2564" t="s">
        <v>6822</v>
      </c>
      <c r="C2564" t="s">
        <v>6517</v>
      </c>
      <c r="D2564" t="s">
        <v>6517</v>
      </c>
      <c r="E2564" t="s">
        <v>6517</v>
      </c>
    </row>
    <row r="2565" spans="1:5" x14ac:dyDescent="0.3">
      <c r="A2565" t="s">
        <v>1605</v>
      </c>
      <c r="B2565" t="s">
        <v>6821</v>
      </c>
      <c r="C2565" t="s">
        <v>6517</v>
      </c>
      <c r="D2565" t="s">
        <v>6517</v>
      </c>
      <c r="E2565" t="s">
        <v>6517</v>
      </c>
    </row>
    <row r="2566" spans="1:5" x14ac:dyDescent="0.3">
      <c r="A2566" t="s">
        <v>1605</v>
      </c>
      <c r="B2566" t="s">
        <v>6820</v>
      </c>
      <c r="C2566" t="s">
        <v>6517</v>
      </c>
      <c r="D2566" t="s">
        <v>6517</v>
      </c>
      <c r="E2566" t="s">
        <v>6517</v>
      </c>
    </row>
    <row r="2567" spans="1:5" x14ac:dyDescent="0.3">
      <c r="A2567" t="s">
        <v>1605</v>
      </c>
      <c r="B2567" t="s">
        <v>6819</v>
      </c>
      <c r="C2567" t="s">
        <v>6517</v>
      </c>
      <c r="D2567" t="s">
        <v>6517</v>
      </c>
      <c r="E2567" t="s">
        <v>6517</v>
      </c>
    </row>
    <row r="2568" spans="1:5" x14ac:dyDescent="0.3">
      <c r="A2568" t="s">
        <v>1606</v>
      </c>
      <c r="B2568" t="s">
        <v>6818</v>
      </c>
      <c r="C2568" t="s">
        <v>6818</v>
      </c>
      <c r="D2568" t="s">
        <v>6817</v>
      </c>
      <c r="E2568" t="s">
        <v>6816</v>
      </c>
    </row>
    <row r="2569" spans="1:5" x14ac:dyDescent="0.3">
      <c r="A2569" t="s">
        <v>1606</v>
      </c>
      <c r="B2569" t="s">
        <v>6815</v>
      </c>
      <c r="C2569" t="s">
        <v>6517</v>
      </c>
      <c r="D2569" t="s">
        <v>6517</v>
      </c>
      <c r="E2569" t="s">
        <v>6517</v>
      </c>
    </row>
    <row r="2570" spans="1:5" x14ac:dyDescent="0.3">
      <c r="A2570" t="s">
        <v>1606</v>
      </c>
      <c r="B2570" t="s">
        <v>6814</v>
      </c>
      <c r="C2570" t="s">
        <v>6517</v>
      </c>
      <c r="D2570" t="s">
        <v>6517</v>
      </c>
      <c r="E2570" t="s">
        <v>6517</v>
      </c>
    </row>
    <row r="2571" spans="1:5" x14ac:dyDescent="0.3">
      <c r="A2571" t="s">
        <v>1606</v>
      </c>
      <c r="B2571" t="s">
        <v>6813</v>
      </c>
      <c r="C2571" t="s">
        <v>6517</v>
      </c>
      <c r="D2571" t="s">
        <v>6517</v>
      </c>
      <c r="E2571" t="s">
        <v>6517</v>
      </c>
    </row>
    <row r="2572" spans="1:5" x14ac:dyDescent="0.3">
      <c r="A2572" t="s">
        <v>1606</v>
      </c>
      <c r="B2572" t="s">
        <v>6812</v>
      </c>
      <c r="C2572" t="s">
        <v>6517</v>
      </c>
      <c r="D2572" t="s">
        <v>6517</v>
      </c>
      <c r="E2572" t="s">
        <v>6517</v>
      </c>
    </row>
    <row r="2573" spans="1:5" x14ac:dyDescent="0.3">
      <c r="A2573" t="s">
        <v>1607</v>
      </c>
      <c r="B2573" t="s">
        <v>6811</v>
      </c>
      <c r="C2573" t="s">
        <v>6811</v>
      </c>
      <c r="D2573" t="s">
        <v>6810</v>
      </c>
      <c r="E2573" t="s">
        <v>6809</v>
      </c>
    </row>
    <row r="2574" spans="1:5" x14ac:dyDescent="0.3">
      <c r="A2574" t="s">
        <v>1607</v>
      </c>
      <c r="B2574" t="s">
        <v>6808</v>
      </c>
      <c r="C2574" t="s">
        <v>6517</v>
      </c>
      <c r="D2574" t="s">
        <v>6517</v>
      </c>
      <c r="E2574" t="s">
        <v>6517</v>
      </c>
    </row>
    <row r="2575" spans="1:5" x14ac:dyDescent="0.3">
      <c r="A2575" t="s">
        <v>1607</v>
      </c>
      <c r="B2575" t="s">
        <v>6807</v>
      </c>
      <c r="C2575" t="s">
        <v>6517</v>
      </c>
      <c r="D2575" t="s">
        <v>6517</v>
      </c>
      <c r="E2575" t="s">
        <v>6517</v>
      </c>
    </row>
    <row r="2576" spans="1:5" x14ac:dyDescent="0.3">
      <c r="A2576" t="s">
        <v>1607</v>
      </c>
      <c r="B2576" t="s">
        <v>6806</v>
      </c>
      <c r="C2576" t="s">
        <v>6517</v>
      </c>
      <c r="D2576" t="s">
        <v>6517</v>
      </c>
      <c r="E2576" t="s">
        <v>6517</v>
      </c>
    </row>
    <row r="2577" spans="1:5" x14ac:dyDescent="0.3">
      <c r="A2577" t="s">
        <v>1607</v>
      </c>
      <c r="B2577" t="s">
        <v>6805</v>
      </c>
      <c r="C2577" t="s">
        <v>6517</v>
      </c>
      <c r="D2577" t="s">
        <v>6517</v>
      </c>
      <c r="E2577" t="s">
        <v>6517</v>
      </c>
    </row>
    <row r="2578" spans="1:5" x14ac:dyDescent="0.3">
      <c r="A2578" t="s">
        <v>1608</v>
      </c>
      <c r="B2578" t="s">
        <v>6804</v>
      </c>
      <c r="C2578" t="s">
        <v>6804</v>
      </c>
      <c r="D2578" t="s">
        <v>6803</v>
      </c>
      <c r="E2578" t="s">
        <v>6802</v>
      </c>
    </row>
    <row r="2579" spans="1:5" x14ac:dyDescent="0.3">
      <c r="A2579" t="s">
        <v>1608</v>
      </c>
      <c r="B2579" t="s">
        <v>6801</v>
      </c>
      <c r="C2579" t="s">
        <v>6517</v>
      </c>
      <c r="D2579" t="s">
        <v>6517</v>
      </c>
      <c r="E2579" t="s">
        <v>6517</v>
      </c>
    </row>
    <row r="2580" spans="1:5" x14ac:dyDescent="0.3">
      <c r="A2580" t="s">
        <v>1608</v>
      </c>
      <c r="B2580" t="s">
        <v>6800</v>
      </c>
      <c r="C2580" t="s">
        <v>6517</v>
      </c>
      <c r="D2580" t="s">
        <v>6517</v>
      </c>
      <c r="E2580" t="s">
        <v>6517</v>
      </c>
    </row>
    <row r="2581" spans="1:5" x14ac:dyDescent="0.3">
      <c r="A2581" t="s">
        <v>1608</v>
      </c>
      <c r="B2581" t="s">
        <v>6799</v>
      </c>
      <c r="C2581" t="s">
        <v>6517</v>
      </c>
      <c r="D2581" t="s">
        <v>6517</v>
      </c>
      <c r="E2581" t="s">
        <v>6517</v>
      </c>
    </row>
    <row r="2582" spans="1:5" x14ac:dyDescent="0.3">
      <c r="A2582" t="s">
        <v>1608</v>
      </c>
      <c r="B2582" t="s">
        <v>6798</v>
      </c>
      <c r="C2582" t="s">
        <v>6517</v>
      </c>
      <c r="D2582" t="s">
        <v>6517</v>
      </c>
      <c r="E2582" t="s">
        <v>6517</v>
      </c>
    </row>
    <row r="2583" spans="1:5" x14ac:dyDescent="0.3">
      <c r="A2583" t="s">
        <v>1609</v>
      </c>
      <c r="B2583" t="s">
        <v>6797</v>
      </c>
      <c r="C2583" t="s">
        <v>6797</v>
      </c>
      <c r="D2583" t="s">
        <v>6796</v>
      </c>
      <c r="E2583" t="s">
        <v>6795</v>
      </c>
    </row>
    <row r="2584" spans="1:5" x14ac:dyDescent="0.3">
      <c r="A2584" t="s">
        <v>1609</v>
      </c>
      <c r="B2584" t="s">
        <v>6794</v>
      </c>
      <c r="C2584" t="s">
        <v>6517</v>
      </c>
      <c r="D2584" t="s">
        <v>6517</v>
      </c>
      <c r="E2584" t="s">
        <v>6517</v>
      </c>
    </row>
    <row r="2585" spans="1:5" x14ac:dyDescent="0.3">
      <c r="A2585" t="s">
        <v>1609</v>
      </c>
      <c r="B2585" t="s">
        <v>6793</v>
      </c>
      <c r="C2585" t="s">
        <v>6517</v>
      </c>
      <c r="D2585" t="s">
        <v>6517</v>
      </c>
      <c r="E2585" t="s">
        <v>6517</v>
      </c>
    </row>
    <row r="2586" spans="1:5" x14ac:dyDescent="0.3">
      <c r="A2586" t="s">
        <v>1609</v>
      </c>
      <c r="B2586" t="s">
        <v>6792</v>
      </c>
      <c r="C2586" t="s">
        <v>6517</v>
      </c>
      <c r="D2586" t="s">
        <v>6517</v>
      </c>
      <c r="E2586" t="s">
        <v>6517</v>
      </c>
    </row>
    <row r="2587" spans="1:5" x14ac:dyDescent="0.3">
      <c r="A2587" t="s">
        <v>1609</v>
      </c>
      <c r="B2587" t="s">
        <v>6791</v>
      </c>
      <c r="C2587" t="s">
        <v>6517</v>
      </c>
      <c r="D2587" t="s">
        <v>6517</v>
      </c>
      <c r="E2587" t="s">
        <v>6517</v>
      </c>
    </row>
    <row r="2588" spans="1:5" x14ac:dyDescent="0.3">
      <c r="A2588" t="s">
        <v>1610</v>
      </c>
      <c r="B2588" t="s">
        <v>6790</v>
      </c>
      <c r="C2588" t="s">
        <v>6790</v>
      </c>
      <c r="D2588" t="s">
        <v>6789</v>
      </c>
      <c r="E2588" t="s">
        <v>6788</v>
      </c>
    </row>
    <row r="2589" spans="1:5" x14ac:dyDescent="0.3">
      <c r="A2589" t="s">
        <v>1610</v>
      </c>
      <c r="B2589" t="s">
        <v>6787</v>
      </c>
      <c r="C2589" t="s">
        <v>6517</v>
      </c>
      <c r="D2589" t="s">
        <v>6517</v>
      </c>
      <c r="E2589" t="s">
        <v>6517</v>
      </c>
    </row>
    <row r="2590" spans="1:5" x14ac:dyDescent="0.3">
      <c r="A2590" t="s">
        <v>1610</v>
      </c>
      <c r="B2590" t="s">
        <v>6786</v>
      </c>
      <c r="C2590" t="s">
        <v>6517</v>
      </c>
      <c r="D2590" t="s">
        <v>6517</v>
      </c>
      <c r="E2590" t="s">
        <v>6517</v>
      </c>
    </row>
    <row r="2591" spans="1:5" x14ac:dyDescent="0.3">
      <c r="A2591" t="s">
        <v>1610</v>
      </c>
      <c r="B2591" t="s">
        <v>6785</v>
      </c>
      <c r="C2591" t="s">
        <v>6517</v>
      </c>
      <c r="D2591" t="s">
        <v>6517</v>
      </c>
      <c r="E2591" t="s">
        <v>6517</v>
      </c>
    </row>
    <row r="2592" spans="1:5" x14ac:dyDescent="0.3">
      <c r="A2592" t="s">
        <v>1610</v>
      </c>
      <c r="B2592" t="s">
        <v>6784</v>
      </c>
      <c r="C2592" t="s">
        <v>6517</v>
      </c>
      <c r="D2592" t="s">
        <v>6517</v>
      </c>
      <c r="E2592" t="s">
        <v>6517</v>
      </c>
    </row>
    <row r="2593" spans="1:5" x14ac:dyDescent="0.3">
      <c r="A2593" t="s">
        <v>1611</v>
      </c>
      <c r="B2593" t="s">
        <v>6783</v>
      </c>
      <c r="C2593" t="s">
        <v>6783</v>
      </c>
      <c r="D2593" t="s">
        <v>6782</v>
      </c>
      <c r="E2593" t="s">
        <v>6781</v>
      </c>
    </row>
    <row r="2594" spans="1:5" x14ac:dyDescent="0.3">
      <c r="A2594" t="s">
        <v>1611</v>
      </c>
      <c r="B2594" t="s">
        <v>6780</v>
      </c>
      <c r="C2594" t="s">
        <v>6517</v>
      </c>
      <c r="D2594" t="s">
        <v>6517</v>
      </c>
      <c r="E2594" t="s">
        <v>6517</v>
      </c>
    </row>
    <row r="2595" spans="1:5" x14ac:dyDescent="0.3">
      <c r="A2595" t="s">
        <v>1611</v>
      </c>
      <c r="B2595" t="s">
        <v>6779</v>
      </c>
      <c r="C2595" t="s">
        <v>6517</v>
      </c>
      <c r="D2595" t="s">
        <v>6517</v>
      </c>
      <c r="E2595" t="s">
        <v>6517</v>
      </c>
    </row>
    <row r="2596" spans="1:5" x14ac:dyDescent="0.3">
      <c r="A2596" t="s">
        <v>1611</v>
      </c>
      <c r="B2596" t="s">
        <v>6778</v>
      </c>
      <c r="C2596" t="s">
        <v>6517</v>
      </c>
      <c r="D2596" t="s">
        <v>6517</v>
      </c>
      <c r="E2596" t="s">
        <v>6517</v>
      </c>
    </row>
    <row r="2597" spans="1:5" x14ac:dyDescent="0.3">
      <c r="A2597" t="s">
        <v>1611</v>
      </c>
      <c r="B2597" t="s">
        <v>6777</v>
      </c>
      <c r="C2597" t="s">
        <v>6517</v>
      </c>
      <c r="D2597" t="s">
        <v>6517</v>
      </c>
      <c r="E2597" t="s">
        <v>6517</v>
      </c>
    </row>
    <row r="2598" spans="1:5" x14ac:dyDescent="0.3">
      <c r="A2598" t="s">
        <v>1612</v>
      </c>
      <c r="B2598" t="s">
        <v>6776</v>
      </c>
      <c r="C2598" t="s">
        <v>6776</v>
      </c>
      <c r="D2598" t="s">
        <v>6775</v>
      </c>
      <c r="E2598" t="s">
        <v>6774</v>
      </c>
    </row>
    <row r="2599" spans="1:5" x14ac:dyDescent="0.3">
      <c r="A2599" t="s">
        <v>1612</v>
      </c>
      <c r="B2599" t="s">
        <v>6773</v>
      </c>
      <c r="C2599" t="s">
        <v>6517</v>
      </c>
      <c r="D2599" t="s">
        <v>6517</v>
      </c>
      <c r="E2599" t="s">
        <v>6517</v>
      </c>
    </row>
    <row r="2600" spans="1:5" x14ac:dyDescent="0.3">
      <c r="A2600" t="s">
        <v>1612</v>
      </c>
      <c r="B2600" t="s">
        <v>6772</v>
      </c>
      <c r="C2600" t="s">
        <v>6517</v>
      </c>
      <c r="D2600" t="s">
        <v>6517</v>
      </c>
      <c r="E2600" t="s">
        <v>6517</v>
      </c>
    </row>
    <row r="2601" spans="1:5" x14ac:dyDescent="0.3">
      <c r="A2601" t="s">
        <v>1612</v>
      </c>
      <c r="B2601" t="s">
        <v>6771</v>
      </c>
      <c r="C2601" t="s">
        <v>6517</v>
      </c>
      <c r="D2601" t="s">
        <v>6517</v>
      </c>
      <c r="E2601" t="s">
        <v>6517</v>
      </c>
    </row>
    <row r="2602" spans="1:5" x14ac:dyDescent="0.3">
      <c r="A2602" t="s">
        <v>1612</v>
      </c>
      <c r="B2602" t="s">
        <v>6770</v>
      </c>
      <c r="C2602" t="s">
        <v>6517</v>
      </c>
      <c r="D2602" t="s">
        <v>6517</v>
      </c>
      <c r="E2602" t="s">
        <v>6517</v>
      </c>
    </row>
    <row r="2603" spans="1:5" x14ac:dyDescent="0.3">
      <c r="A2603" t="s">
        <v>1613</v>
      </c>
      <c r="B2603" t="s">
        <v>6769</v>
      </c>
      <c r="C2603" t="s">
        <v>6769</v>
      </c>
      <c r="D2603" t="s">
        <v>6768</v>
      </c>
      <c r="E2603" t="s">
        <v>6767</v>
      </c>
    </row>
    <row r="2604" spans="1:5" x14ac:dyDescent="0.3">
      <c r="A2604" t="s">
        <v>1613</v>
      </c>
      <c r="B2604" t="s">
        <v>6766</v>
      </c>
      <c r="C2604" t="s">
        <v>6517</v>
      </c>
      <c r="D2604" t="s">
        <v>6517</v>
      </c>
      <c r="E2604" t="s">
        <v>6517</v>
      </c>
    </row>
    <row r="2605" spans="1:5" x14ac:dyDescent="0.3">
      <c r="A2605" t="s">
        <v>1613</v>
      </c>
      <c r="B2605" t="s">
        <v>6765</v>
      </c>
      <c r="C2605" t="s">
        <v>6517</v>
      </c>
      <c r="D2605" t="s">
        <v>6517</v>
      </c>
      <c r="E2605" t="s">
        <v>6517</v>
      </c>
    </row>
    <row r="2606" spans="1:5" x14ac:dyDescent="0.3">
      <c r="A2606" t="s">
        <v>1613</v>
      </c>
      <c r="B2606" t="s">
        <v>6764</v>
      </c>
      <c r="C2606" t="s">
        <v>6517</v>
      </c>
      <c r="D2606" t="s">
        <v>6517</v>
      </c>
      <c r="E2606" t="s">
        <v>6517</v>
      </c>
    </row>
    <row r="2607" spans="1:5" x14ac:dyDescent="0.3">
      <c r="A2607" t="s">
        <v>1613</v>
      </c>
      <c r="B2607" t="s">
        <v>6763</v>
      </c>
      <c r="C2607" t="s">
        <v>6517</v>
      </c>
      <c r="D2607" t="s">
        <v>6517</v>
      </c>
      <c r="E2607" t="s">
        <v>6517</v>
      </c>
    </row>
    <row r="2608" spans="1:5" x14ac:dyDescent="0.3">
      <c r="A2608" t="s">
        <v>1614</v>
      </c>
      <c r="B2608" t="s">
        <v>6762</v>
      </c>
      <c r="C2608" t="s">
        <v>6762</v>
      </c>
      <c r="D2608" t="s">
        <v>6761</v>
      </c>
      <c r="E2608" t="s">
        <v>6760</v>
      </c>
    </row>
    <row r="2609" spans="1:5" x14ac:dyDescent="0.3">
      <c r="A2609" t="s">
        <v>1614</v>
      </c>
      <c r="B2609" t="s">
        <v>6759</v>
      </c>
      <c r="C2609" t="s">
        <v>6517</v>
      </c>
      <c r="D2609" t="s">
        <v>6517</v>
      </c>
      <c r="E2609" t="s">
        <v>6517</v>
      </c>
    </row>
    <row r="2610" spans="1:5" x14ac:dyDescent="0.3">
      <c r="A2610" t="s">
        <v>1614</v>
      </c>
      <c r="B2610" t="s">
        <v>6758</v>
      </c>
      <c r="C2610" t="s">
        <v>6517</v>
      </c>
      <c r="D2610" t="s">
        <v>6517</v>
      </c>
      <c r="E2610" t="s">
        <v>6517</v>
      </c>
    </row>
    <row r="2611" spans="1:5" x14ac:dyDescent="0.3">
      <c r="A2611" t="s">
        <v>1614</v>
      </c>
      <c r="B2611" t="s">
        <v>6757</v>
      </c>
      <c r="C2611" t="s">
        <v>6517</v>
      </c>
      <c r="D2611" t="s">
        <v>6517</v>
      </c>
      <c r="E2611" t="s">
        <v>6517</v>
      </c>
    </row>
    <row r="2612" spans="1:5" x14ac:dyDescent="0.3">
      <c r="A2612" t="s">
        <v>1614</v>
      </c>
      <c r="B2612" t="s">
        <v>6756</v>
      </c>
      <c r="C2612" t="s">
        <v>6517</v>
      </c>
      <c r="D2612" t="s">
        <v>6517</v>
      </c>
      <c r="E2612" t="s">
        <v>6517</v>
      </c>
    </row>
    <row r="2613" spans="1:5" x14ac:dyDescent="0.3">
      <c r="A2613" t="s">
        <v>1615</v>
      </c>
      <c r="B2613" t="s">
        <v>6755</v>
      </c>
      <c r="C2613" t="s">
        <v>6755</v>
      </c>
      <c r="D2613" t="s">
        <v>6754</v>
      </c>
      <c r="E2613" t="s">
        <v>6753</v>
      </c>
    </row>
    <row r="2614" spans="1:5" x14ac:dyDescent="0.3">
      <c r="A2614" t="s">
        <v>1615</v>
      </c>
      <c r="B2614" t="s">
        <v>6752</v>
      </c>
      <c r="C2614" t="s">
        <v>6517</v>
      </c>
      <c r="D2614" t="s">
        <v>6517</v>
      </c>
      <c r="E2614" t="s">
        <v>6517</v>
      </c>
    </row>
    <row r="2615" spans="1:5" x14ac:dyDescent="0.3">
      <c r="A2615" t="s">
        <v>1615</v>
      </c>
      <c r="B2615" t="s">
        <v>6751</v>
      </c>
      <c r="C2615" t="s">
        <v>6517</v>
      </c>
      <c r="D2615" t="s">
        <v>6517</v>
      </c>
      <c r="E2615" t="s">
        <v>6517</v>
      </c>
    </row>
    <row r="2616" spans="1:5" x14ac:dyDescent="0.3">
      <c r="A2616" t="s">
        <v>1615</v>
      </c>
      <c r="B2616" t="s">
        <v>6750</v>
      </c>
      <c r="C2616" t="s">
        <v>6517</v>
      </c>
      <c r="D2616" t="s">
        <v>6517</v>
      </c>
      <c r="E2616" t="s">
        <v>6517</v>
      </c>
    </row>
    <row r="2617" spans="1:5" x14ac:dyDescent="0.3">
      <c r="A2617" t="s">
        <v>1615</v>
      </c>
      <c r="B2617" t="s">
        <v>6749</v>
      </c>
      <c r="C2617" t="s">
        <v>6517</v>
      </c>
      <c r="D2617" t="s">
        <v>6517</v>
      </c>
      <c r="E2617" t="s">
        <v>6517</v>
      </c>
    </row>
    <row r="2618" spans="1:5" x14ac:dyDescent="0.3">
      <c r="A2618" t="s">
        <v>1616</v>
      </c>
      <c r="B2618" t="s">
        <v>6748</v>
      </c>
      <c r="C2618" t="s">
        <v>6748</v>
      </c>
      <c r="D2618" t="s">
        <v>6747</v>
      </c>
      <c r="E2618" t="s">
        <v>6746</v>
      </c>
    </row>
    <row r="2619" spans="1:5" x14ac:dyDescent="0.3">
      <c r="A2619" t="s">
        <v>1616</v>
      </c>
      <c r="B2619" t="s">
        <v>6745</v>
      </c>
      <c r="C2619" t="s">
        <v>6517</v>
      </c>
      <c r="D2619" t="s">
        <v>6517</v>
      </c>
      <c r="E2619" t="s">
        <v>6517</v>
      </c>
    </row>
    <row r="2620" spans="1:5" x14ac:dyDescent="0.3">
      <c r="A2620" t="s">
        <v>1616</v>
      </c>
      <c r="B2620" t="s">
        <v>6744</v>
      </c>
      <c r="C2620" t="s">
        <v>6517</v>
      </c>
      <c r="D2620" t="s">
        <v>6517</v>
      </c>
      <c r="E2620" t="s">
        <v>6517</v>
      </c>
    </row>
    <row r="2621" spans="1:5" x14ac:dyDescent="0.3">
      <c r="A2621" t="s">
        <v>1616</v>
      </c>
      <c r="B2621" t="s">
        <v>6743</v>
      </c>
      <c r="C2621" t="s">
        <v>6517</v>
      </c>
      <c r="D2621" t="s">
        <v>6517</v>
      </c>
      <c r="E2621" t="s">
        <v>6517</v>
      </c>
    </row>
    <row r="2622" spans="1:5" x14ac:dyDescent="0.3">
      <c r="A2622" t="s">
        <v>1616</v>
      </c>
      <c r="B2622" t="s">
        <v>6742</v>
      </c>
      <c r="C2622" t="s">
        <v>6517</v>
      </c>
      <c r="D2622" t="s">
        <v>6517</v>
      </c>
      <c r="E2622" t="s">
        <v>6517</v>
      </c>
    </row>
    <row r="2623" spans="1:5" x14ac:dyDescent="0.3">
      <c r="A2623" t="s">
        <v>1617</v>
      </c>
      <c r="B2623" t="s">
        <v>6741</v>
      </c>
      <c r="C2623" t="s">
        <v>6741</v>
      </c>
      <c r="D2623" t="s">
        <v>6740</v>
      </c>
      <c r="E2623" t="s">
        <v>6739</v>
      </c>
    </row>
    <row r="2624" spans="1:5" x14ac:dyDescent="0.3">
      <c r="A2624" t="s">
        <v>1617</v>
      </c>
      <c r="B2624" t="s">
        <v>6738</v>
      </c>
      <c r="C2624" t="s">
        <v>6517</v>
      </c>
      <c r="D2624" t="s">
        <v>6517</v>
      </c>
      <c r="E2624" t="s">
        <v>6517</v>
      </c>
    </row>
    <row r="2625" spans="1:5" x14ac:dyDescent="0.3">
      <c r="A2625" t="s">
        <v>1617</v>
      </c>
      <c r="B2625" t="s">
        <v>6737</v>
      </c>
      <c r="C2625" t="s">
        <v>6517</v>
      </c>
      <c r="D2625" t="s">
        <v>6517</v>
      </c>
      <c r="E2625" t="s">
        <v>6517</v>
      </c>
    </row>
    <row r="2626" spans="1:5" x14ac:dyDescent="0.3">
      <c r="A2626" t="s">
        <v>1617</v>
      </c>
      <c r="B2626" t="s">
        <v>6736</v>
      </c>
      <c r="C2626" t="s">
        <v>6517</v>
      </c>
      <c r="D2626" t="s">
        <v>6517</v>
      </c>
      <c r="E2626" t="s">
        <v>6517</v>
      </c>
    </row>
    <row r="2627" spans="1:5" x14ac:dyDescent="0.3">
      <c r="A2627" t="s">
        <v>1617</v>
      </c>
      <c r="B2627" t="s">
        <v>6735</v>
      </c>
      <c r="C2627" t="s">
        <v>6517</v>
      </c>
      <c r="D2627" t="s">
        <v>6517</v>
      </c>
      <c r="E2627" t="s">
        <v>6517</v>
      </c>
    </row>
    <row r="2628" spans="1:5" x14ac:dyDescent="0.3">
      <c r="A2628" t="s">
        <v>1618</v>
      </c>
      <c r="B2628" t="s">
        <v>6734</v>
      </c>
      <c r="C2628" t="s">
        <v>6734</v>
      </c>
      <c r="D2628" t="s">
        <v>6733</v>
      </c>
      <c r="E2628" t="s">
        <v>6732</v>
      </c>
    </row>
    <row r="2629" spans="1:5" x14ac:dyDescent="0.3">
      <c r="A2629" t="s">
        <v>1618</v>
      </c>
      <c r="B2629" t="s">
        <v>6731</v>
      </c>
      <c r="C2629" t="s">
        <v>6517</v>
      </c>
      <c r="D2629" t="s">
        <v>6517</v>
      </c>
      <c r="E2629" t="s">
        <v>6517</v>
      </c>
    </row>
    <row r="2630" spans="1:5" x14ac:dyDescent="0.3">
      <c r="A2630" t="s">
        <v>1618</v>
      </c>
      <c r="B2630" t="s">
        <v>6730</v>
      </c>
      <c r="C2630" t="s">
        <v>6517</v>
      </c>
      <c r="D2630" t="s">
        <v>6517</v>
      </c>
      <c r="E2630" t="s">
        <v>6517</v>
      </c>
    </row>
    <row r="2631" spans="1:5" x14ac:dyDescent="0.3">
      <c r="A2631" t="s">
        <v>1618</v>
      </c>
      <c r="B2631" t="s">
        <v>6729</v>
      </c>
      <c r="C2631" t="s">
        <v>6517</v>
      </c>
      <c r="D2631" t="s">
        <v>6517</v>
      </c>
      <c r="E2631" t="s">
        <v>6517</v>
      </c>
    </row>
    <row r="2632" spans="1:5" x14ac:dyDescent="0.3">
      <c r="A2632" t="s">
        <v>1618</v>
      </c>
      <c r="B2632" t="s">
        <v>6728</v>
      </c>
      <c r="C2632" t="s">
        <v>6517</v>
      </c>
      <c r="D2632" t="s">
        <v>6517</v>
      </c>
      <c r="E2632" t="s">
        <v>6517</v>
      </c>
    </row>
    <row r="2633" spans="1:5" x14ac:dyDescent="0.3">
      <c r="A2633" t="s">
        <v>1619</v>
      </c>
      <c r="B2633" t="s">
        <v>6727</v>
      </c>
      <c r="C2633" t="s">
        <v>6727</v>
      </c>
      <c r="D2633" t="s">
        <v>6726</v>
      </c>
      <c r="E2633" t="s">
        <v>6725</v>
      </c>
    </row>
    <row r="2634" spans="1:5" x14ac:dyDescent="0.3">
      <c r="A2634" t="s">
        <v>1619</v>
      </c>
      <c r="B2634" t="s">
        <v>6724</v>
      </c>
      <c r="C2634" t="s">
        <v>6517</v>
      </c>
      <c r="D2634" t="s">
        <v>6517</v>
      </c>
      <c r="E2634" t="s">
        <v>6517</v>
      </c>
    </row>
    <row r="2635" spans="1:5" x14ac:dyDescent="0.3">
      <c r="A2635" t="s">
        <v>1619</v>
      </c>
      <c r="B2635" t="s">
        <v>6723</v>
      </c>
      <c r="C2635" t="s">
        <v>6517</v>
      </c>
      <c r="D2635" t="s">
        <v>6517</v>
      </c>
      <c r="E2635" t="s">
        <v>6517</v>
      </c>
    </row>
    <row r="2636" spans="1:5" x14ac:dyDescent="0.3">
      <c r="A2636" t="s">
        <v>1619</v>
      </c>
      <c r="B2636" t="s">
        <v>6722</v>
      </c>
      <c r="C2636" t="s">
        <v>6517</v>
      </c>
      <c r="D2636" t="s">
        <v>6517</v>
      </c>
      <c r="E2636" t="s">
        <v>6517</v>
      </c>
    </row>
    <row r="2637" spans="1:5" x14ac:dyDescent="0.3">
      <c r="A2637" t="s">
        <v>1619</v>
      </c>
      <c r="B2637" t="s">
        <v>6721</v>
      </c>
      <c r="C2637" t="s">
        <v>6517</v>
      </c>
      <c r="D2637" t="s">
        <v>6517</v>
      </c>
      <c r="E2637" t="s">
        <v>6517</v>
      </c>
    </row>
    <row r="2638" spans="1:5" x14ac:dyDescent="0.3">
      <c r="A2638" t="s">
        <v>1620</v>
      </c>
      <c r="B2638" t="s">
        <v>6720</v>
      </c>
      <c r="C2638" t="s">
        <v>6720</v>
      </c>
      <c r="D2638" t="s">
        <v>6719</v>
      </c>
      <c r="E2638" t="s">
        <v>6718</v>
      </c>
    </row>
    <row r="2639" spans="1:5" x14ac:dyDescent="0.3">
      <c r="A2639" t="s">
        <v>1620</v>
      </c>
      <c r="B2639" t="s">
        <v>6717</v>
      </c>
      <c r="C2639" t="s">
        <v>6517</v>
      </c>
      <c r="D2639" t="s">
        <v>6517</v>
      </c>
      <c r="E2639" t="s">
        <v>6517</v>
      </c>
    </row>
    <row r="2640" spans="1:5" x14ac:dyDescent="0.3">
      <c r="A2640" t="s">
        <v>1620</v>
      </c>
      <c r="B2640" t="s">
        <v>6716</v>
      </c>
      <c r="C2640" t="s">
        <v>6517</v>
      </c>
      <c r="D2640" t="s">
        <v>6517</v>
      </c>
      <c r="E2640" t="s">
        <v>6517</v>
      </c>
    </row>
    <row r="2641" spans="1:5" x14ac:dyDescent="0.3">
      <c r="A2641" t="s">
        <v>1620</v>
      </c>
      <c r="B2641" t="s">
        <v>6715</v>
      </c>
      <c r="C2641" t="s">
        <v>6517</v>
      </c>
      <c r="D2641" t="s">
        <v>6517</v>
      </c>
      <c r="E2641" t="s">
        <v>6517</v>
      </c>
    </row>
    <row r="2642" spans="1:5" x14ac:dyDescent="0.3">
      <c r="A2642" t="s">
        <v>1620</v>
      </c>
      <c r="B2642" t="s">
        <v>6714</v>
      </c>
      <c r="C2642" t="s">
        <v>6517</v>
      </c>
      <c r="D2642" t="s">
        <v>6517</v>
      </c>
      <c r="E2642" t="s">
        <v>6517</v>
      </c>
    </row>
    <row r="2643" spans="1:5" x14ac:dyDescent="0.3">
      <c r="A2643" t="s">
        <v>1621</v>
      </c>
      <c r="B2643" t="s">
        <v>6713</v>
      </c>
      <c r="C2643" t="s">
        <v>6713</v>
      </c>
      <c r="D2643" t="s">
        <v>6712</v>
      </c>
      <c r="E2643" t="s">
        <v>6711</v>
      </c>
    </row>
    <row r="2644" spans="1:5" x14ac:dyDescent="0.3">
      <c r="A2644" t="s">
        <v>1621</v>
      </c>
      <c r="B2644" t="s">
        <v>6710</v>
      </c>
      <c r="C2644" t="s">
        <v>6517</v>
      </c>
      <c r="D2644" t="s">
        <v>6517</v>
      </c>
      <c r="E2644" t="s">
        <v>6517</v>
      </c>
    </row>
    <row r="2645" spans="1:5" x14ac:dyDescent="0.3">
      <c r="A2645" t="s">
        <v>1621</v>
      </c>
      <c r="B2645" t="s">
        <v>6709</v>
      </c>
      <c r="C2645" t="s">
        <v>6517</v>
      </c>
      <c r="D2645" t="s">
        <v>6517</v>
      </c>
      <c r="E2645" t="s">
        <v>6517</v>
      </c>
    </row>
    <row r="2646" spans="1:5" x14ac:dyDescent="0.3">
      <c r="A2646" t="s">
        <v>1621</v>
      </c>
      <c r="B2646" t="s">
        <v>6708</v>
      </c>
      <c r="C2646" t="s">
        <v>6517</v>
      </c>
      <c r="D2646" t="s">
        <v>6517</v>
      </c>
      <c r="E2646" t="s">
        <v>6517</v>
      </c>
    </row>
    <row r="2647" spans="1:5" x14ac:dyDescent="0.3">
      <c r="A2647" t="s">
        <v>1621</v>
      </c>
      <c r="B2647" t="s">
        <v>6707</v>
      </c>
      <c r="C2647" t="s">
        <v>6517</v>
      </c>
      <c r="D2647" t="s">
        <v>6517</v>
      </c>
      <c r="E2647" t="s">
        <v>6517</v>
      </c>
    </row>
    <row r="2648" spans="1:5" x14ac:dyDescent="0.3">
      <c r="A2648" t="s">
        <v>1622</v>
      </c>
      <c r="B2648" t="s">
        <v>6706</v>
      </c>
      <c r="C2648" t="s">
        <v>6706</v>
      </c>
      <c r="D2648" t="s">
        <v>6705</v>
      </c>
      <c r="E2648" t="s">
        <v>6704</v>
      </c>
    </row>
    <row r="2649" spans="1:5" x14ac:dyDescent="0.3">
      <c r="A2649" t="s">
        <v>1622</v>
      </c>
      <c r="B2649" t="s">
        <v>6703</v>
      </c>
      <c r="C2649" t="s">
        <v>6517</v>
      </c>
      <c r="D2649" t="s">
        <v>6517</v>
      </c>
      <c r="E2649" t="s">
        <v>6517</v>
      </c>
    </row>
    <row r="2650" spans="1:5" x14ac:dyDescent="0.3">
      <c r="A2650" t="s">
        <v>1622</v>
      </c>
      <c r="B2650" t="s">
        <v>6702</v>
      </c>
      <c r="C2650" t="s">
        <v>6517</v>
      </c>
      <c r="D2650" t="s">
        <v>6517</v>
      </c>
      <c r="E2650" t="s">
        <v>6517</v>
      </c>
    </row>
    <row r="2651" spans="1:5" x14ac:dyDescent="0.3">
      <c r="A2651" t="s">
        <v>1622</v>
      </c>
      <c r="B2651" t="s">
        <v>6701</v>
      </c>
      <c r="C2651" t="s">
        <v>6517</v>
      </c>
      <c r="D2651" t="s">
        <v>6517</v>
      </c>
      <c r="E2651" t="s">
        <v>6517</v>
      </c>
    </row>
    <row r="2652" spans="1:5" x14ac:dyDescent="0.3">
      <c r="A2652" t="s">
        <v>1622</v>
      </c>
      <c r="B2652" t="s">
        <v>6700</v>
      </c>
      <c r="C2652" t="s">
        <v>6517</v>
      </c>
      <c r="D2652" t="s">
        <v>6517</v>
      </c>
      <c r="E2652" t="s">
        <v>6517</v>
      </c>
    </row>
    <row r="2653" spans="1:5" x14ac:dyDescent="0.3">
      <c r="A2653" t="s">
        <v>1623</v>
      </c>
      <c r="B2653" t="s">
        <v>6699</v>
      </c>
      <c r="C2653" t="s">
        <v>6699</v>
      </c>
      <c r="D2653" t="s">
        <v>6698</v>
      </c>
      <c r="E2653" t="s">
        <v>6697</v>
      </c>
    </row>
    <row r="2654" spans="1:5" x14ac:dyDescent="0.3">
      <c r="A2654" t="s">
        <v>1623</v>
      </c>
      <c r="B2654" t="s">
        <v>6696</v>
      </c>
      <c r="C2654" t="s">
        <v>6517</v>
      </c>
      <c r="D2654" t="s">
        <v>6517</v>
      </c>
      <c r="E2654" t="s">
        <v>6517</v>
      </c>
    </row>
    <row r="2655" spans="1:5" x14ac:dyDescent="0.3">
      <c r="A2655" t="s">
        <v>1623</v>
      </c>
      <c r="B2655" t="s">
        <v>6695</v>
      </c>
      <c r="C2655" t="s">
        <v>6517</v>
      </c>
      <c r="D2655" t="s">
        <v>6517</v>
      </c>
      <c r="E2655" t="s">
        <v>6517</v>
      </c>
    </row>
    <row r="2656" spans="1:5" x14ac:dyDescent="0.3">
      <c r="A2656" t="s">
        <v>1623</v>
      </c>
      <c r="B2656" t="s">
        <v>6694</v>
      </c>
      <c r="C2656" t="s">
        <v>6517</v>
      </c>
      <c r="D2656" t="s">
        <v>6517</v>
      </c>
      <c r="E2656" t="s">
        <v>6517</v>
      </c>
    </row>
    <row r="2657" spans="1:5" x14ac:dyDescent="0.3">
      <c r="A2657" t="s">
        <v>1623</v>
      </c>
      <c r="B2657" t="s">
        <v>6693</v>
      </c>
      <c r="C2657" t="s">
        <v>6517</v>
      </c>
      <c r="D2657" t="s">
        <v>6517</v>
      </c>
      <c r="E2657" t="s">
        <v>6517</v>
      </c>
    </row>
    <row r="2658" spans="1:5" x14ac:dyDescent="0.3">
      <c r="A2658" t="s">
        <v>1624</v>
      </c>
      <c r="B2658" t="s">
        <v>6692</v>
      </c>
      <c r="C2658" t="s">
        <v>6692</v>
      </c>
      <c r="D2658" t="s">
        <v>6691</v>
      </c>
      <c r="E2658" t="s">
        <v>6690</v>
      </c>
    </row>
    <row r="2659" spans="1:5" x14ac:dyDescent="0.3">
      <c r="A2659" t="s">
        <v>1624</v>
      </c>
      <c r="B2659" t="s">
        <v>6689</v>
      </c>
      <c r="C2659" t="s">
        <v>6517</v>
      </c>
      <c r="D2659" t="s">
        <v>6517</v>
      </c>
      <c r="E2659" t="s">
        <v>6517</v>
      </c>
    </row>
    <row r="2660" spans="1:5" x14ac:dyDescent="0.3">
      <c r="A2660" t="s">
        <v>1624</v>
      </c>
      <c r="B2660" t="s">
        <v>6688</v>
      </c>
      <c r="C2660" t="s">
        <v>6517</v>
      </c>
      <c r="D2660" t="s">
        <v>6517</v>
      </c>
      <c r="E2660" t="s">
        <v>6517</v>
      </c>
    </row>
    <row r="2661" spans="1:5" x14ac:dyDescent="0.3">
      <c r="A2661" t="s">
        <v>1624</v>
      </c>
      <c r="B2661" t="s">
        <v>6687</v>
      </c>
      <c r="C2661" t="s">
        <v>6517</v>
      </c>
      <c r="D2661" t="s">
        <v>6517</v>
      </c>
      <c r="E2661" t="s">
        <v>6517</v>
      </c>
    </row>
    <row r="2662" spans="1:5" x14ac:dyDescent="0.3">
      <c r="A2662" t="s">
        <v>1624</v>
      </c>
      <c r="B2662" t="s">
        <v>6686</v>
      </c>
      <c r="C2662" t="s">
        <v>6517</v>
      </c>
      <c r="D2662" t="s">
        <v>6517</v>
      </c>
      <c r="E2662" t="s">
        <v>6517</v>
      </c>
    </row>
    <row r="2663" spans="1:5" x14ac:dyDescent="0.3">
      <c r="A2663" t="s">
        <v>1625</v>
      </c>
      <c r="B2663" t="s">
        <v>6685</v>
      </c>
      <c r="C2663" t="s">
        <v>6685</v>
      </c>
      <c r="D2663" t="s">
        <v>6684</v>
      </c>
      <c r="E2663" t="s">
        <v>6683</v>
      </c>
    </row>
    <row r="2664" spans="1:5" x14ac:dyDescent="0.3">
      <c r="A2664" t="s">
        <v>1625</v>
      </c>
      <c r="B2664" t="s">
        <v>6682</v>
      </c>
      <c r="C2664" t="s">
        <v>6517</v>
      </c>
      <c r="D2664" t="s">
        <v>6517</v>
      </c>
      <c r="E2664" t="s">
        <v>6517</v>
      </c>
    </row>
    <row r="2665" spans="1:5" x14ac:dyDescent="0.3">
      <c r="A2665" t="s">
        <v>1625</v>
      </c>
      <c r="B2665" t="s">
        <v>6681</v>
      </c>
      <c r="C2665" t="s">
        <v>6517</v>
      </c>
      <c r="D2665" t="s">
        <v>6517</v>
      </c>
      <c r="E2665" t="s">
        <v>6517</v>
      </c>
    </row>
    <row r="2666" spans="1:5" x14ac:dyDescent="0.3">
      <c r="A2666" t="s">
        <v>1625</v>
      </c>
      <c r="B2666" t="s">
        <v>6680</v>
      </c>
      <c r="C2666" t="s">
        <v>6517</v>
      </c>
      <c r="D2666" t="s">
        <v>6517</v>
      </c>
      <c r="E2666" t="s">
        <v>6517</v>
      </c>
    </row>
    <row r="2667" spans="1:5" x14ac:dyDescent="0.3">
      <c r="A2667" t="s">
        <v>1625</v>
      </c>
      <c r="B2667" t="s">
        <v>6679</v>
      </c>
      <c r="C2667" t="s">
        <v>6517</v>
      </c>
      <c r="D2667" t="s">
        <v>6517</v>
      </c>
      <c r="E2667" t="s">
        <v>6517</v>
      </c>
    </row>
    <row r="2668" spans="1:5" x14ac:dyDescent="0.3">
      <c r="A2668" t="s">
        <v>1626</v>
      </c>
      <c r="B2668" t="s">
        <v>6678</v>
      </c>
      <c r="C2668" t="s">
        <v>6678</v>
      </c>
      <c r="D2668" t="s">
        <v>6677</v>
      </c>
      <c r="E2668" t="s">
        <v>6676</v>
      </c>
    </row>
    <row r="2669" spans="1:5" x14ac:dyDescent="0.3">
      <c r="A2669" t="s">
        <v>1626</v>
      </c>
      <c r="B2669" t="s">
        <v>6675</v>
      </c>
      <c r="C2669" t="s">
        <v>6517</v>
      </c>
      <c r="D2669" t="s">
        <v>6517</v>
      </c>
      <c r="E2669" t="s">
        <v>6517</v>
      </c>
    </row>
    <row r="2670" spans="1:5" x14ac:dyDescent="0.3">
      <c r="A2670" t="s">
        <v>1626</v>
      </c>
      <c r="B2670" t="s">
        <v>6674</v>
      </c>
      <c r="C2670" t="s">
        <v>6517</v>
      </c>
      <c r="D2670" t="s">
        <v>6517</v>
      </c>
      <c r="E2670" t="s">
        <v>6517</v>
      </c>
    </row>
    <row r="2671" spans="1:5" x14ac:dyDescent="0.3">
      <c r="A2671" t="s">
        <v>1626</v>
      </c>
      <c r="B2671" t="s">
        <v>6673</v>
      </c>
      <c r="C2671" t="s">
        <v>6517</v>
      </c>
      <c r="D2671" t="s">
        <v>6517</v>
      </c>
      <c r="E2671" t="s">
        <v>6517</v>
      </c>
    </row>
    <row r="2672" spans="1:5" x14ac:dyDescent="0.3">
      <c r="A2672" t="s">
        <v>1626</v>
      </c>
      <c r="B2672" t="s">
        <v>6672</v>
      </c>
      <c r="C2672" t="s">
        <v>6517</v>
      </c>
      <c r="D2672" t="s">
        <v>6517</v>
      </c>
      <c r="E2672" t="s">
        <v>6517</v>
      </c>
    </row>
    <row r="2673" spans="1:5" x14ac:dyDescent="0.3">
      <c r="A2673" t="s">
        <v>1627</v>
      </c>
      <c r="B2673" t="s">
        <v>6671</v>
      </c>
      <c r="C2673" t="s">
        <v>6671</v>
      </c>
      <c r="D2673" t="s">
        <v>6670</v>
      </c>
      <c r="E2673" t="s">
        <v>6669</v>
      </c>
    </row>
    <row r="2674" spans="1:5" x14ac:dyDescent="0.3">
      <c r="A2674" t="s">
        <v>1627</v>
      </c>
      <c r="B2674" t="s">
        <v>6668</v>
      </c>
      <c r="C2674" t="s">
        <v>6517</v>
      </c>
      <c r="D2674" t="s">
        <v>6517</v>
      </c>
      <c r="E2674" t="s">
        <v>6517</v>
      </c>
    </row>
    <row r="2675" spans="1:5" x14ac:dyDescent="0.3">
      <c r="A2675" t="s">
        <v>1627</v>
      </c>
      <c r="B2675" t="s">
        <v>6667</v>
      </c>
      <c r="C2675" t="s">
        <v>6517</v>
      </c>
      <c r="D2675" t="s">
        <v>6517</v>
      </c>
      <c r="E2675" t="s">
        <v>6517</v>
      </c>
    </row>
    <row r="2676" spans="1:5" x14ac:dyDescent="0.3">
      <c r="A2676" t="s">
        <v>1627</v>
      </c>
      <c r="B2676" t="s">
        <v>6666</v>
      </c>
      <c r="C2676" t="s">
        <v>6517</v>
      </c>
      <c r="D2676" t="s">
        <v>6517</v>
      </c>
      <c r="E2676" t="s">
        <v>6517</v>
      </c>
    </row>
    <row r="2677" spans="1:5" x14ac:dyDescent="0.3">
      <c r="A2677" t="s">
        <v>1627</v>
      </c>
      <c r="B2677" t="s">
        <v>6665</v>
      </c>
      <c r="C2677" t="s">
        <v>6517</v>
      </c>
      <c r="D2677" t="s">
        <v>6517</v>
      </c>
      <c r="E2677" t="s">
        <v>6517</v>
      </c>
    </row>
    <row r="2678" spans="1:5" x14ac:dyDescent="0.3">
      <c r="A2678" t="s">
        <v>1628</v>
      </c>
      <c r="B2678" t="s">
        <v>6664</v>
      </c>
      <c r="C2678" t="s">
        <v>6664</v>
      </c>
      <c r="D2678" t="s">
        <v>6663</v>
      </c>
      <c r="E2678" t="s">
        <v>6662</v>
      </c>
    </row>
    <row r="2679" spans="1:5" x14ac:dyDescent="0.3">
      <c r="A2679" t="s">
        <v>1628</v>
      </c>
      <c r="B2679" t="s">
        <v>6661</v>
      </c>
      <c r="C2679" t="s">
        <v>6517</v>
      </c>
      <c r="D2679" t="s">
        <v>6517</v>
      </c>
      <c r="E2679" t="s">
        <v>6517</v>
      </c>
    </row>
    <row r="2680" spans="1:5" x14ac:dyDescent="0.3">
      <c r="A2680" t="s">
        <v>1628</v>
      </c>
      <c r="B2680" t="s">
        <v>6660</v>
      </c>
      <c r="C2680" t="s">
        <v>6517</v>
      </c>
      <c r="D2680" t="s">
        <v>6517</v>
      </c>
      <c r="E2680" t="s">
        <v>6517</v>
      </c>
    </row>
    <row r="2681" spans="1:5" x14ac:dyDescent="0.3">
      <c r="A2681" t="s">
        <v>1628</v>
      </c>
      <c r="B2681" t="s">
        <v>6659</v>
      </c>
      <c r="C2681" t="s">
        <v>6517</v>
      </c>
      <c r="D2681" t="s">
        <v>6517</v>
      </c>
      <c r="E2681" t="s">
        <v>6517</v>
      </c>
    </row>
    <row r="2682" spans="1:5" x14ac:dyDescent="0.3">
      <c r="A2682" t="s">
        <v>1628</v>
      </c>
      <c r="B2682" t="s">
        <v>6658</v>
      </c>
      <c r="C2682" t="s">
        <v>6517</v>
      </c>
      <c r="D2682" t="s">
        <v>6517</v>
      </c>
      <c r="E2682" t="s">
        <v>6517</v>
      </c>
    </row>
    <row r="2683" spans="1:5" x14ac:dyDescent="0.3">
      <c r="A2683" t="s">
        <v>1629</v>
      </c>
      <c r="B2683" t="s">
        <v>6657</v>
      </c>
      <c r="C2683" t="s">
        <v>6657</v>
      </c>
      <c r="D2683" t="s">
        <v>6656</v>
      </c>
      <c r="E2683" t="s">
        <v>6655</v>
      </c>
    </row>
    <row r="2684" spans="1:5" x14ac:dyDescent="0.3">
      <c r="A2684" t="s">
        <v>1629</v>
      </c>
      <c r="B2684" t="s">
        <v>6654</v>
      </c>
      <c r="C2684" t="s">
        <v>6517</v>
      </c>
      <c r="D2684" t="s">
        <v>6517</v>
      </c>
      <c r="E2684" t="s">
        <v>6517</v>
      </c>
    </row>
    <row r="2685" spans="1:5" x14ac:dyDescent="0.3">
      <c r="A2685" t="s">
        <v>1629</v>
      </c>
      <c r="B2685" t="s">
        <v>6653</v>
      </c>
      <c r="C2685" t="s">
        <v>6517</v>
      </c>
      <c r="D2685" t="s">
        <v>6517</v>
      </c>
      <c r="E2685" t="s">
        <v>6517</v>
      </c>
    </row>
    <row r="2686" spans="1:5" x14ac:dyDescent="0.3">
      <c r="A2686" t="s">
        <v>1629</v>
      </c>
      <c r="B2686" t="s">
        <v>6652</v>
      </c>
      <c r="C2686" t="s">
        <v>6517</v>
      </c>
      <c r="D2686" t="s">
        <v>6517</v>
      </c>
      <c r="E2686" t="s">
        <v>6517</v>
      </c>
    </row>
    <row r="2687" spans="1:5" x14ac:dyDescent="0.3">
      <c r="A2687" t="s">
        <v>1629</v>
      </c>
      <c r="B2687" t="s">
        <v>6651</v>
      </c>
      <c r="C2687" t="s">
        <v>6517</v>
      </c>
      <c r="D2687" t="s">
        <v>6517</v>
      </c>
      <c r="E2687" t="s">
        <v>6517</v>
      </c>
    </row>
    <row r="2688" spans="1:5" x14ac:dyDescent="0.3">
      <c r="A2688" t="s">
        <v>1630</v>
      </c>
      <c r="B2688" t="s">
        <v>6650</v>
      </c>
      <c r="C2688" t="s">
        <v>6650</v>
      </c>
      <c r="D2688" t="s">
        <v>6649</v>
      </c>
      <c r="E2688" t="s">
        <v>6648</v>
      </c>
    </row>
    <row r="2689" spans="1:5" x14ac:dyDescent="0.3">
      <c r="A2689" t="s">
        <v>1630</v>
      </c>
      <c r="B2689" t="s">
        <v>6647</v>
      </c>
      <c r="C2689" t="s">
        <v>6517</v>
      </c>
      <c r="D2689" t="s">
        <v>6517</v>
      </c>
      <c r="E2689" t="s">
        <v>6517</v>
      </c>
    </row>
    <row r="2690" spans="1:5" x14ac:dyDescent="0.3">
      <c r="A2690" t="s">
        <v>1630</v>
      </c>
      <c r="B2690" t="s">
        <v>6646</v>
      </c>
      <c r="C2690" t="s">
        <v>6517</v>
      </c>
      <c r="D2690" t="s">
        <v>6517</v>
      </c>
      <c r="E2690" t="s">
        <v>6517</v>
      </c>
    </row>
    <row r="2691" spans="1:5" x14ac:dyDescent="0.3">
      <c r="A2691" t="s">
        <v>1630</v>
      </c>
      <c r="B2691" t="s">
        <v>6645</v>
      </c>
      <c r="C2691" t="s">
        <v>6517</v>
      </c>
      <c r="D2691" t="s">
        <v>6517</v>
      </c>
      <c r="E2691" t="s">
        <v>6517</v>
      </c>
    </row>
    <row r="2692" spans="1:5" x14ac:dyDescent="0.3">
      <c r="A2692" t="s">
        <v>1630</v>
      </c>
      <c r="B2692" t="s">
        <v>6644</v>
      </c>
      <c r="C2692" t="s">
        <v>6517</v>
      </c>
      <c r="D2692" t="s">
        <v>6517</v>
      </c>
      <c r="E2692" t="s">
        <v>6517</v>
      </c>
    </row>
    <row r="2693" spans="1:5" x14ac:dyDescent="0.3">
      <c r="A2693" t="s">
        <v>1631</v>
      </c>
      <c r="B2693" t="s">
        <v>6643</v>
      </c>
      <c r="C2693" t="s">
        <v>6643</v>
      </c>
      <c r="D2693" t="s">
        <v>6642</v>
      </c>
      <c r="E2693" t="s">
        <v>6641</v>
      </c>
    </row>
    <row r="2694" spans="1:5" x14ac:dyDescent="0.3">
      <c r="A2694" t="s">
        <v>1631</v>
      </c>
      <c r="B2694" t="s">
        <v>6640</v>
      </c>
      <c r="C2694" t="s">
        <v>6517</v>
      </c>
      <c r="D2694" t="s">
        <v>6517</v>
      </c>
      <c r="E2694" t="s">
        <v>6517</v>
      </c>
    </row>
    <row r="2695" spans="1:5" x14ac:dyDescent="0.3">
      <c r="A2695" t="s">
        <v>1631</v>
      </c>
      <c r="B2695" t="s">
        <v>6639</v>
      </c>
      <c r="C2695" t="s">
        <v>6517</v>
      </c>
      <c r="D2695" t="s">
        <v>6517</v>
      </c>
      <c r="E2695" t="s">
        <v>6517</v>
      </c>
    </row>
    <row r="2696" spans="1:5" x14ac:dyDescent="0.3">
      <c r="A2696" t="s">
        <v>1631</v>
      </c>
      <c r="B2696" t="s">
        <v>6638</v>
      </c>
      <c r="C2696" t="s">
        <v>6517</v>
      </c>
      <c r="D2696" t="s">
        <v>6517</v>
      </c>
      <c r="E2696" t="s">
        <v>6517</v>
      </c>
    </row>
    <row r="2697" spans="1:5" x14ac:dyDescent="0.3">
      <c r="A2697" t="s">
        <v>1631</v>
      </c>
      <c r="B2697" t="s">
        <v>6637</v>
      </c>
      <c r="C2697" t="s">
        <v>6517</v>
      </c>
      <c r="D2697" t="s">
        <v>6517</v>
      </c>
      <c r="E2697" t="s">
        <v>6517</v>
      </c>
    </row>
    <row r="2698" spans="1:5" x14ac:dyDescent="0.3">
      <c r="A2698" t="s">
        <v>1632</v>
      </c>
      <c r="B2698" t="s">
        <v>6636</v>
      </c>
      <c r="C2698" t="s">
        <v>6636</v>
      </c>
      <c r="D2698" t="s">
        <v>6635</v>
      </c>
      <c r="E2698" t="s">
        <v>6634</v>
      </c>
    </row>
    <row r="2699" spans="1:5" x14ac:dyDescent="0.3">
      <c r="A2699" t="s">
        <v>1632</v>
      </c>
      <c r="B2699" t="s">
        <v>6633</v>
      </c>
      <c r="C2699" t="s">
        <v>6517</v>
      </c>
      <c r="D2699" t="s">
        <v>6517</v>
      </c>
      <c r="E2699" t="s">
        <v>6517</v>
      </c>
    </row>
    <row r="2700" spans="1:5" x14ac:dyDescent="0.3">
      <c r="A2700" t="s">
        <v>1632</v>
      </c>
      <c r="B2700" t="s">
        <v>6632</v>
      </c>
      <c r="C2700" t="s">
        <v>6517</v>
      </c>
      <c r="D2700" t="s">
        <v>6517</v>
      </c>
      <c r="E2700" t="s">
        <v>6517</v>
      </c>
    </row>
    <row r="2701" spans="1:5" x14ac:dyDescent="0.3">
      <c r="A2701" t="s">
        <v>1632</v>
      </c>
      <c r="B2701" t="s">
        <v>6631</v>
      </c>
      <c r="C2701" t="s">
        <v>6517</v>
      </c>
      <c r="D2701" t="s">
        <v>6517</v>
      </c>
      <c r="E2701" t="s">
        <v>6517</v>
      </c>
    </row>
    <row r="2702" spans="1:5" x14ac:dyDescent="0.3">
      <c r="A2702" t="s">
        <v>1632</v>
      </c>
      <c r="B2702" t="s">
        <v>6630</v>
      </c>
      <c r="C2702" t="s">
        <v>6517</v>
      </c>
      <c r="D2702" t="s">
        <v>6517</v>
      </c>
      <c r="E2702" t="s">
        <v>6517</v>
      </c>
    </row>
    <row r="2703" spans="1:5" x14ac:dyDescent="0.3">
      <c r="A2703" t="s">
        <v>1633</v>
      </c>
      <c r="B2703" t="s">
        <v>6629</v>
      </c>
      <c r="C2703" t="s">
        <v>6629</v>
      </c>
      <c r="D2703" t="s">
        <v>6628</v>
      </c>
      <c r="E2703" t="s">
        <v>6627</v>
      </c>
    </row>
    <row r="2704" spans="1:5" x14ac:dyDescent="0.3">
      <c r="A2704" t="s">
        <v>1633</v>
      </c>
      <c r="B2704" t="s">
        <v>6626</v>
      </c>
      <c r="C2704" t="s">
        <v>6517</v>
      </c>
      <c r="D2704" t="s">
        <v>6517</v>
      </c>
      <c r="E2704" t="s">
        <v>6517</v>
      </c>
    </row>
    <row r="2705" spans="1:5" x14ac:dyDescent="0.3">
      <c r="A2705" t="s">
        <v>1633</v>
      </c>
      <c r="B2705" t="s">
        <v>6625</v>
      </c>
      <c r="C2705" t="s">
        <v>6517</v>
      </c>
      <c r="D2705" t="s">
        <v>6517</v>
      </c>
      <c r="E2705" t="s">
        <v>6517</v>
      </c>
    </row>
    <row r="2706" spans="1:5" x14ac:dyDescent="0.3">
      <c r="A2706" t="s">
        <v>1633</v>
      </c>
      <c r="B2706" t="s">
        <v>6624</v>
      </c>
      <c r="C2706" t="s">
        <v>6517</v>
      </c>
      <c r="D2706" t="s">
        <v>6517</v>
      </c>
      <c r="E2706" t="s">
        <v>6517</v>
      </c>
    </row>
    <row r="2707" spans="1:5" x14ac:dyDescent="0.3">
      <c r="A2707" t="s">
        <v>1633</v>
      </c>
      <c r="B2707" t="s">
        <v>6623</v>
      </c>
      <c r="C2707" t="s">
        <v>6517</v>
      </c>
      <c r="D2707" t="s">
        <v>6517</v>
      </c>
      <c r="E2707" t="s">
        <v>6517</v>
      </c>
    </row>
    <row r="2708" spans="1:5" x14ac:dyDescent="0.3">
      <c r="A2708" t="s">
        <v>1634</v>
      </c>
      <c r="B2708" t="s">
        <v>6622</v>
      </c>
      <c r="C2708" t="s">
        <v>6622</v>
      </c>
      <c r="D2708" t="s">
        <v>6621</v>
      </c>
      <c r="E2708" t="s">
        <v>6620</v>
      </c>
    </row>
    <row r="2709" spans="1:5" x14ac:dyDescent="0.3">
      <c r="A2709" t="s">
        <v>1634</v>
      </c>
      <c r="B2709" t="s">
        <v>6619</v>
      </c>
      <c r="C2709" t="s">
        <v>6517</v>
      </c>
      <c r="D2709" t="s">
        <v>6517</v>
      </c>
      <c r="E2709" t="s">
        <v>6517</v>
      </c>
    </row>
    <row r="2710" spans="1:5" x14ac:dyDescent="0.3">
      <c r="A2710" t="s">
        <v>1634</v>
      </c>
      <c r="B2710" t="s">
        <v>6618</v>
      </c>
      <c r="C2710" t="s">
        <v>6517</v>
      </c>
      <c r="D2710" t="s">
        <v>6517</v>
      </c>
      <c r="E2710" t="s">
        <v>6517</v>
      </c>
    </row>
    <row r="2711" spans="1:5" x14ac:dyDescent="0.3">
      <c r="A2711" t="s">
        <v>1634</v>
      </c>
      <c r="B2711" t="s">
        <v>6617</v>
      </c>
      <c r="C2711" t="s">
        <v>6517</v>
      </c>
      <c r="D2711" t="s">
        <v>6517</v>
      </c>
      <c r="E2711" t="s">
        <v>6517</v>
      </c>
    </row>
    <row r="2712" spans="1:5" x14ac:dyDescent="0.3">
      <c r="A2712" t="s">
        <v>1634</v>
      </c>
      <c r="B2712" t="s">
        <v>6616</v>
      </c>
      <c r="C2712" t="s">
        <v>6517</v>
      </c>
      <c r="D2712" t="s">
        <v>6517</v>
      </c>
      <c r="E2712" t="s">
        <v>6517</v>
      </c>
    </row>
    <row r="2713" spans="1:5" x14ac:dyDescent="0.3">
      <c r="A2713" t="s">
        <v>1635</v>
      </c>
      <c r="B2713" t="s">
        <v>6615</v>
      </c>
      <c r="C2713" t="s">
        <v>6615</v>
      </c>
      <c r="D2713" t="s">
        <v>6614</v>
      </c>
      <c r="E2713" t="s">
        <v>6613</v>
      </c>
    </row>
    <row r="2714" spans="1:5" x14ac:dyDescent="0.3">
      <c r="A2714" t="s">
        <v>1635</v>
      </c>
      <c r="B2714" t="s">
        <v>6612</v>
      </c>
      <c r="C2714" t="s">
        <v>6517</v>
      </c>
      <c r="D2714" t="s">
        <v>6517</v>
      </c>
      <c r="E2714" t="s">
        <v>6517</v>
      </c>
    </row>
    <row r="2715" spans="1:5" x14ac:dyDescent="0.3">
      <c r="A2715" t="s">
        <v>1635</v>
      </c>
      <c r="B2715" t="s">
        <v>6611</v>
      </c>
      <c r="C2715" t="s">
        <v>6517</v>
      </c>
      <c r="D2715" t="s">
        <v>6517</v>
      </c>
      <c r="E2715" t="s">
        <v>6517</v>
      </c>
    </row>
    <row r="2716" spans="1:5" x14ac:dyDescent="0.3">
      <c r="A2716" t="s">
        <v>1635</v>
      </c>
      <c r="B2716" t="s">
        <v>6610</v>
      </c>
      <c r="C2716" t="s">
        <v>6517</v>
      </c>
      <c r="D2716" t="s">
        <v>6517</v>
      </c>
      <c r="E2716" t="s">
        <v>6517</v>
      </c>
    </row>
    <row r="2717" spans="1:5" x14ac:dyDescent="0.3">
      <c r="A2717" t="s">
        <v>1635</v>
      </c>
      <c r="B2717" t="s">
        <v>6609</v>
      </c>
      <c r="C2717" t="s">
        <v>6517</v>
      </c>
      <c r="D2717" t="s">
        <v>6517</v>
      </c>
      <c r="E2717" t="s">
        <v>6517</v>
      </c>
    </row>
    <row r="2718" spans="1:5" x14ac:dyDescent="0.3">
      <c r="A2718" t="s">
        <v>1636</v>
      </c>
      <c r="B2718" t="s">
        <v>6608</v>
      </c>
      <c r="C2718" t="s">
        <v>6608</v>
      </c>
      <c r="D2718" t="s">
        <v>6607</v>
      </c>
      <c r="E2718" t="s">
        <v>6606</v>
      </c>
    </row>
    <row r="2719" spans="1:5" x14ac:dyDescent="0.3">
      <c r="A2719" t="s">
        <v>1636</v>
      </c>
      <c r="B2719" t="s">
        <v>6605</v>
      </c>
      <c r="C2719" t="s">
        <v>6517</v>
      </c>
      <c r="D2719" t="s">
        <v>6517</v>
      </c>
      <c r="E2719" t="s">
        <v>6517</v>
      </c>
    </row>
    <row r="2720" spans="1:5" x14ac:dyDescent="0.3">
      <c r="A2720" t="s">
        <v>1636</v>
      </c>
      <c r="B2720" t="s">
        <v>6604</v>
      </c>
      <c r="C2720" t="s">
        <v>6517</v>
      </c>
      <c r="D2720" t="s">
        <v>6517</v>
      </c>
      <c r="E2720" t="s">
        <v>6517</v>
      </c>
    </row>
    <row r="2721" spans="1:5" x14ac:dyDescent="0.3">
      <c r="A2721" t="s">
        <v>1636</v>
      </c>
      <c r="B2721" t="s">
        <v>6603</v>
      </c>
      <c r="C2721" t="s">
        <v>6517</v>
      </c>
      <c r="D2721" t="s">
        <v>6517</v>
      </c>
      <c r="E2721" t="s">
        <v>6517</v>
      </c>
    </row>
    <row r="2722" spans="1:5" x14ac:dyDescent="0.3">
      <c r="A2722" t="s">
        <v>1636</v>
      </c>
      <c r="B2722" t="s">
        <v>6602</v>
      </c>
      <c r="C2722" t="s">
        <v>6517</v>
      </c>
      <c r="D2722" t="s">
        <v>6517</v>
      </c>
      <c r="E2722" t="s">
        <v>6517</v>
      </c>
    </row>
    <row r="2723" spans="1:5" x14ac:dyDescent="0.3">
      <c r="A2723" t="s">
        <v>1637</v>
      </c>
      <c r="B2723" t="s">
        <v>6601</v>
      </c>
      <c r="C2723" t="s">
        <v>6601</v>
      </c>
      <c r="D2723" t="s">
        <v>6600</v>
      </c>
      <c r="E2723" t="s">
        <v>6599</v>
      </c>
    </row>
    <row r="2724" spans="1:5" x14ac:dyDescent="0.3">
      <c r="A2724" t="s">
        <v>1637</v>
      </c>
      <c r="B2724" t="s">
        <v>6598</v>
      </c>
      <c r="C2724" t="s">
        <v>6517</v>
      </c>
      <c r="D2724" t="s">
        <v>6517</v>
      </c>
      <c r="E2724" t="s">
        <v>6517</v>
      </c>
    </row>
    <row r="2725" spans="1:5" x14ac:dyDescent="0.3">
      <c r="A2725" t="s">
        <v>1637</v>
      </c>
      <c r="B2725" t="s">
        <v>6597</v>
      </c>
      <c r="C2725" t="s">
        <v>6517</v>
      </c>
      <c r="D2725" t="s">
        <v>6517</v>
      </c>
      <c r="E2725" t="s">
        <v>6517</v>
      </c>
    </row>
    <row r="2726" spans="1:5" x14ac:dyDescent="0.3">
      <c r="A2726" t="s">
        <v>1637</v>
      </c>
      <c r="B2726" t="s">
        <v>6596</v>
      </c>
      <c r="C2726" t="s">
        <v>6517</v>
      </c>
      <c r="D2726" t="s">
        <v>6517</v>
      </c>
      <c r="E2726" t="s">
        <v>6517</v>
      </c>
    </row>
    <row r="2727" spans="1:5" x14ac:dyDescent="0.3">
      <c r="A2727" t="s">
        <v>1637</v>
      </c>
      <c r="B2727" t="s">
        <v>6595</v>
      </c>
      <c r="C2727" t="s">
        <v>6517</v>
      </c>
      <c r="D2727" t="s">
        <v>6517</v>
      </c>
      <c r="E2727" t="s">
        <v>6517</v>
      </c>
    </row>
    <row r="2728" spans="1:5" x14ac:dyDescent="0.3">
      <c r="A2728" t="s">
        <v>1638</v>
      </c>
      <c r="B2728" t="s">
        <v>6594</v>
      </c>
      <c r="C2728" t="s">
        <v>6594</v>
      </c>
      <c r="D2728" t="s">
        <v>6593</v>
      </c>
      <c r="E2728" t="s">
        <v>6592</v>
      </c>
    </row>
    <row r="2729" spans="1:5" x14ac:dyDescent="0.3">
      <c r="A2729" t="s">
        <v>1638</v>
      </c>
      <c r="B2729" t="s">
        <v>6591</v>
      </c>
      <c r="C2729" t="s">
        <v>6517</v>
      </c>
      <c r="D2729" t="s">
        <v>6517</v>
      </c>
      <c r="E2729" t="s">
        <v>6517</v>
      </c>
    </row>
    <row r="2730" spans="1:5" x14ac:dyDescent="0.3">
      <c r="A2730" t="s">
        <v>1638</v>
      </c>
      <c r="B2730" t="s">
        <v>6590</v>
      </c>
      <c r="C2730" t="s">
        <v>6517</v>
      </c>
      <c r="D2730" t="s">
        <v>6517</v>
      </c>
      <c r="E2730" t="s">
        <v>6517</v>
      </c>
    </row>
    <row r="2731" spans="1:5" x14ac:dyDescent="0.3">
      <c r="A2731" t="s">
        <v>1638</v>
      </c>
      <c r="B2731" t="s">
        <v>6589</v>
      </c>
      <c r="C2731" t="s">
        <v>6517</v>
      </c>
      <c r="D2731" t="s">
        <v>6517</v>
      </c>
      <c r="E2731" t="s">
        <v>6517</v>
      </c>
    </row>
    <row r="2732" spans="1:5" x14ac:dyDescent="0.3">
      <c r="A2732" t="s">
        <v>1638</v>
      </c>
      <c r="B2732" t="s">
        <v>6588</v>
      </c>
      <c r="C2732" t="s">
        <v>6517</v>
      </c>
      <c r="D2732" t="s">
        <v>6517</v>
      </c>
      <c r="E2732" t="s">
        <v>6517</v>
      </c>
    </row>
    <row r="2733" spans="1:5" x14ac:dyDescent="0.3">
      <c r="A2733" t="s">
        <v>1639</v>
      </c>
      <c r="B2733" t="s">
        <v>6587</v>
      </c>
      <c r="C2733" t="s">
        <v>6587</v>
      </c>
      <c r="D2733" t="s">
        <v>6586</v>
      </c>
      <c r="E2733" t="s">
        <v>6585</v>
      </c>
    </row>
    <row r="2734" spans="1:5" x14ac:dyDescent="0.3">
      <c r="A2734" t="s">
        <v>1639</v>
      </c>
      <c r="B2734" t="s">
        <v>6584</v>
      </c>
      <c r="C2734" t="s">
        <v>6517</v>
      </c>
      <c r="D2734" t="s">
        <v>6517</v>
      </c>
      <c r="E2734" t="s">
        <v>6517</v>
      </c>
    </row>
    <row r="2735" spans="1:5" x14ac:dyDescent="0.3">
      <c r="A2735" t="s">
        <v>1639</v>
      </c>
      <c r="B2735" t="s">
        <v>6583</v>
      </c>
      <c r="C2735" t="s">
        <v>6517</v>
      </c>
      <c r="D2735" t="s">
        <v>6517</v>
      </c>
      <c r="E2735" t="s">
        <v>6517</v>
      </c>
    </row>
    <row r="2736" spans="1:5" x14ac:dyDescent="0.3">
      <c r="A2736" t="s">
        <v>1639</v>
      </c>
      <c r="B2736" t="s">
        <v>6582</v>
      </c>
      <c r="C2736" t="s">
        <v>6517</v>
      </c>
      <c r="D2736" t="s">
        <v>6517</v>
      </c>
      <c r="E2736" t="s">
        <v>6517</v>
      </c>
    </row>
    <row r="2737" spans="1:5" x14ac:dyDescent="0.3">
      <c r="A2737" t="s">
        <v>1639</v>
      </c>
      <c r="B2737" t="s">
        <v>6581</v>
      </c>
      <c r="C2737" t="s">
        <v>6517</v>
      </c>
      <c r="D2737" t="s">
        <v>6517</v>
      </c>
      <c r="E2737" t="s">
        <v>6517</v>
      </c>
    </row>
    <row r="2738" spans="1:5" x14ac:dyDescent="0.3">
      <c r="A2738" t="s">
        <v>1640</v>
      </c>
      <c r="B2738" t="s">
        <v>6580</v>
      </c>
      <c r="C2738" t="s">
        <v>6580</v>
      </c>
      <c r="D2738" t="s">
        <v>6579</v>
      </c>
      <c r="E2738" t="s">
        <v>6578</v>
      </c>
    </row>
    <row r="2739" spans="1:5" x14ac:dyDescent="0.3">
      <c r="A2739" t="s">
        <v>1640</v>
      </c>
      <c r="B2739" t="s">
        <v>6577</v>
      </c>
      <c r="C2739" t="s">
        <v>6517</v>
      </c>
      <c r="D2739" t="s">
        <v>6517</v>
      </c>
      <c r="E2739" t="s">
        <v>6517</v>
      </c>
    </row>
    <row r="2740" spans="1:5" x14ac:dyDescent="0.3">
      <c r="A2740" t="s">
        <v>1640</v>
      </c>
      <c r="B2740" t="s">
        <v>6576</v>
      </c>
      <c r="C2740" t="s">
        <v>6517</v>
      </c>
      <c r="D2740" t="s">
        <v>6517</v>
      </c>
      <c r="E2740" t="s">
        <v>6517</v>
      </c>
    </row>
    <row r="2741" spans="1:5" x14ac:dyDescent="0.3">
      <c r="A2741" t="s">
        <v>1640</v>
      </c>
      <c r="B2741" t="s">
        <v>6575</v>
      </c>
      <c r="C2741" t="s">
        <v>6517</v>
      </c>
      <c r="D2741" t="s">
        <v>6517</v>
      </c>
      <c r="E2741" t="s">
        <v>6517</v>
      </c>
    </row>
    <row r="2742" spans="1:5" x14ac:dyDescent="0.3">
      <c r="A2742" t="s">
        <v>1640</v>
      </c>
      <c r="B2742" t="s">
        <v>6574</v>
      </c>
      <c r="C2742" t="s">
        <v>6517</v>
      </c>
      <c r="D2742" t="s">
        <v>6517</v>
      </c>
      <c r="E2742" t="s">
        <v>6517</v>
      </c>
    </row>
    <row r="2743" spans="1:5" x14ac:dyDescent="0.3">
      <c r="A2743" t="s">
        <v>1641</v>
      </c>
      <c r="B2743" t="s">
        <v>6573</v>
      </c>
      <c r="C2743" t="s">
        <v>6573</v>
      </c>
      <c r="D2743" t="s">
        <v>6572</v>
      </c>
      <c r="E2743" t="s">
        <v>6571</v>
      </c>
    </row>
    <row r="2744" spans="1:5" x14ac:dyDescent="0.3">
      <c r="A2744" t="s">
        <v>1641</v>
      </c>
      <c r="B2744" t="s">
        <v>6570</v>
      </c>
      <c r="C2744" t="s">
        <v>6517</v>
      </c>
      <c r="D2744" t="s">
        <v>6517</v>
      </c>
      <c r="E2744" t="s">
        <v>6517</v>
      </c>
    </row>
    <row r="2745" spans="1:5" x14ac:dyDescent="0.3">
      <c r="A2745" t="s">
        <v>1641</v>
      </c>
      <c r="B2745" t="s">
        <v>6569</v>
      </c>
      <c r="C2745" t="s">
        <v>6517</v>
      </c>
      <c r="D2745" t="s">
        <v>6517</v>
      </c>
      <c r="E2745" t="s">
        <v>6517</v>
      </c>
    </row>
    <row r="2746" spans="1:5" x14ac:dyDescent="0.3">
      <c r="A2746" t="s">
        <v>1641</v>
      </c>
      <c r="B2746" t="s">
        <v>6568</v>
      </c>
      <c r="C2746" t="s">
        <v>6517</v>
      </c>
      <c r="D2746" t="s">
        <v>6517</v>
      </c>
      <c r="E2746" t="s">
        <v>6517</v>
      </c>
    </row>
    <row r="2747" spans="1:5" x14ac:dyDescent="0.3">
      <c r="A2747" t="s">
        <v>1641</v>
      </c>
      <c r="B2747" t="s">
        <v>6567</v>
      </c>
      <c r="C2747" t="s">
        <v>6517</v>
      </c>
      <c r="D2747" t="s">
        <v>6517</v>
      </c>
      <c r="E2747" t="s">
        <v>6517</v>
      </c>
    </row>
    <row r="2748" spans="1:5" x14ac:dyDescent="0.3">
      <c r="A2748" t="s">
        <v>1642</v>
      </c>
      <c r="B2748" t="s">
        <v>6566</v>
      </c>
      <c r="C2748" t="s">
        <v>6566</v>
      </c>
      <c r="D2748" t="s">
        <v>6565</v>
      </c>
      <c r="E2748" t="s">
        <v>6564</v>
      </c>
    </row>
    <row r="2749" spans="1:5" x14ac:dyDescent="0.3">
      <c r="A2749" t="s">
        <v>1642</v>
      </c>
      <c r="B2749" t="s">
        <v>6563</v>
      </c>
      <c r="C2749" t="s">
        <v>6517</v>
      </c>
      <c r="D2749" t="s">
        <v>6517</v>
      </c>
      <c r="E2749" t="s">
        <v>6517</v>
      </c>
    </row>
    <row r="2750" spans="1:5" x14ac:dyDescent="0.3">
      <c r="A2750" t="s">
        <v>1642</v>
      </c>
      <c r="B2750" t="s">
        <v>6562</v>
      </c>
      <c r="C2750" t="s">
        <v>6517</v>
      </c>
      <c r="D2750" t="s">
        <v>6517</v>
      </c>
      <c r="E2750" t="s">
        <v>6517</v>
      </c>
    </row>
    <row r="2751" spans="1:5" x14ac:dyDescent="0.3">
      <c r="A2751" t="s">
        <v>1642</v>
      </c>
      <c r="B2751" t="s">
        <v>6561</v>
      </c>
      <c r="C2751" t="s">
        <v>6517</v>
      </c>
      <c r="D2751" t="s">
        <v>6517</v>
      </c>
      <c r="E2751" t="s">
        <v>6517</v>
      </c>
    </row>
    <row r="2752" spans="1:5" x14ac:dyDescent="0.3">
      <c r="A2752" t="s">
        <v>1642</v>
      </c>
      <c r="B2752" t="s">
        <v>6560</v>
      </c>
      <c r="C2752" t="s">
        <v>6517</v>
      </c>
      <c r="D2752" t="s">
        <v>6517</v>
      </c>
      <c r="E2752" t="s">
        <v>6517</v>
      </c>
    </row>
    <row r="2753" spans="1:5" x14ac:dyDescent="0.3">
      <c r="A2753" t="s">
        <v>1643</v>
      </c>
      <c r="B2753" t="s">
        <v>6559</v>
      </c>
      <c r="C2753" t="s">
        <v>6559</v>
      </c>
      <c r="D2753" t="s">
        <v>6558</v>
      </c>
      <c r="E2753" t="s">
        <v>6557</v>
      </c>
    </row>
    <row r="2754" spans="1:5" x14ac:dyDescent="0.3">
      <c r="A2754" t="s">
        <v>1643</v>
      </c>
      <c r="B2754" t="s">
        <v>6556</v>
      </c>
      <c r="C2754" t="s">
        <v>6517</v>
      </c>
      <c r="D2754" t="s">
        <v>6517</v>
      </c>
      <c r="E2754" t="s">
        <v>6517</v>
      </c>
    </row>
    <row r="2755" spans="1:5" x14ac:dyDescent="0.3">
      <c r="A2755" t="s">
        <v>1643</v>
      </c>
      <c r="B2755" t="s">
        <v>6555</v>
      </c>
      <c r="C2755" t="s">
        <v>6517</v>
      </c>
      <c r="D2755" t="s">
        <v>6517</v>
      </c>
      <c r="E2755" t="s">
        <v>6517</v>
      </c>
    </row>
    <row r="2756" spans="1:5" x14ac:dyDescent="0.3">
      <c r="A2756" t="s">
        <v>1643</v>
      </c>
      <c r="B2756" t="s">
        <v>6554</v>
      </c>
      <c r="C2756" t="s">
        <v>6517</v>
      </c>
      <c r="D2756" t="s">
        <v>6517</v>
      </c>
      <c r="E2756" t="s">
        <v>6517</v>
      </c>
    </row>
    <row r="2757" spans="1:5" x14ac:dyDescent="0.3">
      <c r="A2757" t="s">
        <v>1643</v>
      </c>
      <c r="B2757" t="s">
        <v>6553</v>
      </c>
      <c r="C2757" t="s">
        <v>6517</v>
      </c>
      <c r="D2757" t="s">
        <v>6517</v>
      </c>
      <c r="E2757" t="s">
        <v>6517</v>
      </c>
    </row>
    <row r="2758" spans="1:5" x14ac:dyDescent="0.3">
      <c r="A2758" t="s">
        <v>1644</v>
      </c>
      <c r="B2758" t="s">
        <v>6552</v>
      </c>
      <c r="C2758" t="s">
        <v>6552</v>
      </c>
      <c r="D2758" t="s">
        <v>6551</v>
      </c>
      <c r="E2758" t="s">
        <v>6550</v>
      </c>
    </row>
    <row r="2759" spans="1:5" x14ac:dyDescent="0.3">
      <c r="A2759" t="s">
        <v>1644</v>
      </c>
      <c r="B2759" t="s">
        <v>6549</v>
      </c>
      <c r="C2759" t="s">
        <v>6517</v>
      </c>
      <c r="D2759" t="s">
        <v>6517</v>
      </c>
      <c r="E2759" t="s">
        <v>6517</v>
      </c>
    </row>
    <row r="2760" spans="1:5" x14ac:dyDescent="0.3">
      <c r="A2760" t="s">
        <v>1644</v>
      </c>
      <c r="B2760" t="s">
        <v>6548</v>
      </c>
      <c r="C2760" t="s">
        <v>6517</v>
      </c>
      <c r="D2760" t="s">
        <v>6517</v>
      </c>
      <c r="E2760" t="s">
        <v>6517</v>
      </c>
    </row>
    <row r="2761" spans="1:5" x14ac:dyDescent="0.3">
      <c r="A2761" t="s">
        <v>1644</v>
      </c>
      <c r="B2761" t="s">
        <v>6547</v>
      </c>
      <c r="C2761" t="s">
        <v>6517</v>
      </c>
      <c r="D2761" t="s">
        <v>6517</v>
      </c>
      <c r="E2761" t="s">
        <v>6517</v>
      </c>
    </row>
    <row r="2762" spans="1:5" x14ac:dyDescent="0.3">
      <c r="A2762" t="s">
        <v>1644</v>
      </c>
      <c r="B2762" t="s">
        <v>6546</v>
      </c>
      <c r="C2762" t="s">
        <v>6517</v>
      </c>
      <c r="D2762" t="s">
        <v>6517</v>
      </c>
      <c r="E2762" t="s">
        <v>6517</v>
      </c>
    </row>
    <row r="2763" spans="1:5" x14ac:dyDescent="0.3">
      <c r="A2763" t="s">
        <v>1645</v>
      </c>
      <c r="B2763" t="s">
        <v>6545</v>
      </c>
      <c r="C2763" t="s">
        <v>6545</v>
      </c>
      <c r="D2763" t="s">
        <v>6544</v>
      </c>
      <c r="E2763" t="s">
        <v>6543</v>
      </c>
    </row>
    <row r="2764" spans="1:5" x14ac:dyDescent="0.3">
      <c r="A2764" t="s">
        <v>1645</v>
      </c>
      <c r="B2764" t="s">
        <v>6542</v>
      </c>
      <c r="C2764" t="s">
        <v>6517</v>
      </c>
      <c r="D2764" t="s">
        <v>6517</v>
      </c>
      <c r="E2764" t="s">
        <v>6517</v>
      </c>
    </row>
    <row r="2765" spans="1:5" x14ac:dyDescent="0.3">
      <c r="A2765" t="s">
        <v>1645</v>
      </c>
      <c r="B2765" t="s">
        <v>6541</v>
      </c>
      <c r="C2765" t="s">
        <v>6517</v>
      </c>
      <c r="D2765" t="s">
        <v>6517</v>
      </c>
      <c r="E2765" t="s">
        <v>6517</v>
      </c>
    </row>
    <row r="2766" spans="1:5" x14ac:dyDescent="0.3">
      <c r="A2766" t="s">
        <v>1645</v>
      </c>
      <c r="B2766" t="s">
        <v>6540</v>
      </c>
      <c r="C2766" t="s">
        <v>6517</v>
      </c>
      <c r="D2766" t="s">
        <v>6517</v>
      </c>
      <c r="E2766" t="s">
        <v>6517</v>
      </c>
    </row>
    <row r="2767" spans="1:5" x14ac:dyDescent="0.3">
      <c r="A2767" t="s">
        <v>1645</v>
      </c>
      <c r="B2767" t="s">
        <v>6539</v>
      </c>
      <c r="C2767" t="s">
        <v>6517</v>
      </c>
      <c r="D2767" t="s">
        <v>6517</v>
      </c>
      <c r="E2767" t="s">
        <v>6517</v>
      </c>
    </row>
    <row r="2768" spans="1:5" x14ac:dyDescent="0.3">
      <c r="A2768" t="s">
        <v>1646</v>
      </c>
      <c r="B2768" t="s">
        <v>6538</v>
      </c>
      <c r="C2768" t="s">
        <v>6538</v>
      </c>
      <c r="D2768" t="s">
        <v>6537</v>
      </c>
      <c r="E2768" t="s">
        <v>6536</v>
      </c>
    </row>
    <row r="2769" spans="1:5" x14ac:dyDescent="0.3">
      <c r="A2769" t="s">
        <v>1646</v>
      </c>
      <c r="B2769" t="s">
        <v>6535</v>
      </c>
      <c r="C2769" t="s">
        <v>6517</v>
      </c>
      <c r="D2769" t="s">
        <v>6517</v>
      </c>
      <c r="E2769" t="s">
        <v>6517</v>
      </c>
    </row>
    <row r="2770" spans="1:5" x14ac:dyDescent="0.3">
      <c r="A2770" t="s">
        <v>1646</v>
      </c>
      <c r="B2770" t="s">
        <v>6534</v>
      </c>
      <c r="C2770" t="s">
        <v>6517</v>
      </c>
      <c r="D2770" t="s">
        <v>6517</v>
      </c>
      <c r="E2770" t="s">
        <v>6517</v>
      </c>
    </row>
    <row r="2771" spans="1:5" x14ac:dyDescent="0.3">
      <c r="A2771" t="s">
        <v>1646</v>
      </c>
      <c r="B2771" t="s">
        <v>6533</v>
      </c>
      <c r="C2771" t="s">
        <v>6517</v>
      </c>
      <c r="D2771" t="s">
        <v>6517</v>
      </c>
      <c r="E2771" t="s">
        <v>6517</v>
      </c>
    </row>
    <row r="2772" spans="1:5" x14ac:dyDescent="0.3">
      <c r="A2772" t="s">
        <v>1646</v>
      </c>
      <c r="B2772" t="s">
        <v>6532</v>
      </c>
      <c r="C2772" t="s">
        <v>6517</v>
      </c>
      <c r="D2772" t="s">
        <v>6517</v>
      </c>
      <c r="E2772" t="s">
        <v>6517</v>
      </c>
    </row>
    <row r="2773" spans="1:5" x14ac:dyDescent="0.3">
      <c r="A2773" t="s">
        <v>1647</v>
      </c>
      <c r="B2773" t="s">
        <v>6531</v>
      </c>
      <c r="C2773" t="s">
        <v>6531</v>
      </c>
      <c r="D2773" t="s">
        <v>6530</v>
      </c>
      <c r="E2773" t="s">
        <v>6529</v>
      </c>
    </row>
    <row r="2774" spans="1:5" x14ac:dyDescent="0.3">
      <c r="A2774" t="s">
        <v>1647</v>
      </c>
      <c r="B2774" t="s">
        <v>6528</v>
      </c>
      <c r="C2774" t="s">
        <v>6517</v>
      </c>
      <c r="D2774" t="s">
        <v>6517</v>
      </c>
      <c r="E2774" t="s">
        <v>6517</v>
      </c>
    </row>
    <row r="2775" spans="1:5" x14ac:dyDescent="0.3">
      <c r="A2775" t="s">
        <v>1647</v>
      </c>
      <c r="B2775" t="s">
        <v>6527</v>
      </c>
      <c r="C2775" t="s">
        <v>6517</v>
      </c>
      <c r="D2775" t="s">
        <v>6517</v>
      </c>
      <c r="E2775" t="s">
        <v>6517</v>
      </c>
    </row>
    <row r="2776" spans="1:5" x14ac:dyDescent="0.3">
      <c r="A2776" t="s">
        <v>1647</v>
      </c>
      <c r="B2776" t="s">
        <v>6526</v>
      </c>
      <c r="C2776" t="s">
        <v>6517</v>
      </c>
      <c r="D2776" t="s">
        <v>6517</v>
      </c>
      <c r="E2776" t="s">
        <v>6517</v>
      </c>
    </row>
    <row r="2777" spans="1:5" x14ac:dyDescent="0.3">
      <c r="A2777" t="s">
        <v>1647</v>
      </c>
      <c r="B2777" t="s">
        <v>6525</v>
      </c>
      <c r="C2777" t="s">
        <v>6517</v>
      </c>
      <c r="D2777" t="s">
        <v>6517</v>
      </c>
      <c r="E2777" t="s">
        <v>6517</v>
      </c>
    </row>
    <row r="2778" spans="1:5" x14ac:dyDescent="0.3">
      <c r="A2778" t="s">
        <v>1648</v>
      </c>
      <c r="B2778" t="s">
        <v>6524</v>
      </c>
      <c r="C2778" t="s">
        <v>6524</v>
      </c>
      <c r="D2778" t="s">
        <v>6523</v>
      </c>
      <c r="E2778" t="s">
        <v>6522</v>
      </c>
    </row>
    <row r="2779" spans="1:5" x14ac:dyDescent="0.3">
      <c r="A2779" t="s">
        <v>1648</v>
      </c>
      <c r="B2779" t="s">
        <v>6521</v>
      </c>
      <c r="C2779" t="s">
        <v>6517</v>
      </c>
      <c r="D2779" t="s">
        <v>6517</v>
      </c>
      <c r="E2779" t="s">
        <v>6517</v>
      </c>
    </row>
    <row r="2780" spans="1:5" x14ac:dyDescent="0.3">
      <c r="A2780" t="s">
        <v>1648</v>
      </c>
      <c r="B2780" t="s">
        <v>6520</v>
      </c>
      <c r="C2780" t="s">
        <v>6517</v>
      </c>
      <c r="D2780" t="s">
        <v>6517</v>
      </c>
      <c r="E2780" t="s">
        <v>6517</v>
      </c>
    </row>
    <row r="2781" spans="1:5" x14ac:dyDescent="0.3">
      <c r="A2781" t="s">
        <v>1648</v>
      </c>
      <c r="B2781" t="s">
        <v>6519</v>
      </c>
      <c r="C2781" t="s">
        <v>6517</v>
      </c>
      <c r="D2781" t="s">
        <v>6517</v>
      </c>
      <c r="E2781" t="s">
        <v>6517</v>
      </c>
    </row>
    <row r="2782" spans="1:5" x14ac:dyDescent="0.3">
      <c r="A2782" t="s">
        <v>1648</v>
      </c>
      <c r="B2782" t="s">
        <v>6518</v>
      </c>
      <c r="C2782" t="s">
        <v>6517</v>
      </c>
      <c r="D2782" t="s">
        <v>6517</v>
      </c>
      <c r="E2782" t="s">
        <v>6517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EB5B-CED9-47BA-8B8A-81231FF6F07F}">
  <dimension ref="A1:J1977"/>
  <sheetViews>
    <sheetView topLeftCell="A460" workbookViewId="0">
      <selection activeCell="E11" sqref="E11"/>
    </sheetView>
  </sheetViews>
  <sheetFormatPr defaultColWidth="45.44140625" defaultRowHeight="14.4" x14ac:dyDescent="0.3"/>
  <sheetData>
    <row r="1" spans="1:10" x14ac:dyDescent="0.3">
      <c r="A1" t="s">
        <v>2604</v>
      </c>
      <c r="B1" t="s">
        <v>3015</v>
      </c>
      <c r="C1" t="s">
        <v>3016</v>
      </c>
      <c r="D1" t="s">
        <v>3017</v>
      </c>
      <c r="E1" t="s">
        <v>3018</v>
      </c>
      <c r="F1" t="s">
        <v>3019</v>
      </c>
      <c r="G1" t="s">
        <v>3020</v>
      </c>
      <c r="H1" t="s">
        <v>3021</v>
      </c>
      <c r="I1" t="s">
        <v>3022</v>
      </c>
      <c r="J1" t="s">
        <v>2948</v>
      </c>
    </row>
    <row r="2" spans="1:10" x14ac:dyDescent="0.3">
      <c r="A2" t="s">
        <v>3023</v>
      </c>
      <c r="B2" t="s">
        <v>98</v>
      </c>
      <c r="C2" t="s">
        <v>3024</v>
      </c>
      <c r="D2" t="s">
        <v>3025</v>
      </c>
      <c r="E2" t="s">
        <v>3026</v>
      </c>
      <c r="F2" t="s">
        <v>3027</v>
      </c>
      <c r="G2" t="s">
        <v>3028</v>
      </c>
      <c r="H2">
        <v>1</v>
      </c>
      <c r="I2" t="s">
        <v>3024</v>
      </c>
    </row>
    <row r="3" spans="1:10" x14ac:dyDescent="0.3">
      <c r="A3" t="s">
        <v>3023</v>
      </c>
      <c r="B3" t="s">
        <v>98</v>
      </c>
      <c r="C3" t="s">
        <v>3024</v>
      </c>
      <c r="D3" t="s">
        <v>3029</v>
      </c>
      <c r="E3" t="s">
        <v>3030</v>
      </c>
      <c r="F3" t="s">
        <v>3027</v>
      </c>
      <c r="G3" t="s">
        <v>3031</v>
      </c>
      <c r="H3">
        <v>2</v>
      </c>
      <c r="I3" t="s">
        <v>3032</v>
      </c>
    </row>
    <row r="4" spans="1:10" x14ac:dyDescent="0.3">
      <c r="A4" t="s">
        <v>3023</v>
      </c>
      <c r="B4" t="s">
        <v>98</v>
      </c>
      <c r="C4" t="s">
        <v>3024</v>
      </c>
      <c r="D4" t="s">
        <v>3029</v>
      </c>
      <c r="E4" t="s">
        <v>3033</v>
      </c>
      <c r="F4" t="s">
        <v>3027</v>
      </c>
      <c r="G4" t="s">
        <v>3031</v>
      </c>
      <c r="H4">
        <v>3</v>
      </c>
      <c r="I4" t="s">
        <v>3034</v>
      </c>
    </row>
    <row r="5" spans="1:10" x14ac:dyDescent="0.3">
      <c r="A5" t="s">
        <v>3023</v>
      </c>
      <c r="B5" t="s">
        <v>98</v>
      </c>
      <c r="C5" t="s">
        <v>3024</v>
      </c>
      <c r="D5" t="s">
        <v>3029</v>
      </c>
      <c r="E5" t="s">
        <v>3035</v>
      </c>
      <c r="F5" t="s">
        <v>3027</v>
      </c>
      <c r="G5" t="s">
        <v>3031</v>
      </c>
      <c r="H5">
        <v>4</v>
      </c>
      <c r="I5" t="s">
        <v>3036</v>
      </c>
    </row>
    <row r="6" spans="1:10" x14ac:dyDescent="0.3">
      <c r="A6" t="s">
        <v>3023</v>
      </c>
      <c r="B6" t="s">
        <v>98</v>
      </c>
      <c r="C6" t="s">
        <v>3024</v>
      </c>
      <c r="D6" t="s">
        <v>3029</v>
      </c>
      <c r="E6" t="s">
        <v>3037</v>
      </c>
      <c r="F6" t="s">
        <v>3027</v>
      </c>
      <c r="G6" t="s">
        <v>3031</v>
      </c>
      <c r="H6">
        <v>5</v>
      </c>
      <c r="I6" t="s">
        <v>3038</v>
      </c>
    </row>
    <row r="7" spans="1:10" x14ac:dyDescent="0.3">
      <c r="A7" t="s">
        <v>3023</v>
      </c>
      <c r="B7" t="s">
        <v>98</v>
      </c>
      <c r="C7" t="s">
        <v>3024</v>
      </c>
      <c r="D7" t="s">
        <v>3029</v>
      </c>
      <c r="E7" t="s">
        <v>3039</v>
      </c>
      <c r="F7" t="s">
        <v>3027</v>
      </c>
      <c r="G7" t="s">
        <v>3031</v>
      </c>
      <c r="H7">
        <v>6</v>
      </c>
      <c r="I7" t="s">
        <v>3040</v>
      </c>
    </row>
    <row r="8" spans="1:10" x14ac:dyDescent="0.3">
      <c r="A8" t="s">
        <v>3023</v>
      </c>
      <c r="B8" t="s">
        <v>98</v>
      </c>
      <c r="C8" t="s">
        <v>3024</v>
      </c>
      <c r="D8" t="s">
        <v>3029</v>
      </c>
      <c r="E8" t="s">
        <v>3041</v>
      </c>
      <c r="F8" t="s">
        <v>3027</v>
      </c>
      <c r="G8" t="s">
        <v>3031</v>
      </c>
      <c r="H8">
        <v>7</v>
      </c>
      <c r="I8" t="s">
        <v>3042</v>
      </c>
    </row>
    <row r="9" spans="1:10" x14ac:dyDescent="0.3">
      <c r="A9" t="s">
        <v>3023</v>
      </c>
      <c r="B9" t="s">
        <v>98</v>
      </c>
      <c r="C9" t="s">
        <v>3024</v>
      </c>
      <c r="D9" t="s">
        <v>3029</v>
      </c>
      <c r="E9" t="s">
        <v>3043</v>
      </c>
      <c r="F9" t="s">
        <v>3027</v>
      </c>
      <c r="G9" t="s">
        <v>3031</v>
      </c>
      <c r="H9">
        <v>8</v>
      </c>
      <c r="I9" t="s">
        <v>3044</v>
      </c>
    </row>
    <row r="10" spans="1:10" x14ac:dyDescent="0.3">
      <c r="A10" t="s">
        <v>3023</v>
      </c>
      <c r="B10" t="s">
        <v>98</v>
      </c>
      <c r="C10" t="s">
        <v>3024</v>
      </c>
      <c r="D10" t="s">
        <v>3029</v>
      </c>
      <c r="E10" t="s">
        <v>3045</v>
      </c>
      <c r="F10" t="s">
        <v>3027</v>
      </c>
      <c r="G10" t="s">
        <v>3031</v>
      </c>
      <c r="H10">
        <v>9</v>
      </c>
      <c r="I10" t="s">
        <v>3046</v>
      </c>
    </row>
    <row r="11" spans="1:10" x14ac:dyDescent="0.3">
      <c r="A11" t="s">
        <v>3023</v>
      </c>
      <c r="B11" t="s">
        <v>98</v>
      </c>
      <c r="C11" t="s">
        <v>3024</v>
      </c>
      <c r="D11" t="s">
        <v>3029</v>
      </c>
      <c r="E11" t="s">
        <v>3047</v>
      </c>
      <c r="F11" t="s">
        <v>3027</v>
      </c>
      <c r="G11" t="s">
        <v>3031</v>
      </c>
      <c r="H11">
        <v>10</v>
      </c>
      <c r="I11" t="s">
        <v>3048</v>
      </c>
    </row>
    <row r="12" spans="1:10" x14ac:dyDescent="0.3">
      <c r="A12" t="s">
        <v>3023</v>
      </c>
      <c r="B12" t="s">
        <v>98</v>
      </c>
      <c r="C12" t="s">
        <v>3024</v>
      </c>
      <c r="D12" t="s">
        <v>3029</v>
      </c>
      <c r="E12" t="s">
        <v>3049</v>
      </c>
      <c r="F12" t="s">
        <v>3027</v>
      </c>
      <c r="G12" t="s">
        <v>3031</v>
      </c>
      <c r="H12">
        <v>11</v>
      </c>
      <c r="I12" t="s">
        <v>3050</v>
      </c>
    </row>
    <row r="13" spans="1:10" x14ac:dyDescent="0.3">
      <c r="A13" t="s">
        <v>3023</v>
      </c>
      <c r="B13" t="s">
        <v>98</v>
      </c>
      <c r="C13" t="s">
        <v>3024</v>
      </c>
      <c r="D13" t="s">
        <v>3029</v>
      </c>
      <c r="E13" t="s">
        <v>3051</v>
      </c>
      <c r="F13" t="s">
        <v>3027</v>
      </c>
      <c r="G13" t="s">
        <v>3031</v>
      </c>
      <c r="H13">
        <v>12</v>
      </c>
      <c r="I13" t="s">
        <v>3052</v>
      </c>
    </row>
    <row r="14" spans="1:10" x14ac:dyDescent="0.3">
      <c r="A14" t="s">
        <v>3023</v>
      </c>
      <c r="B14" t="s">
        <v>98</v>
      </c>
      <c r="C14" t="s">
        <v>3024</v>
      </c>
      <c r="D14" t="s">
        <v>3029</v>
      </c>
      <c r="E14" t="s">
        <v>3053</v>
      </c>
      <c r="F14" t="s">
        <v>3027</v>
      </c>
      <c r="G14" t="s">
        <v>3031</v>
      </c>
      <c r="H14">
        <v>13</v>
      </c>
      <c r="I14" t="s">
        <v>3054</v>
      </c>
    </row>
    <row r="15" spans="1:10" x14ac:dyDescent="0.3">
      <c r="A15" t="s">
        <v>3023</v>
      </c>
      <c r="B15" t="s">
        <v>98</v>
      </c>
      <c r="C15" t="s">
        <v>3024</v>
      </c>
      <c r="D15" t="s">
        <v>3029</v>
      </c>
      <c r="E15" t="s">
        <v>3055</v>
      </c>
      <c r="F15" t="s">
        <v>3027</v>
      </c>
      <c r="G15" t="s">
        <v>3031</v>
      </c>
      <c r="H15">
        <v>14</v>
      </c>
      <c r="I15" t="s">
        <v>3056</v>
      </c>
    </row>
    <row r="16" spans="1:10" x14ac:dyDescent="0.3">
      <c r="A16" t="s">
        <v>3023</v>
      </c>
      <c r="B16" t="s">
        <v>98</v>
      </c>
      <c r="C16" t="s">
        <v>3024</v>
      </c>
      <c r="D16" t="s">
        <v>3029</v>
      </c>
      <c r="E16" t="s">
        <v>3057</v>
      </c>
      <c r="F16" t="s">
        <v>3027</v>
      </c>
      <c r="G16" t="s">
        <v>3031</v>
      </c>
      <c r="H16">
        <v>15</v>
      </c>
      <c r="I16" t="s">
        <v>3058</v>
      </c>
    </row>
    <row r="17" spans="1:9" x14ac:dyDescent="0.3">
      <c r="A17" t="s">
        <v>3023</v>
      </c>
      <c r="B17" t="s">
        <v>98</v>
      </c>
      <c r="C17" t="s">
        <v>3024</v>
      </c>
      <c r="D17" t="s">
        <v>3029</v>
      </c>
      <c r="E17" t="s">
        <v>3059</v>
      </c>
      <c r="F17" t="s">
        <v>3027</v>
      </c>
      <c r="G17" t="s">
        <v>3031</v>
      </c>
      <c r="H17">
        <v>16</v>
      </c>
      <c r="I17" t="s">
        <v>3060</v>
      </c>
    </row>
    <row r="18" spans="1:9" x14ac:dyDescent="0.3">
      <c r="A18" t="s">
        <v>3023</v>
      </c>
      <c r="B18" t="s">
        <v>98</v>
      </c>
      <c r="C18" t="s">
        <v>3024</v>
      </c>
      <c r="D18" t="s">
        <v>3029</v>
      </c>
      <c r="E18" t="s">
        <v>3061</v>
      </c>
      <c r="F18" t="s">
        <v>3027</v>
      </c>
      <c r="G18" t="s">
        <v>3031</v>
      </c>
      <c r="H18">
        <v>17</v>
      </c>
      <c r="I18" t="s">
        <v>3062</v>
      </c>
    </row>
    <row r="19" spans="1:9" x14ac:dyDescent="0.3">
      <c r="A19" t="s">
        <v>3023</v>
      </c>
      <c r="B19" t="s">
        <v>98</v>
      </c>
      <c r="C19" t="s">
        <v>3024</v>
      </c>
      <c r="D19" t="s">
        <v>3029</v>
      </c>
      <c r="E19" t="s">
        <v>3063</v>
      </c>
      <c r="F19" t="s">
        <v>3027</v>
      </c>
      <c r="G19" t="s">
        <v>3031</v>
      </c>
      <c r="H19">
        <v>18</v>
      </c>
      <c r="I19" t="s">
        <v>3064</v>
      </c>
    </row>
    <row r="20" spans="1:9" x14ac:dyDescent="0.3">
      <c r="A20" t="s">
        <v>3023</v>
      </c>
      <c r="B20" t="s">
        <v>98</v>
      </c>
      <c r="C20" t="s">
        <v>3024</v>
      </c>
      <c r="D20" t="s">
        <v>3029</v>
      </c>
      <c r="E20" t="s">
        <v>3065</v>
      </c>
      <c r="F20" t="s">
        <v>3027</v>
      </c>
      <c r="G20" t="s">
        <v>3031</v>
      </c>
      <c r="H20">
        <v>19</v>
      </c>
      <c r="I20" t="s">
        <v>3066</v>
      </c>
    </row>
    <row r="21" spans="1:9" x14ac:dyDescent="0.3">
      <c r="A21" t="s">
        <v>3023</v>
      </c>
      <c r="B21" t="s">
        <v>98</v>
      </c>
      <c r="C21" t="s">
        <v>3024</v>
      </c>
      <c r="D21" t="s">
        <v>3029</v>
      </c>
      <c r="E21" t="s">
        <v>3067</v>
      </c>
      <c r="F21" t="s">
        <v>3027</v>
      </c>
      <c r="G21" t="s">
        <v>3031</v>
      </c>
      <c r="H21">
        <v>20</v>
      </c>
      <c r="I21" t="s">
        <v>3068</v>
      </c>
    </row>
    <row r="22" spans="1:9" x14ac:dyDescent="0.3">
      <c r="A22" t="s">
        <v>3069</v>
      </c>
      <c r="B22" t="s">
        <v>105</v>
      </c>
      <c r="C22" t="s">
        <v>3070</v>
      </c>
      <c r="D22" t="s">
        <v>3025</v>
      </c>
      <c r="E22" t="s">
        <v>3071</v>
      </c>
      <c r="F22" t="s">
        <v>3027</v>
      </c>
      <c r="G22" t="s">
        <v>3028</v>
      </c>
      <c r="H22">
        <v>1</v>
      </c>
      <c r="I22" t="s">
        <v>3070</v>
      </c>
    </row>
    <row r="23" spans="1:9" x14ac:dyDescent="0.3">
      <c r="A23" t="s">
        <v>3069</v>
      </c>
      <c r="B23" t="s">
        <v>105</v>
      </c>
      <c r="C23" t="s">
        <v>3070</v>
      </c>
      <c r="D23" t="s">
        <v>3029</v>
      </c>
      <c r="E23" t="s">
        <v>3072</v>
      </c>
      <c r="F23" t="s">
        <v>3027</v>
      </c>
      <c r="G23" t="s">
        <v>3031</v>
      </c>
      <c r="H23">
        <v>2</v>
      </c>
      <c r="I23" t="s">
        <v>3073</v>
      </c>
    </row>
    <row r="24" spans="1:9" x14ac:dyDescent="0.3">
      <c r="A24" t="s">
        <v>3069</v>
      </c>
      <c r="B24" t="s">
        <v>105</v>
      </c>
      <c r="C24" t="s">
        <v>3070</v>
      </c>
      <c r="D24" t="s">
        <v>3029</v>
      </c>
      <c r="E24" t="s">
        <v>3074</v>
      </c>
      <c r="F24" t="s">
        <v>3027</v>
      </c>
      <c r="G24" t="s">
        <v>3031</v>
      </c>
      <c r="H24">
        <v>3</v>
      </c>
      <c r="I24" t="s">
        <v>3075</v>
      </c>
    </row>
    <row r="25" spans="1:9" x14ac:dyDescent="0.3">
      <c r="A25" t="s">
        <v>3069</v>
      </c>
      <c r="B25" t="s">
        <v>105</v>
      </c>
      <c r="C25" t="s">
        <v>3070</v>
      </c>
      <c r="D25" t="s">
        <v>3029</v>
      </c>
      <c r="E25" t="s">
        <v>3043</v>
      </c>
      <c r="F25" t="s">
        <v>3027</v>
      </c>
      <c r="G25" t="s">
        <v>3031</v>
      </c>
      <c r="H25">
        <v>4</v>
      </c>
      <c r="I25" t="s">
        <v>24</v>
      </c>
    </row>
    <row r="26" spans="1:9" x14ac:dyDescent="0.3">
      <c r="A26" t="s">
        <v>3069</v>
      </c>
      <c r="B26" t="s">
        <v>105</v>
      </c>
      <c r="C26" t="s">
        <v>3070</v>
      </c>
      <c r="D26" t="s">
        <v>3029</v>
      </c>
      <c r="E26" t="s">
        <v>3076</v>
      </c>
      <c r="F26" t="s">
        <v>3027</v>
      </c>
      <c r="G26" t="s">
        <v>3031</v>
      </c>
      <c r="H26">
        <v>5</v>
      </c>
      <c r="I26" t="s">
        <v>3077</v>
      </c>
    </row>
    <row r="27" spans="1:9" x14ac:dyDescent="0.3">
      <c r="A27" t="s">
        <v>3069</v>
      </c>
      <c r="B27" t="s">
        <v>105</v>
      </c>
      <c r="C27" t="s">
        <v>3070</v>
      </c>
      <c r="D27" t="s">
        <v>3029</v>
      </c>
      <c r="E27" t="s">
        <v>3078</v>
      </c>
      <c r="F27" t="s">
        <v>3027</v>
      </c>
      <c r="G27" t="s">
        <v>3031</v>
      </c>
      <c r="H27">
        <v>6</v>
      </c>
      <c r="I27" t="s">
        <v>3079</v>
      </c>
    </row>
    <row r="28" spans="1:9" x14ac:dyDescent="0.3">
      <c r="A28" t="s">
        <v>3069</v>
      </c>
      <c r="B28" t="s">
        <v>105</v>
      </c>
      <c r="C28" t="s">
        <v>3070</v>
      </c>
      <c r="D28" t="s">
        <v>3029</v>
      </c>
      <c r="E28" t="s">
        <v>3080</v>
      </c>
      <c r="F28" t="s">
        <v>3027</v>
      </c>
      <c r="G28" t="s">
        <v>3031</v>
      </c>
      <c r="H28">
        <v>7</v>
      </c>
      <c r="I28" t="s">
        <v>3081</v>
      </c>
    </row>
    <row r="29" spans="1:9" x14ac:dyDescent="0.3">
      <c r="A29" t="s">
        <v>3069</v>
      </c>
      <c r="B29" t="s">
        <v>105</v>
      </c>
      <c r="C29" t="s">
        <v>3070</v>
      </c>
      <c r="D29" t="s">
        <v>3029</v>
      </c>
      <c r="E29" t="s">
        <v>3082</v>
      </c>
      <c r="F29" t="s">
        <v>3027</v>
      </c>
      <c r="G29" t="s">
        <v>3031</v>
      </c>
      <c r="H29">
        <v>8</v>
      </c>
      <c r="I29" t="s">
        <v>3083</v>
      </c>
    </row>
    <row r="30" spans="1:9" x14ac:dyDescent="0.3">
      <c r="A30" t="s">
        <v>3069</v>
      </c>
      <c r="B30" t="s">
        <v>105</v>
      </c>
      <c r="C30" t="s">
        <v>3070</v>
      </c>
      <c r="D30" t="s">
        <v>3029</v>
      </c>
      <c r="E30" t="s">
        <v>3084</v>
      </c>
      <c r="F30" t="s">
        <v>3027</v>
      </c>
      <c r="G30" t="s">
        <v>3031</v>
      </c>
      <c r="H30">
        <v>9</v>
      </c>
      <c r="I30" t="s">
        <v>3085</v>
      </c>
    </row>
    <row r="31" spans="1:9" x14ac:dyDescent="0.3">
      <c r="A31" t="s">
        <v>3069</v>
      </c>
      <c r="B31" t="s">
        <v>105</v>
      </c>
      <c r="C31" t="s">
        <v>3070</v>
      </c>
      <c r="D31" t="s">
        <v>3029</v>
      </c>
      <c r="E31" t="s">
        <v>3086</v>
      </c>
      <c r="F31" t="s">
        <v>3027</v>
      </c>
      <c r="G31" t="s">
        <v>3031</v>
      </c>
      <c r="H31">
        <v>10</v>
      </c>
      <c r="I31" t="s">
        <v>3087</v>
      </c>
    </row>
    <row r="32" spans="1:9" x14ac:dyDescent="0.3">
      <c r="A32" t="s">
        <v>3069</v>
      </c>
      <c r="B32" t="s">
        <v>105</v>
      </c>
      <c r="C32" t="s">
        <v>3070</v>
      </c>
      <c r="D32" t="s">
        <v>3029</v>
      </c>
      <c r="E32" t="s">
        <v>3088</v>
      </c>
      <c r="F32" t="s">
        <v>3027</v>
      </c>
      <c r="G32" t="s">
        <v>3031</v>
      </c>
      <c r="H32">
        <v>11</v>
      </c>
      <c r="I32" t="s">
        <v>3089</v>
      </c>
    </row>
    <row r="33" spans="1:9" x14ac:dyDescent="0.3">
      <c r="A33" t="s">
        <v>3069</v>
      </c>
      <c r="B33" t="s">
        <v>105</v>
      </c>
      <c r="C33" t="s">
        <v>3070</v>
      </c>
      <c r="D33" t="s">
        <v>3029</v>
      </c>
      <c r="E33" t="s">
        <v>3090</v>
      </c>
      <c r="F33" t="s">
        <v>3027</v>
      </c>
      <c r="G33" t="s">
        <v>3031</v>
      </c>
      <c r="H33">
        <v>12</v>
      </c>
      <c r="I33" t="s">
        <v>3091</v>
      </c>
    </row>
    <row r="34" spans="1:9" x14ac:dyDescent="0.3">
      <c r="A34" t="s">
        <v>3069</v>
      </c>
      <c r="B34" t="s">
        <v>105</v>
      </c>
      <c r="C34" t="s">
        <v>3070</v>
      </c>
      <c r="D34" t="s">
        <v>3029</v>
      </c>
      <c r="E34" t="s">
        <v>3092</v>
      </c>
      <c r="F34" t="s">
        <v>3027</v>
      </c>
      <c r="G34" t="s">
        <v>3031</v>
      </c>
      <c r="H34">
        <v>13</v>
      </c>
      <c r="I34" t="s">
        <v>3093</v>
      </c>
    </row>
    <row r="35" spans="1:9" x14ac:dyDescent="0.3">
      <c r="A35" t="s">
        <v>3069</v>
      </c>
      <c r="B35" t="s">
        <v>105</v>
      </c>
      <c r="C35" t="s">
        <v>3070</v>
      </c>
      <c r="D35" t="s">
        <v>3029</v>
      </c>
      <c r="E35" t="s">
        <v>3094</v>
      </c>
      <c r="F35" t="s">
        <v>3027</v>
      </c>
      <c r="G35" t="s">
        <v>3031</v>
      </c>
      <c r="H35">
        <v>14</v>
      </c>
      <c r="I35" t="s">
        <v>3095</v>
      </c>
    </row>
    <row r="36" spans="1:9" x14ac:dyDescent="0.3">
      <c r="A36" t="s">
        <v>3069</v>
      </c>
      <c r="B36" t="s">
        <v>105</v>
      </c>
      <c r="C36" t="s">
        <v>3070</v>
      </c>
      <c r="D36" t="s">
        <v>3029</v>
      </c>
      <c r="E36" t="s">
        <v>3096</v>
      </c>
      <c r="F36" t="s">
        <v>3027</v>
      </c>
      <c r="G36" t="s">
        <v>3031</v>
      </c>
      <c r="H36">
        <v>15</v>
      </c>
      <c r="I36" t="s">
        <v>3097</v>
      </c>
    </row>
    <row r="37" spans="1:9" x14ac:dyDescent="0.3">
      <c r="A37" t="s">
        <v>3069</v>
      </c>
      <c r="B37" t="s">
        <v>105</v>
      </c>
      <c r="C37" t="s">
        <v>3070</v>
      </c>
      <c r="D37" t="s">
        <v>3029</v>
      </c>
      <c r="E37" t="s">
        <v>3098</v>
      </c>
      <c r="F37" t="s">
        <v>3027</v>
      </c>
      <c r="G37" t="s">
        <v>3031</v>
      </c>
      <c r="H37">
        <v>16</v>
      </c>
      <c r="I37" t="s">
        <v>3099</v>
      </c>
    </row>
    <row r="38" spans="1:9" x14ac:dyDescent="0.3">
      <c r="A38" t="s">
        <v>3069</v>
      </c>
      <c r="B38" t="s">
        <v>105</v>
      </c>
      <c r="C38" t="s">
        <v>3070</v>
      </c>
      <c r="D38" t="s">
        <v>3029</v>
      </c>
      <c r="E38" t="s">
        <v>3100</v>
      </c>
      <c r="F38" t="s">
        <v>3027</v>
      </c>
      <c r="G38" t="s">
        <v>3031</v>
      </c>
      <c r="H38">
        <v>17</v>
      </c>
      <c r="I38" t="s">
        <v>3101</v>
      </c>
    </row>
    <row r="39" spans="1:9" x14ac:dyDescent="0.3">
      <c r="A39" t="s">
        <v>3069</v>
      </c>
      <c r="B39" t="s">
        <v>105</v>
      </c>
      <c r="C39" t="s">
        <v>3070</v>
      </c>
      <c r="D39" t="s">
        <v>3029</v>
      </c>
      <c r="E39" t="s">
        <v>3102</v>
      </c>
      <c r="F39" t="s">
        <v>3027</v>
      </c>
      <c r="G39" t="s">
        <v>3031</v>
      </c>
      <c r="H39">
        <v>18</v>
      </c>
      <c r="I39" t="s">
        <v>3103</v>
      </c>
    </row>
    <row r="40" spans="1:9" x14ac:dyDescent="0.3">
      <c r="A40" t="s">
        <v>3069</v>
      </c>
      <c r="B40" t="s">
        <v>105</v>
      </c>
      <c r="C40" t="s">
        <v>3070</v>
      </c>
      <c r="D40" t="s">
        <v>3029</v>
      </c>
      <c r="E40" t="s">
        <v>3104</v>
      </c>
      <c r="F40" t="s">
        <v>3027</v>
      </c>
      <c r="G40" t="s">
        <v>3031</v>
      </c>
      <c r="H40">
        <v>19</v>
      </c>
      <c r="I40" t="s">
        <v>3105</v>
      </c>
    </row>
    <row r="41" spans="1:9" x14ac:dyDescent="0.3">
      <c r="A41" t="s">
        <v>3069</v>
      </c>
      <c r="B41" t="s">
        <v>105</v>
      </c>
      <c r="C41" t="s">
        <v>3070</v>
      </c>
      <c r="D41" t="s">
        <v>3029</v>
      </c>
      <c r="E41" t="s">
        <v>3106</v>
      </c>
      <c r="F41" t="s">
        <v>3027</v>
      </c>
      <c r="G41" t="s">
        <v>3031</v>
      </c>
      <c r="H41">
        <v>20</v>
      </c>
      <c r="I41" t="s">
        <v>3107</v>
      </c>
    </row>
    <row r="42" spans="1:9" x14ac:dyDescent="0.3">
      <c r="A42" t="s">
        <v>3108</v>
      </c>
      <c r="B42" t="s">
        <v>114</v>
      </c>
      <c r="C42" t="s">
        <v>3109</v>
      </c>
      <c r="D42" t="s">
        <v>3025</v>
      </c>
      <c r="E42" t="s">
        <v>3110</v>
      </c>
      <c r="F42" t="s">
        <v>3027</v>
      </c>
      <c r="G42" t="s">
        <v>3028</v>
      </c>
      <c r="H42">
        <v>1</v>
      </c>
      <c r="I42" t="s">
        <v>3109</v>
      </c>
    </row>
    <row r="43" spans="1:9" x14ac:dyDescent="0.3">
      <c r="A43" t="s">
        <v>3108</v>
      </c>
      <c r="B43" t="s">
        <v>114</v>
      </c>
      <c r="C43" t="s">
        <v>3109</v>
      </c>
      <c r="D43" t="s">
        <v>3029</v>
      </c>
      <c r="E43" t="s">
        <v>3111</v>
      </c>
      <c r="F43" t="s">
        <v>3027</v>
      </c>
      <c r="G43" t="s">
        <v>3031</v>
      </c>
      <c r="H43">
        <v>2</v>
      </c>
      <c r="I43" t="s">
        <v>3112</v>
      </c>
    </row>
    <row r="44" spans="1:9" x14ac:dyDescent="0.3">
      <c r="A44" t="s">
        <v>3108</v>
      </c>
      <c r="B44" t="s">
        <v>114</v>
      </c>
      <c r="C44" t="s">
        <v>3109</v>
      </c>
      <c r="D44" t="s">
        <v>3029</v>
      </c>
      <c r="E44" t="s">
        <v>3113</v>
      </c>
      <c r="F44" t="s">
        <v>3027</v>
      </c>
      <c r="G44" t="s">
        <v>3031</v>
      </c>
      <c r="H44">
        <v>3</v>
      </c>
      <c r="I44" t="s">
        <v>3114</v>
      </c>
    </row>
    <row r="45" spans="1:9" x14ac:dyDescent="0.3">
      <c r="A45" t="s">
        <v>3108</v>
      </c>
      <c r="B45" t="s">
        <v>114</v>
      </c>
      <c r="C45" t="s">
        <v>3109</v>
      </c>
      <c r="D45" t="s">
        <v>3029</v>
      </c>
      <c r="E45" t="s">
        <v>3115</v>
      </c>
      <c r="F45" t="s">
        <v>3027</v>
      </c>
      <c r="G45" t="s">
        <v>3031</v>
      </c>
      <c r="H45">
        <v>4</v>
      </c>
      <c r="I45" t="s">
        <v>3116</v>
      </c>
    </row>
    <row r="46" spans="1:9" x14ac:dyDescent="0.3">
      <c r="A46" t="s">
        <v>3108</v>
      </c>
      <c r="B46" t="s">
        <v>114</v>
      </c>
      <c r="C46" t="s">
        <v>3109</v>
      </c>
      <c r="D46" t="s">
        <v>3029</v>
      </c>
      <c r="E46" t="s">
        <v>3117</v>
      </c>
      <c r="F46" t="s">
        <v>3027</v>
      </c>
      <c r="G46" t="s">
        <v>3031</v>
      </c>
      <c r="H46">
        <v>5</v>
      </c>
      <c r="I46" s="175">
        <v>46276</v>
      </c>
    </row>
    <row r="47" spans="1:9" x14ac:dyDescent="0.3">
      <c r="A47" t="s">
        <v>3108</v>
      </c>
      <c r="B47" t="s">
        <v>114</v>
      </c>
      <c r="C47" t="s">
        <v>3109</v>
      </c>
      <c r="D47" t="s">
        <v>3029</v>
      </c>
      <c r="E47" t="s">
        <v>3118</v>
      </c>
      <c r="F47" t="s">
        <v>3027</v>
      </c>
      <c r="G47" t="s">
        <v>3031</v>
      </c>
      <c r="H47">
        <v>6</v>
      </c>
      <c r="I47" t="s">
        <v>24</v>
      </c>
    </row>
    <row r="48" spans="1:9" x14ac:dyDescent="0.3">
      <c r="A48" t="s">
        <v>3108</v>
      </c>
      <c r="B48" t="s">
        <v>114</v>
      </c>
      <c r="C48" t="s">
        <v>3109</v>
      </c>
      <c r="D48" t="s">
        <v>3029</v>
      </c>
      <c r="E48" t="s">
        <v>3119</v>
      </c>
      <c r="F48" t="s">
        <v>3027</v>
      </c>
      <c r="G48" t="s">
        <v>3031</v>
      </c>
      <c r="H48">
        <v>7</v>
      </c>
      <c r="I48" t="s">
        <v>3079</v>
      </c>
    </row>
    <row r="49" spans="1:9" x14ac:dyDescent="0.3">
      <c r="A49" t="s">
        <v>3108</v>
      </c>
      <c r="B49" t="s">
        <v>114</v>
      </c>
      <c r="C49" t="s">
        <v>3109</v>
      </c>
      <c r="D49" t="s">
        <v>3029</v>
      </c>
      <c r="E49" t="s">
        <v>3120</v>
      </c>
      <c r="F49" t="s">
        <v>3027</v>
      </c>
      <c r="G49" t="s">
        <v>3031</v>
      </c>
      <c r="H49">
        <v>8</v>
      </c>
      <c r="I49" t="s">
        <v>3121</v>
      </c>
    </row>
    <row r="50" spans="1:9" x14ac:dyDescent="0.3">
      <c r="A50" t="s">
        <v>3108</v>
      </c>
      <c r="B50" t="s">
        <v>114</v>
      </c>
      <c r="C50" t="s">
        <v>3109</v>
      </c>
      <c r="D50" t="s">
        <v>3029</v>
      </c>
      <c r="E50" t="s">
        <v>3122</v>
      </c>
      <c r="F50" t="s">
        <v>3027</v>
      </c>
      <c r="G50" t="s">
        <v>3031</v>
      </c>
      <c r="H50">
        <v>9</v>
      </c>
      <c r="I50" t="s">
        <v>3123</v>
      </c>
    </row>
    <row r="51" spans="1:9" x14ac:dyDescent="0.3">
      <c r="A51" t="s">
        <v>3108</v>
      </c>
      <c r="B51" t="s">
        <v>114</v>
      </c>
      <c r="C51" t="s">
        <v>3109</v>
      </c>
      <c r="D51" t="s">
        <v>3029</v>
      </c>
      <c r="E51" t="s">
        <v>3124</v>
      </c>
      <c r="F51" t="s">
        <v>3027</v>
      </c>
      <c r="G51" t="s">
        <v>3031</v>
      </c>
      <c r="H51">
        <v>10</v>
      </c>
      <c r="I51" t="s">
        <v>3125</v>
      </c>
    </row>
    <row r="52" spans="1:9" x14ac:dyDescent="0.3">
      <c r="A52" t="s">
        <v>3108</v>
      </c>
      <c r="B52" t="s">
        <v>114</v>
      </c>
      <c r="C52" t="s">
        <v>3109</v>
      </c>
      <c r="D52" t="s">
        <v>3029</v>
      </c>
      <c r="E52" t="s">
        <v>3126</v>
      </c>
      <c r="F52" t="s">
        <v>3027</v>
      </c>
      <c r="G52" t="s">
        <v>3031</v>
      </c>
      <c r="H52">
        <v>11</v>
      </c>
      <c r="I52" t="s">
        <v>3127</v>
      </c>
    </row>
    <row r="53" spans="1:9" x14ac:dyDescent="0.3">
      <c r="A53" t="s">
        <v>3108</v>
      </c>
      <c r="B53" t="s">
        <v>114</v>
      </c>
      <c r="C53" t="s">
        <v>3109</v>
      </c>
      <c r="D53" t="s">
        <v>3029</v>
      </c>
      <c r="E53" t="s">
        <v>3128</v>
      </c>
      <c r="F53" t="s">
        <v>3027</v>
      </c>
      <c r="G53" t="s">
        <v>3031</v>
      </c>
      <c r="H53">
        <v>12</v>
      </c>
      <c r="I53" t="s">
        <v>3129</v>
      </c>
    </row>
    <row r="54" spans="1:9" x14ac:dyDescent="0.3">
      <c r="A54" t="s">
        <v>3108</v>
      </c>
      <c r="B54" t="s">
        <v>114</v>
      </c>
      <c r="C54" t="s">
        <v>3109</v>
      </c>
      <c r="D54" t="s">
        <v>3029</v>
      </c>
      <c r="E54" t="s">
        <v>3130</v>
      </c>
      <c r="F54" t="s">
        <v>3027</v>
      </c>
      <c r="G54" t="s">
        <v>3031</v>
      </c>
      <c r="H54">
        <v>13</v>
      </c>
      <c r="I54" t="s">
        <v>3131</v>
      </c>
    </row>
    <row r="55" spans="1:9" x14ac:dyDescent="0.3">
      <c r="A55" t="s">
        <v>3108</v>
      </c>
      <c r="B55" t="s">
        <v>114</v>
      </c>
      <c r="C55" t="s">
        <v>3109</v>
      </c>
      <c r="D55" t="s">
        <v>3029</v>
      </c>
      <c r="E55" t="s">
        <v>3132</v>
      </c>
      <c r="F55" t="s">
        <v>3027</v>
      </c>
      <c r="G55" t="s">
        <v>3031</v>
      </c>
      <c r="H55">
        <v>14</v>
      </c>
      <c r="I55" t="s">
        <v>3133</v>
      </c>
    </row>
    <row r="56" spans="1:9" x14ac:dyDescent="0.3">
      <c r="A56" t="s">
        <v>3108</v>
      </c>
      <c r="B56" t="s">
        <v>114</v>
      </c>
      <c r="C56" t="s">
        <v>3109</v>
      </c>
      <c r="D56" t="s">
        <v>3029</v>
      </c>
      <c r="E56" t="s">
        <v>3134</v>
      </c>
      <c r="F56" t="s">
        <v>3027</v>
      </c>
      <c r="G56" t="s">
        <v>3031</v>
      </c>
      <c r="H56">
        <v>15</v>
      </c>
      <c r="I56" t="s">
        <v>3135</v>
      </c>
    </row>
    <row r="57" spans="1:9" x14ac:dyDescent="0.3">
      <c r="A57" t="s">
        <v>3108</v>
      </c>
      <c r="B57" t="s">
        <v>114</v>
      </c>
      <c r="C57" t="s">
        <v>3109</v>
      </c>
      <c r="D57" t="s">
        <v>3029</v>
      </c>
      <c r="E57" t="s">
        <v>3136</v>
      </c>
      <c r="F57" t="s">
        <v>3027</v>
      </c>
      <c r="G57" t="s">
        <v>3031</v>
      </c>
      <c r="H57">
        <v>16</v>
      </c>
      <c r="I57" t="s">
        <v>3137</v>
      </c>
    </row>
    <row r="58" spans="1:9" x14ac:dyDescent="0.3">
      <c r="A58" t="s">
        <v>3108</v>
      </c>
      <c r="B58" t="s">
        <v>114</v>
      </c>
      <c r="C58" t="s">
        <v>3109</v>
      </c>
      <c r="D58" t="s">
        <v>3029</v>
      </c>
      <c r="E58" t="s">
        <v>3138</v>
      </c>
      <c r="F58" t="s">
        <v>3027</v>
      </c>
      <c r="G58" t="s">
        <v>3031</v>
      </c>
      <c r="H58">
        <v>17</v>
      </c>
      <c r="I58" t="s">
        <v>3139</v>
      </c>
    </row>
    <row r="59" spans="1:9" x14ac:dyDescent="0.3">
      <c r="A59" t="s">
        <v>3108</v>
      </c>
      <c r="B59" t="s">
        <v>114</v>
      </c>
      <c r="C59" t="s">
        <v>3109</v>
      </c>
      <c r="D59" t="s">
        <v>3029</v>
      </c>
      <c r="E59" t="s">
        <v>3140</v>
      </c>
      <c r="F59" t="s">
        <v>3027</v>
      </c>
      <c r="G59" t="s">
        <v>3031</v>
      </c>
      <c r="H59">
        <v>18</v>
      </c>
      <c r="I59" t="s">
        <v>3141</v>
      </c>
    </row>
    <row r="60" spans="1:9" x14ac:dyDescent="0.3">
      <c r="A60" t="s">
        <v>3108</v>
      </c>
      <c r="B60" t="s">
        <v>114</v>
      </c>
      <c r="C60" t="s">
        <v>3109</v>
      </c>
      <c r="D60" t="s">
        <v>3029</v>
      </c>
      <c r="E60" t="s">
        <v>3142</v>
      </c>
      <c r="F60" t="s">
        <v>3027</v>
      </c>
      <c r="G60" t="s">
        <v>3031</v>
      </c>
      <c r="H60">
        <v>19</v>
      </c>
      <c r="I60" t="s">
        <v>3143</v>
      </c>
    </row>
    <row r="61" spans="1:9" x14ac:dyDescent="0.3">
      <c r="A61" t="s">
        <v>3108</v>
      </c>
      <c r="B61" t="s">
        <v>114</v>
      </c>
      <c r="C61" t="s">
        <v>3109</v>
      </c>
      <c r="D61" t="s">
        <v>3029</v>
      </c>
      <c r="E61" t="s">
        <v>3144</v>
      </c>
      <c r="F61" t="s">
        <v>3027</v>
      </c>
      <c r="G61" t="s">
        <v>3031</v>
      </c>
      <c r="H61">
        <v>20</v>
      </c>
      <c r="I61" t="s">
        <v>3145</v>
      </c>
    </row>
    <row r="62" spans="1:9" x14ac:dyDescent="0.3">
      <c r="A62" t="s">
        <v>3146</v>
      </c>
      <c r="B62" t="s">
        <v>123</v>
      </c>
      <c r="C62" t="s">
        <v>123</v>
      </c>
      <c r="D62" t="s">
        <v>3025</v>
      </c>
      <c r="E62" t="s">
        <v>3147</v>
      </c>
      <c r="F62" t="s">
        <v>3027</v>
      </c>
      <c r="G62" t="s">
        <v>3028</v>
      </c>
      <c r="H62">
        <v>1</v>
      </c>
      <c r="I62" t="s">
        <v>123</v>
      </c>
    </row>
    <row r="63" spans="1:9" x14ac:dyDescent="0.3">
      <c r="A63" t="s">
        <v>3146</v>
      </c>
      <c r="B63" t="s">
        <v>123</v>
      </c>
      <c r="C63" t="s">
        <v>123</v>
      </c>
      <c r="D63" t="s">
        <v>3029</v>
      </c>
      <c r="E63" t="s">
        <v>3148</v>
      </c>
      <c r="F63" t="s">
        <v>3027</v>
      </c>
      <c r="G63" t="s">
        <v>3031</v>
      </c>
      <c r="H63">
        <v>2</v>
      </c>
      <c r="I63" t="s">
        <v>3149</v>
      </c>
    </row>
    <row r="64" spans="1:9" x14ac:dyDescent="0.3">
      <c r="A64" t="s">
        <v>3146</v>
      </c>
      <c r="B64" t="s">
        <v>123</v>
      </c>
      <c r="C64" t="s">
        <v>123</v>
      </c>
      <c r="D64" t="s">
        <v>3029</v>
      </c>
      <c r="E64" t="s">
        <v>3150</v>
      </c>
      <c r="F64" t="s">
        <v>3027</v>
      </c>
      <c r="G64" t="s">
        <v>3031</v>
      </c>
      <c r="H64">
        <v>3</v>
      </c>
      <c r="I64" t="s">
        <v>3151</v>
      </c>
    </row>
    <row r="65" spans="1:9" x14ac:dyDescent="0.3">
      <c r="A65" t="s">
        <v>3146</v>
      </c>
      <c r="B65" t="s">
        <v>123</v>
      </c>
      <c r="C65" t="s">
        <v>123</v>
      </c>
      <c r="D65" t="s">
        <v>3029</v>
      </c>
      <c r="E65" t="s">
        <v>3152</v>
      </c>
      <c r="F65" t="s">
        <v>3027</v>
      </c>
      <c r="G65" t="s">
        <v>3031</v>
      </c>
      <c r="H65">
        <v>4</v>
      </c>
      <c r="I65" t="s">
        <v>3153</v>
      </c>
    </row>
    <row r="66" spans="1:9" x14ac:dyDescent="0.3">
      <c r="A66" t="s">
        <v>3146</v>
      </c>
      <c r="B66" t="s">
        <v>123</v>
      </c>
      <c r="C66" t="s">
        <v>123</v>
      </c>
      <c r="D66" t="s">
        <v>3029</v>
      </c>
      <c r="E66" t="s">
        <v>3154</v>
      </c>
      <c r="F66" t="s">
        <v>3027</v>
      </c>
      <c r="G66" t="s">
        <v>3031</v>
      </c>
      <c r="H66">
        <v>5</v>
      </c>
      <c r="I66" t="s">
        <v>3155</v>
      </c>
    </row>
    <row r="67" spans="1:9" x14ac:dyDescent="0.3">
      <c r="A67" t="s">
        <v>3146</v>
      </c>
      <c r="B67" t="s">
        <v>123</v>
      </c>
      <c r="C67" t="s">
        <v>123</v>
      </c>
      <c r="D67" t="s">
        <v>3029</v>
      </c>
      <c r="E67" t="s">
        <v>3156</v>
      </c>
      <c r="F67" t="s">
        <v>3027</v>
      </c>
      <c r="G67" t="s">
        <v>3031</v>
      </c>
      <c r="H67">
        <v>6</v>
      </c>
      <c r="I67" t="s">
        <v>3157</v>
      </c>
    </row>
    <row r="68" spans="1:9" x14ac:dyDescent="0.3">
      <c r="A68" t="s">
        <v>3146</v>
      </c>
      <c r="B68" t="s">
        <v>123</v>
      </c>
      <c r="C68" t="s">
        <v>123</v>
      </c>
      <c r="D68" t="s">
        <v>3029</v>
      </c>
      <c r="E68" t="s">
        <v>3158</v>
      </c>
      <c r="F68" t="s">
        <v>3027</v>
      </c>
      <c r="G68" t="s">
        <v>3031</v>
      </c>
      <c r="H68">
        <v>7</v>
      </c>
      <c r="I68" t="s">
        <v>3159</v>
      </c>
    </row>
    <row r="69" spans="1:9" x14ac:dyDescent="0.3">
      <c r="A69" t="s">
        <v>3146</v>
      </c>
      <c r="B69" t="s">
        <v>123</v>
      </c>
      <c r="C69" t="s">
        <v>123</v>
      </c>
      <c r="D69" t="s">
        <v>3029</v>
      </c>
      <c r="E69" t="s">
        <v>3160</v>
      </c>
      <c r="F69" t="s">
        <v>3027</v>
      </c>
      <c r="G69" t="s">
        <v>3031</v>
      </c>
      <c r="H69">
        <v>8</v>
      </c>
      <c r="I69" t="s">
        <v>3161</v>
      </c>
    </row>
    <row r="70" spans="1:9" x14ac:dyDescent="0.3">
      <c r="A70" t="s">
        <v>3146</v>
      </c>
      <c r="B70" t="s">
        <v>123</v>
      </c>
      <c r="C70" t="s">
        <v>123</v>
      </c>
      <c r="D70" t="s">
        <v>3029</v>
      </c>
      <c r="E70" t="s">
        <v>3162</v>
      </c>
      <c r="F70" t="s">
        <v>3027</v>
      </c>
      <c r="G70" t="s">
        <v>3031</v>
      </c>
      <c r="H70">
        <v>9</v>
      </c>
      <c r="I70" t="s">
        <v>3163</v>
      </c>
    </row>
    <row r="71" spans="1:9" x14ac:dyDescent="0.3">
      <c r="A71" t="s">
        <v>3146</v>
      </c>
      <c r="B71" t="s">
        <v>123</v>
      </c>
      <c r="C71" t="s">
        <v>123</v>
      </c>
      <c r="D71" t="s">
        <v>3029</v>
      </c>
      <c r="E71" t="s">
        <v>3164</v>
      </c>
      <c r="F71" t="s">
        <v>3027</v>
      </c>
      <c r="G71" t="s">
        <v>3031</v>
      </c>
      <c r="H71">
        <v>10</v>
      </c>
      <c r="I71" t="s">
        <v>3165</v>
      </c>
    </row>
    <row r="72" spans="1:9" x14ac:dyDescent="0.3">
      <c r="A72" t="s">
        <v>3146</v>
      </c>
      <c r="B72" t="s">
        <v>123</v>
      </c>
      <c r="C72" t="s">
        <v>123</v>
      </c>
      <c r="D72" t="s">
        <v>3029</v>
      </c>
      <c r="E72" t="s">
        <v>3166</v>
      </c>
      <c r="F72" t="s">
        <v>3027</v>
      </c>
      <c r="G72" t="s">
        <v>3031</v>
      </c>
      <c r="H72">
        <v>11</v>
      </c>
      <c r="I72" t="s">
        <v>3167</v>
      </c>
    </row>
    <row r="73" spans="1:9" x14ac:dyDescent="0.3">
      <c r="A73" t="s">
        <v>3146</v>
      </c>
      <c r="B73" t="s">
        <v>123</v>
      </c>
      <c r="C73" t="s">
        <v>123</v>
      </c>
      <c r="D73" t="s">
        <v>3029</v>
      </c>
      <c r="E73" t="s">
        <v>3168</v>
      </c>
      <c r="F73" t="s">
        <v>3027</v>
      </c>
      <c r="G73" t="s">
        <v>3031</v>
      </c>
      <c r="H73">
        <v>12</v>
      </c>
      <c r="I73" t="s">
        <v>3169</v>
      </c>
    </row>
    <row r="74" spans="1:9" x14ac:dyDescent="0.3">
      <c r="A74" t="s">
        <v>3146</v>
      </c>
      <c r="B74" t="s">
        <v>123</v>
      </c>
      <c r="C74" t="s">
        <v>123</v>
      </c>
      <c r="D74" t="s">
        <v>3029</v>
      </c>
      <c r="E74" t="s">
        <v>3170</v>
      </c>
      <c r="F74" t="s">
        <v>3027</v>
      </c>
      <c r="G74" t="s">
        <v>3031</v>
      </c>
      <c r="H74">
        <v>13</v>
      </c>
      <c r="I74" t="s">
        <v>3171</v>
      </c>
    </row>
    <row r="75" spans="1:9" x14ac:dyDescent="0.3">
      <c r="A75" t="s">
        <v>3146</v>
      </c>
      <c r="B75" t="s">
        <v>123</v>
      </c>
      <c r="C75" t="s">
        <v>123</v>
      </c>
      <c r="D75" t="s">
        <v>3029</v>
      </c>
      <c r="E75" t="s">
        <v>3172</v>
      </c>
      <c r="F75" t="s">
        <v>3027</v>
      </c>
      <c r="G75" t="s">
        <v>3031</v>
      </c>
      <c r="H75">
        <v>14</v>
      </c>
      <c r="I75" t="s">
        <v>3173</v>
      </c>
    </row>
    <row r="76" spans="1:9" x14ac:dyDescent="0.3">
      <c r="A76" t="s">
        <v>3146</v>
      </c>
      <c r="B76" t="s">
        <v>123</v>
      </c>
      <c r="C76" t="s">
        <v>123</v>
      </c>
      <c r="D76" t="s">
        <v>3029</v>
      </c>
      <c r="E76" t="s">
        <v>3174</v>
      </c>
      <c r="F76" t="s">
        <v>3027</v>
      </c>
      <c r="G76" t="s">
        <v>3031</v>
      </c>
      <c r="H76">
        <v>15</v>
      </c>
      <c r="I76" t="s">
        <v>3175</v>
      </c>
    </row>
    <row r="77" spans="1:9" x14ac:dyDescent="0.3">
      <c r="A77" t="s">
        <v>3146</v>
      </c>
      <c r="B77" t="s">
        <v>123</v>
      </c>
      <c r="C77" t="s">
        <v>123</v>
      </c>
      <c r="D77" t="s">
        <v>3029</v>
      </c>
      <c r="E77" t="s">
        <v>3176</v>
      </c>
      <c r="F77" t="s">
        <v>3027</v>
      </c>
      <c r="G77" t="s">
        <v>3031</v>
      </c>
      <c r="H77">
        <v>16</v>
      </c>
      <c r="I77" t="s">
        <v>3177</v>
      </c>
    </row>
    <row r="78" spans="1:9" x14ac:dyDescent="0.3">
      <c r="A78" t="s">
        <v>3146</v>
      </c>
      <c r="B78" t="s">
        <v>123</v>
      </c>
      <c r="C78" t="s">
        <v>123</v>
      </c>
      <c r="D78" t="s">
        <v>3029</v>
      </c>
      <c r="E78" t="s">
        <v>3178</v>
      </c>
      <c r="F78" t="s">
        <v>3027</v>
      </c>
      <c r="G78" t="s">
        <v>3031</v>
      </c>
      <c r="H78">
        <v>17</v>
      </c>
      <c r="I78" t="s">
        <v>3179</v>
      </c>
    </row>
    <row r="79" spans="1:9" x14ac:dyDescent="0.3">
      <c r="A79" t="s">
        <v>3146</v>
      </c>
      <c r="B79" t="s">
        <v>123</v>
      </c>
      <c r="C79" t="s">
        <v>123</v>
      </c>
      <c r="D79" t="s">
        <v>3029</v>
      </c>
      <c r="E79" t="s">
        <v>3180</v>
      </c>
      <c r="F79" t="s">
        <v>3027</v>
      </c>
      <c r="G79" t="s">
        <v>3031</v>
      </c>
      <c r="H79">
        <v>18</v>
      </c>
      <c r="I79" t="s">
        <v>3181</v>
      </c>
    </row>
    <row r="80" spans="1:9" x14ac:dyDescent="0.3">
      <c r="A80" t="s">
        <v>3146</v>
      </c>
      <c r="B80" t="s">
        <v>123</v>
      </c>
      <c r="C80" t="s">
        <v>123</v>
      </c>
      <c r="D80" t="s">
        <v>3029</v>
      </c>
      <c r="E80" t="s">
        <v>3182</v>
      </c>
      <c r="F80" t="s">
        <v>3027</v>
      </c>
      <c r="G80" t="s">
        <v>3031</v>
      </c>
      <c r="H80">
        <v>19</v>
      </c>
      <c r="I80" t="s">
        <v>3183</v>
      </c>
    </row>
    <row r="81" spans="1:9" x14ac:dyDescent="0.3">
      <c r="A81" t="s">
        <v>3146</v>
      </c>
      <c r="B81" t="s">
        <v>123</v>
      </c>
      <c r="C81" t="s">
        <v>123</v>
      </c>
      <c r="D81" t="s">
        <v>3029</v>
      </c>
      <c r="E81" t="s">
        <v>3184</v>
      </c>
      <c r="F81" t="s">
        <v>3027</v>
      </c>
      <c r="G81" t="s">
        <v>3031</v>
      </c>
      <c r="H81">
        <v>20</v>
      </c>
      <c r="I81" t="s">
        <v>3185</v>
      </c>
    </row>
    <row r="82" spans="1:9" x14ac:dyDescent="0.3">
      <c r="A82" t="s">
        <v>3186</v>
      </c>
      <c r="B82" t="s">
        <v>131</v>
      </c>
      <c r="C82" t="s">
        <v>3187</v>
      </c>
      <c r="D82" t="s">
        <v>3025</v>
      </c>
      <c r="E82" t="s">
        <v>3188</v>
      </c>
      <c r="F82" t="s">
        <v>3027</v>
      </c>
      <c r="G82" t="s">
        <v>3028</v>
      </c>
      <c r="H82">
        <v>1</v>
      </c>
      <c r="I82" t="s">
        <v>3187</v>
      </c>
    </row>
    <row r="83" spans="1:9" x14ac:dyDescent="0.3">
      <c r="A83" t="s">
        <v>3186</v>
      </c>
      <c r="B83" t="s">
        <v>131</v>
      </c>
      <c r="C83" t="s">
        <v>3187</v>
      </c>
      <c r="D83" t="s">
        <v>3029</v>
      </c>
      <c r="E83" t="s">
        <v>3189</v>
      </c>
      <c r="F83" t="s">
        <v>3027</v>
      </c>
      <c r="G83" t="s">
        <v>3031</v>
      </c>
      <c r="H83">
        <v>2</v>
      </c>
      <c r="I83" t="s">
        <v>3190</v>
      </c>
    </row>
    <row r="84" spans="1:9" x14ac:dyDescent="0.3">
      <c r="A84" t="s">
        <v>3186</v>
      </c>
      <c r="B84" t="s">
        <v>131</v>
      </c>
      <c r="C84" t="s">
        <v>3187</v>
      </c>
      <c r="D84" t="s">
        <v>3029</v>
      </c>
      <c r="E84" t="s">
        <v>3191</v>
      </c>
      <c r="F84" t="s">
        <v>3027</v>
      </c>
      <c r="G84" t="s">
        <v>3031</v>
      </c>
      <c r="H84">
        <v>3</v>
      </c>
      <c r="I84" t="s">
        <v>3192</v>
      </c>
    </row>
    <row r="85" spans="1:9" x14ac:dyDescent="0.3">
      <c r="A85" t="s">
        <v>3186</v>
      </c>
      <c r="B85" t="s">
        <v>131</v>
      </c>
      <c r="C85" t="s">
        <v>3187</v>
      </c>
      <c r="D85" t="s">
        <v>3029</v>
      </c>
      <c r="E85" t="s">
        <v>3193</v>
      </c>
      <c r="F85" t="s">
        <v>3027</v>
      </c>
      <c r="G85" t="s">
        <v>3031</v>
      </c>
      <c r="H85">
        <v>4</v>
      </c>
      <c r="I85" t="s">
        <v>3194</v>
      </c>
    </row>
    <row r="86" spans="1:9" x14ac:dyDescent="0.3">
      <c r="A86" t="s">
        <v>3186</v>
      </c>
      <c r="B86" t="s">
        <v>131</v>
      </c>
      <c r="C86" t="s">
        <v>3187</v>
      </c>
      <c r="D86" t="s">
        <v>3029</v>
      </c>
      <c r="E86" t="s">
        <v>3195</v>
      </c>
      <c r="F86" t="s">
        <v>3027</v>
      </c>
      <c r="G86" t="s">
        <v>3031</v>
      </c>
      <c r="H86">
        <v>5</v>
      </c>
      <c r="I86" t="s">
        <v>3196</v>
      </c>
    </row>
    <row r="87" spans="1:9" x14ac:dyDescent="0.3">
      <c r="A87" t="s">
        <v>3186</v>
      </c>
      <c r="B87" t="s">
        <v>131</v>
      </c>
      <c r="C87" t="s">
        <v>3187</v>
      </c>
      <c r="D87" t="s">
        <v>3029</v>
      </c>
      <c r="E87" t="s">
        <v>3197</v>
      </c>
      <c r="F87" t="s">
        <v>3027</v>
      </c>
      <c r="G87" t="s">
        <v>3031</v>
      </c>
      <c r="H87">
        <v>6</v>
      </c>
      <c r="I87" t="s">
        <v>3198</v>
      </c>
    </row>
    <row r="88" spans="1:9" x14ac:dyDescent="0.3">
      <c r="A88" t="s">
        <v>3186</v>
      </c>
      <c r="B88" t="s">
        <v>131</v>
      </c>
      <c r="C88" t="s">
        <v>3187</v>
      </c>
      <c r="D88" t="s">
        <v>3029</v>
      </c>
      <c r="E88" t="s">
        <v>3199</v>
      </c>
      <c r="F88" t="s">
        <v>3027</v>
      </c>
      <c r="G88" t="s">
        <v>3031</v>
      </c>
      <c r="H88">
        <v>7</v>
      </c>
      <c r="I88" t="s">
        <v>3200</v>
      </c>
    </row>
    <row r="89" spans="1:9" x14ac:dyDescent="0.3">
      <c r="A89" t="s">
        <v>3186</v>
      </c>
      <c r="B89" t="s">
        <v>131</v>
      </c>
      <c r="C89" t="s">
        <v>3187</v>
      </c>
      <c r="D89" t="s">
        <v>3029</v>
      </c>
      <c r="E89" t="s">
        <v>3201</v>
      </c>
      <c r="F89" t="s">
        <v>3027</v>
      </c>
      <c r="G89" t="s">
        <v>3031</v>
      </c>
      <c r="H89">
        <v>8</v>
      </c>
      <c r="I89" t="s">
        <v>3202</v>
      </c>
    </row>
    <row r="90" spans="1:9" x14ac:dyDescent="0.3">
      <c r="A90" t="s">
        <v>3186</v>
      </c>
      <c r="B90" t="s">
        <v>131</v>
      </c>
      <c r="C90" t="s">
        <v>3187</v>
      </c>
      <c r="D90" t="s">
        <v>3029</v>
      </c>
      <c r="E90" t="s">
        <v>3203</v>
      </c>
      <c r="F90" t="s">
        <v>3027</v>
      </c>
      <c r="G90" t="s">
        <v>3031</v>
      </c>
      <c r="H90">
        <v>9</v>
      </c>
      <c r="I90" t="s">
        <v>3204</v>
      </c>
    </row>
    <row r="91" spans="1:9" x14ac:dyDescent="0.3">
      <c r="A91" t="s">
        <v>3186</v>
      </c>
      <c r="B91" t="s">
        <v>131</v>
      </c>
      <c r="C91" t="s">
        <v>3187</v>
      </c>
      <c r="D91" t="s">
        <v>3029</v>
      </c>
      <c r="E91" t="s">
        <v>3205</v>
      </c>
      <c r="F91" t="s">
        <v>3027</v>
      </c>
      <c r="G91" t="s">
        <v>3031</v>
      </c>
      <c r="H91">
        <v>10</v>
      </c>
      <c r="I91" t="s">
        <v>3206</v>
      </c>
    </row>
    <row r="92" spans="1:9" x14ac:dyDescent="0.3">
      <c r="A92" t="s">
        <v>3186</v>
      </c>
      <c r="B92" t="s">
        <v>131</v>
      </c>
      <c r="C92" t="s">
        <v>3187</v>
      </c>
      <c r="D92" t="s">
        <v>3029</v>
      </c>
      <c r="E92" t="s">
        <v>3207</v>
      </c>
      <c r="F92" t="s">
        <v>3027</v>
      </c>
      <c r="G92" t="s">
        <v>3031</v>
      </c>
      <c r="H92">
        <v>11</v>
      </c>
      <c r="I92" t="s">
        <v>3208</v>
      </c>
    </row>
    <row r="93" spans="1:9" x14ac:dyDescent="0.3">
      <c r="A93" t="s">
        <v>3186</v>
      </c>
      <c r="B93" t="s">
        <v>131</v>
      </c>
      <c r="C93" t="s">
        <v>3187</v>
      </c>
      <c r="D93" t="s">
        <v>3029</v>
      </c>
      <c r="E93" t="s">
        <v>3209</v>
      </c>
      <c r="F93" t="s">
        <v>3027</v>
      </c>
      <c r="G93" t="s">
        <v>3031</v>
      </c>
      <c r="H93">
        <v>12</v>
      </c>
      <c r="I93" t="s">
        <v>3210</v>
      </c>
    </row>
    <row r="94" spans="1:9" x14ac:dyDescent="0.3">
      <c r="A94" t="s">
        <v>3186</v>
      </c>
      <c r="B94" t="s">
        <v>131</v>
      </c>
      <c r="C94" t="s">
        <v>3187</v>
      </c>
      <c r="D94" t="s">
        <v>3029</v>
      </c>
      <c r="E94" t="s">
        <v>3211</v>
      </c>
      <c r="F94" t="s">
        <v>3027</v>
      </c>
      <c r="G94" t="s">
        <v>3031</v>
      </c>
      <c r="H94">
        <v>13</v>
      </c>
      <c r="I94" t="s">
        <v>3212</v>
      </c>
    </row>
    <row r="95" spans="1:9" x14ac:dyDescent="0.3">
      <c r="A95" t="s">
        <v>3186</v>
      </c>
      <c r="B95" t="s">
        <v>131</v>
      </c>
      <c r="C95" t="s">
        <v>3187</v>
      </c>
      <c r="D95" t="s">
        <v>3029</v>
      </c>
      <c r="E95" t="s">
        <v>3213</v>
      </c>
      <c r="F95" t="s">
        <v>3027</v>
      </c>
      <c r="G95" t="s">
        <v>3031</v>
      </c>
      <c r="H95">
        <v>14</v>
      </c>
      <c r="I95" t="s">
        <v>3214</v>
      </c>
    </row>
    <row r="96" spans="1:9" x14ac:dyDescent="0.3">
      <c r="A96" t="s">
        <v>3186</v>
      </c>
      <c r="B96" t="s">
        <v>131</v>
      </c>
      <c r="C96" t="s">
        <v>3187</v>
      </c>
      <c r="D96" t="s">
        <v>3029</v>
      </c>
      <c r="E96" t="s">
        <v>3215</v>
      </c>
      <c r="F96" t="s">
        <v>3027</v>
      </c>
      <c r="G96" t="s">
        <v>3031</v>
      </c>
      <c r="H96">
        <v>15</v>
      </c>
      <c r="I96" t="s">
        <v>3216</v>
      </c>
    </row>
    <row r="97" spans="1:9" x14ac:dyDescent="0.3">
      <c r="A97" t="s">
        <v>3186</v>
      </c>
      <c r="B97" t="s">
        <v>131</v>
      </c>
      <c r="C97" t="s">
        <v>3187</v>
      </c>
      <c r="D97" t="s">
        <v>3029</v>
      </c>
      <c r="E97" t="s">
        <v>3118</v>
      </c>
      <c r="F97" t="s">
        <v>3027</v>
      </c>
      <c r="G97" t="s">
        <v>3031</v>
      </c>
      <c r="H97">
        <v>16</v>
      </c>
      <c r="I97" t="s">
        <v>24</v>
      </c>
    </row>
    <row r="98" spans="1:9" x14ac:dyDescent="0.3">
      <c r="A98" t="s">
        <v>3186</v>
      </c>
      <c r="B98" t="s">
        <v>131</v>
      </c>
      <c r="C98" t="s">
        <v>3187</v>
      </c>
      <c r="D98" t="s">
        <v>3029</v>
      </c>
      <c r="E98" t="s">
        <v>3217</v>
      </c>
      <c r="F98" t="s">
        <v>3027</v>
      </c>
      <c r="G98" t="s">
        <v>3031</v>
      </c>
      <c r="H98">
        <v>17</v>
      </c>
      <c r="I98" t="s">
        <v>3218</v>
      </c>
    </row>
    <row r="99" spans="1:9" x14ac:dyDescent="0.3">
      <c r="A99" t="s">
        <v>3186</v>
      </c>
      <c r="B99" t="s">
        <v>131</v>
      </c>
      <c r="C99" t="s">
        <v>3187</v>
      </c>
      <c r="D99" t="s">
        <v>3029</v>
      </c>
      <c r="E99" t="s">
        <v>3219</v>
      </c>
      <c r="F99" t="s">
        <v>3027</v>
      </c>
      <c r="G99" t="s">
        <v>3031</v>
      </c>
      <c r="H99">
        <v>18</v>
      </c>
      <c r="I99" t="s">
        <v>3220</v>
      </c>
    </row>
    <row r="100" spans="1:9" x14ac:dyDescent="0.3">
      <c r="A100" t="s">
        <v>3186</v>
      </c>
      <c r="B100" t="s">
        <v>131</v>
      </c>
      <c r="C100" t="s">
        <v>3187</v>
      </c>
      <c r="D100" t="s">
        <v>3029</v>
      </c>
      <c r="E100" t="s">
        <v>3221</v>
      </c>
      <c r="F100" t="s">
        <v>3027</v>
      </c>
      <c r="G100" t="s">
        <v>3031</v>
      </c>
      <c r="H100">
        <v>19</v>
      </c>
      <c r="I100" t="s">
        <v>3222</v>
      </c>
    </row>
    <row r="101" spans="1:9" x14ac:dyDescent="0.3">
      <c r="A101" t="s">
        <v>3186</v>
      </c>
      <c r="B101" t="s">
        <v>131</v>
      </c>
      <c r="C101" t="s">
        <v>3187</v>
      </c>
      <c r="D101" t="s">
        <v>3029</v>
      </c>
      <c r="E101" t="s">
        <v>3223</v>
      </c>
      <c r="F101" t="s">
        <v>3027</v>
      </c>
      <c r="G101" t="s">
        <v>3031</v>
      </c>
      <c r="H101">
        <v>20</v>
      </c>
      <c r="I101" t="s">
        <v>3224</v>
      </c>
    </row>
    <row r="102" spans="1:9" x14ac:dyDescent="0.3">
      <c r="A102" t="s">
        <v>3225</v>
      </c>
      <c r="B102" t="s">
        <v>138</v>
      </c>
      <c r="C102" t="s">
        <v>3226</v>
      </c>
      <c r="D102" t="s">
        <v>3025</v>
      </c>
      <c r="E102" t="s">
        <v>3227</v>
      </c>
      <c r="F102" t="s">
        <v>3027</v>
      </c>
      <c r="G102" t="s">
        <v>3028</v>
      </c>
      <c r="H102">
        <v>1</v>
      </c>
      <c r="I102" t="s">
        <v>3226</v>
      </c>
    </row>
    <row r="103" spans="1:9" x14ac:dyDescent="0.3">
      <c r="A103" t="s">
        <v>3225</v>
      </c>
      <c r="B103" t="s">
        <v>138</v>
      </c>
      <c r="C103" t="s">
        <v>3226</v>
      </c>
      <c r="D103" t="s">
        <v>3029</v>
      </c>
      <c r="E103" t="s">
        <v>3228</v>
      </c>
      <c r="F103" t="s">
        <v>3027</v>
      </c>
      <c r="G103" t="s">
        <v>3031</v>
      </c>
      <c r="H103">
        <v>2</v>
      </c>
      <c r="I103" t="s">
        <v>3229</v>
      </c>
    </row>
    <row r="104" spans="1:9" x14ac:dyDescent="0.3">
      <c r="A104" t="s">
        <v>3225</v>
      </c>
      <c r="B104" t="s">
        <v>138</v>
      </c>
      <c r="C104" t="s">
        <v>3226</v>
      </c>
      <c r="D104" t="s">
        <v>3029</v>
      </c>
      <c r="E104" t="s">
        <v>3230</v>
      </c>
      <c r="F104" t="s">
        <v>3027</v>
      </c>
      <c r="G104" t="s">
        <v>3031</v>
      </c>
      <c r="H104">
        <v>3</v>
      </c>
      <c r="I104" t="s">
        <v>3231</v>
      </c>
    </row>
    <row r="105" spans="1:9" x14ac:dyDescent="0.3">
      <c r="A105" t="s">
        <v>3225</v>
      </c>
      <c r="B105" t="s">
        <v>138</v>
      </c>
      <c r="C105" t="s">
        <v>3226</v>
      </c>
      <c r="D105" t="s">
        <v>3029</v>
      </c>
      <c r="E105" t="s">
        <v>3232</v>
      </c>
      <c r="F105" t="s">
        <v>3027</v>
      </c>
      <c r="G105" t="s">
        <v>3031</v>
      </c>
      <c r="H105">
        <v>4</v>
      </c>
      <c r="I105" t="s">
        <v>3233</v>
      </c>
    </row>
    <row r="106" spans="1:9" x14ac:dyDescent="0.3">
      <c r="A106" t="s">
        <v>3225</v>
      </c>
      <c r="B106" t="s">
        <v>138</v>
      </c>
      <c r="C106" t="s">
        <v>3226</v>
      </c>
      <c r="D106" t="s">
        <v>3029</v>
      </c>
      <c r="E106" t="s">
        <v>3234</v>
      </c>
      <c r="F106" t="s">
        <v>3027</v>
      </c>
      <c r="G106" t="s">
        <v>3031</v>
      </c>
      <c r="H106">
        <v>5</v>
      </c>
      <c r="I106" t="s">
        <v>3235</v>
      </c>
    </row>
    <row r="107" spans="1:9" x14ac:dyDescent="0.3">
      <c r="A107" t="s">
        <v>3225</v>
      </c>
      <c r="B107" t="s">
        <v>138</v>
      </c>
      <c r="C107" t="s">
        <v>3226</v>
      </c>
      <c r="D107" t="s">
        <v>3029</v>
      </c>
      <c r="E107" t="s">
        <v>3236</v>
      </c>
      <c r="F107" t="s">
        <v>3027</v>
      </c>
      <c r="G107" t="s">
        <v>3031</v>
      </c>
      <c r="H107">
        <v>6</v>
      </c>
      <c r="I107" t="s">
        <v>3237</v>
      </c>
    </row>
    <row r="108" spans="1:9" x14ac:dyDescent="0.3">
      <c r="A108" t="s">
        <v>3225</v>
      </c>
      <c r="B108" t="s">
        <v>138</v>
      </c>
      <c r="C108" t="s">
        <v>3226</v>
      </c>
      <c r="D108" t="s">
        <v>3029</v>
      </c>
      <c r="E108" t="s">
        <v>3238</v>
      </c>
      <c r="F108" t="s">
        <v>3027</v>
      </c>
      <c r="G108" t="s">
        <v>3031</v>
      </c>
      <c r="H108">
        <v>7</v>
      </c>
      <c r="I108" t="s">
        <v>3239</v>
      </c>
    </row>
    <row r="109" spans="1:9" x14ac:dyDescent="0.3">
      <c r="A109" t="s">
        <v>3225</v>
      </c>
      <c r="B109" t="s">
        <v>138</v>
      </c>
      <c r="C109" t="s">
        <v>3226</v>
      </c>
      <c r="D109" t="s">
        <v>3029</v>
      </c>
      <c r="E109" t="s">
        <v>3240</v>
      </c>
      <c r="F109" t="s">
        <v>3027</v>
      </c>
      <c r="G109" t="s">
        <v>3031</v>
      </c>
      <c r="H109">
        <v>8</v>
      </c>
      <c r="I109" t="s">
        <v>3241</v>
      </c>
    </row>
    <row r="110" spans="1:9" x14ac:dyDescent="0.3">
      <c r="A110" t="s">
        <v>3225</v>
      </c>
      <c r="B110" t="s">
        <v>138</v>
      </c>
      <c r="C110" t="s">
        <v>3226</v>
      </c>
      <c r="D110" t="s">
        <v>3029</v>
      </c>
      <c r="E110" t="s">
        <v>3043</v>
      </c>
      <c r="F110" t="s">
        <v>3027</v>
      </c>
      <c r="G110" t="s">
        <v>3031</v>
      </c>
      <c r="H110">
        <v>9</v>
      </c>
      <c r="I110" t="s">
        <v>24</v>
      </c>
    </row>
    <row r="111" spans="1:9" x14ac:dyDescent="0.3">
      <c r="A111" t="s">
        <v>3225</v>
      </c>
      <c r="B111" t="s">
        <v>138</v>
      </c>
      <c r="C111" t="s">
        <v>3226</v>
      </c>
      <c r="D111" t="s">
        <v>3029</v>
      </c>
      <c r="E111" t="s">
        <v>3242</v>
      </c>
      <c r="F111" t="s">
        <v>3027</v>
      </c>
      <c r="G111" t="s">
        <v>3031</v>
      </c>
      <c r="H111">
        <v>10</v>
      </c>
      <c r="I111" t="s">
        <v>3243</v>
      </c>
    </row>
    <row r="112" spans="1:9" x14ac:dyDescent="0.3">
      <c r="A112" t="s">
        <v>3225</v>
      </c>
      <c r="B112" t="s">
        <v>138</v>
      </c>
      <c r="C112" t="s">
        <v>3226</v>
      </c>
      <c r="D112" t="s">
        <v>3029</v>
      </c>
      <c r="E112" t="s">
        <v>3244</v>
      </c>
      <c r="F112" t="s">
        <v>3027</v>
      </c>
      <c r="G112" t="s">
        <v>3031</v>
      </c>
      <c r="H112">
        <v>11</v>
      </c>
      <c r="I112" t="s">
        <v>3245</v>
      </c>
    </row>
    <row r="113" spans="1:9" x14ac:dyDescent="0.3">
      <c r="A113" t="s">
        <v>3225</v>
      </c>
      <c r="B113" t="s">
        <v>138</v>
      </c>
      <c r="C113" t="s">
        <v>3226</v>
      </c>
      <c r="D113" t="s">
        <v>3029</v>
      </c>
      <c r="E113" t="s">
        <v>3246</v>
      </c>
      <c r="F113" t="s">
        <v>3027</v>
      </c>
      <c r="G113" t="s">
        <v>3031</v>
      </c>
      <c r="H113">
        <v>12</v>
      </c>
      <c r="I113" t="s">
        <v>3247</v>
      </c>
    </row>
    <row r="114" spans="1:9" x14ac:dyDescent="0.3">
      <c r="A114" t="s">
        <v>3225</v>
      </c>
      <c r="B114" t="s">
        <v>138</v>
      </c>
      <c r="C114" t="s">
        <v>3226</v>
      </c>
      <c r="D114" t="s">
        <v>3029</v>
      </c>
      <c r="E114" t="s">
        <v>3248</v>
      </c>
      <c r="F114" t="s">
        <v>3027</v>
      </c>
      <c r="G114" t="s">
        <v>3031</v>
      </c>
      <c r="H114">
        <v>13</v>
      </c>
      <c r="I114" t="s">
        <v>3249</v>
      </c>
    </row>
    <row r="115" spans="1:9" x14ac:dyDescent="0.3">
      <c r="A115" t="s">
        <v>3225</v>
      </c>
      <c r="B115" t="s">
        <v>138</v>
      </c>
      <c r="C115" t="s">
        <v>3226</v>
      </c>
      <c r="D115" t="s">
        <v>3029</v>
      </c>
      <c r="E115" t="s">
        <v>3250</v>
      </c>
      <c r="F115" t="s">
        <v>3027</v>
      </c>
      <c r="G115" t="s">
        <v>3031</v>
      </c>
      <c r="H115">
        <v>14</v>
      </c>
      <c r="I115" t="s">
        <v>3251</v>
      </c>
    </row>
    <row r="116" spans="1:9" x14ac:dyDescent="0.3">
      <c r="A116" t="s">
        <v>3225</v>
      </c>
      <c r="B116" t="s">
        <v>138</v>
      </c>
      <c r="C116" t="s">
        <v>3226</v>
      </c>
      <c r="D116" t="s">
        <v>3029</v>
      </c>
      <c r="E116" t="s">
        <v>3252</v>
      </c>
      <c r="F116" t="s">
        <v>3027</v>
      </c>
      <c r="G116" t="s">
        <v>3031</v>
      </c>
      <c r="H116">
        <v>15</v>
      </c>
      <c r="I116" t="s">
        <v>3253</v>
      </c>
    </row>
    <row r="117" spans="1:9" x14ac:dyDescent="0.3">
      <c r="A117" t="s">
        <v>3225</v>
      </c>
      <c r="B117" t="s">
        <v>138</v>
      </c>
      <c r="C117" t="s">
        <v>3226</v>
      </c>
      <c r="D117" t="s">
        <v>3029</v>
      </c>
      <c r="E117" t="s">
        <v>3254</v>
      </c>
      <c r="F117" t="s">
        <v>3027</v>
      </c>
      <c r="G117" t="s">
        <v>3031</v>
      </c>
      <c r="H117">
        <v>16</v>
      </c>
      <c r="I117" t="s">
        <v>3255</v>
      </c>
    </row>
    <row r="118" spans="1:9" x14ac:dyDescent="0.3">
      <c r="A118" t="s">
        <v>3225</v>
      </c>
      <c r="B118" t="s">
        <v>138</v>
      </c>
      <c r="C118" t="s">
        <v>3226</v>
      </c>
      <c r="D118" t="s">
        <v>3029</v>
      </c>
      <c r="E118" t="s">
        <v>3256</v>
      </c>
      <c r="F118" t="s">
        <v>3027</v>
      </c>
      <c r="G118" t="s">
        <v>3031</v>
      </c>
      <c r="H118">
        <v>17</v>
      </c>
      <c r="I118" t="s">
        <v>3257</v>
      </c>
    </row>
    <row r="119" spans="1:9" x14ac:dyDescent="0.3">
      <c r="A119" t="s">
        <v>3225</v>
      </c>
      <c r="B119" t="s">
        <v>138</v>
      </c>
      <c r="C119" t="s">
        <v>3226</v>
      </c>
      <c r="D119" t="s">
        <v>3029</v>
      </c>
      <c r="E119" t="s">
        <v>3258</v>
      </c>
      <c r="F119" t="s">
        <v>3027</v>
      </c>
      <c r="G119" t="s">
        <v>3031</v>
      </c>
      <c r="H119">
        <v>18</v>
      </c>
      <c r="I119" t="s">
        <v>3259</v>
      </c>
    </row>
    <row r="120" spans="1:9" x14ac:dyDescent="0.3">
      <c r="A120" t="s">
        <v>3225</v>
      </c>
      <c r="B120" t="s">
        <v>138</v>
      </c>
      <c r="C120" t="s">
        <v>3226</v>
      </c>
      <c r="D120" t="s">
        <v>3029</v>
      </c>
      <c r="E120" t="s">
        <v>3260</v>
      </c>
      <c r="F120" t="s">
        <v>3027</v>
      </c>
      <c r="G120" t="s">
        <v>3031</v>
      </c>
      <c r="H120">
        <v>19</v>
      </c>
      <c r="I120" t="s">
        <v>3261</v>
      </c>
    </row>
    <row r="121" spans="1:9" x14ac:dyDescent="0.3">
      <c r="A121" t="s">
        <v>3225</v>
      </c>
      <c r="B121" t="s">
        <v>138</v>
      </c>
      <c r="C121" t="s">
        <v>3226</v>
      </c>
      <c r="D121" t="s">
        <v>3029</v>
      </c>
      <c r="E121" t="s">
        <v>3262</v>
      </c>
      <c r="F121" t="s">
        <v>3027</v>
      </c>
      <c r="G121" t="s">
        <v>3031</v>
      </c>
      <c r="H121">
        <v>20</v>
      </c>
      <c r="I121" t="s">
        <v>3263</v>
      </c>
    </row>
    <row r="122" spans="1:9" x14ac:dyDescent="0.3">
      <c r="A122" t="s">
        <v>3264</v>
      </c>
      <c r="B122" t="s">
        <v>144</v>
      </c>
      <c r="C122" t="s">
        <v>3265</v>
      </c>
      <c r="D122" t="s">
        <v>3025</v>
      </c>
      <c r="E122" t="s">
        <v>3266</v>
      </c>
      <c r="F122" t="s">
        <v>3027</v>
      </c>
      <c r="G122" t="s">
        <v>3028</v>
      </c>
      <c r="H122">
        <v>1</v>
      </c>
      <c r="I122" t="s">
        <v>3265</v>
      </c>
    </row>
    <row r="123" spans="1:9" x14ac:dyDescent="0.3">
      <c r="A123" t="s">
        <v>3264</v>
      </c>
      <c r="B123" t="s">
        <v>144</v>
      </c>
      <c r="C123" t="s">
        <v>3265</v>
      </c>
      <c r="D123" t="s">
        <v>3029</v>
      </c>
      <c r="E123" t="s">
        <v>3267</v>
      </c>
      <c r="F123" t="s">
        <v>3027</v>
      </c>
      <c r="G123" t="s">
        <v>3031</v>
      </c>
      <c r="H123">
        <v>2</v>
      </c>
      <c r="I123" t="s">
        <v>3268</v>
      </c>
    </row>
    <row r="124" spans="1:9" x14ac:dyDescent="0.3">
      <c r="A124" t="s">
        <v>3264</v>
      </c>
      <c r="B124" t="s">
        <v>144</v>
      </c>
      <c r="C124" t="s">
        <v>3265</v>
      </c>
      <c r="D124" t="s">
        <v>3029</v>
      </c>
      <c r="E124" t="s">
        <v>3269</v>
      </c>
      <c r="F124" t="s">
        <v>3027</v>
      </c>
      <c r="G124" t="s">
        <v>3031</v>
      </c>
      <c r="H124">
        <v>3</v>
      </c>
      <c r="I124" t="s">
        <v>3270</v>
      </c>
    </row>
    <row r="125" spans="1:9" x14ac:dyDescent="0.3">
      <c r="A125" t="s">
        <v>3264</v>
      </c>
      <c r="B125" t="s">
        <v>144</v>
      </c>
      <c r="C125" t="s">
        <v>3265</v>
      </c>
      <c r="D125" t="s">
        <v>3029</v>
      </c>
      <c r="E125" t="s">
        <v>3271</v>
      </c>
      <c r="F125" t="s">
        <v>3027</v>
      </c>
      <c r="G125" t="s">
        <v>3031</v>
      </c>
      <c r="H125">
        <v>4</v>
      </c>
      <c r="I125" t="s">
        <v>3272</v>
      </c>
    </row>
    <row r="126" spans="1:9" x14ac:dyDescent="0.3">
      <c r="A126" t="s">
        <v>3264</v>
      </c>
      <c r="B126" t="s">
        <v>144</v>
      </c>
      <c r="C126" t="s">
        <v>3265</v>
      </c>
      <c r="D126" t="s">
        <v>3029</v>
      </c>
      <c r="E126" t="s">
        <v>3273</v>
      </c>
      <c r="F126" t="s">
        <v>3027</v>
      </c>
      <c r="G126" t="s">
        <v>3031</v>
      </c>
      <c r="H126">
        <v>5</v>
      </c>
      <c r="I126" t="s">
        <v>3274</v>
      </c>
    </row>
    <row r="127" spans="1:9" x14ac:dyDescent="0.3">
      <c r="A127" t="s">
        <v>3264</v>
      </c>
      <c r="B127" t="s">
        <v>144</v>
      </c>
      <c r="C127" t="s">
        <v>3265</v>
      </c>
      <c r="D127" t="s">
        <v>3029</v>
      </c>
      <c r="E127" t="s">
        <v>3275</v>
      </c>
      <c r="F127" t="s">
        <v>3027</v>
      </c>
      <c r="G127" t="s">
        <v>3031</v>
      </c>
      <c r="H127">
        <v>6</v>
      </c>
      <c r="I127" t="s">
        <v>3276</v>
      </c>
    </row>
    <row r="128" spans="1:9" x14ac:dyDescent="0.3">
      <c r="A128" t="s">
        <v>3264</v>
      </c>
      <c r="B128" t="s">
        <v>144</v>
      </c>
      <c r="C128" t="s">
        <v>3265</v>
      </c>
      <c r="D128" t="s">
        <v>3029</v>
      </c>
      <c r="E128" t="s">
        <v>3277</v>
      </c>
      <c r="F128" t="s">
        <v>3027</v>
      </c>
      <c r="G128" t="s">
        <v>3031</v>
      </c>
      <c r="H128">
        <v>7</v>
      </c>
      <c r="I128" t="s">
        <v>3278</v>
      </c>
    </row>
    <row r="129" spans="1:9" x14ac:dyDescent="0.3">
      <c r="A129" t="s">
        <v>3264</v>
      </c>
      <c r="B129" t="s">
        <v>144</v>
      </c>
      <c r="C129" t="s">
        <v>3265</v>
      </c>
      <c r="D129" t="s">
        <v>3029</v>
      </c>
      <c r="E129" t="s">
        <v>3279</v>
      </c>
      <c r="F129" t="s">
        <v>3027</v>
      </c>
      <c r="G129" t="s">
        <v>3031</v>
      </c>
      <c r="H129">
        <v>8</v>
      </c>
      <c r="I129" t="s">
        <v>3280</v>
      </c>
    </row>
    <row r="130" spans="1:9" x14ac:dyDescent="0.3">
      <c r="A130" t="s">
        <v>3264</v>
      </c>
      <c r="B130" t="s">
        <v>144</v>
      </c>
      <c r="C130" t="s">
        <v>3265</v>
      </c>
      <c r="D130" t="s">
        <v>3029</v>
      </c>
      <c r="E130" t="s">
        <v>3281</v>
      </c>
      <c r="F130" t="s">
        <v>3027</v>
      </c>
      <c r="G130" t="s">
        <v>3031</v>
      </c>
      <c r="H130">
        <v>9</v>
      </c>
      <c r="I130" t="s">
        <v>3282</v>
      </c>
    </row>
    <row r="131" spans="1:9" x14ac:dyDescent="0.3">
      <c r="A131" t="s">
        <v>3264</v>
      </c>
      <c r="B131" t="s">
        <v>144</v>
      </c>
      <c r="C131" t="s">
        <v>3265</v>
      </c>
      <c r="D131" t="s">
        <v>3029</v>
      </c>
      <c r="E131" t="s">
        <v>3283</v>
      </c>
      <c r="F131" t="s">
        <v>3027</v>
      </c>
      <c r="G131" t="s">
        <v>3031</v>
      </c>
      <c r="H131">
        <v>10</v>
      </c>
      <c r="I131" t="s">
        <v>3284</v>
      </c>
    </row>
    <row r="132" spans="1:9" x14ac:dyDescent="0.3">
      <c r="A132" t="s">
        <v>3264</v>
      </c>
      <c r="B132" t="s">
        <v>144</v>
      </c>
      <c r="C132" t="s">
        <v>3265</v>
      </c>
      <c r="D132" t="s">
        <v>3029</v>
      </c>
      <c r="E132" t="s">
        <v>3285</v>
      </c>
      <c r="F132" t="s">
        <v>3027</v>
      </c>
      <c r="G132" t="s">
        <v>3031</v>
      </c>
      <c r="H132">
        <v>11</v>
      </c>
      <c r="I132" t="s">
        <v>3286</v>
      </c>
    </row>
    <row r="133" spans="1:9" x14ac:dyDescent="0.3">
      <c r="A133" t="s">
        <v>3264</v>
      </c>
      <c r="B133" t="s">
        <v>144</v>
      </c>
      <c r="C133" t="s">
        <v>3265</v>
      </c>
      <c r="D133" t="s">
        <v>3029</v>
      </c>
      <c r="E133" t="s">
        <v>3287</v>
      </c>
      <c r="F133" t="s">
        <v>3027</v>
      </c>
      <c r="G133" t="s">
        <v>3031</v>
      </c>
      <c r="H133">
        <v>12</v>
      </c>
      <c r="I133" t="s">
        <v>3288</v>
      </c>
    </row>
    <row r="134" spans="1:9" x14ac:dyDescent="0.3">
      <c r="A134" t="s">
        <v>3264</v>
      </c>
      <c r="B134" t="s">
        <v>144</v>
      </c>
      <c r="C134" t="s">
        <v>3265</v>
      </c>
      <c r="D134" t="s">
        <v>3029</v>
      </c>
      <c r="E134" t="s">
        <v>3289</v>
      </c>
      <c r="F134" t="s">
        <v>3027</v>
      </c>
      <c r="G134" t="s">
        <v>3031</v>
      </c>
      <c r="H134">
        <v>13</v>
      </c>
      <c r="I134" t="s">
        <v>3290</v>
      </c>
    </row>
    <row r="135" spans="1:9" x14ac:dyDescent="0.3">
      <c r="A135" t="s">
        <v>3264</v>
      </c>
      <c r="B135" t="s">
        <v>144</v>
      </c>
      <c r="C135" t="s">
        <v>3265</v>
      </c>
      <c r="D135" t="s">
        <v>3029</v>
      </c>
      <c r="E135" t="s">
        <v>3291</v>
      </c>
      <c r="F135" t="s">
        <v>3027</v>
      </c>
      <c r="G135" t="s">
        <v>3031</v>
      </c>
      <c r="H135">
        <v>14</v>
      </c>
      <c r="I135" t="s">
        <v>3292</v>
      </c>
    </row>
    <row r="136" spans="1:9" x14ac:dyDescent="0.3">
      <c r="A136" t="s">
        <v>3264</v>
      </c>
      <c r="B136" t="s">
        <v>144</v>
      </c>
      <c r="C136" t="s">
        <v>3265</v>
      </c>
      <c r="D136" t="s">
        <v>3029</v>
      </c>
      <c r="E136" t="s">
        <v>3293</v>
      </c>
      <c r="F136" t="s">
        <v>3027</v>
      </c>
      <c r="G136" t="s">
        <v>3031</v>
      </c>
      <c r="H136">
        <v>15</v>
      </c>
      <c r="I136" t="s">
        <v>3294</v>
      </c>
    </row>
    <row r="137" spans="1:9" x14ac:dyDescent="0.3">
      <c r="A137" t="s">
        <v>3264</v>
      </c>
      <c r="B137" t="s">
        <v>144</v>
      </c>
      <c r="C137" t="s">
        <v>3265</v>
      </c>
      <c r="D137" t="s">
        <v>3029</v>
      </c>
      <c r="E137" t="s">
        <v>3295</v>
      </c>
      <c r="F137" t="s">
        <v>3027</v>
      </c>
      <c r="G137" t="s">
        <v>3031</v>
      </c>
      <c r="H137">
        <v>16</v>
      </c>
      <c r="I137" t="s">
        <v>3296</v>
      </c>
    </row>
    <row r="138" spans="1:9" x14ac:dyDescent="0.3">
      <c r="A138" t="s">
        <v>3264</v>
      </c>
      <c r="B138" t="s">
        <v>144</v>
      </c>
      <c r="C138" t="s">
        <v>3265</v>
      </c>
      <c r="D138" t="s">
        <v>3029</v>
      </c>
      <c r="E138" t="s">
        <v>3297</v>
      </c>
      <c r="F138" t="s">
        <v>3027</v>
      </c>
      <c r="G138" t="s">
        <v>3031</v>
      </c>
      <c r="H138">
        <v>17</v>
      </c>
      <c r="I138" t="s">
        <v>3298</v>
      </c>
    </row>
    <row r="139" spans="1:9" x14ac:dyDescent="0.3">
      <c r="A139" t="s">
        <v>3264</v>
      </c>
      <c r="B139" t="s">
        <v>144</v>
      </c>
      <c r="C139" t="s">
        <v>3265</v>
      </c>
      <c r="D139" t="s">
        <v>3029</v>
      </c>
      <c r="E139" t="s">
        <v>3299</v>
      </c>
      <c r="F139" t="s">
        <v>3027</v>
      </c>
      <c r="G139" t="s">
        <v>3031</v>
      </c>
      <c r="H139">
        <v>18</v>
      </c>
      <c r="I139" t="s">
        <v>3300</v>
      </c>
    </row>
    <row r="140" spans="1:9" x14ac:dyDescent="0.3">
      <c r="A140" t="s">
        <v>3264</v>
      </c>
      <c r="B140" t="s">
        <v>144</v>
      </c>
      <c r="C140" t="s">
        <v>3265</v>
      </c>
      <c r="D140" t="s">
        <v>3029</v>
      </c>
      <c r="E140" t="s">
        <v>3301</v>
      </c>
      <c r="F140" t="s">
        <v>3027</v>
      </c>
      <c r="G140" t="s">
        <v>3031</v>
      </c>
      <c r="H140">
        <v>19</v>
      </c>
      <c r="I140" t="s">
        <v>3302</v>
      </c>
    </row>
    <row r="141" spans="1:9" x14ac:dyDescent="0.3">
      <c r="A141" t="s">
        <v>3264</v>
      </c>
      <c r="B141" t="s">
        <v>144</v>
      </c>
      <c r="C141" t="s">
        <v>3265</v>
      </c>
      <c r="D141" t="s">
        <v>3029</v>
      </c>
      <c r="E141" t="s">
        <v>3303</v>
      </c>
      <c r="F141" t="s">
        <v>3027</v>
      </c>
      <c r="G141" t="s">
        <v>3031</v>
      </c>
      <c r="H141">
        <v>20</v>
      </c>
      <c r="I141" t="s">
        <v>3304</v>
      </c>
    </row>
    <row r="142" spans="1:9" x14ac:dyDescent="0.3">
      <c r="A142" t="s">
        <v>3305</v>
      </c>
      <c r="B142" t="s">
        <v>151</v>
      </c>
      <c r="C142" t="s">
        <v>3306</v>
      </c>
      <c r="D142" t="s">
        <v>3025</v>
      </c>
      <c r="E142" t="s">
        <v>3307</v>
      </c>
      <c r="F142" t="s">
        <v>3027</v>
      </c>
      <c r="G142" t="s">
        <v>3028</v>
      </c>
      <c r="H142">
        <v>1</v>
      </c>
      <c r="I142" t="s">
        <v>3306</v>
      </c>
    </row>
    <row r="143" spans="1:9" x14ac:dyDescent="0.3">
      <c r="A143" t="s">
        <v>3305</v>
      </c>
      <c r="B143" t="s">
        <v>151</v>
      </c>
      <c r="C143" t="s">
        <v>3306</v>
      </c>
      <c r="D143" t="s">
        <v>3029</v>
      </c>
      <c r="E143" t="s">
        <v>3308</v>
      </c>
      <c r="F143" t="s">
        <v>3027</v>
      </c>
      <c r="G143" t="s">
        <v>3031</v>
      </c>
      <c r="H143">
        <v>2</v>
      </c>
      <c r="I143" t="s">
        <v>3309</v>
      </c>
    </row>
    <row r="144" spans="1:9" x14ac:dyDescent="0.3">
      <c r="A144" t="s">
        <v>3305</v>
      </c>
      <c r="B144" t="s">
        <v>151</v>
      </c>
      <c r="C144" t="s">
        <v>3306</v>
      </c>
      <c r="D144" t="s">
        <v>3029</v>
      </c>
      <c r="E144" t="s">
        <v>3310</v>
      </c>
      <c r="F144" t="s">
        <v>3027</v>
      </c>
      <c r="G144" t="s">
        <v>3031</v>
      </c>
      <c r="H144">
        <v>3</v>
      </c>
      <c r="I144" t="s">
        <v>3311</v>
      </c>
    </row>
    <row r="145" spans="1:9" x14ac:dyDescent="0.3">
      <c r="A145" t="s">
        <v>3305</v>
      </c>
      <c r="B145" t="s">
        <v>151</v>
      </c>
      <c r="C145" t="s">
        <v>3306</v>
      </c>
      <c r="D145" t="s">
        <v>3029</v>
      </c>
      <c r="E145" t="s">
        <v>3312</v>
      </c>
      <c r="F145" t="s">
        <v>3027</v>
      </c>
      <c r="G145" t="s">
        <v>3031</v>
      </c>
      <c r="H145">
        <v>4</v>
      </c>
      <c r="I145" t="s">
        <v>3313</v>
      </c>
    </row>
    <row r="146" spans="1:9" x14ac:dyDescent="0.3">
      <c r="A146" t="s">
        <v>3305</v>
      </c>
      <c r="B146" t="s">
        <v>151</v>
      </c>
      <c r="C146" t="s">
        <v>3306</v>
      </c>
      <c r="D146" t="s">
        <v>3029</v>
      </c>
      <c r="E146" t="s">
        <v>3314</v>
      </c>
      <c r="F146" t="s">
        <v>3027</v>
      </c>
      <c r="G146" t="s">
        <v>3031</v>
      </c>
      <c r="H146">
        <v>5</v>
      </c>
      <c r="I146" t="s">
        <v>3315</v>
      </c>
    </row>
    <row r="147" spans="1:9" x14ac:dyDescent="0.3">
      <c r="A147" t="s">
        <v>3305</v>
      </c>
      <c r="B147" t="s">
        <v>151</v>
      </c>
      <c r="C147" t="s">
        <v>3306</v>
      </c>
      <c r="D147" t="s">
        <v>3029</v>
      </c>
      <c r="E147" t="s">
        <v>3316</v>
      </c>
      <c r="F147" t="s">
        <v>3027</v>
      </c>
      <c r="G147" t="s">
        <v>3031</v>
      </c>
      <c r="H147">
        <v>6</v>
      </c>
      <c r="I147" t="s">
        <v>3317</v>
      </c>
    </row>
    <row r="148" spans="1:9" x14ac:dyDescent="0.3">
      <c r="A148" t="s">
        <v>3305</v>
      </c>
      <c r="B148" t="s">
        <v>151</v>
      </c>
      <c r="C148" t="s">
        <v>3306</v>
      </c>
      <c r="D148" t="s">
        <v>3029</v>
      </c>
      <c r="E148" t="s">
        <v>3318</v>
      </c>
      <c r="F148" t="s">
        <v>3027</v>
      </c>
      <c r="G148" t="s">
        <v>3031</v>
      </c>
      <c r="H148">
        <v>7</v>
      </c>
      <c r="I148" t="s">
        <v>3319</v>
      </c>
    </row>
    <row r="149" spans="1:9" x14ac:dyDescent="0.3">
      <c r="A149" t="s">
        <v>3305</v>
      </c>
      <c r="B149" t="s">
        <v>151</v>
      </c>
      <c r="C149" t="s">
        <v>3306</v>
      </c>
      <c r="D149" t="s">
        <v>3029</v>
      </c>
      <c r="E149" t="s">
        <v>3320</v>
      </c>
      <c r="F149" t="s">
        <v>3027</v>
      </c>
      <c r="G149" t="s">
        <v>3031</v>
      </c>
      <c r="H149">
        <v>8</v>
      </c>
      <c r="I149" t="s">
        <v>3321</v>
      </c>
    </row>
    <row r="150" spans="1:9" x14ac:dyDescent="0.3">
      <c r="A150" t="s">
        <v>3305</v>
      </c>
      <c r="B150" t="s">
        <v>151</v>
      </c>
      <c r="C150" t="s">
        <v>3306</v>
      </c>
      <c r="D150" t="s">
        <v>3029</v>
      </c>
      <c r="E150" t="s">
        <v>3322</v>
      </c>
      <c r="F150" t="s">
        <v>3027</v>
      </c>
      <c r="G150" t="s">
        <v>3031</v>
      </c>
      <c r="H150">
        <v>9</v>
      </c>
      <c r="I150" t="s">
        <v>3323</v>
      </c>
    </row>
    <row r="151" spans="1:9" x14ac:dyDescent="0.3">
      <c r="A151" t="s">
        <v>3305</v>
      </c>
      <c r="B151" t="s">
        <v>151</v>
      </c>
      <c r="C151" t="s">
        <v>3306</v>
      </c>
      <c r="D151" t="s">
        <v>3029</v>
      </c>
      <c r="E151" t="s">
        <v>3324</v>
      </c>
      <c r="F151" t="s">
        <v>3027</v>
      </c>
      <c r="G151" t="s">
        <v>3031</v>
      </c>
      <c r="H151">
        <v>10</v>
      </c>
      <c r="I151" t="s">
        <v>3325</v>
      </c>
    </row>
    <row r="152" spans="1:9" x14ac:dyDescent="0.3">
      <c r="A152" t="s">
        <v>3305</v>
      </c>
      <c r="B152" t="s">
        <v>151</v>
      </c>
      <c r="C152" t="s">
        <v>3306</v>
      </c>
      <c r="D152" t="s">
        <v>3029</v>
      </c>
      <c r="E152" t="s">
        <v>3326</v>
      </c>
      <c r="F152" t="s">
        <v>3027</v>
      </c>
      <c r="G152" t="s">
        <v>3031</v>
      </c>
      <c r="H152">
        <v>11</v>
      </c>
      <c r="I152" t="s">
        <v>3327</v>
      </c>
    </row>
    <row r="153" spans="1:9" x14ac:dyDescent="0.3">
      <c r="A153" t="s">
        <v>3305</v>
      </c>
      <c r="B153" t="s">
        <v>151</v>
      </c>
      <c r="C153" t="s">
        <v>3306</v>
      </c>
      <c r="D153" t="s">
        <v>3029</v>
      </c>
      <c r="E153" t="s">
        <v>3328</v>
      </c>
      <c r="F153" t="s">
        <v>3027</v>
      </c>
      <c r="G153" t="s">
        <v>3031</v>
      </c>
      <c r="H153">
        <v>12</v>
      </c>
      <c r="I153" t="s">
        <v>3329</v>
      </c>
    </row>
    <row r="154" spans="1:9" x14ac:dyDescent="0.3">
      <c r="A154" t="s">
        <v>3305</v>
      </c>
      <c r="B154" t="s">
        <v>151</v>
      </c>
      <c r="C154" t="s">
        <v>3306</v>
      </c>
      <c r="D154" t="s">
        <v>3029</v>
      </c>
      <c r="E154" t="s">
        <v>3330</v>
      </c>
      <c r="F154" t="s">
        <v>3027</v>
      </c>
      <c r="G154" t="s">
        <v>3031</v>
      </c>
      <c r="H154">
        <v>13</v>
      </c>
      <c r="I154" t="s">
        <v>3331</v>
      </c>
    </row>
    <row r="155" spans="1:9" x14ac:dyDescent="0.3">
      <c r="A155" t="s">
        <v>3305</v>
      </c>
      <c r="B155" t="s">
        <v>151</v>
      </c>
      <c r="C155" t="s">
        <v>3306</v>
      </c>
      <c r="D155" t="s">
        <v>3029</v>
      </c>
      <c r="E155" t="s">
        <v>3332</v>
      </c>
      <c r="F155" t="s">
        <v>3027</v>
      </c>
      <c r="G155" t="s">
        <v>3031</v>
      </c>
      <c r="H155">
        <v>14</v>
      </c>
      <c r="I155" t="s">
        <v>3333</v>
      </c>
    </row>
    <row r="156" spans="1:9" x14ac:dyDescent="0.3">
      <c r="A156" t="s">
        <v>3305</v>
      </c>
      <c r="B156" t="s">
        <v>151</v>
      </c>
      <c r="C156" t="s">
        <v>3306</v>
      </c>
      <c r="D156" t="s">
        <v>3029</v>
      </c>
      <c r="E156" t="s">
        <v>3334</v>
      </c>
      <c r="F156" t="s">
        <v>3027</v>
      </c>
      <c r="G156" t="s">
        <v>3031</v>
      </c>
      <c r="H156">
        <v>15</v>
      </c>
      <c r="I156" t="s">
        <v>3335</v>
      </c>
    </row>
    <row r="157" spans="1:9" x14ac:dyDescent="0.3">
      <c r="A157" t="s">
        <v>3305</v>
      </c>
      <c r="B157" t="s">
        <v>151</v>
      </c>
      <c r="C157" t="s">
        <v>3306</v>
      </c>
      <c r="D157" t="s">
        <v>3029</v>
      </c>
      <c r="E157" t="s">
        <v>3336</v>
      </c>
      <c r="F157" t="s">
        <v>3027</v>
      </c>
      <c r="G157" t="s">
        <v>3031</v>
      </c>
      <c r="H157">
        <v>16</v>
      </c>
      <c r="I157" t="s">
        <v>3337</v>
      </c>
    </row>
    <row r="158" spans="1:9" x14ac:dyDescent="0.3">
      <c r="A158" t="s">
        <v>3305</v>
      </c>
      <c r="B158" t="s">
        <v>151</v>
      </c>
      <c r="C158" t="s">
        <v>3306</v>
      </c>
      <c r="D158" t="s">
        <v>3029</v>
      </c>
      <c r="E158" t="s">
        <v>3338</v>
      </c>
      <c r="F158" t="s">
        <v>3027</v>
      </c>
      <c r="G158" t="s">
        <v>3031</v>
      </c>
      <c r="H158">
        <v>17</v>
      </c>
      <c r="I158" t="s">
        <v>3339</v>
      </c>
    </row>
    <row r="159" spans="1:9" x14ac:dyDescent="0.3">
      <c r="A159" t="s">
        <v>3305</v>
      </c>
      <c r="B159" t="s">
        <v>151</v>
      </c>
      <c r="C159" t="s">
        <v>3306</v>
      </c>
      <c r="D159" t="s">
        <v>3029</v>
      </c>
      <c r="E159" t="s">
        <v>3340</v>
      </c>
      <c r="F159" t="s">
        <v>3027</v>
      </c>
      <c r="G159" t="s">
        <v>3031</v>
      </c>
      <c r="H159">
        <v>18</v>
      </c>
      <c r="I159" t="s">
        <v>3341</v>
      </c>
    </row>
    <row r="160" spans="1:9" x14ac:dyDescent="0.3">
      <c r="A160" t="s">
        <v>3305</v>
      </c>
      <c r="B160" t="s">
        <v>151</v>
      </c>
      <c r="C160" t="s">
        <v>3306</v>
      </c>
      <c r="D160" t="s">
        <v>3029</v>
      </c>
      <c r="E160" t="s">
        <v>3342</v>
      </c>
      <c r="F160" t="s">
        <v>3027</v>
      </c>
      <c r="G160" t="s">
        <v>3031</v>
      </c>
      <c r="H160">
        <v>19</v>
      </c>
      <c r="I160" t="s">
        <v>3343</v>
      </c>
    </row>
    <row r="161" spans="1:9" x14ac:dyDescent="0.3">
      <c r="A161" t="s">
        <v>3305</v>
      </c>
      <c r="B161" t="s">
        <v>151</v>
      </c>
      <c r="C161" t="s">
        <v>3306</v>
      </c>
      <c r="D161" t="s">
        <v>3029</v>
      </c>
      <c r="E161" t="s">
        <v>3344</v>
      </c>
      <c r="F161" t="s">
        <v>3027</v>
      </c>
      <c r="G161" t="s">
        <v>3031</v>
      </c>
      <c r="H161">
        <v>20</v>
      </c>
      <c r="I161" t="s">
        <v>3345</v>
      </c>
    </row>
    <row r="162" spans="1:9" x14ac:dyDescent="0.3">
      <c r="A162" t="s">
        <v>3346</v>
      </c>
      <c r="B162" t="s">
        <v>158</v>
      </c>
      <c r="C162" t="s">
        <v>3347</v>
      </c>
      <c r="D162" t="s">
        <v>3025</v>
      </c>
      <c r="E162" t="s">
        <v>3318</v>
      </c>
      <c r="F162" t="s">
        <v>3027</v>
      </c>
      <c r="G162" t="s">
        <v>3028</v>
      </c>
      <c r="H162">
        <v>1</v>
      </c>
      <c r="I162" t="s">
        <v>3347</v>
      </c>
    </row>
    <row r="163" spans="1:9" x14ac:dyDescent="0.3">
      <c r="A163" t="s">
        <v>3346</v>
      </c>
      <c r="B163" t="s">
        <v>158</v>
      </c>
      <c r="C163" t="s">
        <v>3347</v>
      </c>
      <c r="D163" t="s">
        <v>3029</v>
      </c>
      <c r="E163" t="s">
        <v>3348</v>
      </c>
      <c r="F163" t="s">
        <v>3027</v>
      </c>
      <c r="G163" t="s">
        <v>3031</v>
      </c>
      <c r="H163">
        <v>2</v>
      </c>
      <c r="I163" t="s">
        <v>3349</v>
      </c>
    </row>
    <row r="164" spans="1:9" x14ac:dyDescent="0.3">
      <c r="A164" t="s">
        <v>3346</v>
      </c>
      <c r="B164" t="s">
        <v>158</v>
      </c>
      <c r="C164" t="s">
        <v>3347</v>
      </c>
      <c r="D164" t="s">
        <v>3029</v>
      </c>
      <c r="E164" t="s">
        <v>3350</v>
      </c>
      <c r="F164" t="s">
        <v>3027</v>
      </c>
      <c r="G164" t="s">
        <v>3031</v>
      </c>
      <c r="H164">
        <v>3</v>
      </c>
      <c r="I164" t="s">
        <v>3351</v>
      </c>
    </row>
    <row r="165" spans="1:9" x14ac:dyDescent="0.3">
      <c r="A165" t="s">
        <v>3346</v>
      </c>
      <c r="B165" t="s">
        <v>158</v>
      </c>
      <c r="C165" t="s">
        <v>3347</v>
      </c>
      <c r="D165" t="s">
        <v>3029</v>
      </c>
      <c r="E165" t="s">
        <v>3352</v>
      </c>
      <c r="F165" t="s">
        <v>3027</v>
      </c>
      <c r="G165" t="s">
        <v>3031</v>
      </c>
      <c r="H165">
        <v>4</v>
      </c>
      <c r="I165" t="s">
        <v>3353</v>
      </c>
    </row>
    <row r="166" spans="1:9" x14ac:dyDescent="0.3">
      <c r="A166" t="s">
        <v>3346</v>
      </c>
      <c r="B166" t="s">
        <v>158</v>
      </c>
      <c r="C166" t="s">
        <v>3347</v>
      </c>
      <c r="D166" t="s">
        <v>3029</v>
      </c>
      <c r="E166" t="s">
        <v>3354</v>
      </c>
      <c r="F166" t="s">
        <v>3027</v>
      </c>
      <c r="G166" t="s">
        <v>3031</v>
      </c>
      <c r="H166">
        <v>5</v>
      </c>
      <c r="I166" t="s">
        <v>3355</v>
      </c>
    </row>
    <row r="167" spans="1:9" x14ac:dyDescent="0.3">
      <c r="A167" t="s">
        <v>3346</v>
      </c>
      <c r="B167" t="s">
        <v>158</v>
      </c>
      <c r="C167" t="s">
        <v>3347</v>
      </c>
      <c r="D167" t="s">
        <v>3029</v>
      </c>
      <c r="E167" t="s">
        <v>3356</v>
      </c>
      <c r="F167" t="s">
        <v>3027</v>
      </c>
      <c r="G167" t="s">
        <v>3031</v>
      </c>
      <c r="H167">
        <v>6</v>
      </c>
      <c r="I167" t="s">
        <v>3357</v>
      </c>
    </row>
    <row r="168" spans="1:9" x14ac:dyDescent="0.3">
      <c r="A168" t="s">
        <v>3346</v>
      </c>
      <c r="B168" t="s">
        <v>158</v>
      </c>
      <c r="C168" t="s">
        <v>3347</v>
      </c>
      <c r="D168" t="s">
        <v>3029</v>
      </c>
      <c r="E168" t="s">
        <v>3358</v>
      </c>
      <c r="F168" t="s">
        <v>3027</v>
      </c>
      <c r="G168" t="s">
        <v>3031</v>
      </c>
      <c r="H168">
        <v>7</v>
      </c>
      <c r="I168" t="s">
        <v>3359</v>
      </c>
    </row>
    <row r="169" spans="1:9" x14ac:dyDescent="0.3">
      <c r="A169" t="s">
        <v>3346</v>
      </c>
      <c r="B169" t="s">
        <v>158</v>
      </c>
      <c r="C169" t="s">
        <v>3347</v>
      </c>
      <c r="D169" t="s">
        <v>3029</v>
      </c>
      <c r="E169" t="s">
        <v>3360</v>
      </c>
      <c r="F169" t="s">
        <v>3027</v>
      </c>
      <c r="G169" t="s">
        <v>3031</v>
      </c>
      <c r="H169">
        <v>8</v>
      </c>
      <c r="I169" t="s">
        <v>3361</v>
      </c>
    </row>
    <row r="170" spans="1:9" x14ac:dyDescent="0.3">
      <c r="A170" t="s">
        <v>3346</v>
      </c>
      <c r="B170" t="s">
        <v>158</v>
      </c>
      <c r="C170" t="s">
        <v>3347</v>
      </c>
      <c r="D170" t="s">
        <v>3029</v>
      </c>
      <c r="E170" t="s">
        <v>3362</v>
      </c>
      <c r="F170" t="s">
        <v>3027</v>
      </c>
      <c r="G170" t="s">
        <v>3031</v>
      </c>
      <c r="H170">
        <v>9</v>
      </c>
      <c r="I170" t="s">
        <v>3363</v>
      </c>
    </row>
    <row r="171" spans="1:9" x14ac:dyDescent="0.3">
      <c r="A171" t="s">
        <v>3346</v>
      </c>
      <c r="B171" t="s">
        <v>158</v>
      </c>
      <c r="C171" t="s">
        <v>3347</v>
      </c>
      <c r="D171" t="s">
        <v>3029</v>
      </c>
      <c r="E171" t="s">
        <v>3364</v>
      </c>
      <c r="F171" t="s">
        <v>3027</v>
      </c>
      <c r="G171" t="s">
        <v>3031</v>
      </c>
      <c r="H171">
        <v>10</v>
      </c>
      <c r="I171" t="s">
        <v>3365</v>
      </c>
    </row>
    <row r="172" spans="1:9" x14ac:dyDescent="0.3">
      <c r="A172" t="s">
        <v>3346</v>
      </c>
      <c r="B172" t="s">
        <v>158</v>
      </c>
      <c r="C172" t="s">
        <v>3347</v>
      </c>
      <c r="D172" t="s">
        <v>3029</v>
      </c>
      <c r="E172" t="s">
        <v>3366</v>
      </c>
      <c r="F172" t="s">
        <v>3027</v>
      </c>
      <c r="G172" t="s">
        <v>3031</v>
      </c>
      <c r="H172">
        <v>11</v>
      </c>
      <c r="I172" t="e">
        <f>-logy</f>
        <v>#NAME?</v>
      </c>
    </row>
    <row r="173" spans="1:9" x14ac:dyDescent="0.3">
      <c r="A173" t="s">
        <v>3346</v>
      </c>
      <c r="B173" t="s">
        <v>158</v>
      </c>
      <c r="C173" t="s">
        <v>3347</v>
      </c>
      <c r="D173" t="s">
        <v>3029</v>
      </c>
      <c r="E173" t="s">
        <v>3367</v>
      </c>
      <c r="F173" t="s">
        <v>3027</v>
      </c>
      <c r="G173" t="s">
        <v>3031</v>
      </c>
      <c r="H173">
        <v>12</v>
      </c>
      <c r="I173" t="s">
        <v>3368</v>
      </c>
    </row>
    <row r="174" spans="1:9" x14ac:dyDescent="0.3">
      <c r="A174" t="s">
        <v>3346</v>
      </c>
      <c r="B174" t="s">
        <v>158</v>
      </c>
      <c r="C174" t="s">
        <v>3347</v>
      </c>
      <c r="D174" t="s">
        <v>3029</v>
      </c>
      <c r="E174" t="s">
        <v>3369</v>
      </c>
      <c r="F174" t="s">
        <v>3027</v>
      </c>
      <c r="G174" t="s">
        <v>3031</v>
      </c>
      <c r="H174">
        <v>13</v>
      </c>
      <c r="I174" t="s">
        <v>3370</v>
      </c>
    </row>
    <row r="175" spans="1:9" x14ac:dyDescent="0.3">
      <c r="A175" t="s">
        <v>3346</v>
      </c>
      <c r="B175" t="s">
        <v>158</v>
      </c>
      <c r="C175" t="s">
        <v>3347</v>
      </c>
      <c r="D175" t="s">
        <v>3029</v>
      </c>
      <c r="E175" t="s">
        <v>3371</v>
      </c>
      <c r="F175" t="s">
        <v>3027</v>
      </c>
      <c r="G175" t="s">
        <v>3031</v>
      </c>
      <c r="H175">
        <v>14</v>
      </c>
      <c r="I175" t="s">
        <v>3372</v>
      </c>
    </row>
    <row r="176" spans="1:9" x14ac:dyDescent="0.3">
      <c r="A176" t="s">
        <v>3346</v>
      </c>
      <c r="B176" t="s">
        <v>158</v>
      </c>
      <c r="C176" t="s">
        <v>3347</v>
      </c>
      <c r="D176" t="s">
        <v>3029</v>
      </c>
      <c r="E176" t="s">
        <v>3373</v>
      </c>
      <c r="F176" t="s">
        <v>3027</v>
      </c>
      <c r="G176" t="s">
        <v>3031</v>
      </c>
      <c r="H176">
        <v>15</v>
      </c>
      <c r="I176" t="s">
        <v>3374</v>
      </c>
    </row>
    <row r="177" spans="1:9" x14ac:dyDescent="0.3">
      <c r="A177" t="s">
        <v>3346</v>
      </c>
      <c r="B177" t="s">
        <v>158</v>
      </c>
      <c r="C177" t="s">
        <v>3347</v>
      </c>
      <c r="D177" t="s">
        <v>3029</v>
      </c>
      <c r="E177" t="s">
        <v>3375</v>
      </c>
      <c r="F177" t="s">
        <v>3027</v>
      </c>
      <c r="G177" t="s">
        <v>3031</v>
      </c>
      <c r="H177">
        <v>16</v>
      </c>
      <c r="I177" t="s">
        <v>3376</v>
      </c>
    </row>
    <row r="178" spans="1:9" x14ac:dyDescent="0.3">
      <c r="A178" t="s">
        <v>3346</v>
      </c>
      <c r="B178" t="s">
        <v>158</v>
      </c>
      <c r="C178" t="s">
        <v>3347</v>
      </c>
      <c r="D178" t="s">
        <v>3029</v>
      </c>
      <c r="E178" t="s">
        <v>3377</v>
      </c>
      <c r="F178" t="s">
        <v>3027</v>
      </c>
      <c r="G178" t="s">
        <v>3031</v>
      </c>
      <c r="H178">
        <v>17</v>
      </c>
      <c r="I178" t="s">
        <v>3378</v>
      </c>
    </row>
    <row r="179" spans="1:9" x14ac:dyDescent="0.3">
      <c r="A179" t="s">
        <v>3346</v>
      </c>
      <c r="B179" t="s">
        <v>158</v>
      </c>
      <c r="C179" t="s">
        <v>3347</v>
      </c>
      <c r="D179" t="s">
        <v>3029</v>
      </c>
      <c r="E179" t="s">
        <v>3379</v>
      </c>
      <c r="F179" t="s">
        <v>3027</v>
      </c>
      <c r="G179" t="s">
        <v>3031</v>
      </c>
      <c r="H179">
        <v>18</v>
      </c>
      <c r="I179" t="s">
        <v>3380</v>
      </c>
    </row>
    <row r="180" spans="1:9" x14ac:dyDescent="0.3">
      <c r="A180" t="s">
        <v>3346</v>
      </c>
      <c r="B180" t="s">
        <v>158</v>
      </c>
      <c r="C180" t="s">
        <v>3347</v>
      </c>
      <c r="D180" t="s">
        <v>3029</v>
      </c>
      <c r="E180" t="s">
        <v>3381</v>
      </c>
      <c r="F180" t="s">
        <v>3027</v>
      </c>
      <c r="G180" t="s">
        <v>3031</v>
      </c>
      <c r="H180">
        <v>19</v>
      </c>
      <c r="I180" t="s">
        <v>3382</v>
      </c>
    </row>
    <row r="181" spans="1:9" x14ac:dyDescent="0.3">
      <c r="A181" t="s">
        <v>3346</v>
      </c>
      <c r="B181" t="s">
        <v>158</v>
      </c>
      <c r="C181" t="s">
        <v>3347</v>
      </c>
      <c r="D181" t="s">
        <v>3029</v>
      </c>
      <c r="E181" t="s">
        <v>3383</v>
      </c>
      <c r="F181" t="s">
        <v>3027</v>
      </c>
      <c r="G181" t="s">
        <v>3031</v>
      </c>
      <c r="H181">
        <v>20</v>
      </c>
      <c r="I181" t="s">
        <v>3384</v>
      </c>
    </row>
    <row r="182" spans="1:9" x14ac:dyDescent="0.3">
      <c r="A182" t="s">
        <v>3385</v>
      </c>
      <c r="B182" t="s">
        <v>165</v>
      </c>
      <c r="C182" t="s">
        <v>3386</v>
      </c>
      <c r="D182" t="s">
        <v>3025</v>
      </c>
      <c r="E182" t="s">
        <v>3387</v>
      </c>
      <c r="F182" t="s">
        <v>3027</v>
      </c>
      <c r="G182" t="s">
        <v>3028</v>
      </c>
      <c r="H182">
        <v>1</v>
      </c>
      <c r="I182" t="s">
        <v>3386</v>
      </c>
    </row>
    <row r="183" spans="1:9" x14ac:dyDescent="0.3">
      <c r="A183" t="s">
        <v>3385</v>
      </c>
      <c r="B183" t="s">
        <v>165</v>
      </c>
      <c r="C183" t="s">
        <v>3386</v>
      </c>
      <c r="D183" t="s">
        <v>3029</v>
      </c>
      <c r="E183" t="s">
        <v>3388</v>
      </c>
      <c r="F183" t="s">
        <v>3027</v>
      </c>
      <c r="G183" t="s">
        <v>3031</v>
      </c>
      <c r="H183">
        <v>2</v>
      </c>
      <c r="I183" t="s">
        <v>3389</v>
      </c>
    </row>
    <row r="184" spans="1:9" x14ac:dyDescent="0.3">
      <c r="A184" t="s">
        <v>3385</v>
      </c>
      <c r="B184" t="s">
        <v>165</v>
      </c>
      <c r="C184" t="s">
        <v>3386</v>
      </c>
      <c r="D184" t="s">
        <v>3029</v>
      </c>
      <c r="E184" t="s">
        <v>3390</v>
      </c>
      <c r="F184" t="s">
        <v>3027</v>
      </c>
      <c r="G184" t="s">
        <v>3031</v>
      </c>
      <c r="H184">
        <v>3</v>
      </c>
      <c r="I184" t="s">
        <v>3391</v>
      </c>
    </row>
    <row r="185" spans="1:9" x14ac:dyDescent="0.3">
      <c r="A185" t="s">
        <v>3385</v>
      </c>
      <c r="B185" t="s">
        <v>165</v>
      </c>
      <c r="C185" t="s">
        <v>3386</v>
      </c>
      <c r="D185" t="s">
        <v>3029</v>
      </c>
      <c r="E185" t="s">
        <v>3392</v>
      </c>
      <c r="F185" t="s">
        <v>3027</v>
      </c>
      <c r="G185" t="s">
        <v>3031</v>
      </c>
      <c r="H185">
        <v>4</v>
      </c>
      <c r="I185" t="s">
        <v>3393</v>
      </c>
    </row>
    <row r="186" spans="1:9" x14ac:dyDescent="0.3">
      <c r="A186" t="s">
        <v>3385</v>
      </c>
      <c r="B186" t="s">
        <v>165</v>
      </c>
      <c r="C186" t="s">
        <v>3386</v>
      </c>
      <c r="D186" t="s">
        <v>3029</v>
      </c>
      <c r="E186" t="s">
        <v>3394</v>
      </c>
      <c r="F186" t="s">
        <v>3027</v>
      </c>
      <c r="G186" t="s">
        <v>3031</v>
      </c>
      <c r="H186">
        <v>5</v>
      </c>
      <c r="I186" t="s">
        <v>3395</v>
      </c>
    </row>
    <row r="187" spans="1:9" x14ac:dyDescent="0.3">
      <c r="A187" t="s">
        <v>3385</v>
      </c>
      <c r="B187" t="s">
        <v>165</v>
      </c>
      <c r="C187" t="s">
        <v>3386</v>
      </c>
      <c r="D187" t="s">
        <v>3029</v>
      </c>
      <c r="E187" t="s">
        <v>3396</v>
      </c>
      <c r="F187" t="s">
        <v>3027</v>
      </c>
      <c r="G187" t="s">
        <v>3031</v>
      </c>
      <c r="H187">
        <v>6</v>
      </c>
      <c r="I187" t="s">
        <v>3397</v>
      </c>
    </row>
    <row r="188" spans="1:9" x14ac:dyDescent="0.3">
      <c r="A188" t="s">
        <v>3385</v>
      </c>
      <c r="B188" t="s">
        <v>165</v>
      </c>
      <c r="C188" t="s">
        <v>3386</v>
      </c>
      <c r="D188" t="s">
        <v>3029</v>
      </c>
      <c r="E188" t="s">
        <v>3398</v>
      </c>
      <c r="F188" t="s">
        <v>3027</v>
      </c>
      <c r="G188" t="s">
        <v>3031</v>
      </c>
      <c r="H188">
        <v>7</v>
      </c>
      <c r="I188" t="s">
        <v>3399</v>
      </c>
    </row>
    <row r="189" spans="1:9" x14ac:dyDescent="0.3">
      <c r="A189" t="s">
        <v>3385</v>
      </c>
      <c r="B189" t="s">
        <v>165</v>
      </c>
      <c r="C189" t="s">
        <v>3386</v>
      </c>
      <c r="D189" t="s">
        <v>3029</v>
      </c>
      <c r="E189" t="s">
        <v>3400</v>
      </c>
      <c r="F189" t="s">
        <v>3027</v>
      </c>
      <c r="G189" t="s">
        <v>3031</v>
      </c>
      <c r="H189">
        <v>8</v>
      </c>
      <c r="I189" t="s">
        <v>3401</v>
      </c>
    </row>
    <row r="190" spans="1:9" x14ac:dyDescent="0.3">
      <c r="A190" t="s">
        <v>3385</v>
      </c>
      <c r="B190" t="s">
        <v>165</v>
      </c>
      <c r="C190" t="s">
        <v>3386</v>
      </c>
      <c r="D190" t="s">
        <v>3029</v>
      </c>
      <c r="E190" t="s">
        <v>3402</v>
      </c>
      <c r="F190" t="s">
        <v>3027</v>
      </c>
      <c r="G190" t="s">
        <v>3031</v>
      </c>
      <c r="H190">
        <v>9</v>
      </c>
      <c r="I190" t="s">
        <v>3403</v>
      </c>
    </row>
    <row r="191" spans="1:9" x14ac:dyDescent="0.3">
      <c r="A191" t="s">
        <v>3385</v>
      </c>
      <c r="B191" t="s">
        <v>165</v>
      </c>
      <c r="C191" t="s">
        <v>3386</v>
      </c>
      <c r="D191" t="s">
        <v>3029</v>
      </c>
      <c r="E191" t="s">
        <v>3404</v>
      </c>
      <c r="F191" t="s">
        <v>3027</v>
      </c>
      <c r="G191" t="s">
        <v>3031</v>
      </c>
      <c r="H191">
        <v>10</v>
      </c>
      <c r="I191" t="s">
        <v>3405</v>
      </c>
    </row>
    <row r="192" spans="1:9" x14ac:dyDescent="0.3">
      <c r="A192" t="s">
        <v>3385</v>
      </c>
      <c r="B192" t="s">
        <v>165</v>
      </c>
      <c r="C192" t="s">
        <v>3386</v>
      </c>
      <c r="D192" t="s">
        <v>3029</v>
      </c>
      <c r="E192" t="s">
        <v>3406</v>
      </c>
      <c r="F192" t="s">
        <v>3027</v>
      </c>
      <c r="G192" t="s">
        <v>3031</v>
      </c>
      <c r="H192">
        <v>11</v>
      </c>
      <c r="I192" t="s">
        <v>3407</v>
      </c>
    </row>
    <row r="193" spans="1:9" x14ac:dyDescent="0.3">
      <c r="A193" t="s">
        <v>3385</v>
      </c>
      <c r="B193" t="s">
        <v>165</v>
      </c>
      <c r="C193" t="s">
        <v>3386</v>
      </c>
      <c r="D193" t="s">
        <v>3029</v>
      </c>
      <c r="E193" t="s">
        <v>3408</v>
      </c>
      <c r="F193" t="s">
        <v>3027</v>
      </c>
      <c r="G193" t="s">
        <v>3031</v>
      </c>
      <c r="H193">
        <v>12</v>
      </c>
      <c r="I193" t="s">
        <v>3409</v>
      </c>
    </row>
    <row r="194" spans="1:9" x14ac:dyDescent="0.3">
      <c r="A194" t="s">
        <v>3385</v>
      </c>
      <c r="B194" t="s">
        <v>165</v>
      </c>
      <c r="C194" t="s">
        <v>3386</v>
      </c>
      <c r="D194" t="s">
        <v>3029</v>
      </c>
      <c r="E194" t="s">
        <v>3410</v>
      </c>
      <c r="F194" t="s">
        <v>3027</v>
      </c>
      <c r="G194" t="s">
        <v>3031</v>
      </c>
      <c r="H194">
        <v>13</v>
      </c>
      <c r="I194" t="s">
        <v>3411</v>
      </c>
    </row>
    <row r="195" spans="1:9" x14ac:dyDescent="0.3">
      <c r="A195" t="s">
        <v>3385</v>
      </c>
      <c r="B195" t="s">
        <v>165</v>
      </c>
      <c r="C195" t="s">
        <v>3386</v>
      </c>
      <c r="D195" t="s">
        <v>3029</v>
      </c>
      <c r="E195" t="s">
        <v>3412</v>
      </c>
      <c r="F195" t="s">
        <v>3027</v>
      </c>
      <c r="G195" t="s">
        <v>3031</v>
      </c>
      <c r="H195">
        <v>14</v>
      </c>
      <c r="I195" t="s">
        <v>3413</v>
      </c>
    </row>
    <row r="196" spans="1:9" x14ac:dyDescent="0.3">
      <c r="A196" t="s">
        <v>3385</v>
      </c>
      <c r="B196" t="s">
        <v>165</v>
      </c>
      <c r="C196" t="s">
        <v>3386</v>
      </c>
      <c r="D196" t="s">
        <v>3029</v>
      </c>
      <c r="E196" t="s">
        <v>3414</v>
      </c>
      <c r="F196" t="s">
        <v>3027</v>
      </c>
      <c r="G196" t="s">
        <v>3031</v>
      </c>
      <c r="H196">
        <v>15</v>
      </c>
      <c r="I196" t="s">
        <v>3415</v>
      </c>
    </row>
    <row r="197" spans="1:9" x14ac:dyDescent="0.3">
      <c r="A197" t="s">
        <v>3385</v>
      </c>
      <c r="B197" t="s">
        <v>165</v>
      </c>
      <c r="C197" t="s">
        <v>3386</v>
      </c>
      <c r="D197" t="s">
        <v>3029</v>
      </c>
      <c r="E197" t="s">
        <v>3416</v>
      </c>
      <c r="F197" t="s">
        <v>3027</v>
      </c>
      <c r="G197" t="s">
        <v>3031</v>
      </c>
      <c r="H197">
        <v>16</v>
      </c>
      <c r="I197" t="s">
        <v>3417</v>
      </c>
    </row>
    <row r="198" spans="1:9" x14ac:dyDescent="0.3">
      <c r="A198" t="s">
        <v>3385</v>
      </c>
      <c r="B198" t="s">
        <v>165</v>
      </c>
      <c r="C198" t="s">
        <v>3386</v>
      </c>
      <c r="D198" t="s">
        <v>3029</v>
      </c>
      <c r="E198" t="s">
        <v>3418</v>
      </c>
      <c r="F198" t="s">
        <v>3027</v>
      </c>
      <c r="G198" t="s">
        <v>3031</v>
      </c>
      <c r="H198">
        <v>17</v>
      </c>
      <c r="I198" t="s">
        <v>3419</v>
      </c>
    </row>
    <row r="199" spans="1:9" x14ac:dyDescent="0.3">
      <c r="A199" t="s">
        <v>3385</v>
      </c>
      <c r="B199" t="s">
        <v>165</v>
      </c>
      <c r="C199" t="s">
        <v>3386</v>
      </c>
      <c r="D199" t="s">
        <v>3029</v>
      </c>
      <c r="E199" t="s">
        <v>3420</v>
      </c>
      <c r="F199" t="s">
        <v>3027</v>
      </c>
      <c r="G199" t="s">
        <v>3031</v>
      </c>
      <c r="H199">
        <v>18</v>
      </c>
      <c r="I199" t="s">
        <v>3421</v>
      </c>
    </row>
    <row r="200" spans="1:9" x14ac:dyDescent="0.3">
      <c r="A200" t="s">
        <v>3385</v>
      </c>
      <c r="B200" t="s">
        <v>165</v>
      </c>
      <c r="C200" t="s">
        <v>3386</v>
      </c>
      <c r="D200" t="s">
        <v>3029</v>
      </c>
      <c r="E200" t="s">
        <v>3422</v>
      </c>
      <c r="F200" t="s">
        <v>3027</v>
      </c>
      <c r="G200" t="s">
        <v>3031</v>
      </c>
      <c r="H200">
        <v>19</v>
      </c>
      <c r="I200" t="s">
        <v>3423</v>
      </c>
    </row>
    <row r="201" spans="1:9" x14ac:dyDescent="0.3">
      <c r="A201" t="s">
        <v>3385</v>
      </c>
      <c r="B201" t="s">
        <v>165</v>
      </c>
      <c r="C201" t="s">
        <v>3386</v>
      </c>
      <c r="D201" t="s">
        <v>3029</v>
      </c>
      <c r="E201" t="s">
        <v>3424</v>
      </c>
      <c r="F201" t="s">
        <v>3027</v>
      </c>
      <c r="G201" t="s">
        <v>3031</v>
      </c>
      <c r="H201">
        <v>20</v>
      </c>
      <c r="I201" t="s">
        <v>3425</v>
      </c>
    </row>
    <row r="202" spans="1:9" x14ac:dyDescent="0.3">
      <c r="A202" t="s">
        <v>3426</v>
      </c>
      <c r="B202" t="s">
        <v>172</v>
      </c>
      <c r="C202" t="s">
        <v>3427</v>
      </c>
      <c r="D202" t="s">
        <v>3025</v>
      </c>
      <c r="E202" t="s">
        <v>3428</v>
      </c>
      <c r="F202" t="s">
        <v>3027</v>
      </c>
      <c r="G202" t="s">
        <v>3028</v>
      </c>
      <c r="H202">
        <v>1</v>
      </c>
      <c r="I202" t="s">
        <v>3427</v>
      </c>
    </row>
    <row r="203" spans="1:9" x14ac:dyDescent="0.3">
      <c r="A203" t="s">
        <v>3426</v>
      </c>
      <c r="B203" t="s">
        <v>172</v>
      </c>
      <c r="C203" t="s">
        <v>3427</v>
      </c>
      <c r="D203" t="s">
        <v>3029</v>
      </c>
      <c r="E203" t="s">
        <v>3429</v>
      </c>
      <c r="F203" t="s">
        <v>3027</v>
      </c>
      <c r="G203" t="s">
        <v>3031</v>
      </c>
      <c r="H203">
        <v>2</v>
      </c>
      <c r="I203" t="s">
        <v>3430</v>
      </c>
    </row>
    <row r="204" spans="1:9" x14ac:dyDescent="0.3">
      <c r="A204" t="s">
        <v>3426</v>
      </c>
      <c r="B204" t="s">
        <v>172</v>
      </c>
      <c r="C204" t="s">
        <v>3427</v>
      </c>
      <c r="D204" t="s">
        <v>3029</v>
      </c>
      <c r="E204" t="s">
        <v>3431</v>
      </c>
      <c r="F204" t="s">
        <v>3027</v>
      </c>
      <c r="G204" t="s">
        <v>3031</v>
      </c>
      <c r="H204">
        <v>3</v>
      </c>
      <c r="I204" t="s">
        <v>3432</v>
      </c>
    </row>
    <row r="205" spans="1:9" x14ac:dyDescent="0.3">
      <c r="A205" t="s">
        <v>3426</v>
      </c>
      <c r="B205" t="s">
        <v>172</v>
      </c>
      <c r="C205" t="s">
        <v>3427</v>
      </c>
      <c r="D205" t="s">
        <v>3029</v>
      </c>
      <c r="E205" t="s">
        <v>3433</v>
      </c>
      <c r="F205" t="s">
        <v>3027</v>
      </c>
      <c r="G205" t="s">
        <v>3031</v>
      </c>
      <c r="H205">
        <v>4</v>
      </c>
      <c r="I205" t="s">
        <v>3434</v>
      </c>
    </row>
    <row r="206" spans="1:9" x14ac:dyDescent="0.3">
      <c r="A206" t="s">
        <v>3426</v>
      </c>
      <c r="B206" t="s">
        <v>172</v>
      </c>
      <c r="C206" t="s">
        <v>3427</v>
      </c>
      <c r="D206" t="s">
        <v>3029</v>
      </c>
      <c r="E206" t="s">
        <v>3435</v>
      </c>
      <c r="F206" t="s">
        <v>3027</v>
      </c>
      <c r="G206" t="s">
        <v>3031</v>
      </c>
      <c r="H206">
        <v>5</v>
      </c>
      <c r="I206" t="s">
        <v>3436</v>
      </c>
    </row>
    <row r="207" spans="1:9" x14ac:dyDescent="0.3">
      <c r="A207" t="s">
        <v>3426</v>
      </c>
      <c r="B207" t="s">
        <v>172</v>
      </c>
      <c r="C207" t="s">
        <v>3427</v>
      </c>
      <c r="D207" t="s">
        <v>3029</v>
      </c>
      <c r="E207" t="s">
        <v>3437</v>
      </c>
      <c r="F207" t="s">
        <v>3027</v>
      </c>
      <c r="G207" t="s">
        <v>3031</v>
      </c>
      <c r="H207">
        <v>6</v>
      </c>
      <c r="I207" t="s">
        <v>3438</v>
      </c>
    </row>
    <row r="208" spans="1:9" x14ac:dyDescent="0.3">
      <c r="A208" t="s">
        <v>3426</v>
      </c>
      <c r="B208" t="s">
        <v>172</v>
      </c>
      <c r="C208" t="s">
        <v>3427</v>
      </c>
      <c r="D208" t="s">
        <v>3029</v>
      </c>
      <c r="E208" t="s">
        <v>3439</v>
      </c>
      <c r="F208" t="s">
        <v>3027</v>
      </c>
      <c r="G208" t="s">
        <v>3031</v>
      </c>
      <c r="H208">
        <v>7</v>
      </c>
      <c r="I208" t="s">
        <v>3440</v>
      </c>
    </row>
    <row r="209" spans="1:9" x14ac:dyDescent="0.3">
      <c r="A209" t="s">
        <v>3426</v>
      </c>
      <c r="B209" t="s">
        <v>172</v>
      </c>
      <c r="C209" t="s">
        <v>3427</v>
      </c>
      <c r="D209" t="s">
        <v>3029</v>
      </c>
      <c r="E209" t="s">
        <v>3441</v>
      </c>
      <c r="F209" t="s">
        <v>3027</v>
      </c>
      <c r="G209" t="s">
        <v>3031</v>
      </c>
      <c r="H209">
        <v>8</v>
      </c>
      <c r="I209" t="s">
        <v>3442</v>
      </c>
    </row>
    <row r="210" spans="1:9" x14ac:dyDescent="0.3">
      <c r="A210" t="s">
        <v>3426</v>
      </c>
      <c r="B210" t="s">
        <v>172</v>
      </c>
      <c r="C210" t="s">
        <v>3427</v>
      </c>
      <c r="D210" t="s">
        <v>3029</v>
      </c>
      <c r="E210" t="s">
        <v>3443</v>
      </c>
      <c r="F210" t="s">
        <v>3027</v>
      </c>
      <c r="G210" t="s">
        <v>3031</v>
      </c>
      <c r="H210">
        <v>9</v>
      </c>
      <c r="I210" t="s">
        <v>3444</v>
      </c>
    </row>
    <row r="211" spans="1:9" x14ac:dyDescent="0.3">
      <c r="A211" t="s">
        <v>3426</v>
      </c>
      <c r="B211" t="s">
        <v>172</v>
      </c>
      <c r="C211" t="s">
        <v>3427</v>
      </c>
      <c r="D211" t="s">
        <v>3029</v>
      </c>
      <c r="E211" t="s">
        <v>3445</v>
      </c>
      <c r="F211" t="s">
        <v>3027</v>
      </c>
      <c r="G211" t="s">
        <v>3031</v>
      </c>
      <c r="H211">
        <v>10</v>
      </c>
      <c r="I211" t="s">
        <v>3446</v>
      </c>
    </row>
    <row r="212" spans="1:9" x14ac:dyDescent="0.3">
      <c r="A212" t="s">
        <v>3426</v>
      </c>
      <c r="B212" t="s">
        <v>172</v>
      </c>
      <c r="C212" t="s">
        <v>3427</v>
      </c>
      <c r="D212" t="s">
        <v>3029</v>
      </c>
      <c r="E212" t="s">
        <v>3447</v>
      </c>
      <c r="F212" t="s">
        <v>3027</v>
      </c>
      <c r="G212" t="s">
        <v>3031</v>
      </c>
      <c r="H212">
        <v>11</v>
      </c>
      <c r="I212" t="s">
        <v>3448</v>
      </c>
    </row>
    <row r="213" spans="1:9" x14ac:dyDescent="0.3">
      <c r="A213" t="s">
        <v>3426</v>
      </c>
      <c r="B213" t="s">
        <v>172</v>
      </c>
      <c r="C213" t="s">
        <v>3427</v>
      </c>
      <c r="D213" t="s">
        <v>3029</v>
      </c>
      <c r="E213" t="s">
        <v>3449</v>
      </c>
      <c r="F213" t="s">
        <v>3027</v>
      </c>
      <c r="G213" t="s">
        <v>3031</v>
      </c>
      <c r="H213">
        <v>12</v>
      </c>
      <c r="I213" t="s">
        <v>3450</v>
      </c>
    </row>
    <row r="214" spans="1:9" x14ac:dyDescent="0.3">
      <c r="A214" t="s">
        <v>3426</v>
      </c>
      <c r="B214" t="s">
        <v>172</v>
      </c>
      <c r="C214" t="s">
        <v>3427</v>
      </c>
      <c r="D214" t="s">
        <v>3029</v>
      </c>
      <c r="E214" t="s">
        <v>3451</v>
      </c>
      <c r="F214" t="s">
        <v>3027</v>
      </c>
      <c r="G214" t="s">
        <v>3031</v>
      </c>
      <c r="H214">
        <v>13</v>
      </c>
      <c r="I214" t="s">
        <v>3452</v>
      </c>
    </row>
    <row r="215" spans="1:9" x14ac:dyDescent="0.3">
      <c r="A215" t="s">
        <v>3426</v>
      </c>
      <c r="B215" t="s">
        <v>172</v>
      </c>
      <c r="C215" t="s">
        <v>3427</v>
      </c>
      <c r="D215" t="s">
        <v>3029</v>
      </c>
      <c r="E215" t="s">
        <v>3453</v>
      </c>
      <c r="F215" t="s">
        <v>3027</v>
      </c>
      <c r="G215" t="s">
        <v>3031</v>
      </c>
      <c r="H215">
        <v>14</v>
      </c>
      <c r="I215" t="s">
        <v>3454</v>
      </c>
    </row>
    <row r="216" spans="1:9" x14ac:dyDescent="0.3">
      <c r="A216" t="s">
        <v>3426</v>
      </c>
      <c r="B216" t="s">
        <v>172</v>
      </c>
      <c r="C216" t="s">
        <v>3427</v>
      </c>
      <c r="D216" t="s">
        <v>3029</v>
      </c>
      <c r="E216" t="s">
        <v>3455</v>
      </c>
      <c r="F216" t="s">
        <v>3027</v>
      </c>
      <c r="G216" t="s">
        <v>3031</v>
      </c>
      <c r="H216">
        <v>15</v>
      </c>
      <c r="I216" t="s">
        <v>3456</v>
      </c>
    </row>
    <row r="217" spans="1:9" x14ac:dyDescent="0.3">
      <c r="A217" t="s">
        <v>3426</v>
      </c>
      <c r="B217" t="s">
        <v>172</v>
      </c>
      <c r="C217" t="s">
        <v>3427</v>
      </c>
      <c r="D217" t="s">
        <v>3029</v>
      </c>
      <c r="E217" t="s">
        <v>3457</v>
      </c>
      <c r="F217" t="s">
        <v>3027</v>
      </c>
      <c r="G217" t="s">
        <v>3031</v>
      </c>
      <c r="H217">
        <v>16</v>
      </c>
      <c r="I217" t="s">
        <v>3458</v>
      </c>
    </row>
    <row r="218" spans="1:9" x14ac:dyDescent="0.3">
      <c r="A218" t="s">
        <v>3426</v>
      </c>
      <c r="B218" t="s">
        <v>172</v>
      </c>
      <c r="C218" t="s">
        <v>3427</v>
      </c>
      <c r="D218" t="s">
        <v>3029</v>
      </c>
      <c r="E218" t="s">
        <v>3459</v>
      </c>
      <c r="F218" t="s">
        <v>3027</v>
      </c>
      <c r="G218" t="s">
        <v>3031</v>
      </c>
      <c r="H218">
        <v>17</v>
      </c>
      <c r="I218" t="s">
        <v>3460</v>
      </c>
    </row>
    <row r="219" spans="1:9" x14ac:dyDescent="0.3">
      <c r="A219" t="s">
        <v>3426</v>
      </c>
      <c r="B219" t="s">
        <v>172</v>
      </c>
      <c r="C219" t="s">
        <v>3427</v>
      </c>
      <c r="D219" t="s">
        <v>3029</v>
      </c>
      <c r="E219" t="s">
        <v>3461</v>
      </c>
      <c r="F219" t="s">
        <v>3027</v>
      </c>
      <c r="G219" t="s">
        <v>3031</v>
      </c>
      <c r="H219">
        <v>18</v>
      </c>
      <c r="I219" t="s">
        <v>3462</v>
      </c>
    </row>
    <row r="220" spans="1:9" x14ac:dyDescent="0.3">
      <c r="A220" t="s">
        <v>3426</v>
      </c>
      <c r="B220" t="s">
        <v>172</v>
      </c>
      <c r="C220" t="s">
        <v>3427</v>
      </c>
      <c r="D220" t="s">
        <v>3029</v>
      </c>
      <c r="E220" t="s">
        <v>3463</v>
      </c>
      <c r="F220" t="s">
        <v>3027</v>
      </c>
      <c r="G220" t="s">
        <v>3031</v>
      </c>
      <c r="H220">
        <v>19</v>
      </c>
      <c r="I220" t="s">
        <v>3464</v>
      </c>
    </row>
    <row r="221" spans="1:9" x14ac:dyDescent="0.3">
      <c r="A221" t="s">
        <v>3426</v>
      </c>
      <c r="B221" t="s">
        <v>172</v>
      </c>
      <c r="C221" t="s">
        <v>3427</v>
      </c>
      <c r="D221" t="s">
        <v>3029</v>
      </c>
      <c r="E221" t="s">
        <v>3465</v>
      </c>
      <c r="F221" t="s">
        <v>3027</v>
      </c>
      <c r="G221" t="s">
        <v>3031</v>
      </c>
      <c r="H221">
        <v>20</v>
      </c>
      <c r="I221" t="s">
        <v>3466</v>
      </c>
    </row>
    <row r="222" spans="1:9" x14ac:dyDescent="0.3">
      <c r="A222" t="s">
        <v>3467</v>
      </c>
      <c r="B222" t="s">
        <v>180</v>
      </c>
      <c r="C222" t="s">
        <v>180</v>
      </c>
      <c r="D222" t="s">
        <v>3025</v>
      </c>
      <c r="E222" t="s">
        <v>3468</v>
      </c>
      <c r="F222" t="s">
        <v>3027</v>
      </c>
      <c r="G222" t="s">
        <v>3028</v>
      </c>
      <c r="H222">
        <v>1</v>
      </c>
      <c r="I222" t="s">
        <v>180</v>
      </c>
    </row>
    <row r="223" spans="1:9" x14ac:dyDescent="0.3">
      <c r="A223" t="s">
        <v>3467</v>
      </c>
      <c r="B223" t="s">
        <v>180</v>
      </c>
      <c r="C223" t="s">
        <v>180</v>
      </c>
      <c r="D223" t="s">
        <v>3029</v>
      </c>
      <c r="E223" t="s">
        <v>3469</v>
      </c>
      <c r="F223" t="s">
        <v>3027</v>
      </c>
      <c r="G223" t="s">
        <v>3031</v>
      </c>
      <c r="H223">
        <v>2</v>
      </c>
      <c r="I223" t="s">
        <v>3470</v>
      </c>
    </row>
    <row r="224" spans="1:9" x14ac:dyDescent="0.3">
      <c r="A224" t="s">
        <v>3467</v>
      </c>
      <c r="B224" t="s">
        <v>180</v>
      </c>
      <c r="C224" t="s">
        <v>180</v>
      </c>
      <c r="D224" t="s">
        <v>3029</v>
      </c>
      <c r="E224" t="s">
        <v>3471</v>
      </c>
      <c r="F224" t="s">
        <v>3027</v>
      </c>
      <c r="G224" t="s">
        <v>3031</v>
      </c>
      <c r="H224">
        <v>3</v>
      </c>
      <c r="I224" t="s">
        <v>3472</v>
      </c>
    </row>
    <row r="225" spans="1:9" x14ac:dyDescent="0.3">
      <c r="A225" t="s">
        <v>3467</v>
      </c>
      <c r="B225" t="s">
        <v>180</v>
      </c>
      <c r="C225" t="s">
        <v>180</v>
      </c>
      <c r="D225" t="s">
        <v>3029</v>
      </c>
      <c r="E225" t="s">
        <v>3473</v>
      </c>
      <c r="F225" t="s">
        <v>3027</v>
      </c>
      <c r="G225" t="s">
        <v>3031</v>
      </c>
      <c r="H225">
        <v>4</v>
      </c>
      <c r="I225" t="s">
        <v>3474</v>
      </c>
    </row>
    <row r="226" spans="1:9" x14ac:dyDescent="0.3">
      <c r="A226" t="s">
        <v>3467</v>
      </c>
      <c r="B226" t="s">
        <v>180</v>
      </c>
      <c r="C226" t="s">
        <v>180</v>
      </c>
      <c r="D226" t="s">
        <v>3029</v>
      </c>
      <c r="E226" t="s">
        <v>3475</v>
      </c>
      <c r="F226" t="s">
        <v>3027</v>
      </c>
      <c r="G226" t="s">
        <v>3031</v>
      </c>
      <c r="H226">
        <v>5</v>
      </c>
      <c r="I226" t="s">
        <v>3476</v>
      </c>
    </row>
    <row r="227" spans="1:9" x14ac:dyDescent="0.3">
      <c r="A227" t="s">
        <v>3467</v>
      </c>
      <c r="B227" t="s">
        <v>180</v>
      </c>
      <c r="C227" t="s">
        <v>180</v>
      </c>
      <c r="D227" t="s">
        <v>3029</v>
      </c>
      <c r="E227" t="s">
        <v>3254</v>
      </c>
      <c r="F227" t="s">
        <v>3027</v>
      </c>
      <c r="G227" t="s">
        <v>3031</v>
      </c>
      <c r="H227">
        <v>6</v>
      </c>
      <c r="I227" t="s">
        <v>3255</v>
      </c>
    </row>
    <row r="228" spans="1:9" x14ac:dyDescent="0.3">
      <c r="A228" t="s">
        <v>3467</v>
      </c>
      <c r="B228" t="s">
        <v>180</v>
      </c>
      <c r="C228" t="s">
        <v>180</v>
      </c>
      <c r="D228" t="s">
        <v>3029</v>
      </c>
      <c r="E228" t="s">
        <v>3477</v>
      </c>
      <c r="F228" t="s">
        <v>3027</v>
      </c>
      <c r="G228" t="s">
        <v>3031</v>
      </c>
      <c r="H228">
        <v>7</v>
      </c>
      <c r="I228" t="s">
        <v>3478</v>
      </c>
    </row>
    <row r="229" spans="1:9" x14ac:dyDescent="0.3">
      <c r="A229" t="s">
        <v>3467</v>
      </c>
      <c r="B229" t="s">
        <v>180</v>
      </c>
      <c r="C229" t="s">
        <v>180</v>
      </c>
      <c r="D229" t="s">
        <v>3029</v>
      </c>
      <c r="E229" t="s">
        <v>3479</v>
      </c>
      <c r="F229" t="s">
        <v>3027</v>
      </c>
      <c r="G229" t="s">
        <v>3031</v>
      </c>
      <c r="H229">
        <v>8</v>
      </c>
      <c r="I229" t="s">
        <v>3480</v>
      </c>
    </row>
    <row r="230" spans="1:9" x14ac:dyDescent="0.3">
      <c r="A230" t="s">
        <v>3467</v>
      </c>
      <c r="B230" t="s">
        <v>180</v>
      </c>
      <c r="C230" t="s">
        <v>180</v>
      </c>
      <c r="D230" t="s">
        <v>3029</v>
      </c>
      <c r="E230" t="s">
        <v>3481</v>
      </c>
      <c r="F230" t="s">
        <v>3027</v>
      </c>
      <c r="G230" t="s">
        <v>3031</v>
      </c>
      <c r="H230">
        <v>9</v>
      </c>
      <c r="I230" t="s">
        <v>3482</v>
      </c>
    </row>
    <row r="231" spans="1:9" x14ac:dyDescent="0.3">
      <c r="A231" t="s">
        <v>3467</v>
      </c>
      <c r="B231" t="s">
        <v>180</v>
      </c>
      <c r="C231" t="s">
        <v>180</v>
      </c>
      <c r="D231" t="s">
        <v>3029</v>
      </c>
      <c r="E231" t="s">
        <v>3483</v>
      </c>
      <c r="F231" t="s">
        <v>3027</v>
      </c>
      <c r="G231" t="s">
        <v>3031</v>
      </c>
      <c r="H231">
        <v>10</v>
      </c>
      <c r="I231" t="s">
        <v>3484</v>
      </c>
    </row>
    <row r="232" spans="1:9" x14ac:dyDescent="0.3">
      <c r="A232" t="s">
        <v>3467</v>
      </c>
      <c r="B232" t="s">
        <v>180</v>
      </c>
      <c r="C232" t="s">
        <v>180</v>
      </c>
      <c r="D232" t="s">
        <v>3029</v>
      </c>
      <c r="E232" t="s">
        <v>3485</v>
      </c>
      <c r="F232" t="s">
        <v>3027</v>
      </c>
      <c r="G232" t="s">
        <v>3031</v>
      </c>
      <c r="H232">
        <v>11</v>
      </c>
      <c r="I232" t="s">
        <v>3486</v>
      </c>
    </row>
    <row r="233" spans="1:9" x14ac:dyDescent="0.3">
      <c r="A233" t="s">
        <v>3467</v>
      </c>
      <c r="B233" t="s">
        <v>180</v>
      </c>
      <c r="C233" t="s">
        <v>180</v>
      </c>
      <c r="D233" t="s">
        <v>3029</v>
      </c>
      <c r="E233" t="s">
        <v>3487</v>
      </c>
      <c r="F233" t="s">
        <v>3027</v>
      </c>
      <c r="G233" t="s">
        <v>3031</v>
      </c>
      <c r="H233">
        <v>12</v>
      </c>
      <c r="I233" t="s">
        <v>3488</v>
      </c>
    </row>
    <row r="234" spans="1:9" x14ac:dyDescent="0.3">
      <c r="A234" t="s">
        <v>3467</v>
      </c>
      <c r="B234" t="s">
        <v>180</v>
      </c>
      <c r="C234" t="s">
        <v>180</v>
      </c>
      <c r="D234" t="s">
        <v>3029</v>
      </c>
      <c r="E234" t="s">
        <v>3489</v>
      </c>
      <c r="F234" t="s">
        <v>3027</v>
      </c>
      <c r="G234" t="s">
        <v>3031</v>
      </c>
      <c r="H234">
        <v>13</v>
      </c>
      <c r="I234" t="s">
        <v>3490</v>
      </c>
    </row>
    <row r="235" spans="1:9" x14ac:dyDescent="0.3">
      <c r="A235" t="s">
        <v>3467</v>
      </c>
      <c r="B235" t="s">
        <v>180</v>
      </c>
      <c r="C235" t="s">
        <v>180</v>
      </c>
      <c r="D235" t="s">
        <v>3029</v>
      </c>
      <c r="E235" t="s">
        <v>3491</v>
      </c>
      <c r="F235" t="s">
        <v>3027</v>
      </c>
      <c r="G235" t="s">
        <v>3031</v>
      </c>
      <c r="H235">
        <v>14</v>
      </c>
      <c r="I235" t="s">
        <v>3492</v>
      </c>
    </row>
    <row r="236" spans="1:9" x14ac:dyDescent="0.3">
      <c r="A236" t="s">
        <v>3467</v>
      </c>
      <c r="B236" t="s">
        <v>180</v>
      </c>
      <c r="C236" t="s">
        <v>180</v>
      </c>
      <c r="D236" t="s">
        <v>3029</v>
      </c>
      <c r="E236" t="s">
        <v>3493</v>
      </c>
      <c r="F236" t="s">
        <v>3027</v>
      </c>
      <c r="G236" t="s">
        <v>3031</v>
      </c>
      <c r="H236">
        <v>15</v>
      </c>
      <c r="I236" t="s">
        <v>3494</v>
      </c>
    </row>
    <row r="237" spans="1:9" x14ac:dyDescent="0.3">
      <c r="A237" t="s">
        <v>3467</v>
      </c>
      <c r="B237" t="s">
        <v>180</v>
      </c>
      <c r="C237" t="s">
        <v>180</v>
      </c>
      <c r="D237" t="s">
        <v>3029</v>
      </c>
      <c r="E237" t="s">
        <v>3495</v>
      </c>
      <c r="F237" t="s">
        <v>3027</v>
      </c>
      <c r="G237" t="s">
        <v>3031</v>
      </c>
      <c r="H237">
        <v>16</v>
      </c>
      <c r="I237" t="s">
        <v>3496</v>
      </c>
    </row>
    <row r="238" spans="1:9" x14ac:dyDescent="0.3">
      <c r="A238" t="s">
        <v>3467</v>
      </c>
      <c r="B238" t="s">
        <v>180</v>
      </c>
      <c r="C238" t="s">
        <v>180</v>
      </c>
      <c r="D238" t="s">
        <v>3029</v>
      </c>
      <c r="E238" t="s">
        <v>3497</v>
      </c>
      <c r="F238" t="s">
        <v>3027</v>
      </c>
      <c r="G238" t="s">
        <v>3031</v>
      </c>
      <c r="H238">
        <v>17</v>
      </c>
      <c r="I238" t="s">
        <v>3498</v>
      </c>
    </row>
    <row r="239" spans="1:9" x14ac:dyDescent="0.3">
      <c r="A239" t="s">
        <v>3467</v>
      </c>
      <c r="B239" t="s">
        <v>180</v>
      </c>
      <c r="C239" t="s">
        <v>180</v>
      </c>
      <c r="D239" t="s">
        <v>3029</v>
      </c>
      <c r="E239" t="s">
        <v>3499</v>
      </c>
      <c r="F239" t="s">
        <v>3027</v>
      </c>
      <c r="G239" t="s">
        <v>3031</v>
      </c>
      <c r="H239">
        <v>18</v>
      </c>
      <c r="I239" t="s">
        <v>3500</v>
      </c>
    </row>
    <row r="240" spans="1:9" x14ac:dyDescent="0.3">
      <c r="A240" t="s">
        <v>3467</v>
      </c>
      <c r="B240" t="s">
        <v>180</v>
      </c>
      <c r="C240" t="s">
        <v>180</v>
      </c>
      <c r="D240" t="s">
        <v>3029</v>
      </c>
      <c r="E240" t="s">
        <v>3501</v>
      </c>
      <c r="F240" t="s">
        <v>3027</v>
      </c>
      <c r="G240" t="s">
        <v>3031</v>
      </c>
      <c r="H240">
        <v>19</v>
      </c>
      <c r="I240" t="s">
        <v>3502</v>
      </c>
    </row>
    <row r="241" spans="1:9" x14ac:dyDescent="0.3">
      <c r="A241" t="s">
        <v>3467</v>
      </c>
      <c r="B241" t="s">
        <v>180</v>
      </c>
      <c r="C241" t="s">
        <v>180</v>
      </c>
      <c r="D241" t="s">
        <v>3029</v>
      </c>
      <c r="E241" t="s">
        <v>3503</v>
      </c>
      <c r="F241" t="s">
        <v>3027</v>
      </c>
      <c r="G241" t="s">
        <v>3031</v>
      </c>
      <c r="H241">
        <v>20</v>
      </c>
      <c r="I241" t="s">
        <v>3504</v>
      </c>
    </row>
    <row r="242" spans="1:9" x14ac:dyDescent="0.3">
      <c r="A242" t="s">
        <v>3505</v>
      </c>
      <c r="B242" t="s">
        <v>187</v>
      </c>
      <c r="C242" t="s">
        <v>3506</v>
      </c>
      <c r="D242" t="s">
        <v>3025</v>
      </c>
      <c r="E242" t="s">
        <v>3507</v>
      </c>
      <c r="F242" t="s">
        <v>3027</v>
      </c>
      <c r="G242" t="s">
        <v>3028</v>
      </c>
      <c r="H242">
        <v>1</v>
      </c>
      <c r="I242" t="s">
        <v>3506</v>
      </c>
    </row>
    <row r="243" spans="1:9" x14ac:dyDescent="0.3">
      <c r="A243" t="s">
        <v>3505</v>
      </c>
      <c r="B243" t="s">
        <v>187</v>
      </c>
      <c r="C243" t="s">
        <v>3506</v>
      </c>
      <c r="D243" t="s">
        <v>3029</v>
      </c>
      <c r="E243" t="s">
        <v>3508</v>
      </c>
      <c r="F243" t="s">
        <v>3027</v>
      </c>
      <c r="G243" t="s">
        <v>3031</v>
      </c>
      <c r="H243">
        <v>2</v>
      </c>
      <c r="I243" t="s">
        <v>3509</v>
      </c>
    </row>
    <row r="244" spans="1:9" x14ac:dyDescent="0.3">
      <c r="A244" t="s">
        <v>3505</v>
      </c>
      <c r="B244" t="s">
        <v>187</v>
      </c>
      <c r="C244" t="s">
        <v>3506</v>
      </c>
      <c r="D244" t="s">
        <v>3029</v>
      </c>
      <c r="E244" t="s">
        <v>3510</v>
      </c>
      <c r="F244" t="s">
        <v>3027</v>
      </c>
      <c r="G244" t="s">
        <v>3031</v>
      </c>
      <c r="H244">
        <v>3</v>
      </c>
      <c r="I244" t="s">
        <v>3511</v>
      </c>
    </row>
    <row r="245" spans="1:9" x14ac:dyDescent="0.3">
      <c r="A245" t="s">
        <v>3505</v>
      </c>
      <c r="B245" t="s">
        <v>187</v>
      </c>
      <c r="C245" t="s">
        <v>3506</v>
      </c>
      <c r="D245" t="s">
        <v>3029</v>
      </c>
      <c r="E245" t="s">
        <v>3512</v>
      </c>
      <c r="F245" t="s">
        <v>3027</v>
      </c>
      <c r="G245" t="s">
        <v>3031</v>
      </c>
      <c r="H245">
        <v>4</v>
      </c>
      <c r="I245" t="s">
        <v>3513</v>
      </c>
    </row>
    <row r="246" spans="1:9" x14ac:dyDescent="0.3">
      <c r="A246" t="s">
        <v>3505</v>
      </c>
      <c r="B246" t="s">
        <v>187</v>
      </c>
      <c r="C246" t="s">
        <v>3506</v>
      </c>
      <c r="D246" t="s">
        <v>3029</v>
      </c>
      <c r="E246" t="s">
        <v>3439</v>
      </c>
      <c r="F246" t="s">
        <v>3027</v>
      </c>
      <c r="G246" t="s">
        <v>3031</v>
      </c>
      <c r="H246">
        <v>5</v>
      </c>
      <c r="I246" t="s">
        <v>3514</v>
      </c>
    </row>
    <row r="247" spans="1:9" x14ac:dyDescent="0.3">
      <c r="A247" t="s">
        <v>3505</v>
      </c>
      <c r="B247" t="s">
        <v>187</v>
      </c>
      <c r="C247" t="s">
        <v>3506</v>
      </c>
      <c r="D247" t="s">
        <v>3029</v>
      </c>
      <c r="E247" t="s">
        <v>3515</v>
      </c>
      <c r="F247" t="s">
        <v>3027</v>
      </c>
      <c r="G247" t="s">
        <v>3031</v>
      </c>
      <c r="H247">
        <v>6</v>
      </c>
      <c r="I247" t="s">
        <v>3516</v>
      </c>
    </row>
    <row r="248" spans="1:9" x14ac:dyDescent="0.3">
      <c r="A248" t="s">
        <v>3505</v>
      </c>
      <c r="B248" t="s">
        <v>187</v>
      </c>
      <c r="C248" t="s">
        <v>3506</v>
      </c>
      <c r="D248" t="s">
        <v>3029</v>
      </c>
      <c r="E248" t="s">
        <v>3517</v>
      </c>
      <c r="F248" t="s">
        <v>3027</v>
      </c>
      <c r="G248" t="s">
        <v>3031</v>
      </c>
      <c r="H248">
        <v>7</v>
      </c>
      <c r="I248" t="s">
        <v>3518</v>
      </c>
    </row>
    <row r="249" spans="1:9" x14ac:dyDescent="0.3">
      <c r="A249" t="s">
        <v>3505</v>
      </c>
      <c r="B249" t="s">
        <v>187</v>
      </c>
      <c r="C249" t="s">
        <v>3506</v>
      </c>
      <c r="D249" t="s">
        <v>3029</v>
      </c>
      <c r="E249" t="s">
        <v>3519</v>
      </c>
      <c r="F249" t="s">
        <v>3027</v>
      </c>
      <c r="G249" t="s">
        <v>3031</v>
      </c>
      <c r="H249">
        <v>8</v>
      </c>
      <c r="I249" t="s">
        <v>3520</v>
      </c>
    </row>
    <row r="250" spans="1:9" x14ac:dyDescent="0.3">
      <c r="A250" t="s">
        <v>3505</v>
      </c>
      <c r="B250" t="s">
        <v>187</v>
      </c>
      <c r="C250" t="s">
        <v>3506</v>
      </c>
      <c r="D250" t="s">
        <v>3029</v>
      </c>
      <c r="E250" t="s">
        <v>3521</v>
      </c>
      <c r="F250" t="s">
        <v>3027</v>
      </c>
      <c r="G250" t="s">
        <v>3031</v>
      </c>
      <c r="H250">
        <v>9</v>
      </c>
      <c r="I250" t="s">
        <v>3522</v>
      </c>
    </row>
    <row r="251" spans="1:9" x14ac:dyDescent="0.3">
      <c r="A251" t="s">
        <v>3505</v>
      </c>
      <c r="B251" t="s">
        <v>187</v>
      </c>
      <c r="C251" t="s">
        <v>3506</v>
      </c>
      <c r="D251" t="s">
        <v>3029</v>
      </c>
      <c r="E251" t="s">
        <v>3523</v>
      </c>
      <c r="F251" t="s">
        <v>3027</v>
      </c>
      <c r="G251" t="s">
        <v>3031</v>
      </c>
      <c r="H251">
        <v>10</v>
      </c>
      <c r="I251" t="s">
        <v>3524</v>
      </c>
    </row>
    <row r="252" spans="1:9" x14ac:dyDescent="0.3">
      <c r="A252" t="s">
        <v>3505</v>
      </c>
      <c r="B252" t="s">
        <v>187</v>
      </c>
      <c r="C252" t="s">
        <v>3506</v>
      </c>
      <c r="D252" t="s">
        <v>3029</v>
      </c>
      <c r="E252" t="s">
        <v>3525</v>
      </c>
      <c r="F252" t="s">
        <v>3027</v>
      </c>
      <c r="G252" t="s">
        <v>3031</v>
      </c>
      <c r="H252">
        <v>11</v>
      </c>
      <c r="I252" t="s">
        <v>3526</v>
      </c>
    </row>
    <row r="253" spans="1:9" x14ac:dyDescent="0.3">
      <c r="A253" t="s">
        <v>3505</v>
      </c>
      <c r="B253" t="s">
        <v>187</v>
      </c>
      <c r="C253" t="s">
        <v>3506</v>
      </c>
      <c r="D253" t="s">
        <v>3029</v>
      </c>
      <c r="E253" t="s">
        <v>3527</v>
      </c>
      <c r="F253" t="s">
        <v>3027</v>
      </c>
      <c r="G253" t="s">
        <v>3031</v>
      </c>
      <c r="H253">
        <v>12</v>
      </c>
      <c r="I253" t="s">
        <v>3528</v>
      </c>
    </row>
    <row r="254" spans="1:9" x14ac:dyDescent="0.3">
      <c r="A254" t="s">
        <v>3505</v>
      </c>
      <c r="B254" t="s">
        <v>187</v>
      </c>
      <c r="C254" t="s">
        <v>3506</v>
      </c>
      <c r="D254" t="s">
        <v>3029</v>
      </c>
      <c r="E254" t="s">
        <v>3529</v>
      </c>
      <c r="F254" t="s">
        <v>3027</v>
      </c>
      <c r="G254" t="s">
        <v>3031</v>
      </c>
      <c r="H254">
        <v>13</v>
      </c>
      <c r="I254" t="s">
        <v>3530</v>
      </c>
    </row>
    <row r="255" spans="1:9" x14ac:dyDescent="0.3">
      <c r="A255" t="s">
        <v>3505</v>
      </c>
      <c r="B255" t="s">
        <v>187</v>
      </c>
      <c r="C255" t="s">
        <v>3506</v>
      </c>
      <c r="D255" t="s">
        <v>3029</v>
      </c>
      <c r="E255" t="s">
        <v>3531</v>
      </c>
      <c r="F255" t="s">
        <v>3027</v>
      </c>
      <c r="G255" t="s">
        <v>3031</v>
      </c>
      <c r="H255">
        <v>14</v>
      </c>
      <c r="I255" t="s">
        <v>3532</v>
      </c>
    </row>
    <row r="256" spans="1:9" x14ac:dyDescent="0.3">
      <c r="A256" t="s">
        <v>3505</v>
      </c>
      <c r="B256" t="s">
        <v>187</v>
      </c>
      <c r="C256" t="s">
        <v>3506</v>
      </c>
      <c r="D256" t="s">
        <v>3029</v>
      </c>
      <c r="E256" t="s">
        <v>3533</v>
      </c>
      <c r="F256" t="s">
        <v>3027</v>
      </c>
      <c r="G256" t="s">
        <v>3031</v>
      </c>
      <c r="H256">
        <v>15</v>
      </c>
      <c r="I256" t="s">
        <v>3534</v>
      </c>
    </row>
    <row r="257" spans="1:9" x14ac:dyDescent="0.3">
      <c r="A257" t="s">
        <v>3505</v>
      </c>
      <c r="B257" t="s">
        <v>187</v>
      </c>
      <c r="C257" t="s">
        <v>3506</v>
      </c>
      <c r="D257" t="s">
        <v>3029</v>
      </c>
      <c r="E257" t="s">
        <v>3535</v>
      </c>
      <c r="F257" t="s">
        <v>3027</v>
      </c>
      <c r="G257" t="s">
        <v>3031</v>
      </c>
      <c r="H257">
        <v>16</v>
      </c>
      <c r="I257" t="s">
        <v>3536</v>
      </c>
    </row>
    <row r="258" spans="1:9" x14ac:dyDescent="0.3">
      <c r="A258" t="s">
        <v>3505</v>
      </c>
      <c r="B258" t="s">
        <v>187</v>
      </c>
      <c r="C258" t="s">
        <v>3506</v>
      </c>
      <c r="D258" t="s">
        <v>3029</v>
      </c>
      <c r="E258" t="s">
        <v>3537</v>
      </c>
      <c r="F258" t="s">
        <v>3027</v>
      </c>
      <c r="G258" t="s">
        <v>3031</v>
      </c>
      <c r="H258">
        <v>17</v>
      </c>
      <c r="I258" t="s">
        <v>3538</v>
      </c>
    </row>
    <row r="259" spans="1:9" x14ac:dyDescent="0.3">
      <c r="A259" t="s">
        <v>3505</v>
      </c>
      <c r="B259" t="s">
        <v>187</v>
      </c>
      <c r="C259" t="s">
        <v>3506</v>
      </c>
      <c r="D259" t="s">
        <v>3029</v>
      </c>
      <c r="E259" t="s">
        <v>3539</v>
      </c>
      <c r="F259" t="s">
        <v>3027</v>
      </c>
      <c r="G259" t="s">
        <v>3031</v>
      </c>
      <c r="H259">
        <v>18</v>
      </c>
      <c r="I259" t="s">
        <v>3540</v>
      </c>
    </row>
    <row r="260" spans="1:9" x14ac:dyDescent="0.3">
      <c r="A260" t="s">
        <v>3505</v>
      </c>
      <c r="B260" t="s">
        <v>187</v>
      </c>
      <c r="C260" t="s">
        <v>3506</v>
      </c>
      <c r="D260" t="s">
        <v>3029</v>
      </c>
      <c r="E260" t="s">
        <v>3541</v>
      </c>
      <c r="F260" t="s">
        <v>3027</v>
      </c>
      <c r="G260" t="s">
        <v>3031</v>
      </c>
      <c r="H260">
        <v>19</v>
      </c>
      <c r="I260" t="s">
        <v>3542</v>
      </c>
    </row>
    <row r="261" spans="1:9" x14ac:dyDescent="0.3">
      <c r="A261" t="s">
        <v>3505</v>
      </c>
      <c r="B261" t="s">
        <v>187</v>
      </c>
      <c r="C261" t="s">
        <v>3506</v>
      </c>
      <c r="D261" t="s">
        <v>3029</v>
      </c>
      <c r="E261" t="s">
        <v>3543</v>
      </c>
      <c r="F261" t="s">
        <v>3027</v>
      </c>
      <c r="G261" t="s">
        <v>3031</v>
      </c>
      <c r="H261">
        <v>20</v>
      </c>
      <c r="I261" t="s">
        <v>3544</v>
      </c>
    </row>
    <row r="262" spans="1:9" x14ac:dyDescent="0.3">
      <c r="A262" t="s">
        <v>3545</v>
      </c>
      <c r="B262" t="s">
        <v>193</v>
      </c>
      <c r="C262" t="s">
        <v>193</v>
      </c>
      <c r="D262" t="s">
        <v>3025</v>
      </c>
      <c r="E262" t="s">
        <v>3546</v>
      </c>
      <c r="F262" t="s">
        <v>3027</v>
      </c>
      <c r="G262" t="s">
        <v>3028</v>
      </c>
      <c r="H262">
        <v>1</v>
      </c>
      <c r="I262" t="s">
        <v>193</v>
      </c>
    </row>
    <row r="263" spans="1:9" x14ac:dyDescent="0.3">
      <c r="A263" t="s">
        <v>3545</v>
      </c>
      <c r="B263" t="s">
        <v>193</v>
      </c>
      <c r="C263" t="s">
        <v>193</v>
      </c>
      <c r="D263" t="s">
        <v>3029</v>
      </c>
      <c r="E263" t="s">
        <v>3547</v>
      </c>
      <c r="F263" t="s">
        <v>3027</v>
      </c>
      <c r="G263" t="s">
        <v>3031</v>
      </c>
      <c r="H263">
        <v>2</v>
      </c>
      <c r="I263" t="s">
        <v>3548</v>
      </c>
    </row>
    <row r="264" spans="1:9" x14ac:dyDescent="0.3">
      <c r="A264" t="s">
        <v>3545</v>
      </c>
      <c r="B264" t="s">
        <v>193</v>
      </c>
      <c r="C264" t="s">
        <v>193</v>
      </c>
      <c r="D264" t="s">
        <v>3029</v>
      </c>
      <c r="E264" t="s">
        <v>3549</v>
      </c>
      <c r="F264" t="s">
        <v>3027</v>
      </c>
      <c r="G264" t="s">
        <v>3031</v>
      </c>
      <c r="H264">
        <v>3</v>
      </c>
      <c r="I264" t="s">
        <v>3550</v>
      </c>
    </row>
    <row r="265" spans="1:9" x14ac:dyDescent="0.3">
      <c r="A265" t="s">
        <v>3545</v>
      </c>
      <c r="B265" t="s">
        <v>193</v>
      </c>
      <c r="C265" t="s">
        <v>193</v>
      </c>
      <c r="D265" t="s">
        <v>3029</v>
      </c>
      <c r="E265" t="s">
        <v>3551</v>
      </c>
      <c r="F265" t="s">
        <v>3027</v>
      </c>
      <c r="G265" t="s">
        <v>3031</v>
      </c>
      <c r="H265">
        <v>4</v>
      </c>
      <c r="I265" t="s">
        <v>3552</v>
      </c>
    </row>
    <row r="266" spans="1:9" x14ac:dyDescent="0.3">
      <c r="A266" t="s">
        <v>3545</v>
      </c>
      <c r="B266" t="s">
        <v>193</v>
      </c>
      <c r="C266" t="s">
        <v>193</v>
      </c>
      <c r="D266" t="s">
        <v>3029</v>
      </c>
      <c r="E266" t="s">
        <v>3553</v>
      </c>
      <c r="F266" t="s">
        <v>3027</v>
      </c>
      <c r="G266" t="s">
        <v>3031</v>
      </c>
      <c r="H266">
        <v>5</v>
      </c>
      <c r="I266" t="s">
        <v>3554</v>
      </c>
    </row>
    <row r="267" spans="1:9" x14ac:dyDescent="0.3">
      <c r="A267" t="s">
        <v>3545</v>
      </c>
      <c r="B267" t="s">
        <v>193</v>
      </c>
      <c r="C267" t="s">
        <v>193</v>
      </c>
      <c r="D267" t="s">
        <v>3029</v>
      </c>
      <c r="E267" t="s">
        <v>3555</v>
      </c>
      <c r="F267" t="s">
        <v>3027</v>
      </c>
      <c r="G267" t="s">
        <v>3031</v>
      </c>
      <c r="H267">
        <v>6</v>
      </c>
      <c r="I267" t="s">
        <v>3556</v>
      </c>
    </row>
    <row r="268" spans="1:9" x14ac:dyDescent="0.3">
      <c r="A268" t="s">
        <v>3545</v>
      </c>
      <c r="B268" t="s">
        <v>193</v>
      </c>
      <c r="C268" t="s">
        <v>193</v>
      </c>
      <c r="D268" t="s">
        <v>3029</v>
      </c>
      <c r="E268" t="s">
        <v>3557</v>
      </c>
      <c r="F268" t="s">
        <v>3027</v>
      </c>
      <c r="G268" t="s">
        <v>3031</v>
      </c>
      <c r="H268">
        <v>7</v>
      </c>
      <c r="I268" t="s">
        <v>3558</v>
      </c>
    </row>
    <row r="269" spans="1:9" x14ac:dyDescent="0.3">
      <c r="A269" t="s">
        <v>3545</v>
      </c>
      <c r="B269" t="s">
        <v>193</v>
      </c>
      <c r="C269" t="s">
        <v>193</v>
      </c>
      <c r="D269" t="s">
        <v>3029</v>
      </c>
      <c r="E269" t="s">
        <v>3559</v>
      </c>
      <c r="F269" t="s">
        <v>3027</v>
      </c>
      <c r="G269" t="s">
        <v>3031</v>
      </c>
      <c r="H269">
        <v>8</v>
      </c>
      <c r="I269" t="s">
        <v>3560</v>
      </c>
    </row>
    <row r="270" spans="1:9" x14ac:dyDescent="0.3">
      <c r="A270" t="s">
        <v>3545</v>
      </c>
      <c r="B270" t="s">
        <v>193</v>
      </c>
      <c r="C270" t="s">
        <v>193</v>
      </c>
      <c r="D270" t="s">
        <v>3029</v>
      </c>
      <c r="E270" t="s">
        <v>3561</v>
      </c>
      <c r="F270" t="s">
        <v>3027</v>
      </c>
      <c r="G270" t="s">
        <v>3031</v>
      </c>
      <c r="H270">
        <v>9</v>
      </c>
      <c r="I270" t="s">
        <v>3562</v>
      </c>
    </row>
    <row r="271" spans="1:9" x14ac:dyDescent="0.3">
      <c r="A271" t="s">
        <v>3545</v>
      </c>
      <c r="B271" t="s">
        <v>193</v>
      </c>
      <c r="C271" t="s">
        <v>193</v>
      </c>
      <c r="D271" t="s">
        <v>3029</v>
      </c>
      <c r="E271" t="s">
        <v>3563</v>
      </c>
      <c r="F271" t="s">
        <v>3027</v>
      </c>
      <c r="G271" t="s">
        <v>3031</v>
      </c>
      <c r="H271">
        <v>10</v>
      </c>
      <c r="I271" t="s">
        <v>3564</v>
      </c>
    </row>
    <row r="272" spans="1:9" x14ac:dyDescent="0.3">
      <c r="A272" t="s">
        <v>3545</v>
      </c>
      <c r="B272" t="s">
        <v>193</v>
      </c>
      <c r="C272" t="s">
        <v>193</v>
      </c>
      <c r="D272" t="s">
        <v>3029</v>
      </c>
      <c r="E272" t="s">
        <v>3565</v>
      </c>
      <c r="F272" t="s">
        <v>3027</v>
      </c>
      <c r="G272" t="s">
        <v>3031</v>
      </c>
      <c r="H272">
        <v>11</v>
      </c>
      <c r="I272" t="s">
        <v>3566</v>
      </c>
    </row>
    <row r="273" spans="1:9" x14ac:dyDescent="0.3">
      <c r="A273" t="s">
        <v>3545</v>
      </c>
      <c r="B273" t="s">
        <v>193</v>
      </c>
      <c r="C273" t="s">
        <v>193</v>
      </c>
      <c r="D273" t="s">
        <v>3029</v>
      </c>
      <c r="E273" t="s">
        <v>3567</v>
      </c>
      <c r="F273" t="s">
        <v>3027</v>
      </c>
      <c r="G273" t="s">
        <v>3031</v>
      </c>
      <c r="H273">
        <v>12</v>
      </c>
      <c r="I273" t="s">
        <v>3568</v>
      </c>
    </row>
    <row r="274" spans="1:9" x14ac:dyDescent="0.3">
      <c r="A274" t="s">
        <v>3545</v>
      </c>
      <c r="B274" t="s">
        <v>193</v>
      </c>
      <c r="C274" t="s">
        <v>193</v>
      </c>
      <c r="D274" t="s">
        <v>3029</v>
      </c>
      <c r="E274" t="s">
        <v>3569</v>
      </c>
      <c r="F274" t="s">
        <v>3027</v>
      </c>
      <c r="G274" t="s">
        <v>3031</v>
      </c>
      <c r="H274">
        <v>13</v>
      </c>
      <c r="I274" t="s">
        <v>3570</v>
      </c>
    </row>
    <row r="275" spans="1:9" x14ac:dyDescent="0.3">
      <c r="A275" t="s">
        <v>3545</v>
      </c>
      <c r="B275" t="s">
        <v>193</v>
      </c>
      <c r="C275" t="s">
        <v>193</v>
      </c>
      <c r="D275" t="s">
        <v>3029</v>
      </c>
      <c r="E275" t="s">
        <v>3571</v>
      </c>
      <c r="F275" t="s">
        <v>3027</v>
      </c>
      <c r="G275" t="s">
        <v>3031</v>
      </c>
      <c r="H275">
        <v>14</v>
      </c>
      <c r="I275" t="s">
        <v>3572</v>
      </c>
    </row>
    <row r="276" spans="1:9" x14ac:dyDescent="0.3">
      <c r="A276" t="s">
        <v>3545</v>
      </c>
      <c r="B276" t="s">
        <v>193</v>
      </c>
      <c r="C276" t="s">
        <v>193</v>
      </c>
      <c r="D276" t="s">
        <v>3029</v>
      </c>
      <c r="E276" t="s">
        <v>3573</v>
      </c>
      <c r="F276" t="s">
        <v>3027</v>
      </c>
      <c r="G276" t="s">
        <v>3031</v>
      </c>
      <c r="H276">
        <v>15</v>
      </c>
      <c r="I276" t="s">
        <v>3574</v>
      </c>
    </row>
    <row r="277" spans="1:9" x14ac:dyDescent="0.3">
      <c r="A277" t="s">
        <v>3545</v>
      </c>
      <c r="B277" t="s">
        <v>193</v>
      </c>
      <c r="C277" t="s">
        <v>193</v>
      </c>
      <c r="D277" t="s">
        <v>3029</v>
      </c>
      <c r="E277" t="s">
        <v>3575</v>
      </c>
      <c r="F277" t="s">
        <v>3027</v>
      </c>
      <c r="G277" t="s">
        <v>3031</v>
      </c>
      <c r="H277">
        <v>16</v>
      </c>
      <c r="I277" t="s">
        <v>3576</v>
      </c>
    </row>
    <row r="278" spans="1:9" x14ac:dyDescent="0.3">
      <c r="A278" t="s">
        <v>3545</v>
      </c>
      <c r="B278" t="s">
        <v>193</v>
      </c>
      <c r="C278" t="s">
        <v>193</v>
      </c>
      <c r="D278" t="s">
        <v>3029</v>
      </c>
      <c r="E278" t="s">
        <v>3577</v>
      </c>
      <c r="F278" t="s">
        <v>3027</v>
      </c>
      <c r="G278" t="s">
        <v>3031</v>
      </c>
      <c r="H278">
        <v>17</v>
      </c>
      <c r="I278" t="s">
        <v>3578</v>
      </c>
    </row>
    <row r="279" spans="1:9" x14ac:dyDescent="0.3">
      <c r="A279" t="s">
        <v>3545</v>
      </c>
      <c r="B279" t="s">
        <v>193</v>
      </c>
      <c r="C279" t="s">
        <v>193</v>
      </c>
      <c r="D279" t="s">
        <v>3029</v>
      </c>
      <c r="E279" t="s">
        <v>3579</v>
      </c>
      <c r="F279" t="s">
        <v>3027</v>
      </c>
      <c r="G279" t="s">
        <v>3031</v>
      </c>
      <c r="H279">
        <v>18</v>
      </c>
      <c r="I279" t="s">
        <v>3580</v>
      </c>
    </row>
    <row r="280" spans="1:9" x14ac:dyDescent="0.3">
      <c r="A280" t="s">
        <v>3545</v>
      </c>
      <c r="B280" t="s">
        <v>193</v>
      </c>
      <c r="C280" t="s">
        <v>193</v>
      </c>
      <c r="D280" t="s">
        <v>3029</v>
      </c>
      <c r="E280" t="s">
        <v>3581</v>
      </c>
      <c r="F280" t="s">
        <v>3027</v>
      </c>
      <c r="G280" t="s">
        <v>3031</v>
      </c>
      <c r="H280">
        <v>19</v>
      </c>
      <c r="I280" t="s">
        <v>3582</v>
      </c>
    </row>
    <row r="281" spans="1:9" x14ac:dyDescent="0.3">
      <c r="A281" t="s">
        <v>3545</v>
      </c>
      <c r="B281" t="s">
        <v>193</v>
      </c>
      <c r="C281" t="s">
        <v>193</v>
      </c>
      <c r="D281" t="s">
        <v>3029</v>
      </c>
      <c r="E281" t="s">
        <v>3583</v>
      </c>
      <c r="F281" t="s">
        <v>3027</v>
      </c>
      <c r="G281" t="s">
        <v>3031</v>
      </c>
      <c r="H281">
        <v>20</v>
      </c>
      <c r="I281" t="s">
        <v>3584</v>
      </c>
    </row>
    <row r="282" spans="1:9" x14ac:dyDescent="0.3">
      <c r="A282" t="s">
        <v>3585</v>
      </c>
      <c r="B282" t="s">
        <v>200</v>
      </c>
      <c r="C282" t="s">
        <v>200</v>
      </c>
      <c r="D282" t="s">
        <v>3025</v>
      </c>
      <c r="E282" t="s">
        <v>3586</v>
      </c>
      <c r="F282" t="s">
        <v>3027</v>
      </c>
      <c r="G282" t="s">
        <v>3028</v>
      </c>
      <c r="H282">
        <v>1</v>
      </c>
      <c r="I282" t="s">
        <v>200</v>
      </c>
    </row>
    <row r="283" spans="1:9" x14ac:dyDescent="0.3">
      <c r="A283" t="s">
        <v>3585</v>
      </c>
      <c r="B283" t="s">
        <v>200</v>
      </c>
      <c r="C283" t="s">
        <v>200</v>
      </c>
      <c r="D283" t="s">
        <v>3029</v>
      </c>
      <c r="E283" t="s">
        <v>3587</v>
      </c>
      <c r="F283" t="s">
        <v>3027</v>
      </c>
      <c r="G283" t="s">
        <v>3031</v>
      </c>
      <c r="H283">
        <v>2</v>
      </c>
      <c r="I283" t="s">
        <v>3588</v>
      </c>
    </row>
    <row r="284" spans="1:9" x14ac:dyDescent="0.3">
      <c r="A284" t="s">
        <v>3585</v>
      </c>
      <c r="B284" t="s">
        <v>200</v>
      </c>
      <c r="C284" t="s">
        <v>200</v>
      </c>
      <c r="D284" t="s">
        <v>3029</v>
      </c>
      <c r="E284" t="s">
        <v>3589</v>
      </c>
      <c r="F284" t="s">
        <v>3027</v>
      </c>
      <c r="G284" t="s">
        <v>3031</v>
      </c>
      <c r="H284">
        <v>3</v>
      </c>
      <c r="I284" t="s">
        <v>446</v>
      </c>
    </row>
    <row r="285" spans="1:9" x14ac:dyDescent="0.3">
      <c r="A285" t="s">
        <v>3585</v>
      </c>
      <c r="B285" t="s">
        <v>200</v>
      </c>
      <c r="C285" t="s">
        <v>200</v>
      </c>
      <c r="D285" t="s">
        <v>3029</v>
      </c>
      <c r="E285" t="s">
        <v>3590</v>
      </c>
      <c r="F285" t="s">
        <v>3027</v>
      </c>
      <c r="G285" t="s">
        <v>3031</v>
      </c>
      <c r="H285">
        <v>4</v>
      </c>
      <c r="I285" t="s">
        <v>3591</v>
      </c>
    </row>
    <row r="286" spans="1:9" x14ac:dyDescent="0.3">
      <c r="A286" t="s">
        <v>3585</v>
      </c>
      <c r="B286" t="s">
        <v>200</v>
      </c>
      <c r="C286" t="s">
        <v>200</v>
      </c>
      <c r="D286" t="s">
        <v>3029</v>
      </c>
      <c r="E286" t="s">
        <v>3592</v>
      </c>
      <c r="F286" t="s">
        <v>3027</v>
      </c>
      <c r="G286" t="s">
        <v>3031</v>
      </c>
      <c r="H286">
        <v>5</v>
      </c>
      <c r="I286" t="s">
        <v>3593</v>
      </c>
    </row>
    <row r="287" spans="1:9" x14ac:dyDescent="0.3">
      <c r="A287" t="s">
        <v>3585</v>
      </c>
      <c r="B287" t="s">
        <v>200</v>
      </c>
      <c r="C287" t="s">
        <v>200</v>
      </c>
      <c r="D287" t="s">
        <v>3029</v>
      </c>
      <c r="E287" t="s">
        <v>3594</v>
      </c>
      <c r="F287" t="s">
        <v>3027</v>
      </c>
      <c r="G287" t="s">
        <v>3031</v>
      </c>
      <c r="H287">
        <v>6</v>
      </c>
      <c r="I287" t="s">
        <v>3595</v>
      </c>
    </row>
    <row r="288" spans="1:9" x14ac:dyDescent="0.3">
      <c r="A288" t="s">
        <v>3585</v>
      </c>
      <c r="B288" t="s">
        <v>200</v>
      </c>
      <c r="C288" t="s">
        <v>200</v>
      </c>
      <c r="D288" t="s">
        <v>3029</v>
      </c>
      <c r="E288" t="s">
        <v>3596</v>
      </c>
      <c r="F288" t="s">
        <v>3027</v>
      </c>
      <c r="G288" t="s">
        <v>3031</v>
      </c>
      <c r="H288">
        <v>7</v>
      </c>
      <c r="I288" t="s">
        <v>3597</v>
      </c>
    </row>
    <row r="289" spans="1:9" x14ac:dyDescent="0.3">
      <c r="A289" t="s">
        <v>3585</v>
      </c>
      <c r="B289" t="s">
        <v>200</v>
      </c>
      <c r="C289" t="s">
        <v>200</v>
      </c>
      <c r="D289" t="s">
        <v>3029</v>
      </c>
      <c r="E289" t="s">
        <v>3598</v>
      </c>
      <c r="F289" t="s">
        <v>3027</v>
      </c>
      <c r="G289" t="s">
        <v>3031</v>
      </c>
      <c r="H289">
        <v>8</v>
      </c>
      <c r="I289" t="s">
        <v>3599</v>
      </c>
    </row>
    <row r="290" spans="1:9" x14ac:dyDescent="0.3">
      <c r="A290" t="s">
        <v>3585</v>
      </c>
      <c r="B290" t="s">
        <v>200</v>
      </c>
      <c r="C290" t="s">
        <v>200</v>
      </c>
      <c r="D290" t="s">
        <v>3029</v>
      </c>
      <c r="E290" t="s">
        <v>3600</v>
      </c>
      <c r="F290" t="s">
        <v>3027</v>
      </c>
      <c r="G290" t="s">
        <v>3031</v>
      </c>
      <c r="H290">
        <v>9</v>
      </c>
      <c r="I290" t="s">
        <v>3601</v>
      </c>
    </row>
    <row r="291" spans="1:9" x14ac:dyDescent="0.3">
      <c r="A291" t="s">
        <v>3585</v>
      </c>
      <c r="B291" t="s">
        <v>200</v>
      </c>
      <c r="C291" t="s">
        <v>200</v>
      </c>
      <c r="D291" t="s">
        <v>3029</v>
      </c>
      <c r="E291" t="s">
        <v>3602</v>
      </c>
      <c r="F291" t="s">
        <v>3027</v>
      </c>
      <c r="G291" t="s">
        <v>3031</v>
      </c>
      <c r="H291">
        <v>10</v>
      </c>
      <c r="I291" t="s">
        <v>3603</v>
      </c>
    </row>
    <row r="292" spans="1:9" x14ac:dyDescent="0.3">
      <c r="A292" t="s">
        <v>3585</v>
      </c>
      <c r="B292" t="s">
        <v>200</v>
      </c>
      <c r="C292" t="s">
        <v>200</v>
      </c>
      <c r="D292" t="s">
        <v>3029</v>
      </c>
      <c r="E292" t="s">
        <v>3604</v>
      </c>
      <c r="F292" t="s">
        <v>3027</v>
      </c>
      <c r="G292" t="s">
        <v>3031</v>
      </c>
      <c r="H292">
        <v>11</v>
      </c>
      <c r="I292" t="s">
        <v>3605</v>
      </c>
    </row>
    <row r="293" spans="1:9" x14ac:dyDescent="0.3">
      <c r="A293" t="s">
        <v>3585</v>
      </c>
      <c r="B293" t="s">
        <v>200</v>
      </c>
      <c r="C293" t="s">
        <v>200</v>
      </c>
      <c r="D293" t="s">
        <v>3029</v>
      </c>
      <c r="E293" t="s">
        <v>3606</v>
      </c>
      <c r="F293" t="s">
        <v>3027</v>
      </c>
      <c r="G293" t="s">
        <v>3031</v>
      </c>
      <c r="H293">
        <v>12</v>
      </c>
      <c r="I293" t="s">
        <v>3607</v>
      </c>
    </row>
    <row r="294" spans="1:9" x14ac:dyDescent="0.3">
      <c r="A294" t="s">
        <v>3585</v>
      </c>
      <c r="B294" t="s">
        <v>200</v>
      </c>
      <c r="C294" t="s">
        <v>200</v>
      </c>
      <c r="D294" t="s">
        <v>3029</v>
      </c>
      <c r="E294" t="s">
        <v>3608</v>
      </c>
      <c r="F294" t="s">
        <v>3027</v>
      </c>
      <c r="G294" t="s">
        <v>3031</v>
      </c>
      <c r="H294">
        <v>13</v>
      </c>
      <c r="I294" t="s">
        <v>3609</v>
      </c>
    </row>
    <row r="295" spans="1:9" x14ac:dyDescent="0.3">
      <c r="A295" t="s">
        <v>3585</v>
      </c>
      <c r="B295" t="s">
        <v>200</v>
      </c>
      <c r="C295" t="s">
        <v>200</v>
      </c>
      <c r="D295" t="s">
        <v>3029</v>
      </c>
      <c r="E295" t="s">
        <v>3610</v>
      </c>
      <c r="F295" t="s">
        <v>3027</v>
      </c>
      <c r="G295" t="s">
        <v>3031</v>
      </c>
      <c r="H295">
        <v>14</v>
      </c>
      <c r="I295" t="s">
        <v>3611</v>
      </c>
    </row>
    <row r="296" spans="1:9" x14ac:dyDescent="0.3">
      <c r="A296" t="s">
        <v>3585</v>
      </c>
      <c r="B296" t="s">
        <v>200</v>
      </c>
      <c r="C296" t="s">
        <v>200</v>
      </c>
      <c r="D296" t="s">
        <v>3029</v>
      </c>
      <c r="E296" t="s">
        <v>3612</v>
      </c>
      <c r="F296" t="s">
        <v>3027</v>
      </c>
      <c r="G296" t="s">
        <v>3031</v>
      </c>
      <c r="H296">
        <v>15</v>
      </c>
      <c r="I296" t="s">
        <v>3613</v>
      </c>
    </row>
    <row r="297" spans="1:9" x14ac:dyDescent="0.3">
      <c r="A297" t="s">
        <v>3585</v>
      </c>
      <c r="B297" t="s">
        <v>200</v>
      </c>
      <c r="C297" t="s">
        <v>200</v>
      </c>
      <c r="D297" t="s">
        <v>3029</v>
      </c>
      <c r="E297" t="s">
        <v>3614</v>
      </c>
      <c r="F297" t="s">
        <v>3027</v>
      </c>
      <c r="G297" t="s">
        <v>3031</v>
      </c>
      <c r="H297">
        <v>16</v>
      </c>
      <c r="I297" t="s">
        <v>3615</v>
      </c>
    </row>
    <row r="298" spans="1:9" x14ac:dyDescent="0.3">
      <c r="A298" t="s">
        <v>3585</v>
      </c>
      <c r="B298" t="s">
        <v>200</v>
      </c>
      <c r="C298" t="s">
        <v>200</v>
      </c>
      <c r="D298" t="s">
        <v>3029</v>
      </c>
      <c r="E298" t="s">
        <v>3616</v>
      </c>
      <c r="F298" t="s">
        <v>3027</v>
      </c>
      <c r="G298" t="s">
        <v>3031</v>
      </c>
      <c r="H298">
        <v>17</v>
      </c>
      <c r="I298" t="s">
        <v>3617</v>
      </c>
    </row>
    <row r="299" spans="1:9" x14ac:dyDescent="0.3">
      <c r="A299" t="s">
        <v>3585</v>
      </c>
      <c r="B299" t="s">
        <v>200</v>
      </c>
      <c r="C299" t="s">
        <v>200</v>
      </c>
      <c r="D299" t="s">
        <v>3029</v>
      </c>
      <c r="E299" t="s">
        <v>3618</v>
      </c>
      <c r="F299" t="s">
        <v>3027</v>
      </c>
      <c r="G299" t="s">
        <v>3031</v>
      </c>
      <c r="H299">
        <v>18</v>
      </c>
      <c r="I299" t="s">
        <v>3619</v>
      </c>
    </row>
    <row r="300" spans="1:9" x14ac:dyDescent="0.3">
      <c r="A300" t="s">
        <v>3585</v>
      </c>
      <c r="B300" t="s">
        <v>200</v>
      </c>
      <c r="C300" t="s">
        <v>200</v>
      </c>
      <c r="D300" t="s">
        <v>3029</v>
      </c>
      <c r="E300" t="s">
        <v>3620</v>
      </c>
      <c r="F300" t="s">
        <v>3027</v>
      </c>
      <c r="G300" t="s">
        <v>3031</v>
      </c>
      <c r="H300">
        <v>19</v>
      </c>
      <c r="I300" t="s">
        <v>3621</v>
      </c>
    </row>
    <row r="301" spans="1:9" x14ac:dyDescent="0.3">
      <c r="A301" t="s">
        <v>3585</v>
      </c>
      <c r="B301" t="s">
        <v>200</v>
      </c>
      <c r="C301" t="s">
        <v>200</v>
      </c>
      <c r="D301" t="s">
        <v>3029</v>
      </c>
      <c r="E301" t="s">
        <v>3622</v>
      </c>
      <c r="F301" t="s">
        <v>3027</v>
      </c>
      <c r="G301" t="s">
        <v>3031</v>
      </c>
      <c r="H301">
        <v>20</v>
      </c>
      <c r="I301" t="s">
        <v>3623</v>
      </c>
    </row>
    <row r="302" spans="1:9" x14ac:dyDescent="0.3">
      <c r="A302" t="s">
        <v>3624</v>
      </c>
      <c r="B302" t="s">
        <v>207</v>
      </c>
      <c r="C302" t="s">
        <v>3625</v>
      </c>
      <c r="D302" t="s">
        <v>3025</v>
      </c>
      <c r="E302" t="s">
        <v>3626</v>
      </c>
      <c r="F302" t="s">
        <v>3027</v>
      </c>
      <c r="G302" t="s">
        <v>3028</v>
      </c>
      <c r="H302">
        <v>1</v>
      </c>
      <c r="I302" t="s">
        <v>3625</v>
      </c>
    </row>
    <row r="303" spans="1:9" x14ac:dyDescent="0.3">
      <c r="A303" t="s">
        <v>3624</v>
      </c>
      <c r="B303" t="s">
        <v>207</v>
      </c>
      <c r="C303" t="s">
        <v>3625</v>
      </c>
      <c r="D303" t="s">
        <v>3029</v>
      </c>
      <c r="E303" t="s">
        <v>3627</v>
      </c>
      <c r="F303" t="s">
        <v>3027</v>
      </c>
      <c r="G303" t="s">
        <v>3031</v>
      </c>
      <c r="H303">
        <v>2</v>
      </c>
      <c r="I303" t="s">
        <v>3628</v>
      </c>
    </row>
    <row r="304" spans="1:9" x14ac:dyDescent="0.3">
      <c r="A304" t="s">
        <v>3624</v>
      </c>
      <c r="B304" t="s">
        <v>207</v>
      </c>
      <c r="C304" t="s">
        <v>3625</v>
      </c>
      <c r="D304" t="s">
        <v>3029</v>
      </c>
      <c r="E304" t="s">
        <v>3629</v>
      </c>
      <c r="F304" t="s">
        <v>3027</v>
      </c>
      <c r="G304" t="s">
        <v>3031</v>
      </c>
      <c r="H304">
        <v>3</v>
      </c>
      <c r="I304" t="s">
        <v>3630</v>
      </c>
    </row>
    <row r="305" spans="1:9" x14ac:dyDescent="0.3">
      <c r="A305" t="s">
        <v>3624</v>
      </c>
      <c r="B305" t="s">
        <v>207</v>
      </c>
      <c r="C305" t="s">
        <v>3625</v>
      </c>
      <c r="D305" t="s">
        <v>3029</v>
      </c>
      <c r="E305" t="s">
        <v>3631</v>
      </c>
      <c r="F305" t="s">
        <v>3027</v>
      </c>
      <c r="G305" t="s">
        <v>3031</v>
      </c>
      <c r="H305">
        <v>4</v>
      </c>
      <c r="I305" t="s">
        <v>3632</v>
      </c>
    </row>
    <row r="306" spans="1:9" x14ac:dyDescent="0.3">
      <c r="A306" t="s">
        <v>3624</v>
      </c>
      <c r="B306" t="s">
        <v>207</v>
      </c>
      <c r="C306" t="s">
        <v>3625</v>
      </c>
      <c r="D306" t="s">
        <v>3029</v>
      </c>
      <c r="E306" t="s">
        <v>3633</v>
      </c>
      <c r="F306" t="s">
        <v>3027</v>
      </c>
      <c r="G306" t="s">
        <v>3031</v>
      </c>
      <c r="H306">
        <v>5</v>
      </c>
      <c r="I306" t="s">
        <v>3634</v>
      </c>
    </row>
    <row r="307" spans="1:9" x14ac:dyDescent="0.3">
      <c r="A307" t="s">
        <v>3624</v>
      </c>
      <c r="B307" t="s">
        <v>207</v>
      </c>
      <c r="C307" t="s">
        <v>3625</v>
      </c>
      <c r="D307" t="s">
        <v>3029</v>
      </c>
      <c r="E307" t="s">
        <v>3635</v>
      </c>
      <c r="F307" t="s">
        <v>3027</v>
      </c>
      <c r="G307" t="s">
        <v>3031</v>
      </c>
      <c r="H307">
        <v>6</v>
      </c>
      <c r="I307" t="s">
        <v>407</v>
      </c>
    </row>
    <row r="308" spans="1:9" x14ac:dyDescent="0.3">
      <c r="A308" t="s">
        <v>3624</v>
      </c>
      <c r="B308" t="s">
        <v>207</v>
      </c>
      <c r="C308" t="s">
        <v>3625</v>
      </c>
      <c r="D308" t="s">
        <v>3029</v>
      </c>
      <c r="E308" t="s">
        <v>3636</v>
      </c>
      <c r="F308" t="s">
        <v>3027</v>
      </c>
      <c r="G308" t="s">
        <v>3031</v>
      </c>
      <c r="H308">
        <v>7</v>
      </c>
      <c r="I308" t="s">
        <v>3637</v>
      </c>
    </row>
    <row r="309" spans="1:9" x14ac:dyDescent="0.3">
      <c r="A309" t="s">
        <v>3624</v>
      </c>
      <c r="B309" t="s">
        <v>207</v>
      </c>
      <c r="C309" t="s">
        <v>3625</v>
      </c>
      <c r="D309" t="s">
        <v>3029</v>
      </c>
      <c r="E309" t="s">
        <v>3638</v>
      </c>
      <c r="F309" t="s">
        <v>3027</v>
      </c>
      <c r="G309" t="s">
        <v>3031</v>
      </c>
      <c r="H309">
        <v>8</v>
      </c>
      <c r="I309" t="s">
        <v>3639</v>
      </c>
    </row>
    <row r="310" spans="1:9" x14ac:dyDescent="0.3">
      <c r="A310" t="s">
        <v>3624</v>
      </c>
      <c r="B310" t="s">
        <v>207</v>
      </c>
      <c r="C310" t="s">
        <v>3625</v>
      </c>
      <c r="D310" t="s">
        <v>3029</v>
      </c>
      <c r="E310" t="s">
        <v>3640</v>
      </c>
      <c r="F310" t="s">
        <v>3027</v>
      </c>
      <c r="G310" t="s">
        <v>3031</v>
      </c>
      <c r="H310">
        <v>9</v>
      </c>
      <c r="I310" t="s">
        <v>3641</v>
      </c>
    </row>
    <row r="311" spans="1:9" x14ac:dyDescent="0.3">
      <c r="A311" t="s">
        <v>3624</v>
      </c>
      <c r="B311" t="s">
        <v>207</v>
      </c>
      <c r="C311" t="s">
        <v>3625</v>
      </c>
      <c r="D311" t="s">
        <v>3029</v>
      </c>
      <c r="E311" t="s">
        <v>3642</v>
      </c>
      <c r="F311" t="s">
        <v>3027</v>
      </c>
      <c r="G311" t="s">
        <v>3031</v>
      </c>
      <c r="H311">
        <v>10</v>
      </c>
      <c r="I311" t="s">
        <v>3643</v>
      </c>
    </row>
    <row r="312" spans="1:9" x14ac:dyDescent="0.3">
      <c r="A312" t="s">
        <v>3624</v>
      </c>
      <c r="B312" t="s">
        <v>207</v>
      </c>
      <c r="C312" t="s">
        <v>3625</v>
      </c>
      <c r="D312" t="s">
        <v>3029</v>
      </c>
      <c r="E312" t="s">
        <v>3644</v>
      </c>
      <c r="F312" t="s">
        <v>3027</v>
      </c>
      <c r="G312" t="s">
        <v>3031</v>
      </c>
      <c r="H312">
        <v>11</v>
      </c>
      <c r="I312" t="s">
        <v>3645</v>
      </c>
    </row>
    <row r="313" spans="1:9" x14ac:dyDescent="0.3">
      <c r="A313" t="s">
        <v>3624</v>
      </c>
      <c r="B313" t="s">
        <v>207</v>
      </c>
      <c r="C313" t="s">
        <v>3625</v>
      </c>
      <c r="D313" t="s">
        <v>3029</v>
      </c>
      <c r="E313" t="s">
        <v>3646</v>
      </c>
      <c r="F313" t="s">
        <v>3027</v>
      </c>
      <c r="G313" t="s">
        <v>3031</v>
      </c>
      <c r="H313">
        <v>12</v>
      </c>
      <c r="I313" t="s">
        <v>1299</v>
      </c>
    </row>
    <row r="314" spans="1:9" x14ac:dyDescent="0.3">
      <c r="A314" t="s">
        <v>3624</v>
      </c>
      <c r="B314" t="s">
        <v>207</v>
      </c>
      <c r="C314" t="s">
        <v>3625</v>
      </c>
      <c r="D314" t="s">
        <v>3029</v>
      </c>
      <c r="E314" t="s">
        <v>3647</v>
      </c>
      <c r="F314" t="s">
        <v>3027</v>
      </c>
      <c r="G314" t="s">
        <v>3031</v>
      </c>
      <c r="H314">
        <v>13</v>
      </c>
      <c r="I314" t="s">
        <v>693</v>
      </c>
    </row>
    <row r="315" spans="1:9" x14ac:dyDescent="0.3">
      <c r="A315" t="s">
        <v>3624</v>
      </c>
      <c r="B315" t="s">
        <v>207</v>
      </c>
      <c r="C315" t="s">
        <v>3625</v>
      </c>
      <c r="D315" t="s">
        <v>3029</v>
      </c>
      <c r="E315" t="s">
        <v>3648</v>
      </c>
      <c r="F315" t="s">
        <v>3027</v>
      </c>
      <c r="G315" t="s">
        <v>3031</v>
      </c>
      <c r="H315">
        <v>14</v>
      </c>
      <c r="I315" t="s">
        <v>3649</v>
      </c>
    </row>
    <row r="316" spans="1:9" x14ac:dyDescent="0.3">
      <c r="A316" t="s">
        <v>3624</v>
      </c>
      <c r="B316" t="s">
        <v>207</v>
      </c>
      <c r="C316" t="s">
        <v>3625</v>
      </c>
      <c r="D316" t="s">
        <v>3029</v>
      </c>
      <c r="E316" t="s">
        <v>3650</v>
      </c>
      <c r="F316" t="s">
        <v>3027</v>
      </c>
      <c r="G316" t="s">
        <v>3031</v>
      </c>
      <c r="H316">
        <v>15</v>
      </c>
      <c r="I316" t="s">
        <v>3651</v>
      </c>
    </row>
    <row r="317" spans="1:9" x14ac:dyDescent="0.3">
      <c r="A317" t="s">
        <v>3624</v>
      </c>
      <c r="B317" t="s">
        <v>207</v>
      </c>
      <c r="C317" t="s">
        <v>3625</v>
      </c>
      <c r="D317" t="s">
        <v>3029</v>
      </c>
      <c r="E317" t="s">
        <v>3652</v>
      </c>
      <c r="F317" t="s">
        <v>3027</v>
      </c>
      <c r="G317" t="s">
        <v>3031</v>
      </c>
      <c r="H317">
        <v>16</v>
      </c>
      <c r="I317" t="s">
        <v>3653</v>
      </c>
    </row>
    <row r="318" spans="1:9" x14ac:dyDescent="0.3">
      <c r="A318" t="s">
        <v>3624</v>
      </c>
      <c r="B318" t="s">
        <v>207</v>
      </c>
      <c r="C318" t="s">
        <v>3625</v>
      </c>
      <c r="D318" t="s">
        <v>3029</v>
      </c>
      <c r="E318" t="s">
        <v>3240</v>
      </c>
      <c r="F318" t="s">
        <v>3027</v>
      </c>
      <c r="G318" t="s">
        <v>3031</v>
      </c>
      <c r="H318">
        <v>17</v>
      </c>
      <c r="I318" t="s">
        <v>3654</v>
      </c>
    </row>
    <row r="319" spans="1:9" x14ac:dyDescent="0.3">
      <c r="A319" t="s">
        <v>3624</v>
      </c>
      <c r="B319" t="s">
        <v>207</v>
      </c>
      <c r="C319" t="s">
        <v>3625</v>
      </c>
      <c r="D319" t="s">
        <v>3029</v>
      </c>
      <c r="E319" t="s">
        <v>3655</v>
      </c>
      <c r="F319" t="s">
        <v>3027</v>
      </c>
      <c r="G319" t="s">
        <v>3031</v>
      </c>
      <c r="H319">
        <v>18</v>
      </c>
      <c r="I319" t="s">
        <v>3656</v>
      </c>
    </row>
    <row r="320" spans="1:9" x14ac:dyDescent="0.3">
      <c r="A320" t="s">
        <v>3624</v>
      </c>
      <c r="B320" t="s">
        <v>207</v>
      </c>
      <c r="C320" t="s">
        <v>3625</v>
      </c>
      <c r="D320" t="s">
        <v>3029</v>
      </c>
      <c r="E320" t="s">
        <v>3657</v>
      </c>
      <c r="F320" t="s">
        <v>3027</v>
      </c>
      <c r="G320" t="s">
        <v>3031</v>
      </c>
      <c r="H320">
        <v>19</v>
      </c>
      <c r="I320" t="s">
        <v>3658</v>
      </c>
    </row>
    <row r="321" spans="1:9" x14ac:dyDescent="0.3">
      <c r="A321" t="s">
        <v>3624</v>
      </c>
      <c r="B321" t="s">
        <v>207</v>
      </c>
      <c r="C321" t="s">
        <v>3625</v>
      </c>
      <c r="D321" t="s">
        <v>3029</v>
      </c>
      <c r="E321" t="s">
        <v>3659</v>
      </c>
      <c r="F321" t="s">
        <v>3027</v>
      </c>
      <c r="G321" t="s">
        <v>3031</v>
      </c>
      <c r="H321">
        <v>20</v>
      </c>
      <c r="I321" t="s">
        <v>3660</v>
      </c>
    </row>
    <row r="322" spans="1:9" x14ac:dyDescent="0.3">
      <c r="A322" t="s">
        <v>3661</v>
      </c>
      <c r="B322" t="s">
        <v>214</v>
      </c>
      <c r="C322" t="s">
        <v>214</v>
      </c>
      <c r="D322" t="s">
        <v>3025</v>
      </c>
      <c r="E322" t="s">
        <v>3662</v>
      </c>
      <c r="F322" t="s">
        <v>3027</v>
      </c>
      <c r="G322" t="s">
        <v>3028</v>
      </c>
      <c r="H322">
        <v>1</v>
      </c>
      <c r="I322" t="s">
        <v>214</v>
      </c>
    </row>
    <row r="323" spans="1:9" x14ac:dyDescent="0.3">
      <c r="A323" t="s">
        <v>3661</v>
      </c>
      <c r="B323" t="s">
        <v>214</v>
      </c>
      <c r="C323" t="s">
        <v>214</v>
      </c>
      <c r="D323" t="s">
        <v>3029</v>
      </c>
      <c r="E323" t="s">
        <v>3663</v>
      </c>
      <c r="F323" t="s">
        <v>3027</v>
      </c>
      <c r="G323" t="s">
        <v>3031</v>
      </c>
      <c r="H323">
        <v>2</v>
      </c>
      <c r="I323" t="s">
        <v>3664</v>
      </c>
    </row>
    <row r="324" spans="1:9" x14ac:dyDescent="0.3">
      <c r="A324" t="s">
        <v>3661</v>
      </c>
      <c r="B324" t="s">
        <v>214</v>
      </c>
      <c r="C324" t="s">
        <v>214</v>
      </c>
      <c r="D324" t="s">
        <v>3029</v>
      </c>
      <c r="E324" t="s">
        <v>3665</v>
      </c>
      <c r="F324" t="s">
        <v>3027</v>
      </c>
      <c r="G324" t="s">
        <v>3031</v>
      </c>
      <c r="H324">
        <v>3</v>
      </c>
      <c r="I324" t="s">
        <v>3666</v>
      </c>
    </row>
    <row r="325" spans="1:9" x14ac:dyDescent="0.3">
      <c r="A325" t="s">
        <v>3661</v>
      </c>
      <c r="B325" t="s">
        <v>214</v>
      </c>
      <c r="C325" t="s">
        <v>214</v>
      </c>
      <c r="D325" t="s">
        <v>3029</v>
      </c>
      <c r="E325" t="s">
        <v>3667</v>
      </c>
      <c r="F325" t="s">
        <v>3027</v>
      </c>
      <c r="G325" t="s">
        <v>3031</v>
      </c>
      <c r="H325">
        <v>4</v>
      </c>
      <c r="I325" t="s">
        <v>3668</v>
      </c>
    </row>
    <row r="326" spans="1:9" x14ac:dyDescent="0.3">
      <c r="A326" t="s">
        <v>3661</v>
      </c>
      <c r="B326" t="s">
        <v>214</v>
      </c>
      <c r="C326" t="s">
        <v>214</v>
      </c>
      <c r="D326" t="s">
        <v>3029</v>
      </c>
      <c r="E326" t="s">
        <v>3669</v>
      </c>
      <c r="F326" t="s">
        <v>3027</v>
      </c>
      <c r="G326" t="s">
        <v>3031</v>
      </c>
      <c r="H326">
        <v>5</v>
      </c>
      <c r="I326" t="s">
        <v>3670</v>
      </c>
    </row>
    <row r="327" spans="1:9" x14ac:dyDescent="0.3">
      <c r="A327" t="s">
        <v>3661</v>
      </c>
      <c r="B327" t="s">
        <v>214</v>
      </c>
      <c r="C327" t="s">
        <v>214</v>
      </c>
      <c r="D327" t="s">
        <v>3029</v>
      </c>
      <c r="E327" t="s">
        <v>3671</v>
      </c>
      <c r="F327" t="s">
        <v>3027</v>
      </c>
      <c r="G327" t="s">
        <v>3031</v>
      </c>
      <c r="H327">
        <v>6</v>
      </c>
      <c r="I327" t="s">
        <v>3672</v>
      </c>
    </row>
    <row r="328" spans="1:9" x14ac:dyDescent="0.3">
      <c r="A328" t="s">
        <v>3661</v>
      </c>
      <c r="B328" t="s">
        <v>214</v>
      </c>
      <c r="C328" t="s">
        <v>214</v>
      </c>
      <c r="D328" t="s">
        <v>3029</v>
      </c>
      <c r="E328" t="s">
        <v>3240</v>
      </c>
      <c r="F328" t="s">
        <v>3027</v>
      </c>
      <c r="G328" t="s">
        <v>3031</v>
      </c>
      <c r="H328">
        <v>7</v>
      </c>
      <c r="I328" t="s">
        <v>3673</v>
      </c>
    </row>
    <row r="329" spans="1:9" x14ac:dyDescent="0.3">
      <c r="A329" t="s">
        <v>3661</v>
      </c>
      <c r="B329" t="s">
        <v>214</v>
      </c>
      <c r="C329" t="s">
        <v>214</v>
      </c>
      <c r="D329" t="s">
        <v>3029</v>
      </c>
      <c r="E329" t="s">
        <v>3230</v>
      </c>
      <c r="F329" t="s">
        <v>3027</v>
      </c>
      <c r="G329" t="s">
        <v>3031</v>
      </c>
      <c r="H329">
        <v>8</v>
      </c>
      <c r="I329" t="s">
        <v>3231</v>
      </c>
    </row>
    <row r="330" spans="1:9" x14ac:dyDescent="0.3">
      <c r="A330" t="s">
        <v>3661</v>
      </c>
      <c r="B330" t="s">
        <v>214</v>
      </c>
      <c r="C330" t="s">
        <v>214</v>
      </c>
      <c r="D330" t="s">
        <v>3029</v>
      </c>
      <c r="E330" t="s">
        <v>3674</v>
      </c>
      <c r="F330" t="s">
        <v>3027</v>
      </c>
      <c r="G330" t="s">
        <v>3031</v>
      </c>
      <c r="H330">
        <v>9</v>
      </c>
      <c r="I330" t="s">
        <v>3675</v>
      </c>
    </row>
    <row r="331" spans="1:9" x14ac:dyDescent="0.3">
      <c r="A331" t="s">
        <v>3661</v>
      </c>
      <c r="B331" t="s">
        <v>214</v>
      </c>
      <c r="C331" t="s">
        <v>214</v>
      </c>
      <c r="D331" t="s">
        <v>3029</v>
      </c>
      <c r="E331" t="s">
        <v>3246</v>
      </c>
      <c r="F331" t="s">
        <v>3027</v>
      </c>
      <c r="G331" t="s">
        <v>3031</v>
      </c>
      <c r="H331">
        <v>10</v>
      </c>
      <c r="I331" t="s">
        <v>3247</v>
      </c>
    </row>
    <row r="332" spans="1:9" x14ac:dyDescent="0.3">
      <c r="A332" t="s">
        <v>3661</v>
      </c>
      <c r="B332" t="s">
        <v>214</v>
      </c>
      <c r="C332" t="s">
        <v>214</v>
      </c>
      <c r="D332" t="s">
        <v>3029</v>
      </c>
      <c r="E332" t="s">
        <v>3676</v>
      </c>
      <c r="F332" t="s">
        <v>3027</v>
      </c>
      <c r="G332" t="s">
        <v>3031</v>
      </c>
      <c r="H332">
        <v>11</v>
      </c>
      <c r="I332" t="s">
        <v>3677</v>
      </c>
    </row>
    <row r="333" spans="1:9" x14ac:dyDescent="0.3">
      <c r="A333" t="s">
        <v>3661</v>
      </c>
      <c r="B333" t="s">
        <v>214</v>
      </c>
      <c r="C333" t="s">
        <v>214</v>
      </c>
      <c r="D333" t="s">
        <v>3029</v>
      </c>
      <c r="E333" t="s">
        <v>3119</v>
      </c>
      <c r="F333" t="s">
        <v>3027</v>
      </c>
      <c r="G333" t="s">
        <v>3031</v>
      </c>
      <c r="H333">
        <v>12</v>
      </c>
      <c r="I333" t="s">
        <v>3079</v>
      </c>
    </row>
    <row r="334" spans="1:9" x14ac:dyDescent="0.3">
      <c r="A334" t="s">
        <v>3661</v>
      </c>
      <c r="B334" t="s">
        <v>214</v>
      </c>
      <c r="C334" t="s">
        <v>214</v>
      </c>
      <c r="D334" t="s">
        <v>3029</v>
      </c>
      <c r="E334" t="s">
        <v>3678</v>
      </c>
      <c r="F334" t="s">
        <v>3027</v>
      </c>
      <c r="G334" t="s">
        <v>3031</v>
      </c>
      <c r="H334">
        <v>13</v>
      </c>
      <c r="I334" t="s">
        <v>3679</v>
      </c>
    </row>
    <row r="335" spans="1:9" x14ac:dyDescent="0.3">
      <c r="A335" t="s">
        <v>3661</v>
      </c>
      <c r="B335" t="s">
        <v>214</v>
      </c>
      <c r="C335" t="s">
        <v>214</v>
      </c>
      <c r="D335" t="s">
        <v>3029</v>
      </c>
      <c r="E335" t="s">
        <v>3680</v>
      </c>
      <c r="F335" t="s">
        <v>3027</v>
      </c>
      <c r="G335" t="s">
        <v>3031</v>
      </c>
      <c r="H335">
        <v>14</v>
      </c>
      <c r="I335" t="s">
        <v>3681</v>
      </c>
    </row>
    <row r="336" spans="1:9" x14ac:dyDescent="0.3">
      <c r="A336" t="s">
        <v>3661</v>
      </c>
      <c r="B336" t="s">
        <v>214</v>
      </c>
      <c r="C336" t="s">
        <v>214</v>
      </c>
      <c r="D336" t="s">
        <v>3029</v>
      </c>
      <c r="E336" t="s">
        <v>3682</v>
      </c>
      <c r="F336" t="s">
        <v>3027</v>
      </c>
      <c r="G336" t="s">
        <v>3031</v>
      </c>
      <c r="H336">
        <v>15</v>
      </c>
      <c r="I336" t="s">
        <v>3683</v>
      </c>
    </row>
    <row r="337" spans="1:9" x14ac:dyDescent="0.3">
      <c r="A337" t="s">
        <v>3661</v>
      </c>
      <c r="B337" t="s">
        <v>214</v>
      </c>
      <c r="C337" t="s">
        <v>214</v>
      </c>
      <c r="D337" t="s">
        <v>3029</v>
      </c>
      <c r="E337" t="s">
        <v>3684</v>
      </c>
      <c r="F337" t="s">
        <v>3027</v>
      </c>
      <c r="G337" t="s">
        <v>3031</v>
      </c>
      <c r="H337">
        <v>16</v>
      </c>
      <c r="I337" t="s">
        <v>3685</v>
      </c>
    </row>
    <row r="338" spans="1:9" x14ac:dyDescent="0.3">
      <c r="A338" t="s">
        <v>3661</v>
      </c>
      <c r="B338" t="s">
        <v>214</v>
      </c>
      <c r="C338" t="s">
        <v>214</v>
      </c>
      <c r="D338" t="s">
        <v>3029</v>
      </c>
      <c r="E338" t="s">
        <v>3686</v>
      </c>
      <c r="F338" t="s">
        <v>3027</v>
      </c>
      <c r="G338" t="s">
        <v>3031</v>
      </c>
      <c r="H338">
        <v>17</v>
      </c>
      <c r="I338" t="s">
        <v>3687</v>
      </c>
    </row>
    <row r="339" spans="1:9" x14ac:dyDescent="0.3">
      <c r="A339" t="s">
        <v>3661</v>
      </c>
      <c r="B339" t="s">
        <v>214</v>
      </c>
      <c r="C339" t="s">
        <v>214</v>
      </c>
      <c r="D339" t="s">
        <v>3029</v>
      </c>
      <c r="E339" t="s">
        <v>3688</v>
      </c>
      <c r="F339" t="s">
        <v>3027</v>
      </c>
      <c r="G339" t="s">
        <v>3031</v>
      </c>
      <c r="H339">
        <v>18</v>
      </c>
      <c r="I339" t="s">
        <v>3689</v>
      </c>
    </row>
    <row r="340" spans="1:9" x14ac:dyDescent="0.3">
      <c r="A340" t="s">
        <v>3661</v>
      </c>
      <c r="B340" t="s">
        <v>214</v>
      </c>
      <c r="C340" t="s">
        <v>214</v>
      </c>
      <c r="D340" t="s">
        <v>3029</v>
      </c>
      <c r="E340" t="s">
        <v>3690</v>
      </c>
      <c r="F340" t="s">
        <v>3027</v>
      </c>
      <c r="G340" t="s">
        <v>3031</v>
      </c>
      <c r="H340">
        <v>19</v>
      </c>
      <c r="I340" t="s">
        <v>3691</v>
      </c>
    </row>
    <row r="341" spans="1:9" x14ac:dyDescent="0.3">
      <c r="A341" t="s">
        <v>3661</v>
      </c>
      <c r="B341" t="s">
        <v>214</v>
      </c>
      <c r="C341" t="s">
        <v>214</v>
      </c>
      <c r="D341" t="s">
        <v>3029</v>
      </c>
      <c r="E341" t="s">
        <v>3692</v>
      </c>
      <c r="F341" t="s">
        <v>3027</v>
      </c>
      <c r="G341" t="s">
        <v>3031</v>
      </c>
      <c r="H341">
        <v>20</v>
      </c>
      <c r="I341" t="s">
        <v>3693</v>
      </c>
    </row>
    <row r="342" spans="1:9" x14ac:dyDescent="0.3">
      <c r="A342" t="s">
        <v>3694</v>
      </c>
      <c r="B342" t="s">
        <v>220</v>
      </c>
      <c r="C342" t="s">
        <v>3695</v>
      </c>
      <c r="D342" t="s">
        <v>3025</v>
      </c>
      <c r="E342" t="s">
        <v>3696</v>
      </c>
      <c r="F342" t="s">
        <v>3027</v>
      </c>
      <c r="G342" t="s">
        <v>3028</v>
      </c>
      <c r="H342">
        <v>1</v>
      </c>
      <c r="I342" t="s">
        <v>3695</v>
      </c>
    </row>
    <row r="343" spans="1:9" x14ac:dyDescent="0.3">
      <c r="A343" t="s">
        <v>3694</v>
      </c>
      <c r="B343" t="s">
        <v>220</v>
      </c>
      <c r="C343" t="s">
        <v>3695</v>
      </c>
      <c r="D343" t="s">
        <v>3029</v>
      </c>
      <c r="E343" t="s">
        <v>3697</v>
      </c>
      <c r="F343" t="s">
        <v>3027</v>
      </c>
      <c r="G343" t="s">
        <v>3031</v>
      </c>
      <c r="H343">
        <v>2</v>
      </c>
      <c r="I343" t="s">
        <v>3698</v>
      </c>
    </row>
    <row r="344" spans="1:9" x14ac:dyDescent="0.3">
      <c r="A344" t="s">
        <v>3694</v>
      </c>
      <c r="B344" t="s">
        <v>220</v>
      </c>
      <c r="C344" t="s">
        <v>3695</v>
      </c>
      <c r="D344" t="s">
        <v>3029</v>
      </c>
      <c r="E344" t="s">
        <v>3699</v>
      </c>
      <c r="F344" t="s">
        <v>3027</v>
      </c>
      <c r="G344" t="s">
        <v>3031</v>
      </c>
      <c r="H344">
        <v>3</v>
      </c>
      <c r="I344" t="s">
        <v>3700</v>
      </c>
    </row>
    <row r="345" spans="1:9" x14ac:dyDescent="0.3">
      <c r="A345" t="s">
        <v>3694</v>
      </c>
      <c r="B345" t="s">
        <v>220</v>
      </c>
      <c r="C345" t="s">
        <v>3695</v>
      </c>
      <c r="D345" t="s">
        <v>3029</v>
      </c>
      <c r="E345" t="s">
        <v>3701</v>
      </c>
      <c r="F345" t="s">
        <v>3027</v>
      </c>
      <c r="G345" t="s">
        <v>3031</v>
      </c>
      <c r="H345">
        <v>4</v>
      </c>
      <c r="I345" t="s">
        <v>3702</v>
      </c>
    </row>
    <row r="346" spans="1:9" x14ac:dyDescent="0.3">
      <c r="A346" t="s">
        <v>3694</v>
      </c>
      <c r="B346" t="s">
        <v>220</v>
      </c>
      <c r="C346" t="s">
        <v>3695</v>
      </c>
      <c r="D346" t="s">
        <v>3029</v>
      </c>
      <c r="E346" t="s">
        <v>3703</v>
      </c>
      <c r="F346" t="s">
        <v>3027</v>
      </c>
      <c r="G346" t="s">
        <v>3031</v>
      </c>
      <c r="H346">
        <v>5</v>
      </c>
      <c r="I346" t="s">
        <v>3704</v>
      </c>
    </row>
    <row r="347" spans="1:9" x14ac:dyDescent="0.3">
      <c r="A347" t="s">
        <v>3694</v>
      </c>
      <c r="B347" t="s">
        <v>220</v>
      </c>
      <c r="C347" t="s">
        <v>3695</v>
      </c>
      <c r="D347" t="s">
        <v>3029</v>
      </c>
      <c r="E347" t="s">
        <v>3705</v>
      </c>
      <c r="F347" t="s">
        <v>3027</v>
      </c>
      <c r="G347" t="s">
        <v>3031</v>
      </c>
      <c r="H347">
        <v>6</v>
      </c>
      <c r="I347" t="s">
        <v>3706</v>
      </c>
    </row>
    <row r="348" spans="1:9" x14ac:dyDescent="0.3">
      <c r="A348" t="s">
        <v>3694</v>
      </c>
      <c r="B348" t="s">
        <v>220</v>
      </c>
      <c r="C348" t="s">
        <v>3695</v>
      </c>
      <c r="D348" t="s">
        <v>3029</v>
      </c>
      <c r="E348" t="s">
        <v>3118</v>
      </c>
      <c r="F348" t="s">
        <v>3027</v>
      </c>
      <c r="G348" t="s">
        <v>3031</v>
      </c>
      <c r="H348">
        <v>7</v>
      </c>
      <c r="I348" t="s">
        <v>3707</v>
      </c>
    </row>
    <row r="349" spans="1:9" x14ac:dyDescent="0.3">
      <c r="A349" t="s">
        <v>3694</v>
      </c>
      <c r="B349" t="s">
        <v>220</v>
      </c>
      <c r="C349" t="s">
        <v>3695</v>
      </c>
      <c r="D349" t="s">
        <v>3029</v>
      </c>
      <c r="E349" t="s">
        <v>3708</v>
      </c>
      <c r="F349" t="s">
        <v>3027</v>
      </c>
      <c r="G349" t="s">
        <v>3031</v>
      </c>
      <c r="H349">
        <v>8</v>
      </c>
      <c r="I349" t="s">
        <v>3709</v>
      </c>
    </row>
    <row r="350" spans="1:9" x14ac:dyDescent="0.3">
      <c r="A350" t="s">
        <v>3694</v>
      </c>
      <c r="B350" t="s">
        <v>220</v>
      </c>
      <c r="C350" t="s">
        <v>3695</v>
      </c>
      <c r="D350" t="s">
        <v>3029</v>
      </c>
      <c r="E350" t="s">
        <v>3076</v>
      </c>
      <c r="F350" t="s">
        <v>3027</v>
      </c>
      <c r="G350" t="s">
        <v>3031</v>
      </c>
      <c r="H350">
        <v>9</v>
      </c>
      <c r="I350" t="s">
        <v>3077</v>
      </c>
    </row>
    <row r="351" spans="1:9" x14ac:dyDescent="0.3">
      <c r="A351" t="s">
        <v>3694</v>
      </c>
      <c r="B351" t="s">
        <v>220</v>
      </c>
      <c r="C351" t="s">
        <v>3695</v>
      </c>
      <c r="D351" t="s">
        <v>3029</v>
      </c>
      <c r="E351" t="s">
        <v>3710</v>
      </c>
      <c r="F351" t="s">
        <v>3027</v>
      </c>
      <c r="G351" t="s">
        <v>3031</v>
      </c>
      <c r="H351">
        <v>10</v>
      </c>
      <c r="I351" t="s">
        <v>3711</v>
      </c>
    </row>
    <row r="352" spans="1:9" x14ac:dyDescent="0.3">
      <c r="A352" t="s">
        <v>3694</v>
      </c>
      <c r="B352" t="s">
        <v>220</v>
      </c>
      <c r="C352" t="s">
        <v>3695</v>
      </c>
      <c r="D352" t="s">
        <v>3029</v>
      </c>
      <c r="E352" t="s">
        <v>3712</v>
      </c>
      <c r="F352" t="s">
        <v>3027</v>
      </c>
      <c r="G352" t="s">
        <v>3031</v>
      </c>
      <c r="H352">
        <v>11</v>
      </c>
      <c r="I352" t="s">
        <v>3713</v>
      </c>
    </row>
    <row r="353" spans="1:9" x14ac:dyDescent="0.3">
      <c r="A353" t="s">
        <v>3694</v>
      </c>
      <c r="B353" t="s">
        <v>220</v>
      </c>
      <c r="C353" t="s">
        <v>3695</v>
      </c>
      <c r="D353" t="s">
        <v>3029</v>
      </c>
      <c r="E353" t="s">
        <v>3714</v>
      </c>
      <c r="F353" t="s">
        <v>3027</v>
      </c>
      <c r="G353" t="s">
        <v>3031</v>
      </c>
      <c r="H353">
        <v>12</v>
      </c>
      <c r="I353" t="s">
        <v>3715</v>
      </c>
    </row>
    <row r="354" spans="1:9" x14ac:dyDescent="0.3">
      <c r="A354" t="s">
        <v>3694</v>
      </c>
      <c r="B354" t="s">
        <v>220</v>
      </c>
      <c r="C354" t="s">
        <v>3695</v>
      </c>
      <c r="D354" t="s">
        <v>3029</v>
      </c>
      <c r="E354" t="s">
        <v>3716</v>
      </c>
      <c r="F354" t="s">
        <v>3027</v>
      </c>
      <c r="G354" t="s">
        <v>3031</v>
      </c>
      <c r="H354">
        <v>13</v>
      </c>
      <c r="I354" t="s">
        <v>3717</v>
      </c>
    </row>
    <row r="355" spans="1:9" x14ac:dyDescent="0.3">
      <c r="A355" t="s">
        <v>3694</v>
      </c>
      <c r="B355" t="s">
        <v>220</v>
      </c>
      <c r="C355" t="s">
        <v>3695</v>
      </c>
      <c r="D355" t="s">
        <v>3029</v>
      </c>
      <c r="E355" t="s">
        <v>3718</v>
      </c>
      <c r="F355" t="s">
        <v>3027</v>
      </c>
      <c r="G355" t="s">
        <v>3031</v>
      </c>
      <c r="H355">
        <v>14</v>
      </c>
      <c r="I355" t="s">
        <v>3719</v>
      </c>
    </row>
    <row r="356" spans="1:9" x14ac:dyDescent="0.3">
      <c r="A356" t="s">
        <v>3694</v>
      </c>
      <c r="B356" t="s">
        <v>220</v>
      </c>
      <c r="C356" t="s">
        <v>3695</v>
      </c>
      <c r="D356" t="s">
        <v>3029</v>
      </c>
      <c r="E356" t="s">
        <v>3720</v>
      </c>
      <c r="F356" t="s">
        <v>3027</v>
      </c>
      <c r="G356" t="s">
        <v>3031</v>
      </c>
      <c r="H356">
        <v>15</v>
      </c>
      <c r="I356" t="s">
        <v>3721</v>
      </c>
    </row>
    <row r="357" spans="1:9" x14ac:dyDescent="0.3">
      <c r="A357" t="s">
        <v>3694</v>
      </c>
      <c r="B357" t="s">
        <v>220</v>
      </c>
      <c r="C357" t="s">
        <v>3695</v>
      </c>
      <c r="D357" t="s">
        <v>3029</v>
      </c>
      <c r="E357" t="s">
        <v>3722</v>
      </c>
      <c r="F357" t="s">
        <v>3027</v>
      </c>
      <c r="G357" t="s">
        <v>3031</v>
      </c>
      <c r="H357">
        <v>16</v>
      </c>
      <c r="I357" t="s">
        <v>3723</v>
      </c>
    </row>
    <row r="358" spans="1:9" x14ac:dyDescent="0.3">
      <c r="A358" t="s">
        <v>3694</v>
      </c>
      <c r="B358" t="s">
        <v>220</v>
      </c>
      <c r="C358" t="s">
        <v>3695</v>
      </c>
      <c r="D358" t="s">
        <v>3029</v>
      </c>
      <c r="E358" t="s">
        <v>3724</v>
      </c>
      <c r="F358" t="s">
        <v>3027</v>
      </c>
      <c r="G358" t="s">
        <v>3031</v>
      </c>
      <c r="H358">
        <v>17</v>
      </c>
      <c r="I358" t="s">
        <v>3725</v>
      </c>
    </row>
    <row r="359" spans="1:9" x14ac:dyDescent="0.3">
      <c r="A359" t="s">
        <v>3694</v>
      </c>
      <c r="B359" t="s">
        <v>220</v>
      </c>
      <c r="C359" t="s">
        <v>3695</v>
      </c>
      <c r="D359" t="s">
        <v>3029</v>
      </c>
      <c r="E359" t="s">
        <v>3726</v>
      </c>
      <c r="F359" t="s">
        <v>3027</v>
      </c>
      <c r="G359" t="s">
        <v>3031</v>
      </c>
      <c r="H359">
        <v>18</v>
      </c>
      <c r="I359" t="s">
        <v>3727</v>
      </c>
    </row>
    <row r="360" spans="1:9" x14ac:dyDescent="0.3">
      <c r="A360" t="s">
        <v>3694</v>
      </c>
      <c r="B360" t="s">
        <v>220</v>
      </c>
      <c r="C360" t="s">
        <v>3695</v>
      </c>
      <c r="D360" t="s">
        <v>3029</v>
      </c>
      <c r="E360" t="s">
        <v>3728</v>
      </c>
      <c r="F360" t="s">
        <v>3027</v>
      </c>
      <c r="G360" t="s">
        <v>3031</v>
      </c>
      <c r="H360">
        <v>19</v>
      </c>
      <c r="I360" t="s">
        <v>3729</v>
      </c>
    </row>
    <row r="361" spans="1:9" x14ac:dyDescent="0.3">
      <c r="A361" t="s">
        <v>3694</v>
      </c>
      <c r="B361" t="s">
        <v>220</v>
      </c>
      <c r="C361" t="s">
        <v>3695</v>
      </c>
      <c r="D361" t="s">
        <v>3029</v>
      </c>
      <c r="E361" t="s">
        <v>3730</v>
      </c>
      <c r="F361" t="s">
        <v>3027</v>
      </c>
      <c r="G361" t="s">
        <v>3031</v>
      </c>
      <c r="H361">
        <v>20</v>
      </c>
      <c r="I361" t="s">
        <v>3731</v>
      </c>
    </row>
    <row r="362" spans="1:9" x14ac:dyDescent="0.3">
      <c r="A362" t="s">
        <v>3732</v>
      </c>
      <c r="B362" t="s">
        <v>227</v>
      </c>
      <c r="C362" t="s">
        <v>227</v>
      </c>
      <c r="D362" t="s">
        <v>3025</v>
      </c>
      <c r="E362" t="s">
        <v>3733</v>
      </c>
      <c r="F362" t="s">
        <v>3027</v>
      </c>
      <c r="G362" t="s">
        <v>3028</v>
      </c>
      <c r="H362">
        <v>1</v>
      </c>
      <c r="I362" t="s">
        <v>227</v>
      </c>
    </row>
    <row r="363" spans="1:9" x14ac:dyDescent="0.3">
      <c r="A363" t="s">
        <v>3732</v>
      </c>
      <c r="B363" t="s">
        <v>227</v>
      </c>
      <c r="C363" t="s">
        <v>227</v>
      </c>
      <c r="D363" t="s">
        <v>3029</v>
      </c>
      <c r="E363" t="s">
        <v>3734</v>
      </c>
      <c r="F363" t="s">
        <v>3027</v>
      </c>
      <c r="G363" t="s">
        <v>3031</v>
      </c>
      <c r="H363">
        <v>2</v>
      </c>
      <c r="I363" t="s">
        <v>3735</v>
      </c>
    </row>
    <row r="364" spans="1:9" x14ac:dyDescent="0.3">
      <c r="A364" t="s">
        <v>3732</v>
      </c>
      <c r="B364" t="s">
        <v>227</v>
      </c>
      <c r="C364" t="s">
        <v>227</v>
      </c>
      <c r="D364" t="s">
        <v>3029</v>
      </c>
      <c r="E364" t="s">
        <v>3736</v>
      </c>
      <c r="F364" t="s">
        <v>3027</v>
      </c>
      <c r="G364" t="s">
        <v>3031</v>
      </c>
      <c r="H364">
        <v>3</v>
      </c>
      <c r="I364" t="s">
        <v>3737</v>
      </c>
    </row>
    <row r="365" spans="1:9" x14ac:dyDescent="0.3">
      <c r="A365" t="s">
        <v>3732</v>
      </c>
      <c r="B365" t="s">
        <v>227</v>
      </c>
      <c r="C365" t="s">
        <v>227</v>
      </c>
      <c r="D365" t="s">
        <v>3029</v>
      </c>
      <c r="E365" t="s">
        <v>3738</v>
      </c>
      <c r="F365" t="s">
        <v>3027</v>
      </c>
      <c r="G365" t="s">
        <v>3031</v>
      </c>
      <c r="H365">
        <v>4</v>
      </c>
      <c r="I365" t="s">
        <v>3739</v>
      </c>
    </row>
    <row r="366" spans="1:9" x14ac:dyDescent="0.3">
      <c r="A366" t="s">
        <v>3732</v>
      </c>
      <c r="B366" t="s">
        <v>227</v>
      </c>
      <c r="C366" t="s">
        <v>227</v>
      </c>
      <c r="D366" t="s">
        <v>3029</v>
      </c>
      <c r="E366" t="s">
        <v>3740</v>
      </c>
      <c r="F366" t="s">
        <v>3027</v>
      </c>
      <c r="G366" t="s">
        <v>3031</v>
      </c>
      <c r="H366">
        <v>5</v>
      </c>
      <c r="I366" t="s">
        <v>3741</v>
      </c>
    </row>
    <row r="367" spans="1:9" x14ac:dyDescent="0.3">
      <c r="A367" t="s">
        <v>3732</v>
      </c>
      <c r="B367" t="s">
        <v>227</v>
      </c>
      <c r="C367" t="s">
        <v>227</v>
      </c>
      <c r="D367" t="s">
        <v>3029</v>
      </c>
      <c r="E367" t="s">
        <v>3742</v>
      </c>
      <c r="F367" t="s">
        <v>3027</v>
      </c>
      <c r="G367" t="s">
        <v>3031</v>
      </c>
      <c r="H367">
        <v>6</v>
      </c>
      <c r="I367" t="s">
        <v>3743</v>
      </c>
    </row>
    <row r="368" spans="1:9" x14ac:dyDescent="0.3">
      <c r="A368" t="s">
        <v>3732</v>
      </c>
      <c r="B368" t="s">
        <v>227</v>
      </c>
      <c r="C368" t="s">
        <v>227</v>
      </c>
      <c r="D368" t="s">
        <v>3029</v>
      </c>
      <c r="E368" t="s">
        <v>3744</v>
      </c>
      <c r="F368" t="s">
        <v>3027</v>
      </c>
      <c r="G368" t="s">
        <v>3031</v>
      </c>
      <c r="H368">
        <v>7</v>
      </c>
      <c r="I368" t="s">
        <v>3745</v>
      </c>
    </row>
    <row r="369" spans="1:9" x14ac:dyDescent="0.3">
      <c r="A369" t="s">
        <v>3732</v>
      </c>
      <c r="B369" t="s">
        <v>227</v>
      </c>
      <c r="C369" t="s">
        <v>227</v>
      </c>
      <c r="D369" t="s">
        <v>3029</v>
      </c>
      <c r="E369" t="s">
        <v>3746</v>
      </c>
      <c r="F369" t="s">
        <v>3027</v>
      </c>
      <c r="G369" t="s">
        <v>3031</v>
      </c>
      <c r="H369">
        <v>8</v>
      </c>
      <c r="I369" t="s">
        <v>3747</v>
      </c>
    </row>
    <row r="370" spans="1:9" x14ac:dyDescent="0.3">
      <c r="A370" t="s">
        <v>3732</v>
      </c>
      <c r="B370" t="s">
        <v>227</v>
      </c>
      <c r="C370" t="s">
        <v>227</v>
      </c>
      <c r="D370" t="s">
        <v>3029</v>
      </c>
      <c r="E370" t="s">
        <v>3748</v>
      </c>
      <c r="F370" t="s">
        <v>3027</v>
      </c>
      <c r="G370" t="s">
        <v>3031</v>
      </c>
      <c r="H370">
        <v>9</v>
      </c>
      <c r="I370" t="s">
        <v>3749</v>
      </c>
    </row>
    <row r="371" spans="1:9" x14ac:dyDescent="0.3">
      <c r="A371" t="s">
        <v>3732</v>
      </c>
      <c r="B371" t="s">
        <v>227</v>
      </c>
      <c r="C371" t="s">
        <v>227</v>
      </c>
      <c r="D371" t="s">
        <v>3029</v>
      </c>
      <c r="E371" t="s">
        <v>3750</v>
      </c>
      <c r="F371" t="s">
        <v>3027</v>
      </c>
      <c r="G371" t="s">
        <v>3031</v>
      </c>
      <c r="H371">
        <v>10</v>
      </c>
      <c r="I371" t="s">
        <v>3751</v>
      </c>
    </row>
    <row r="372" spans="1:9" x14ac:dyDescent="0.3">
      <c r="A372" t="s">
        <v>3732</v>
      </c>
      <c r="B372" t="s">
        <v>227</v>
      </c>
      <c r="C372" t="s">
        <v>227</v>
      </c>
      <c r="D372" t="s">
        <v>3029</v>
      </c>
      <c r="E372" t="s">
        <v>3752</v>
      </c>
      <c r="F372" t="s">
        <v>3027</v>
      </c>
      <c r="G372" t="s">
        <v>3031</v>
      </c>
      <c r="H372">
        <v>11</v>
      </c>
      <c r="I372" t="s">
        <v>3753</v>
      </c>
    </row>
    <row r="373" spans="1:9" x14ac:dyDescent="0.3">
      <c r="A373" t="s">
        <v>3732</v>
      </c>
      <c r="B373" t="s">
        <v>227</v>
      </c>
      <c r="C373" t="s">
        <v>227</v>
      </c>
      <c r="D373" t="s">
        <v>3029</v>
      </c>
      <c r="E373" t="s">
        <v>3754</v>
      </c>
      <c r="F373" t="s">
        <v>3027</v>
      </c>
      <c r="G373" t="s">
        <v>3031</v>
      </c>
      <c r="H373">
        <v>12</v>
      </c>
      <c r="I373" t="s">
        <v>3755</v>
      </c>
    </row>
    <row r="374" spans="1:9" x14ac:dyDescent="0.3">
      <c r="A374" t="s">
        <v>3732</v>
      </c>
      <c r="B374" t="s">
        <v>227</v>
      </c>
      <c r="C374" t="s">
        <v>227</v>
      </c>
      <c r="D374" t="s">
        <v>3029</v>
      </c>
      <c r="E374" t="s">
        <v>3756</v>
      </c>
      <c r="F374" t="s">
        <v>3027</v>
      </c>
      <c r="G374" t="s">
        <v>3031</v>
      </c>
      <c r="H374">
        <v>13</v>
      </c>
      <c r="I374" t="s">
        <v>3757</v>
      </c>
    </row>
    <row r="375" spans="1:9" x14ac:dyDescent="0.3">
      <c r="A375" t="s">
        <v>3732</v>
      </c>
      <c r="B375" t="s">
        <v>227</v>
      </c>
      <c r="C375" t="s">
        <v>227</v>
      </c>
      <c r="D375" t="s">
        <v>3029</v>
      </c>
      <c r="E375" t="s">
        <v>3071</v>
      </c>
      <c r="F375" t="s">
        <v>3027</v>
      </c>
      <c r="G375" t="s">
        <v>3031</v>
      </c>
      <c r="H375">
        <v>14</v>
      </c>
      <c r="I375" t="s">
        <v>105</v>
      </c>
    </row>
    <row r="376" spans="1:9" x14ac:dyDescent="0.3">
      <c r="A376" t="s">
        <v>3732</v>
      </c>
      <c r="B376" t="s">
        <v>227</v>
      </c>
      <c r="C376" t="s">
        <v>227</v>
      </c>
      <c r="D376" t="s">
        <v>3029</v>
      </c>
      <c r="E376" t="s">
        <v>3758</v>
      </c>
      <c r="F376" t="s">
        <v>3027</v>
      </c>
      <c r="G376" t="s">
        <v>3031</v>
      </c>
      <c r="H376">
        <v>15</v>
      </c>
      <c r="I376" t="s">
        <v>3759</v>
      </c>
    </row>
    <row r="377" spans="1:9" x14ac:dyDescent="0.3">
      <c r="A377" t="s">
        <v>3732</v>
      </c>
      <c r="B377" t="s">
        <v>227</v>
      </c>
      <c r="C377" t="s">
        <v>227</v>
      </c>
      <c r="D377" t="s">
        <v>3029</v>
      </c>
      <c r="E377" t="s">
        <v>3760</v>
      </c>
      <c r="F377" t="s">
        <v>3027</v>
      </c>
      <c r="G377" t="s">
        <v>3031</v>
      </c>
      <c r="H377">
        <v>16</v>
      </c>
      <c r="I377" t="s">
        <v>3761</v>
      </c>
    </row>
    <row r="378" spans="1:9" x14ac:dyDescent="0.3">
      <c r="A378" t="s">
        <v>3732</v>
      </c>
      <c r="B378" t="s">
        <v>227</v>
      </c>
      <c r="C378" t="s">
        <v>227</v>
      </c>
      <c r="D378" t="s">
        <v>3029</v>
      </c>
      <c r="E378" t="s">
        <v>3762</v>
      </c>
      <c r="F378" t="s">
        <v>3027</v>
      </c>
      <c r="G378" t="s">
        <v>3031</v>
      </c>
      <c r="H378">
        <v>17</v>
      </c>
      <c r="I378" t="s">
        <v>220</v>
      </c>
    </row>
    <row r="379" spans="1:9" x14ac:dyDescent="0.3">
      <c r="A379" t="s">
        <v>3732</v>
      </c>
      <c r="B379" t="s">
        <v>227</v>
      </c>
      <c r="C379" t="s">
        <v>227</v>
      </c>
      <c r="D379" t="s">
        <v>3029</v>
      </c>
      <c r="E379" t="s">
        <v>3118</v>
      </c>
      <c r="F379" t="s">
        <v>3027</v>
      </c>
      <c r="G379" t="s">
        <v>3031</v>
      </c>
      <c r="H379">
        <v>18</v>
      </c>
      <c r="I379" t="s">
        <v>3707</v>
      </c>
    </row>
    <row r="380" spans="1:9" x14ac:dyDescent="0.3">
      <c r="A380" t="s">
        <v>3732</v>
      </c>
      <c r="B380" t="s">
        <v>227</v>
      </c>
      <c r="C380" t="s">
        <v>227</v>
      </c>
      <c r="D380" t="s">
        <v>3029</v>
      </c>
      <c r="E380" t="s">
        <v>3763</v>
      </c>
      <c r="F380" t="s">
        <v>3027</v>
      </c>
      <c r="G380" t="s">
        <v>3031</v>
      </c>
      <c r="H380">
        <v>19</v>
      </c>
      <c r="I380" t="s">
        <v>3764</v>
      </c>
    </row>
    <row r="381" spans="1:9" x14ac:dyDescent="0.3">
      <c r="A381" t="s">
        <v>3732</v>
      </c>
      <c r="B381" t="s">
        <v>227</v>
      </c>
      <c r="C381" t="s">
        <v>227</v>
      </c>
      <c r="D381" t="s">
        <v>3029</v>
      </c>
      <c r="E381" t="s">
        <v>3080</v>
      </c>
      <c r="F381" t="s">
        <v>3027</v>
      </c>
      <c r="G381" t="s">
        <v>3031</v>
      </c>
      <c r="H381">
        <v>20</v>
      </c>
      <c r="I381" t="s">
        <v>3765</v>
      </c>
    </row>
    <row r="382" spans="1:9" x14ac:dyDescent="0.3">
      <c r="A382" t="s">
        <v>3766</v>
      </c>
      <c r="B382" t="s">
        <v>233</v>
      </c>
      <c r="C382" t="s">
        <v>233</v>
      </c>
      <c r="D382" t="s">
        <v>3025</v>
      </c>
      <c r="E382" t="s">
        <v>3767</v>
      </c>
      <c r="F382" t="s">
        <v>3027</v>
      </c>
      <c r="G382" t="s">
        <v>3028</v>
      </c>
      <c r="H382">
        <v>1</v>
      </c>
      <c r="I382" t="s">
        <v>233</v>
      </c>
    </row>
    <row r="383" spans="1:9" x14ac:dyDescent="0.3">
      <c r="A383" t="s">
        <v>3766</v>
      </c>
      <c r="B383" t="s">
        <v>233</v>
      </c>
      <c r="C383" t="s">
        <v>233</v>
      </c>
      <c r="D383" t="s">
        <v>3029</v>
      </c>
      <c r="E383" t="s">
        <v>3768</v>
      </c>
      <c r="F383" t="s">
        <v>3027</v>
      </c>
      <c r="G383" t="s">
        <v>3031</v>
      </c>
      <c r="H383">
        <v>2</v>
      </c>
      <c r="I383" t="s">
        <v>3769</v>
      </c>
    </row>
    <row r="384" spans="1:9" x14ac:dyDescent="0.3">
      <c r="A384" t="s">
        <v>3766</v>
      </c>
      <c r="B384" t="s">
        <v>233</v>
      </c>
      <c r="C384" t="s">
        <v>233</v>
      </c>
      <c r="D384" t="s">
        <v>3029</v>
      </c>
      <c r="E384" t="s">
        <v>3770</v>
      </c>
      <c r="F384" t="s">
        <v>3027</v>
      </c>
      <c r="G384" t="s">
        <v>3031</v>
      </c>
      <c r="H384">
        <v>3</v>
      </c>
      <c r="I384" t="s">
        <v>3771</v>
      </c>
    </row>
    <row r="385" spans="1:9" x14ac:dyDescent="0.3">
      <c r="A385" t="s">
        <v>3766</v>
      </c>
      <c r="B385" t="s">
        <v>233</v>
      </c>
      <c r="C385" t="s">
        <v>233</v>
      </c>
      <c r="D385" t="s">
        <v>3029</v>
      </c>
      <c r="E385" t="s">
        <v>3772</v>
      </c>
      <c r="F385" t="s">
        <v>3027</v>
      </c>
      <c r="G385" t="s">
        <v>3031</v>
      </c>
      <c r="H385">
        <v>4</v>
      </c>
      <c r="I385" t="s">
        <v>3773</v>
      </c>
    </row>
    <row r="386" spans="1:9" x14ac:dyDescent="0.3">
      <c r="A386" t="s">
        <v>3766</v>
      </c>
      <c r="B386" t="s">
        <v>233</v>
      </c>
      <c r="C386" t="s">
        <v>233</v>
      </c>
      <c r="D386" t="s">
        <v>3029</v>
      </c>
      <c r="E386" t="s">
        <v>3774</v>
      </c>
      <c r="F386" t="s">
        <v>3027</v>
      </c>
      <c r="G386" t="s">
        <v>3031</v>
      </c>
      <c r="H386">
        <v>5</v>
      </c>
      <c r="I386" t="s">
        <v>3775</v>
      </c>
    </row>
    <row r="387" spans="1:9" x14ac:dyDescent="0.3">
      <c r="A387" t="s">
        <v>3766</v>
      </c>
      <c r="B387" t="s">
        <v>233</v>
      </c>
      <c r="C387" t="s">
        <v>233</v>
      </c>
      <c r="D387" t="s">
        <v>3029</v>
      </c>
      <c r="E387" t="s">
        <v>3118</v>
      </c>
      <c r="F387" t="s">
        <v>3027</v>
      </c>
      <c r="G387" t="s">
        <v>3031</v>
      </c>
      <c r="H387">
        <v>6</v>
      </c>
      <c r="I387" t="s">
        <v>24</v>
      </c>
    </row>
    <row r="388" spans="1:9" x14ac:dyDescent="0.3">
      <c r="A388" t="s">
        <v>3766</v>
      </c>
      <c r="B388" t="s">
        <v>233</v>
      </c>
      <c r="C388" t="s">
        <v>233</v>
      </c>
      <c r="D388" t="s">
        <v>3029</v>
      </c>
      <c r="E388" t="s">
        <v>3092</v>
      </c>
      <c r="F388" t="s">
        <v>3027</v>
      </c>
      <c r="G388" t="s">
        <v>3031</v>
      </c>
      <c r="H388">
        <v>7</v>
      </c>
      <c r="I388" t="s">
        <v>3776</v>
      </c>
    </row>
    <row r="389" spans="1:9" x14ac:dyDescent="0.3">
      <c r="A389" t="s">
        <v>3766</v>
      </c>
      <c r="B389" t="s">
        <v>233</v>
      </c>
      <c r="C389" t="s">
        <v>233</v>
      </c>
      <c r="D389" t="s">
        <v>3029</v>
      </c>
      <c r="E389" t="s">
        <v>3777</v>
      </c>
      <c r="F389" t="s">
        <v>3027</v>
      </c>
      <c r="G389" t="s">
        <v>3031</v>
      </c>
      <c r="H389">
        <v>8</v>
      </c>
      <c r="I389" t="s">
        <v>3778</v>
      </c>
    </row>
    <row r="390" spans="1:9" x14ac:dyDescent="0.3">
      <c r="A390" t="s">
        <v>3766</v>
      </c>
      <c r="B390" t="s">
        <v>233</v>
      </c>
      <c r="C390" t="s">
        <v>233</v>
      </c>
      <c r="D390" t="s">
        <v>3029</v>
      </c>
      <c r="E390" t="s">
        <v>3779</v>
      </c>
      <c r="F390" t="s">
        <v>3027</v>
      </c>
      <c r="G390" t="s">
        <v>3031</v>
      </c>
      <c r="H390">
        <v>9</v>
      </c>
      <c r="I390" t="s">
        <v>3780</v>
      </c>
    </row>
    <row r="391" spans="1:9" x14ac:dyDescent="0.3">
      <c r="A391" t="s">
        <v>3766</v>
      </c>
      <c r="B391" t="s">
        <v>233</v>
      </c>
      <c r="C391" t="s">
        <v>233</v>
      </c>
      <c r="D391" t="s">
        <v>3029</v>
      </c>
      <c r="E391" t="s">
        <v>3781</v>
      </c>
      <c r="F391" t="s">
        <v>3027</v>
      </c>
      <c r="G391" t="s">
        <v>3031</v>
      </c>
      <c r="H391">
        <v>10</v>
      </c>
      <c r="I391" t="s">
        <v>3782</v>
      </c>
    </row>
    <row r="392" spans="1:9" x14ac:dyDescent="0.3">
      <c r="A392" t="s">
        <v>3766</v>
      </c>
      <c r="B392" t="s">
        <v>233</v>
      </c>
      <c r="C392" t="s">
        <v>233</v>
      </c>
      <c r="D392" t="s">
        <v>3029</v>
      </c>
      <c r="E392" t="s">
        <v>3783</v>
      </c>
      <c r="F392" t="s">
        <v>3027</v>
      </c>
      <c r="G392" t="s">
        <v>3031</v>
      </c>
      <c r="H392">
        <v>11</v>
      </c>
      <c r="I392" t="s">
        <v>3784</v>
      </c>
    </row>
    <row r="393" spans="1:9" x14ac:dyDescent="0.3">
      <c r="A393" t="s">
        <v>3766</v>
      </c>
      <c r="B393" t="s">
        <v>233</v>
      </c>
      <c r="C393" t="s">
        <v>233</v>
      </c>
      <c r="D393" t="s">
        <v>3029</v>
      </c>
      <c r="E393" t="s">
        <v>3785</v>
      </c>
      <c r="F393" t="s">
        <v>3027</v>
      </c>
      <c r="G393" t="s">
        <v>3031</v>
      </c>
      <c r="H393">
        <v>12</v>
      </c>
      <c r="I393" t="s">
        <v>3786</v>
      </c>
    </row>
    <row r="394" spans="1:9" x14ac:dyDescent="0.3">
      <c r="A394" t="s">
        <v>3766</v>
      </c>
      <c r="B394" t="s">
        <v>233</v>
      </c>
      <c r="C394" t="s">
        <v>233</v>
      </c>
      <c r="D394" t="s">
        <v>3029</v>
      </c>
      <c r="E394" t="s">
        <v>3787</v>
      </c>
      <c r="F394" t="s">
        <v>3027</v>
      </c>
      <c r="G394" t="s">
        <v>3031</v>
      </c>
      <c r="H394">
        <v>13</v>
      </c>
      <c r="I394" t="s">
        <v>3788</v>
      </c>
    </row>
    <row r="395" spans="1:9" x14ac:dyDescent="0.3">
      <c r="A395" t="s">
        <v>3766</v>
      </c>
      <c r="B395" t="s">
        <v>233</v>
      </c>
      <c r="C395" t="s">
        <v>233</v>
      </c>
      <c r="D395" t="s">
        <v>3029</v>
      </c>
      <c r="E395" t="s">
        <v>3789</v>
      </c>
      <c r="F395" t="s">
        <v>3027</v>
      </c>
      <c r="G395" t="s">
        <v>3031</v>
      </c>
      <c r="H395">
        <v>14</v>
      </c>
      <c r="I395" t="s">
        <v>3790</v>
      </c>
    </row>
    <row r="396" spans="1:9" x14ac:dyDescent="0.3">
      <c r="A396" t="s">
        <v>3766</v>
      </c>
      <c r="B396" t="s">
        <v>233</v>
      </c>
      <c r="C396" t="s">
        <v>233</v>
      </c>
      <c r="D396" t="s">
        <v>3029</v>
      </c>
      <c r="E396" t="s">
        <v>3791</v>
      </c>
      <c r="F396" t="s">
        <v>3027</v>
      </c>
      <c r="G396" t="s">
        <v>3031</v>
      </c>
      <c r="H396">
        <v>15</v>
      </c>
      <c r="I396" t="s">
        <v>3792</v>
      </c>
    </row>
    <row r="397" spans="1:9" x14ac:dyDescent="0.3">
      <c r="A397" t="s">
        <v>3766</v>
      </c>
      <c r="B397" t="s">
        <v>233</v>
      </c>
      <c r="C397" t="s">
        <v>233</v>
      </c>
      <c r="D397" t="s">
        <v>3029</v>
      </c>
      <c r="E397" t="s">
        <v>3793</v>
      </c>
      <c r="F397" t="s">
        <v>3027</v>
      </c>
      <c r="G397" t="s">
        <v>3031</v>
      </c>
      <c r="H397">
        <v>16</v>
      </c>
      <c r="I397" t="s">
        <v>3794</v>
      </c>
    </row>
    <row r="398" spans="1:9" x14ac:dyDescent="0.3">
      <c r="A398" t="s">
        <v>3766</v>
      </c>
      <c r="B398" t="s">
        <v>233</v>
      </c>
      <c r="C398" t="s">
        <v>233</v>
      </c>
      <c r="D398" t="s">
        <v>3029</v>
      </c>
      <c r="E398" t="s">
        <v>3795</v>
      </c>
      <c r="F398" t="s">
        <v>3027</v>
      </c>
      <c r="G398" t="s">
        <v>3031</v>
      </c>
      <c r="H398">
        <v>17</v>
      </c>
      <c r="I398" t="s">
        <v>3796</v>
      </c>
    </row>
    <row r="399" spans="1:9" x14ac:dyDescent="0.3">
      <c r="A399" t="s">
        <v>3766</v>
      </c>
      <c r="B399" t="s">
        <v>233</v>
      </c>
      <c r="C399" t="s">
        <v>233</v>
      </c>
      <c r="D399" t="s">
        <v>3029</v>
      </c>
      <c r="E399" t="s">
        <v>3797</v>
      </c>
      <c r="F399" t="s">
        <v>3027</v>
      </c>
      <c r="G399" t="s">
        <v>3031</v>
      </c>
      <c r="H399">
        <v>18</v>
      </c>
      <c r="I399" t="s">
        <v>3798</v>
      </c>
    </row>
    <row r="400" spans="1:9" x14ac:dyDescent="0.3">
      <c r="A400" t="s">
        <v>3766</v>
      </c>
      <c r="B400" t="s">
        <v>233</v>
      </c>
      <c r="C400" t="s">
        <v>233</v>
      </c>
      <c r="D400" t="s">
        <v>3029</v>
      </c>
      <c r="E400" t="s">
        <v>3799</v>
      </c>
      <c r="F400" t="s">
        <v>3027</v>
      </c>
      <c r="G400" t="s">
        <v>3031</v>
      </c>
      <c r="H400">
        <v>19</v>
      </c>
      <c r="I400" t="s">
        <v>3800</v>
      </c>
    </row>
    <row r="401" spans="1:9" x14ac:dyDescent="0.3">
      <c r="A401" t="s">
        <v>3766</v>
      </c>
      <c r="B401" t="s">
        <v>233</v>
      </c>
      <c r="C401" t="s">
        <v>233</v>
      </c>
      <c r="D401" t="s">
        <v>3029</v>
      </c>
      <c r="E401" t="s">
        <v>3801</v>
      </c>
      <c r="F401" t="s">
        <v>3027</v>
      </c>
      <c r="G401" t="s">
        <v>3031</v>
      </c>
      <c r="H401">
        <v>20</v>
      </c>
      <c r="I401" t="s">
        <v>3802</v>
      </c>
    </row>
    <row r="402" spans="1:9" x14ac:dyDescent="0.3">
      <c r="A402" t="s">
        <v>3803</v>
      </c>
      <c r="B402" t="s">
        <v>240</v>
      </c>
      <c r="C402" t="s">
        <v>3804</v>
      </c>
      <c r="D402" t="s">
        <v>3025</v>
      </c>
      <c r="E402" t="s">
        <v>3805</v>
      </c>
      <c r="F402" t="s">
        <v>3027</v>
      </c>
      <c r="G402" t="s">
        <v>3028</v>
      </c>
      <c r="H402">
        <v>1</v>
      </c>
      <c r="I402" t="s">
        <v>3804</v>
      </c>
    </row>
    <row r="403" spans="1:9" x14ac:dyDescent="0.3">
      <c r="A403" t="s">
        <v>3803</v>
      </c>
      <c r="B403" t="s">
        <v>240</v>
      </c>
      <c r="C403" t="s">
        <v>3804</v>
      </c>
      <c r="D403" t="s">
        <v>3029</v>
      </c>
      <c r="E403" t="s">
        <v>3806</v>
      </c>
      <c r="F403" t="s">
        <v>3027</v>
      </c>
      <c r="G403" t="s">
        <v>3031</v>
      </c>
      <c r="H403">
        <v>2</v>
      </c>
      <c r="I403" t="s">
        <v>3807</v>
      </c>
    </row>
    <row r="404" spans="1:9" x14ac:dyDescent="0.3">
      <c r="A404" t="s">
        <v>3803</v>
      </c>
      <c r="B404" t="s">
        <v>240</v>
      </c>
      <c r="C404" t="s">
        <v>3804</v>
      </c>
      <c r="D404" t="s">
        <v>3029</v>
      </c>
      <c r="E404" t="s">
        <v>3808</v>
      </c>
      <c r="F404" t="s">
        <v>3027</v>
      </c>
      <c r="G404" t="s">
        <v>3031</v>
      </c>
      <c r="H404">
        <v>3</v>
      </c>
      <c r="I404" t="s">
        <v>3809</v>
      </c>
    </row>
    <row r="405" spans="1:9" x14ac:dyDescent="0.3">
      <c r="A405" t="s">
        <v>3803</v>
      </c>
      <c r="B405" t="s">
        <v>240</v>
      </c>
      <c r="C405" t="s">
        <v>3804</v>
      </c>
      <c r="D405" t="s">
        <v>3029</v>
      </c>
      <c r="E405" t="s">
        <v>3810</v>
      </c>
      <c r="F405" t="s">
        <v>3027</v>
      </c>
      <c r="G405" t="s">
        <v>3031</v>
      </c>
      <c r="H405">
        <v>4</v>
      </c>
      <c r="I405" t="s">
        <v>3811</v>
      </c>
    </row>
    <row r="406" spans="1:9" x14ac:dyDescent="0.3">
      <c r="A406" t="s">
        <v>3803</v>
      </c>
      <c r="B406" t="s">
        <v>240</v>
      </c>
      <c r="C406" t="s">
        <v>3804</v>
      </c>
      <c r="D406" t="s">
        <v>3029</v>
      </c>
      <c r="E406" t="s">
        <v>3812</v>
      </c>
      <c r="F406" t="s">
        <v>3027</v>
      </c>
      <c r="G406" t="s">
        <v>3031</v>
      </c>
      <c r="H406">
        <v>5</v>
      </c>
      <c r="I406" t="s">
        <v>3813</v>
      </c>
    </row>
    <row r="407" spans="1:9" x14ac:dyDescent="0.3">
      <c r="A407" t="s">
        <v>3803</v>
      </c>
      <c r="B407" t="s">
        <v>240</v>
      </c>
      <c r="C407" t="s">
        <v>3804</v>
      </c>
      <c r="D407" t="s">
        <v>3029</v>
      </c>
      <c r="E407" t="s">
        <v>3814</v>
      </c>
      <c r="F407" t="s">
        <v>3027</v>
      </c>
      <c r="G407" t="s">
        <v>3031</v>
      </c>
      <c r="H407">
        <v>6</v>
      </c>
      <c r="I407" t="s">
        <v>3815</v>
      </c>
    </row>
    <row r="408" spans="1:9" x14ac:dyDescent="0.3">
      <c r="A408" t="s">
        <v>3803</v>
      </c>
      <c r="B408" t="s">
        <v>240</v>
      </c>
      <c r="C408" t="s">
        <v>3804</v>
      </c>
      <c r="D408" t="s">
        <v>3029</v>
      </c>
      <c r="E408" t="s">
        <v>3118</v>
      </c>
      <c r="F408" t="s">
        <v>3027</v>
      </c>
      <c r="G408" t="s">
        <v>3031</v>
      </c>
      <c r="H408">
        <v>7</v>
      </c>
      <c r="I408" t="s">
        <v>3707</v>
      </c>
    </row>
    <row r="409" spans="1:9" x14ac:dyDescent="0.3">
      <c r="A409" t="s">
        <v>3803</v>
      </c>
      <c r="B409" t="s">
        <v>240</v>
      </c>
      <c r="C409" t="s">
        <v>3804</v>
      </c>
      <c r="D409" t="s">
        <v>3029</v>
      </c>
      <c r="E409" t="s">
        <v>3816</v>
      </c>
      <c r="F409" t="s">
        <v>3027</v>
      </c>
      <c r="G409" t="s">
        <v>3031</v>
      </c>
      <c r="H409">
        <v>8</v>
      </c>
      <c r="I409" t="s">
        <v>3817</v>
      </c>
    </row>
    <row r="410" spans="1:9" x14ac:dyDescent="0.3">
      <c r="A410" t="s">
        <v>3803</v>
      </c>
      <c r="B410" t="s">
        <v>240</v>
      </c>
      <c r="C410" t="s">
        <v>3804</v>
      </c>
      <c r="D410" t="s">
        <v>3029</v>
      </c>
      <c r="E410" t="s">
        <v>3818</v>
      </c>
      <c r="F410" t="s">
        <v>3027</v>
      </c>
      <c r="G410" t="s">
        <v>3031</v>
      </c>
      <c r="H410">
        <v>9</v>
      </c>
      <c r="I410" t="s">
        <v>3819</v>
      </c>
    </row>
    <row r="411" spans="1:9" x14ac:dyDescent="0.3">
      <c r="A411" t="s">
        <v>3803</v>
      </c>
      <c r="B411" t="s">
        <v>240</v>
      </c>
      <c r="C411" t="s">
        <v>3804</v>
      </c>
      <c r="D411" t="s">
        <v>3029</v>
      </c>
      <c r="E411" t="s">
        <v>3820</v>
      </c>
      <c r="F411" t="s">
        <v>3027</v>
      </c>
      <c r="G411" t="s">
        <v>3031</v>
      </c>
      <c r="H411">
        <v>10</v>
      </c>
      <c r="I411" t="s">
        <v>3821</v>
      </c>
    </row>
    <row r="412" spans="1:9" x14ac:dyDescent="0.3">
      <c r="A412" t="s">
        <v>3803</v>
      </c>
      <c r="B412" t="s">
        <v>240</v>
      </c>
      <c r="C412" t="s">
        <v>3804</v>
      </c>
      <c r="D412" t="s">
        <v>3029</v>
      </c>
      <c r="E412" t="s">
        <v>3822</v>
      </c>
      <c r="F412" t="s">
        <v>3027</v>
      </c>
      <c r="G412" t="s">
        <v>3031</v>
      </c>
      <c r="H412">
        <v>11</v>
      </c>
      <c r="I412" t="s">
        <v>3823</v>
      </c>
    </row>
    <row r="413" spans="1:9" x14ac:dyDescent="0.3">
      <c r="A413" t="s">
        <v>3803</v>
      </c>
      <c r="B413" t="s">
        <v>240</v>
      </c>
      <c r="C413" t="s">
        <v>3804</v>
      </c>
      <c r="D413" t="s">
        <v>3029</v>
      </c>
      <c r="E413" t="s">
        <v>3824</v>
      </c>
      <c r="F413" t="s">
        <v>3027</v>
      </c>
      <c r="G413" t="s">
        <v>3031</v>
      </c>
      <c r="H413">
        <v>12</v>
      </c>
      <c r="I413" t="s">
        <v>3825</v>
      </c>
    </row>
    <row r="414" spans="1:9" x14ac:dyDescent="0.3">
      <c r="A414" t="s">
        <v>3803</v>
      </c>
      <c r="B414" t="s">
        <v>240</v>
      </c>
      <c r="C414" t="s">
        <v>3804</v>
      </c>
      <c r="D414" t="s">
        <v>3029</v>
      </c>
      <c r="E414" t="s">
        <v>3826</v>
      </c>
      <c r="F414" t="s">
        <v>3027</v>
      </c>
      <c r="G414" t="s">
        <v>3031</v>
      </c>
      <c r="H414">
        <v>13</v>
      </c>
      <c r="I414" t="s">
        <v>3827</v>
      </c>
    </row>
    <row r="415" spans="1:9" x14ac:dyDescent="0.3">
      <c r="A415" t="s">
        <v>3803</v>
      </c>
      <c r="B415" t="s">
        <v>240</v>
      </c>
      <c r="C415" t="s">
        <v>3804</v>
      </c>
      <c r="D415" t="s">
        <v>3029</v>
      </c>
      <c r="E415" t="s">
        <v>3828</v>
      </c>
      <c r="F415" t="s">
        <v>3027</v>
      </c>
      <c r="G415" t="s">
        <v>3031</v>
      </c>
      <c r="H415">
        <v>14</v>
      </c>
      <c r="I415" t="s">
        <v>3829</v>
      </c>
    </row>
    <row r="416" spans="1:9" x14ac:dyDescent="0.3">
      <c r="A416" t="s">
        <v>3803</v>
      </c>
      <c r="B416" t="s">
        <v>240</v>
      </c>
      <c r="C416" t="s">
        <v>3804</v>
      </c>
      <c r="D416" t="s">
        <v>3029</v>
      </c>
      <c r="E416" t="s">
        <v>3830</v>
      </c>
      <c r="F416" t="s">
        <v>3027</v>
      </c>
      <c r="G416" t="s">
        <v>3031</v>
      </c>
      <c r="H416">
        <v>15</v>
      </c>
      <c r="I416" t="s">
        <v>3831</v>
      </c>
    </row>
    <row r="417" spans="1:9" x14ac:dyDescent="0.3">
      <c r="A417" t="s">
        <v>3803</v>
      </c>
      <c r="B417" t="s">
        <v>240</v>
      </c>
      <c r="C417" t="s">
        <v>3804</v>
      </c>
      <c r="D417" t="s">
        <v>3029</v>
      </c>
      <c r="E417" t="s">
        <v>3832</v>
      </c>
      <c r="F417" t="s">
        <v>3027</v>
      </c>
      <c r="G417" t="s">
        <v>3031</v>
      </c>
      <c r="H417">
        <v>16</v>
      </c>
      <c r="I417" t="s">
        <v>3833</v>
      </c>
    </row>
    <row r="418" spans="1:9" x14ac:dyDescent="0.3">
      <c r="A418" t="s">
        <v>3803</v>
      </c>
      <c r="B418" t="s">
        <v>240</v>
      </c>
      <c r="C418" t="s">
        <v>3804</v>
      </c>
      <c r="D418" t="s">
        <v>3029</v>
      </c>
      <c r="E418" t="s">
        <v>3834</v>
      </c>
      <c r="F418" t="s">
        <v>3027</v>
      </c>
      <c r="G418" t="s">
        <v>3031</v>
      </c>
      <c r="H418">
        <v>17</v>
      </c>
      <c r="I418" t="s">
        <v>3835</v>
      </c>
    </row>
    <row r="419" spans="1:9" x14ac:dyDescent="0.3">
      <c r="A419" t="s">
        <v>3803</v>
      </c>
      <c r="B419" t="s">
        <v>240</v>
      </c>
      <c r="C419" t="s">
        <v>3804</v>
      </c>
      <c r="D419" t="s">
        <v>3029</v>
      </c>
      <c r="E419" t="s">
        <v>3836</v>
      </c>
      <c r="F419" t="s">
        <v>3027</v>
      </c>
      <c r="G419" t="s">
        <v>3031</v>
      </c>
      <c r="H419">
        <v>18</v>
      </c>
      <c r="I419" t="s">
        <v>3837</v>
      </c>
    </row>
    <row r="420" spans="1:9" x14ac:dyDescent="0.3">
      <c r="A420" t="s">
        <v>3803</v>
      </c>
      <c r="B420" t="s">
        <v>240</v>
      </c>
      <c r="C420" t="s">
        <v>3804</v>
      </c>
      <c r="D420" t="s">
        <v>3029</v>
      </c>
      <c r="E420" t="s">
        <v>3838</v>
      </c>
      <c r="F420" t="s">
        <v>3027</v>
      </c>
      <c r="G420" t="s">
        <v>3031</v>
      </c>
      <c r="H420">
        <v>19</v>
      </c>
      <c r="I420" t="s">
        <v>3839</v>
      </c>
    </row>
    <row r="421" spans="1:9" x14ac:dyDescent="0.3">
      <c r="A421" t="s">
        <v>3803</v>
      </c>
      <c r="B421" t="s">
        <v>240</v>
      </c>
      <c r="C421" t="s">
        <v>3804</v>
      </c>
      <c r="D421" t="s">
        <v>3029</v>
      </c>
      <c r="E421" t="s">
        <v>3840</v>
      </c>
      <c r="F421" t="s">
        <v>3027</v>
      </c>
      <c r="G421" t="s">
        <v>3031</v>
      </c>
      <c r="H421">
        <v>20</v>
      </c>
      <c r="I421" t="s">
        <v>3841</v>
      </c>
    </row>
    <row r="422" spans="1:9" x14ac:dyDescent="0.3">
      <c r="A422" t="s">
        <v>3842</v>
      </c>
      <c r="B422" t="s">
        <v>246</v>
      </c>
      <c r="C422" t="s">
        <v>246</v>
      </c>
      <c r="D422" t="s">
        <v>3025</v>
      </c>
      <c r="E422" t="s">
        <v>3843</v>
      </c>
      <c r="F422" t="s">
        <v>3027</v>
      </c>
      <c r="G422" t="s">
        <v>3028</v>
      </c>
      <c r="H422">
        <v>1</v>
      </c>
      <c r="I422" t="s">
        <v>246</v>
      </c>
    </row>
    <row r="423" spans="1:9" x14ac:dyDescent="0.3">
      <c r="A423" t="s">
        <v>3842</v>
      </c>
      <c r="B423" t="s">
        <v>246</v>
      </c>
      <c r="C423" t="s">
        <v>246</v>
      </c>
      <c r="D423" t="s">
        <v>3029</v>
      </c>
      <c r="E423" t="s">
        <v>3844</v>
      </c>
      <c r="F423" t="s">
        <v>3027</v>
      </c>
      <c r="G423" t="s">
        <v>3031</v>
      </c>
      <c r="H423">
        <v>2</v>
      </c>
      <c r="I423" t="s">
        <v>3845</v>
      </c>
    </row>
    <row r="424" spans="1:9" x14ac:dyDescent="0.3">
      <c r="A424" t="s">
        <v>3842</v>
      </c>
      <c r="B424" t="s">
        <v>246</v>
      </c>
      <c r="C424" t="s">
        <v>246</v>
      </c>
      <c r="D424" t="s">
        <v>3029</v>
      </c>
      <c r="E424" t="s">
        <v>3084</v>
      </c>
      <c r="F424" t="s">
        <v>3027</v>
      </c>
      <c r="G424" t="s">
        <v>3031</v>
      </c>
      <c r="H424">
        <v>3</v>
      </c>
      <c r="I424" t="s">
        <v>3085</v>
      </c>
    </row>
    <row r="425" spans="1:9" x14ac:dyDescent="0.3">
      <c r="A425" t="s">
        <v>3842</v>
      </c>
      <c r="B425" t="s">
        <v>246</v>
      </c>
      <c r="C425" t="s">
        <v>246</v>
      </c>
      <c r="D425" t="s">
        <v>3029</v>
      </c>
      <c r="E425" t="s">
        <v>3846</v>
      </c>
      <c r="F425" t="s">
        <v>3027</v>
      </c>
      <c r="G425" t="s">
        <v>3031</v>
      </c>
      <c r="H425">
        <v>4</v>
      </c>
      <c r="I425" t="s">
        <v>3847</v>
      </c>
    </row>
    <row r="426" spans="1:9" x14ac:dyDescent="0.3">
      <c r="A426" t="s">
        <v>3842</v>
      </c>
      <c r="B426" t="s">
        <v>246</v>
      </c>
      <c r="C426" t="s">
        <v>246</v>
      </c>
      <c r="D426" t="s">
        <v>3029</v>
      </c>
      <c r="E426" t="s">
        <v>3848</v>
      </c>
      <c r="F426" t="s">
        <v>3027</v>
      </c>
      <c r="G426" t="s">
        <v>3031</v>
      </c>
      <c r="H426">
        <v>5</v>
      </c>
      <c r="I426" t="s">
        <v>3849</v>
      </c>
    </row>
    <row r="427" spans="1:9" x14ac:dyDescent="0.3">
      <c r="A427" t="s">
        <v>3842</v>
      </c>
      <c r="B427" t="s">
        <v>246</v>
      </c>
      <c r="C427" t="s">
        <v>246</v>
      </c>
      <c r="D427" t="s">
        <v>3029</v>
      </c>
      <c r="E427" t="s">
        <v>3850</v>
      </c>
      <c r="F427" t="s">
        <v>3027</v>
      </c>
      <c r="G427" t="s">
        <v>3031</v>
      </c>
      <c r="H427">
        <v>6</v>
      </c>
      <c r="I427" t="s">
        <v>3851</v>
      </c>
    </row>
    <row r="428" spans="1:9" x14ac:dyDescent="0.3">
      <c r="A428" t="s">
        <v>3842</v>
      </c>
      <c r="B428" t="s">
        <v>246</v>
      </c>
      <c r="C428" t="s">
        <v>246</v>
      </c>
      <c r="D428" t="s">
        <v>3029</v>
      </c>
      <c r="E428" t="s">
        <v>3852</v>
      </c>
      <c r="F428" t="s">
        <v>3027</v>
      </c>
      <c r="G428" t="s">
        <v>3031</v>
      </c>
      <c r="H428">
        <v>7</v>
      </c>
      <c r="I428" t="s">
        <v>3853</v>
      </c>
    </row>
    <row r="429" spans="1:9" x14ac:dyDescent="0.3">
      <c r="A429" t="s">
        <v>3842</v>
      </c>
      <c r="B429" t="s">
        <v>246</v>
      </c>
      <c r="C429" t="s">
        <v>246</v>
      </c>
      <c r="D429" t="s">
        <v>3029</v>
      </c>
      <c r="E429" t="s">
        <v>3854</v>
      </c>
      <c r="F429" t="s">
        <v>3027</v>
      </c>
      <c r="G429" t="s">
        <v>3031</v>
      </c>
      <c r="H429">
        <v>8</v>
      </c>
      <c r="I429" t="s">
        <v>3855</v>
      </c>
    </row>
    <row r="430" spans="1:9" x14ac:dyDescent="0.3">
      <c r="A430" t="s">
        <v>3842</v>
      </c>
      <c r="B430" t="s">
        <v>246</v>
      </c>
      <c r="C430" t="s">
        <v>246</v>
      </c>
      <c r="D430" t="s">
        <v>3029</v>
      </c>
      <c r="E430" t="s">
        <v>3856</v>
      </c>
      <c r="F430" t="s">
        <v>3027</v>
      </c>
      <c r="G430" t="s">
        <v>3031</v>
      </c>
      <c r="H430">
        <v>9</v>
      </c>
      <c r="I430" t="s">
        <v>3857</v>
      </c>
    </row>
    <row r="431" spans="1:9" x14ac:dyDescent="0.3">
      <c r="A431" t="s">
        <v>3842</v>
      </c>
      <c r="B431" t="s">
        <v>246</v>
      </c>
      <c r="C431" t="s">
        <v>246</v>
      </c>
      <c r="D431" t="s">
        <v>3029</v>
      </c>
      <c r="E431" t="s">
        <v>3858</v>
      </c>
      <c r="F431" t="s">
        <v>3027</v>
      </c>
      <c r="G431" t="s">
        <v>3031</v>
      </c>
      <c r="H431">
        <v>10</v>
      </c>
      <c r="I431" t="s">
        <v>3859</v>
      </c>
    </row>
    <row r="432" spans="1:9" x14ac:dyDescent="0.3">
      <c r="A432" t="s">
        <v>3842</v>
      </c>
      <c r="B432" t="s">
        <v>246</v>
      </c>
      <c r="C432" t="s">
        <v>246</v>
      </c>
      <c r="D432" t="s">
        <v>3029</v>
      </c>
      <c r="E432" t="s">
        <v>3860</v>
      </c>
      <c r="F432" t="s">
        <v>3027</v>
      </c>
      <c r="G432" t="s">
        <v>3031</v>
      </c>
      <c r="H432">
        <v>11</v>
      </c>
      <c r="I432" t="s">
        <v>3861</v>
      </c>
    </row>
    <row r="433" spans="1:9" x14ac:dyDescent="0.3">
      <c r="A433" t="s">
        <v>3842</v>
      </c>
      <c r="B433" t="s">
        <v>246</v>
      </c>
      <c r="C433" t="s">
        <v>246</v>
      </c>
      <c r="D433" t="s">
        <v>3029</v>
      </c>
      <c r="E433" t="s">
        <v>3862</v>
      </c>
      <c r="F433" t="s">
        <v>3027</v>
      </c>
      <c r="G433" t="s">
        <v>3031</v>
      </c>
      <c r="H433">
        <v>12</v>
      </c>
      <c r="I433" t="s">
        <v>3863</v>
      </c>
    </row>
    <row r="434" spans="1:9" x14ac:dyDescent="0.3">
      <c r="A434" t="s">
        <v>3842</v>
      </c>
      <c r="B434" t="s">
        <v>246</v>
      </c>
      <c r="C434" t="s">
        <v>246</v>
      </c>
      <c r="D434" t="s">
        <v>3029</v>
      </c>
      <c r="E434" t="s">
        <v>3864</v>
      </c>
      <c r="F434" t="s">
        <v>3027</v>
      </c>
      <c r="G434" t="s">
        <v>3031</v>
      </c>
      <c r="H434">
        <v>13</v>
      </c>
      <c r="I434" t="s">
        <v>3865</v>
      </c>
    </row>
    <row r="435" spans="1:9" x14ac:dyDescent="0.3">
      <c r="A435" t="s">
        <v>3842</v>
      </c>
      <c r="B435" t="s">
        <v>246</v>
      </c>
      <c r="C435" t="s">
        <v>246</v>
      </c>
      <c r="D435" t="s">
        <v>3029</v>
      </c>
      <c r="E435" t="s">
        <v>3866</v>
      </c>
      <c r="F435" t="s">
        <v>3027</v>
      </c>
      <c r="G435" t="s">
        <v>3031</v>
      </c>
      <c r="H435">
        <v>14</v>
      </c>
      <c r="I435" t="s">
        <v>3867</v>
      </c>
    </row>
    <row r="436" spans="1:9" x14ac:dyDescent="0.3">
      <c r="A436" t="s">
        <v>3842</v>
      </c>
      <c r="B436" t="s">
        <v>246</v>
      </c>
      <c r="C436" t="s">
        <v>246</v>
      </c>
      <c r="D436" t="s">
        <v>3029</v>
      </c>
      <c r="E436" t="s">
        <v>3242</v>
      </c>
      <c r="F436" t="s">
        <v>3027</v>
      </c>
      <c r="G436" t="s">
        <v>3031</v>
      </c>
      <c r="H436">
        <v>15</v>
      </c>
      <c r="I436" t="s">
        <v>2454</v>
      </c>
    </row>
    <row r="437" spans="1:9" x14ac:dyDescent="0.3">
      <c r="A437" t="s">
        <v>3842</v>
      </c>
      <c r="B437" t="s">
        <v>246</v>
      </c>
      <c r="C437" t="s">
        <v>246</v>
      </c>
      <c r="D437" t="s">
        <v>3029</v>
      </c>
      <c r="E437" t="s">
        <v>3868</v>
      </c>
      <c r="F437" t="s">
        <v>3027</v>
      </c>
      <c r="G437" t="s">
        <v>3031</v>
      </c>
      <c r="H437">
        <v>16</v>
      </c>
      <c r="I437" t="s">
        <v>3869</v>
      </c>
    </row>
    <row r="438" spans="1:9" x14ac:dyDescent="0.3">
      <c r="A438" t="s">
        <v>3842</v>
      </c>
      <c r="B438" t="s">
        <v>246</v>
      </c>
      <c r="C438" t="s">
        <v>246</v>
      </c>
      <c r="D438" t="s">
        <v>3029</v>
      </c>
      <c r="E438" t="s">
        <v>3870</v>
      </c>
      <c r="F438" t="s">
        <v>3027</v>
      </c>
      <c r="G438" t="s">
        <v>3031</v>
      </c>
      <c r="H438">
        <v>17</v>
      </c>
      <c r="I438" t="s">
        <v>3845</v>
      </c>
    </row>
    <row r="439" spans="1:9" x14ac:dyDescent="0.3">
      <c r="A439" t="s">
        <v>3842</v>
      </c>
      <c r="B439" t="s">
        <v>246</v>
      </c>
      <c r="C439" t="s">
        <v>246</v>
      </c>
      <c r="D439" t="s">
        <v>3029</v>
      </c>
      <c r="E439" t="s">
        <v>3871</v>
      </c>
      <c r="F439" t="s">
        <v>3027</v>
      </c>
      <c r="G439" t="s">
        <v>3031</v>
      </c>
      <c r="H439">
        <v>18</v>
      </c>
      <c r="I439" t="s">
        <v>3872</v>
      </c>
    </row>
    <row r="440" spans="1:9" x14ac:dyDescent="0.3">
      <c r="A440" t="s">
        <v>3842</v>
      </c>
      <c r="B440" t="s">
        <v>246</v>
      </c>
      <c r="C440" t="s">
        <v>246</v>
      </c>
      <c r="D440" t="s">
        <v>3029</v>
      </c>
      <c r="E440" t="s">
        <v>3873</v>
      </c>
      <c r="F440" t="s">
        <v>3027</v>
      </c>
      <c r="G440" t="s">
        <v>3031</v>
      </c>
      <c r="H440">
        <v>19</v>
      </c>
      <c r="I440" t="s">
        <v>3874</v>
      </c>
    </row>
    <row r="441" spans="1:9" x14ac:dyDescent="0.3">
      <c r="A441" t="s">
        <v>3842</v>
      </c>
      <c r="B441" t="s">
        <v>246</v>
      </c>
      <c r="C441" t="s">
        <v>246</v>
      </c>
      <c r="D441" t="s">
        <v>3029</v>
      </c>
      <c r="E441" t="s">
        <v>3875</v>
      </c>
      <c r="F441" t="s">
        <v>3027</v>
      </c>
      <c r="G441" t="s">
        <v>3031</v>
      </c>
      <c r="H441">
        <v>20</v>
      </c>
      <c r="I441" t="s">
        <v>3876</v>
      </c>
    </row>
    <row r="442" spans="1:9" x14ac:dyDescent="0.3">
      <c r="A442" t="s">
        <v>3877</v>
      </c>
      <c r="B442" t="s">
        <v>253</v>
      </c>
      <c r="C442" t="s">
        <v>3878</v>
      </c>
      <c r="D442" t="s">
        <v>3025</v>
      </c>
      <c r="E442" t="s">
        <v>3879</v>
      </c>
      <c r="F442" t="s">
        <v>3027</v>
      </c>
      <c r="G442" t="s">
        <v>3028</v>
      </c>
      <c r="H442">
        <v>1</v>
      </c>
      <c r="I442" t="s">
        <v>3878</v>
      </c>
    </row>
    <row r="443" spans="1:9" x14ac:dyDescent="0.3">
      <c r="A443" t="s">
        <v>3877</v>
      </c>
      <c r="B443" t="s">
        <v>253</v>
      </c>
      <c r="C443" t="s">
        <v>3878</v>
      </c>
      <c r="D443" t="s">
        <v>3029</v>
      </c>
      <c r="E443" t="s">
        <v>3880</v>
      </c>
      <c r="F443" t="s">
        <v>3027</v>
      </c>
      <c r="G443" t="s">
        <v>3031</v>
      </c>
      <c r="H443">
        <v>2</v>
      </c>
      <c r="I443" t="s">
        <v>3881</v>
      </c>
    </row>
    <row r="444" spans="1:9" x14ac:dyDescent="0.3">
      <c r="A444" t="s">
        <v>3877</v>
      </c>
      <c r="B444" t="s">
        <v>253</v>
      </c>
      <c r="C444" t="s">
        <v>3878</v>
      </c>
      <c r="D444" t="s">
        <v>3029</v>
      </c>
      <c r="E444" t="s">
        <v>3882</v>
      </c>
      <c r="F444" t="s">
        <v>3027</v>
      </c>
      <c r="G444" t="s">
        <v>3031</v>
      </c>
      <c r="H444">
        <v>3</v>
      </c>
      <c r="I444" t="s">
        <v>3883</v>
      </c>
    </row>
    <row r="445" spans="1:9" x14ac:dyDescent="0.3">
      <c r="A445" t="s">
        <v>3877</v>
      </c>
      <c r="B445" t="s">
        <v>253</v>
      </c>
      <c r="C445" t="s">
        <v>3878</v>
      </c>
      <c r="D445" t="s">
        <v>3029</v>
      </c>
      <c r="E445" t="s">
        <v>3884</v>
      </c>
      <c r="F445" t="s">
        <v>3027</v>
      </c>
      <c r="G445" t="s">
        <v>3031</v>
      </c>
      <c r="H445">
        <v>4</v>
      </c>
      <c r="I445" t="s">
        <v>3885</v>
      </c>
    </row>
    <row r="446" spans="1:9" x14ac:dyDescent="0.3">
      <c r="A446" t="s">
        <v>3877</v>
      </c>
      <c r="B446" t="s">
        <v>253</v>
      </c>
      <c r="C446" t="s">
        <v>3878</v>
      </c>
      <c r="D446" t="s">
        <v>3029</v>
      </c>
      <c r="E446" t="s">
        <v>3886</v>
      </c>
      <c r="F446" t="s">
        <v>3027</v>
      </c>
      <c r="G446" t="s">
        <v>3031</v>
      </c>
      <c r="H446">
        <v>5</v>
      </c>
      <c r="I446" t="s">
        <v>253</v>
      </c>
    </row>
    <row r="447" spans="1:9" x14ac:dyDescent="0.3">
      <c r="A447" t="s">
        <v>3877</v>
      </c>
      <c r="B447" t="s">
        <v>253</v>
      </c>
      <c r="C447" t="s">
        <v>3878</v>
      </c>
      <c r="D447" t="s">
        <v>3029</v>
      </c>
      <c r="E447" t="s">
        <v>3887</v>
      </c>
      <c r="F447" t="s">
        <v>3027</v>
      </c>
      <c r="G447" t="s">
        <v>3031</v>
      </c>
      <c r="H447">
        <v>6</v>
      </c>
      <c r="I447" t="s">
        <v>3888</v>
      </c>
    </row>
    <row r="448" spans="1:9" x14ac:dyDescent="0.3">
      <c r="A448" t="s">
        <v>3877</v>
      </c>
      <c r="B448" t="s">
        <v>253</v>
      </c>
      <c r="C448" t="s">
        <v>3878</v>
      </c>
      <c r="D448" t="s">
        <v>3029</v>
      </c>
      <c r="E448" t="s">
        <v>3889</v>
      </c>
      <c r="F448" t="s">
        <v>3027</v>
      </c>
      <c r="G448" t="s">
        <v>3031</v>
      </c>
      <c r="H448">
        <v>7</v>
      </c>
      <c r="I448" t="s">
        <v>3890</v>
      </c>
    </row>
    <row r="449" spans="1:9" x14ac:dyDescent="0.3">
      <c r="A449" t="s">
        <v>3877</v>
      </c>
      <c r="B449" t="s">
        <v>253</v>
      </c>
      <c r="C449" t="s">
        <v>3878</v>
      </c>
      <c r="D449" t="s">
        <v>3029</v>
      </c>
      <c r="E449" t="s">
        <v>3119</v>
      </c>
      <c r="F449" t="s">
        <v>3027</v>
      </c>
      <c r="G449" t="s">
        <v>3031</v>
      </c>
      <c r="H449">
        <v>8</v>
      </c>
      <c r="I449" t="s">
        <v>3079</v>
      </c>
    </row>
    <row r="450" spans="1:9" x14ac:dyDescent="0.3">
      <c r="A450" t="s">
        <v>3877</v>
      </c>
      <c r="B450" t="s">
        <v>253</v>
      </c>
      <c r="C450" t="s">
        <v>3878</v>
      </c>
      <c r="D450" t="s">
        <v>3029</v>
      </c>
      <c r="E450" t="s">
        <v>3891</v>
      </c>
      <c r="F450" t="s">
        <v>3027</v>
      </c>
      <c r="G450" t="s">
        <v>3031</v>
      </c>
      <c r="H450">
        <v>9</v>
      </c>
      <c r="I450" t="s">
        <v>3892</v>
      </c>
    </row>
    <row r="451" spans="1:9" x14ac:dyDescent="0.3">
      <c r="A451" t="s">
        <v>3877</v>
      </c>
      <c r="B451" t="s">
        <v>253</v>
      </c>
      <c r="C451" t="s">
        <v>3878</v>
      </c>
      <c r="D451" t="s">
        <v>3029</v>
      </c>
      <c r="E451" t="s">
        <v>3866</v>
      </c>
      <c r="F451" t="s">
        <v>3027</v>
      </c>
      <c r="G451" t="s">
        <v>3031</v>
      </c>
      <c r="H451">
        <v>10</v>
      </c>
      <c r="I451" t="s">
        <v>3867</v>
      </c>
    </row>
    <row r="452" spans="1:9" x14ac:dyDescent="0.3">
      <c r="A452" t="s">
        <v>3877</v>
      </c>
      <c r="B452" t="s">
        <v>253</v>
      </c>
      <c r="C452" t="s">
        <v>3878</v>
      </c>
      <c r="D452" t="s">
        <v>3029</v>
      </c>
      <c r="E452" t="s">
        <v>3893</v>
      </c>
      <c r="F452" t="s">
        <v>3027</v>
      </c>
      <c r="G452" t="s">
        <v>3031</v>
      </c>
      <c r="H452">
        <v>11</v>
      </c>
      <c r="I452" t="s">
        <v>3894</v>
      </c>
    </row>
    <row r="453" spans="1:9" x14ac:dyDescent="0.3">
      <c r="A453" t="s">
        <v>3877</v>
      </c>
      <c r="B453" t="s">
        <v>253</v>
      </c>
      <c r="C453" t="s">
        <v>3878</v>
      </c>
      <c r="D453" t="s">
        <v>3029</v>
      </c>
      <c r="E453" t="s">
        <v>3895</v>
      </c>
      <c r="F453" t="s">
        <v>3027</v>
      </c>
      <c r="G453" t="s">
        <v>3031</v>
      </c>
      <c r="H453">
        <v>12</v>
      </c>
      <c r="I453" t="s">
        <v>3896</v>
      </c>
    </row>
    <row r="454" spans="1:9" x14ac:dyDescent="0.3">
      <c r="A454" t="s">
        <v>3877</v>
      </c>
      <c r="B454" t="s">
        <v>253</v>
      </c>
      <c r="C454" t="s">
        <v>3878</v>
      </c>
      <c r="D454" t="s">
        <v>3029</v>
      </c>
      <c r="E454" t="s">
        <v>3897</v>
      </c>
      <c r="F454" t="s">
        <v>3027</v>
      </c>
      <c r="G454" t="s">
        <v>3031</v>
      </c>
      <c r="H454">
        <v>13</v>
      </c>
      <c r="I454" t="s">
        <v>3898</v>
      </c>
    </row>
    <row r="455" spans="1:9" x14ac:dyDescent="0.3">
      <c r="A455" t="s">
        <v>3877</v>
      </c>
      <c r="B455" t="s">
        <v>253</v>
      </c>
      <c r="C455" t="s">
        <v>3878</v>
      </c>
      <c r="D455" t="s">
        <v>3029</v>
      </c>
      <c r="E455" t="s">
        <v>3899</v>
      </c>
      <c r="F455" t="s">
        <v>3027</v>
      </c>
      <c r="G455" t="s">
        <v>3031</v>
      </c>
      <c r="H455">
        <v>14</v>
      </c>
      <c r="I455" t="s">
        <v>3900</v>
      </c>
    </row>
    <row r="456" spans="1:9" x14ac:dyDescent="0.3">
      <c r="A456" t="s">
        <v>3877</v>
      </c>
      <c r="B456" t="s">
        <v>253</v>
      </c>
      <c r="C456" t="s">
        <v>3878</v>
      </c>
      <c r="D456" t="s">
        <v>3029</v>
      </c>
      <c r="E456" t="s">
        <v>3901</v>
      </c>
      <c r="F456" t="s">
        <v>3027</v>
      </c>
      <c r="G456" t="s">
        <v>3031</v>
      </c>
      <c r="H456">
        <v>15</v>
      </c>
      <c r="I456" t="s">
        <v>3902</v>
      </c>
    </row>
    <row r="457" spans="1:9" x14ac:dyDescent="0.3">
      <c r="A457" t="s">
        <v>3877</v>
      </c>
      <c r="B457" t="s">
        <v>253</v>
      </c>
      <c r="C457" t="s">
        <v>3878</v>
      </c>
      <c r="D457" t="s">
        <v>3029</v>
      </c>
      <c r="E457" t="s">
        <v>3903</v>
      </c>
      <c r="F457" t="s">
        <v>3027</v>
      </c>
      <c r="G457" t="s">
        <v>3031</v>
      </c>
      <c r="H457">
        <v>16</v>
      </c>
      <c r="I457" t="s">
        <v>3904</v>
      </c>
    </row>
    <row r="458" spans="1:9" x14ac:dyDescent="0.3">
      <c r="A458" t="s">
        <v>3877</v>
      </c>
      <c r="B458" t="s">
        <v>253</v>
      </c>
      <c r="C458" t="s">
        <v>3878</v>
      </c>
      <c r="D458" t="s">
        <v>3029</v>
      </c>
      <c r="E458" t="s">
        <v>3905</v>
      </c>
      <c r="F458" t="s">
        <v>3027</v>
      </c>
      <c r="G458" t="s">
        <v>3031</v>
      </c>
      <c r="H458">
        <v>17</v>
      </c>
      <c r="I458" t="s">
        <v>3906</v>
      </c>
    </row>
    <row r="459" spans="1:9" x14ac:dyDescent="0.3">
      <c r="A459" t="s">
        <v>3877</v>
      </c>
      <c r="B459" t="s">
        <v>253</v>
      </c>
      <c r="C459" t="s">
        <v>3878</v>
      </c>
      <c r="D459" t="s">
        <v>3029</v>
      </c>
      <c r="E459" t="s">
        <v>3907</v>
      </c>
      <c r="F459" t="s">
        <v>3027</v>
      </c>
      <c r="G459" t="s">
        <v>3031</v>
      </c>
      <c r="H459">
        <v>18</v>
      </c>
      <c r="I459" t="s">
        <v>3908</v>
      </c>
    </row>
    <row r="460" spans="1:9" x14ac:dyDescent="0.3">
      <c r="A460" t="s">
        <v>3877</v>
      </c>
      <c r="B460" t="s">
        <v>253</v>
      </c>
      <c r="C460" t="s">
        <v>3878</v>
      </c>
      <c r="D460" t="s">
        <v>3029</v>
      </c>
      <c r="E460" t="s">
        <v>3909</v>
      </c>
      <c r="F460" t="s">
        <v>3027</v>
      </c>
      <c r="G460" t="s">
        <v>3031</v>
      </c>
      <c r="H460">
        <v>19</v>
      </c>
      <c r="I460" t="s">
        <v>3910</v>
      </c>
    </row>
    <row r="461" spans="1:9" x14ac:dyDescent="0.3">
      <c r="A461" t="s">
        <v>3877</v>
      </c>
      <c r="B461" t="s">
        <v>253</v>
      </c>
      <c r="C461" t="s">
        <v>3878</v>
      </c>
      <c r="D461" t="s">
        <v>3029</v>
      </c>
      <c r="E461" t="s">
        <v>3911</v>
      </c>
      <c r="F461" t="s">
        <v>3027</v>
      </c>
      <c r="G461" t="s">
        <v>3031</v>
      </c>
      <c r="H461">
        <v>20</v>
      </c>
      <c r="I461" t="s">
        <v>3912</v>
      </c>
    </row>
    <row r="462" spans="1:9" x14ac:dyDescent="0.3">
      <c r="A462" t="s">
        <v>3913</v>
      </c>
      <c r="B462" t="s">
        <v>259</v>
      </c>
      <c r="C462" t="s">
        <v>259</v>
      </c>
      <c r="D462" t="s">
        <v>3025</v>
      </c>
      <c r="E462" t="s">
        <v>3914</v>
      </c>
      <c r="F462" t="s">
        <v>3027</v>
      </c>
      <c r="G462" t="s">
        <v>3028</v>
      </c>
      <c r="H462">
        <v>1</v>
      </c>
      <c r="I462" t="s">
        <v>259</v>
      </c>
    </row>
    <row r="463" spans="1:9" x14ac:dyDescent="0.3">
      <c r="A463" t="s">
        <v>3913</v>
      </c>
      <c r="B463" t="s">
        <v>259</v>
      </c>
      <c r="C463" t="s">
        <v>259</v>
      </c>
      <c r="D463" t="s">
        <v>3029</v>
      </c>
      <c r="E463" t="s">
        <v>3915</v>
      </c>
      <c r="F463" t="s">
        <v>3027</v>
      </c>
      <c r="G463" t="s">
        <v>3031</v>
      </c>
      <c r="H463">
        <v>2</v>
      </c>
      <c r="I463" t="s">
        <v>3916</v>
      </c>
    </row>
    <row r="464" spans="1:9" x14ac:dyDescent="0.3">
      <c r="A464" t="s">
        <v>3913</v>
      </c>
      <c r="B464" t="s">
        <v>259</v>
      </c>
      <c r="C464" t="s">
        <v>259</v>
      </c>
      <c r="D464" t="s">
        <v>3029</v>
      </c>
      <c r="E464" t="s">
        <v>3917</v>
      </c>
      <c r="F464" t="s">
        <v>3027</v>
      </c>
      <c r="G464" t="s">
        <v>3031</v>
      </c>
      <c r="H464">
        <v>3</v>
      </c>
      <c r="I464" t="s">
        <v>3918</v>
      </c>
    </row>
    <row r="465" spans="1:9" x14ac:dyDescent="0.3">
      <c r="A465" t="s">
        <v>3913</v>
      </c>
      <c r="B465" t="s">
        <v>259</v>
      </c>
      <c r="C465" t="s">
        <v>259</v>
      </c>
      <c r="D465" t="s">
        <v>3029</v>
      </c>
      <c r="E465" t="s">
        <v>3919</v>
      </c>
      <c r="F465" t="s">
        <v>3027</v>
      </c>
      <c r="G465" t="s">
        <v>3031</v>
      </c>
      <c r="H465">
        <v>4</v>
      </c>
      <c r="I465" t="s">
        <v>3920</v>
      </c>
    </row>
    <row r="466" spans="1:9" x14ac:dyDescent="0.3">
      <c r="A466" t="s">
        <v>3913</v>
      </c>
      <c r="B466" t="s">
        <v>259</v>
      </c>
      <c r="C466" t="s">
        <v>259</v>
      </c>
      <c r="D466" t="s">
        <v>3029</v>
      </c>
      <c r="E466" t="s">
        <v>3921</v>
      </c>
      <c r="F466" t="s">
        <v>3027</v>
      </c>
      <c r="G466" t="s">
        <v>3031</v>
      </c>
      <c r="H466">
        <v>5</v>
      </c>
      <c r="I466" t="s">
        <v>3922</v>
      </c>
    </row>
    <row r="467" spans="1:9" x14ac:dyDescent="0.3">
      <c r="A467" t="s">
        <v>3913</v>
      </c>
      <c r="B467" t="s">
        <v>259</v>
      </c>
      <c r="C467" t="s">
        <v>259</v>
      </c>
      <c r="D467" t="s">
        <v>3029</v>
      </c>
      <c r="E467" t="s">
        <v>3923</v>
      </c>
      <c r="F467" t="s">
        <v>3027</v>
      </c>
      <c r="G467" t="s">
        <v>3031</v>
      </c>
      <c r="H467">
        <v>6</v>
      </c>
      <c r="I467" t="s">
        <v>3924</v>
      </c>
    </row>
    <row r="468" spans="1:9" x14ac:dyDescent="0.3">
      <c r="A468" t="s">
        <v>3913</v>
      </c>
      <c r="B468" t="s">
        <v>259</v>
      </c>
      <c r="C468" t="s">
        <v>259</v>
      </c>
      <c r="D468" t="s">
        <v>3029</v>
      </c>
      <c r="E468" t="s">
        <v>3925</v>
      </c>
      <c r="F468" t="s">
        <v>3027</v>
      </c>
      <c r="G468" t="s">
        <v>3031</v>
      </c>
      <c r="H468">
        <v>7</v>
      </c>
      <c r="I468" t="s">
        <v>3926</v>
      </c>
    </row>
    <row r="469" spans="1:9" x14ac:dyDescent="0.3">
      <c r="A469" t="s">
        <v>3913</v>
      </c>
      <c r="B469" t="s">
        <v>259</v>
      </c>
      <c r="C469" t="s">
        <v>259</v>
      </c>
      <c r="D469" t="s">
        <v>3029</v>
      </c>
      <c r="E469" t="s">
        <v>3927</v>
      </c>
      <c r="F469" t="s">
        <v>3027</v>
      </c>
      <c r="G469" t="s">
        <v>3031</v>
      </c>
      <c r="H469">
        <v>8</v>
      </c>
      <c r="I469" t="s">
        <v>3928</v>
      </c>
    </row>
    <row r="470" spans="1:9" x14ac:dyDescent="0.3">
      <c r="A470" t="s">
        <v>3913</v>
      </c>
      <c r="B470" t="s">
        <v>259</v>
      </c>
      <c r="C470" t="s">
        <v>259</v>
      </c>
      <c r="D470" t="s">
        <v>3029</v>
      </c>
      <c r="E470" t="s">
        <v>3929</v>
      </c>
      <c r="F470" t="s">
        <v>3027</v>
      </c>
      <c r="G470" t="s">
        <v>3031</v>
      </c>
      <c r="H470">
        <v>9</v>
      </c>
      <c r="I470" t="s">
        <v>3930</v>
      </c>
    </row>
    <row r="471" spans="1:9" x14ac:dyDescent="0.3">
      <c r="A471" t="s">
        <v>3913</v>
      </c>
      <c r="B471" t="s">
        <v>259</v>
      </c>
      <c r="C471" t="s">
        <v>259</v>
      </c>
      <c r="D471" t="s">
        <v>3029</v>
      </c>
      <c r="E471" t="s">
        <v>3931</v>
      </c>
      <c r="F471" t="s">
        <v>3027</v>
      </c>
      <c r="G471" t="s">
        <v>3031</v>
      </c>
      <c r="H471">
        <v>10</v>
      </c>
      <c r="I471" t="s">
        <v>3932</v>
      </c>
    </row>
    <row r="472" spans="1:9" x14ac:dyDescent="0.3">
      <c r="A472" t="s">
        <v>3913</v>
      </c>
      <c r="B472" t="s">
        <v>259</v>
      </c>
      <c r="C472" t="s">
        <v>259</v>
      </c>
      <c r="D472" t="s">
        <v>3029</v>
      </c>
      <c r="E472" t="s">
        <v>3933</v>
      </c>
      <c r="F472" t="s">
        <v>3027</v>
      </c>
      <c r="G472" t="s">
        <v>3031</v>
      </c>
      <c r="H472">
        <v>11</v>
      </c>
      <c r="I472" t="s">
        <v>3934</v>
      </c>
    </row>
    <row r="473" spans="1:9" x14ac:dyDescent="0.3">
      <c r="A473" t="s">
        <v>3913</v>
      </c>
      <c r="B473" t="s">
        <v>259</v>
      </c>
      <c r="C473" t="s">
        <v>259</v>
      </c>
      <c r="D473" t="s">
        <v>3029</v>
      </c>
      <c r="E473" t="s">
        <v>3935</v>
      </c>
      <c r="F473" t="s">
        <v>3027</v>
      </c>
      <c r="G473" t="s">
        <v>3031</v>
      </c>
      <c r="H473">
        <v>12</v>
      </c>
      <c r="I473" t="s">
        <v>3936</v>
      </c>
    </row>
    <row r="474" spans="1:9" x14ac:dyDescent="0.3">
      <c r="A474" t="s">
        <v>3913</v>
      </c>
      <c r="B474" t="s">
        <v>259</v>
      </c>
      <c r="C474" t="s">
        <v>259</v>
      </c>
      <c r="D474" t="s">
        <v>3029</v>
      </c>
      <c r="E474" t="s">
        <v>3937</v>
      </c>
      <c r="F474" t="s">
        <v>3027</v>
      </c>
      <c r="G474" t="s">
        <v>3031</v>
      </c>
      <c r="H474">
        <v>13</v>
      </c>
      <c r="I474" t="s">
        <v>3938</v>
      </c>
    </row>
    <row r="475" spans="1:9" x14ac:dyDescent="0.3">
      <c r="A475" t="s">
        <v>3913</v>
      </c>
      <c r="B475" t="s">
        <v>259</v>
      </c>
      <c r="C475" t="s">
        <v>259</v>
      </c>
      <c r="D475" t="s">
        <v>3029</v>
      </c>
      <c r="E475" t="s">
        <v>3939</v>
      </c>
      <c r="F475" t="s">
        <v>3027</v>
      </c>
      <c r="G475" t="s">
        <v>3031</v>
      </c>
      <c r="H475">
        <v>14</v>
      </c>
      <c r="I475" t="s">
        <v>3940</v>
      </c>
    </row>
    <row r="476" spans="1:9" x14ac:dyDescent="0.3">
      <c r="A476" t="s">
        <v>3913</v>
      </c>
      <c r="B476" t="s">
        <v>259</v>
      </c>
      <c r="C476" t="s">
        <v>259</v>
      </c>
      <c r="D476" t="s">
        <v>3029</v>
      </c>
      <c r="E476" t="s">
        <v>3941</v>
      </c>
      <c r="F476" t="s">
        <v>3027</v>
      </c>
      <c r="G476" t="s">
        <v>3031</v>
      </c>
      <c r="H476">
        <v>15</v>
      </c>
      <c r="I476" t="s">
        <v>3942</v>
      </c>
    </row>
    <row r="477" spans="1:9" x14ac:dyDescent="0.3">
      <c r="A477" t="s">
        <v>3913</v>
      </c>
      <c r="B477" t="s">
        <v>259</v>
      </c>
      <c r="C477" t="s">
        <v>259</v>
      </c>
      <c r="D477" t="s">
        <v>3029</v>
      </c>
      <c r="E477" t="s">
        <v>3943</v>
      </c>
      <c r="F477" t="s">
        <v>3027</v>
      </c>
      <c r="G477" t="s">
        <v>3031</v>
      </c>
      <c r="H477">
        <v>16</v>
      </c>
      <c r="I477" t="s">
        <v>3944</v>
      </c>
    </row>
    <row r="478" spans="1:9" x14ac:dyDescent="0.3">
      <c r="A478" t="s">
        <v>3913</v>
      </c>
      <c r="B478" t="s">
        <v>259</v>
      </c>
      <c r="C478" t="s">
        <v>259</v>
      </c>
      <c r="D478" t="s">
        <v>3029</v>
      </c>
      <c r="E478" t="s">
        <v>3945</v>
      </c>
      <c r="F478" t="s">
        <v>3027</v>
      </c>
      <c r="G478" t="s">
        <v>3031</v>
      </c>
      <c r="H478">
        <v>17</v>
      </c>
      <c r="I478" t="s">
        <v>3946</v>
      </c>
    </row>
    <row r="479" spans="1:9" x14ac:dyDescent="0.3">
      <c r="A479" t="s">
        <v>3913</v>
      </c>
      <c r="B479" t="s">
        <v>259</v>
      </c>
      <c r="C479" t="s">
        <v>259</v>
      </c>
      <c r="D479" t="s">
        <v>3029</v>
      </c>
      <c r="E479" t="s">
        <v>3947</v>
      </c>
      <c r="F479" t="s">
        <v>3027</v>
      </c>
      <c r="G479" t="s">
        <v>3031</v>
      </c>
      <c r="H479">
        <v>18</v>
      </c>
      <c r="I479" t="s">
        <v>3948</v>
      </c>
    </row>
    <row r="480" spans="1:9" x14ac:dyDescent="0.3">
      <c r="A480" t="s">
        <v>3913</v>
      </c>
      <c r="B480" t="s">
        <v>259</v>
      </c>
      <c r="C480" t="s">
        <v>259</v>
      </c>
      <c r="D480" t="s">
        <v>3029</v>
      </c>
      <c r="E480" t="s">
        <v>3949</v>
      </c>
      <c r="F480" t="s">
        <v>3027</v>
      </c>
      <c r="G480" t="s">
        <v>3031</v>
      </c>
      <c r="H480">
        <v>19</v>
      </c>
      <c r="I480" t="s">
        <v>3950</v>
      </c>
    </row>
    <row r="481" spans="1:9" x14ac:dyDescent="0.3">
      <c r="A481" t="s">
        <v>3913</v>
      </c>
      <c r="B481" t="s">
        <v>259</v>
      </c>
      <c r="C481" t="s">
        <v>259</v>
      </c>
      <c r="D481" t="s">
        <v>3029</v>
      </c>
      <c r="E481" t="s">
        <v>3951</v>
      </c>
      <c r="F481" t="s">
        <v>3027</v>
      </c>
      <c r="G481" t="s">
        <v>3031</v>
      </c>
      <c r="H481">
        <v>20</v>
      </c>
      <c r="I481" t="s">
        <v>3952</v>
      </c>
    </row>
    <row r="482" spans="1:9" x14ac:dyDescent="0.3">
      <c r="A482" t="s">
        <v>3953</v>
      </c>
      <c r="B482" t="s">
        <v>266</v>
      </c>
      <c r="C482" t="s">
        <v>3954</v>
      </c>
      <c r="D482" t="s">
        <v>3025</v>
      </c>
      <c r="E482" t="s">
        <v>3955</v>
      </c>
      <c r="F482" t="s">
        <v>3027</v>
      </c>
      <c r="G482" t="s">
        <v>3028</v>
      </c>
      <c r="H482">
        <v>1</v>
      </c>
      <c r="I482" t="s">
        <v>3954</v>
      </c>
    </row>
    <row r="483" spans="1:9" x14ac:dyDescent="0.3">
      <c r="A483" t="s">
        <v>3953</v>
      </c>
      <c r="B483" t="s">
        <v>266</v>
      </c>
      <c r="C483" t="s">
        <v>3954</v>
      </c>
      <c r="D483" t="s">
        <v>3029</v>
      </c>
      <c r="E483" t="s">
        <v>3956</v>
      </c>
      <c r="F483" t="s">
        <v>3027</v>
      </c>
      <c r="G483" t="s">
        <v>3031</v>
      </c>
      <c r="H483">
        <v>2</v>
      </c>
      <c r="I483" t="s">
        <v>3957</v>
      </c>
    </row>
    <row r="484" spans="1:9" x14ac:dyDescent="0.3">
      <c r="A484" t="s">
        <v>3953</v>
      </c>
      <c r="B484" t="s">
        <v>266</v>
      </c>
      <c r="C484" t="s">
        <v>3954</v>
      </c>
      <c r="D484" t="s">
        <v>3029</v>
      </c>
      <c r="E484" t="s">
        <v>3958</v>
      </c>
      <c r="F484" t="s">
        <v>3027</v>
      </c>
      <c r="G484" t="s">
        <v>3031</v>
      </c>
      <c r="H484">
        <v>3</v>
      </c>
      <c r="I484" t="s">
        <v>3959</v>
      </c>
    </row>
    <row r="485" spans="1:9" x14ac:dyDescent="0.3">
      <c r="A485" t="s">
        <v>3953</v>
      </c>
      <c r="B485" t="s">
        <v>266</v>
      </c>
      <c r="C485" t="s">
        <v>3954</v>
      </c>
      <c r="D485" t="s">
        <v>3029</v>
      </c>
      <c r="E485" t="s">
        <v>3960</v>
      </c>
      <c r="F485" t="s">
        <v>3027</v>
      </c>
      <c r="G485" t="s">
        <v>3031</v>
      </c>
      <c r="H485">
        <v>4</v>
      </c>
      <c r="I485" t="s">
        <v>3961</v>
      </c>
    </row>
    <row r="486" spans="1:9" x14ac:dyDescent="0.3">
      <c r="A486" t="s">
        <v>3953</v>
      </c>
      <c r="B486" t="s">
        <v>266</v>
      </c>
      <c r="C486" t="s">
        <v>3954</v>
      </c>
      <c r="D486" t="s">
        <v>3029</v>
      </c>
      <c r="E486" t="s">
        <v>3962</v>
      </c>
      <c r="F486" t="s">
        <v>3027</v>
      </c>
      <c r="G486" t="s">
        <v>3031</v>
      </c>
      <c r="H486">
        <v>5</v>
      </c>
      <c r="I486" t="s">
        <v>3963</v>
      </c>
    </row>
    <row r="487" spans="1:9" x14ac:dyDescent="0.3">
      <c r="A487" t="s">
        <v>3953</v>
      </c>
      <c r="B487" t="s">
        <v>266</v>
      </c>
      <c r="C487" t="s">
        <v>3954</v>
      </c>
      <c r="D487" t="s">
        <v>3029</v>
      </c>
      <c r="E487" t="s">
        <v>3964</v>
      </c>
      <c r="F487" t="s">
        <v>3027</v>
      </c>
      <c r="G487" t="s">
        <v>3031</v>
      </c>
      <c r="H487">
        <v>6</v>
      </c>
      <c r="I487" t="s">
        <v>3965</v>
      </c>
    </row>
    <row r="488" spans="1:9" x14ac:dyDescent="0.3">
      <c r="A488" t="s">
        <v>3953</v>
      </c>
      <c r="B488" t="s">
        <v>266</v>
      </c>
      <c r="C488" t="s">
        <v>3954</v>
      </c>
      <c r="D488" t="s">
        <v>3029</v>
      </c>
      <c r="E488" t="s">
        <v>3966</v>
      </c>
      <c r="F488" t="s">
        <v>3027</v>
      </c>
      <c r="G488" t="s">
        <v>3031</v>
      </c>
      <c r="H488">
        <v>7</v>
      </c>
      <c r="I488" t="s">
        <v>3967</v>
      </c>
    </row>
    <row r="489" spans="1:9" x14ac:dyDescent="0.3">
      <c r="A489" t="s">
        <v>3953</v>
      </c>
      <c r="B489" t="s">
        <v>266</v>
      </c>
      <c r="C489" t="s">
        <v>3954</v>
      </c>
      <c r="D489" t="s">
        <v>3029</v>
      </c>
      <c r="E489" t="s">
        <v>3968</v>
      </c>
      <c r="F489" t="s">
        <v>3027</v>
      </c>
      <c r="G489" t="s">
        <v>3031</v>
      </c>
      <c r="H489">
        <v>8</v>
      </c>
      <c r="I489" t="s">
        <v>3969</v>
      </c>
    </row>
    <row r="490" spans="1:9" x14ac:dyDescent="0.3">
      <c r="A490" t="s">
        <v>3953</v>
      </c>
      <c r="B490" t="s">
        <v>266</v>
      </c>
      <c r="C490" t="s">
        <v>3954</v>
      </c>
      <c r="D490" t="s">
        <v>3029</v>
      </c>
      <c r="E490" t="s">
        <v>3970</v>
      </c>
      <c r="F490" t="s">
        <v>3027</v>
      </c>
      <c r="G490" t="s">
        <v>3031</v>
      </c>
      <c r="H490">
        <v>9</v>
      </c>
      <c r="I490" t="s">
        <v>3971</v>
      </c>
    </row>
    <row r="491" spans="1:9" x14ac:dyDescent="0.3">
      <c r="A491" t="s">
        <v>3953</v>
      </c>
      <c r="B491" t="s">
        <v>266</v>
      </c>
      <c r="C491" t="s">
        <v>3954</v>
      </c>
      <c r="D491" t="s">
        <v>3029</v>
      </c>
      <c r="E491" t="s">
        <v>3972</v>
      </c>
      <c r="F491" t="s">
        <v>3027</v>
      </c>
      <c r="G491" t="s">
        <v>3031</v>
      </c>
      <c r="H491">
        <v>10</v>
      </c>
      <c r="I491" t="s">
        <v>3973</v>
      </c>
    </row>
    <row r="492" spans="1:9" x14ac:dyDescent="0.3">
      <c r="A492" t="s">
        <v>3953</v>
      </c>
      <c r="B492" t="s">
        <v>266</v>
      </c>
      <c r="C492" t="s">
        <v>3954</v>
      </c>
      <c r="D492" t="s">
        <v>3029</v>
      </c>
      <c r="E492" t="s">
        <v>3974</v>
      </c>
      <c r="F492" t="s">
        <v>3027</v>
      </c>
      <c r="G492" t="s">
        <v>3031</v>
      </c>
      <c r="H492">
        <v>11</v>
      </c>
      <c r="I492" t="s">
        <v>3975</v>
      </c>
    </row>
    <row r="493" spans="1:9" x14ac:dyDescent="0.3">
      <c r="A493" t="s">
        <v>3953</v>
      </c>
      <c r="B493" t="s">
        <v>266</v>
      </c>
      <c r="C493" t="s">
        <v>3954</v>
      </c>
      <c r="D493" t="s">
        <v>3029</v>
      </c>
      <c r="E493" t="s">
        <v>3976</v>
      </c>
      <c r="F493" t="s">
        <v>3027</v>
      </c>
      <c r="G493" t="s">
        <v>3031</v>
      </c>
      <c r="H493">
        <v>12</v>
      </c>
      <c r="I493" t="s">
        <v>3977</v>
      </c>
    </row>
    <row r="494" spans="1:9" x14ac:dyDescent="0.3">
      <c r="A494" t="s">
        <v>3953</v>
      </c>
      <c r="B494" t="s">
        <v>266</v>
      </c>
      <c r="C494" t="s">
        <v>3954</v>
      </c>
      <c r="D494" t="s">
        <v>3029</v>
      </c>
      <c r="E494" t="s">
        <v>3978</v>
      </c>
      <c r="F494" t="s">
        <v>3027</v>
      </c>
      <c r="G494" t="s">
        <v>3031</v>
      </c>
      <c r="H494">
        <v>13</v>
      </c>
      <c r="I494" t="s">
        <v>3979</v>
      </c>
    </row>
    <row r="495" spans="1:9" x14ac:dyDescent="0.3">
      <c r="A495" t="s">
        <v>3953</v>
      </c>
      <c r="B495" t="s">
        <v>266</v>
      </c>
      <c r="C495" t="s">
        <v>3954</v>
      </c>
      <c r="D495" t="s">
        <v>3029</v>
      </c>
      <c r="E495" t="s">
        <v>3980</v>
      </c>
      <c r="F495" t="s">
        <v>3027</v>
      </c>
      <c r="G495" t="s">
        <v>3031</v>
      </c>
      <c r="H495">
        <v>14</v>
      </c>
      <c r="I495" t="s">
        <v>3981</v>
      </c>
    </row>
    <row r="496" spans="1:9" x14ac:dyDescent="0.3">
      <c r="A496" t="s">
        <v>3953</v>
      </c>
      <c r="B496" t="s">
        <v>266</v>
      </c>
      <c r="C496" t="s">
        <v>3954</v>
      </c>
      <c r="D496" t="s">
        <v>3029</v>
      </c>
      <c r="E496" t="s">
        <v>3982</v>
      </c>
      <c r="F496" t="s">
        <v>3027</v>
      </c>
      <c r="G496" t="s">
        <v>3031</v>
      </c>
      <c r="H496">
        <v>15</v>
      </c>
      <c r="I496" t="s">
        <v>3983</v>
      </c>
    </row>
    <row r="497" spans="1:9" x14ac:dyDescent="0.3">
      <c r="A497" t="s">
        <v>3953</v>
      </c>
      <c r="B497" t="s">
        <v>266</v>
      </c>
      <c r="C497" t="s">
        <v>3954</v>
      </c>
      <c r="D497" t="s">
        <v>3029</v>
      </c>
      <c r="E497" t="s">
        <v>3984</v>
      </c>
      <c r="F497" t="s">
        <v>3027</v>
      </c>
      <c r="G497" t="s">
        <v>3031</v>
      </c>
      <c r="H497">
        <v>16</v>
      </c>
      <c r="I497" t="s">
        <v>3985</v>
      </c>
    </row>
    <row r="498" spans="1:9" x14ac:dyDescent="0.3">
      <c r="A498" t="s">
        <v>3953</v>
      </c>
      <c r="B498" t="s">
        <v>266</v>
      </c>
      <c r="C498" t="s">
        <v>3954</v>
      </c>
      <c r="D498" t="s">
        <v>3029</v>
      </c>
      <c r="E498" t="s">
        <v>3986</v>
      </c>
      <c r="F498" t="s">
        <v>3027</v>
      </c>
      <c r="G498" t="s">
        <v>3031</v>
      </c>
      <c r="H498">
        <v>17</v>
      </c>
      <c r="I498" t="s">
        <v>3987</v>
      </c>
    </row>
    <row r="499" spans="1:9" x14ac:dyDescent="0.3">
      <c r="A499" t="s">
        <v>3953</v>
      </c>
      <c r="B499" t="s">
        <v>266</v>
      </c>
      <c r="C499" t="s">
        <v>3954</v>
      </c>
      <c r="D499" t="s">
        <v>3029</v>
      </c>
      <c r="E499" t="s">
        <v>3919</v>
      </c>
      <c r="F499" t="s">
        <v>3027</v>
      </c>
      <c r="G499" t="s">
        <v>3031</v>
      </c>
      <c r="H499">
        <v>18</v>
      </c>
      <c r="I499" t="s">
        <v>3988</v>
      </c>
    </row>
    <row r="500" spans="1:9" x14ac:dyDescent="0.3">
      <c r="A500" t="s">
        <v>3953</v>
      </c>
      <c r="B500" t="s">
        <v>266</v>
      </c>
      <c r="C500" t="s">
        <v>3954</v>
      </c>
      <c r="D500" t="s">
        <v>3029</v>
      </c>
      <c r="E500" t="s">
        <v>3989</v>
      </c>
      <c r="F500" t="s">
        <v>3027</v>
      </c>
      <c r="G500" t="s">
        <v>3031</v>
      </c>
      <c r="H500">
        <v>19</v>
      </c>
      <c r="I500" t="s">
        <v>3990</v>
      </c>
    </row>
    <row r="501" spans="1:9" x14ac:dyDescent="0.3">
      <c r="A501" t="s">
        <v>3953</v>
      </c>
      <c r="B501" t="s">
        <v>266</v>
      </c>
      <c r="C501" t="s">
        <v>3954</v>
      </c>
      <c r="D501" t="s">
        <v>3029</v>
      </c>
      <c r="E501" t="s">
        <v>3991</v>
      </c>
      <c r="F501" t="s">
        <v>3027</v>
      </c>
      <c r="G501" t="s">
        <v>3031</v>
      </c>
      <c r="H501">
        <v>20</v>
      </c>
      <c r="I501" t="s">
        <v>3992</v>
      </c>
    </row>
    <row r="502" spans="1:9" x14ac:dyDescent="0.3">
      <c r="A502" t="s">
        <v>3993</v>
      </c>
      <c r="B502" t="s">
        <v>272</v>
      </c>
      <c r="C502" t="s">
        <v>3994</v>
      </c>
      <c r="D502" t="s">
        <v>3025</v>
      </c>
      <c r="E502" t="s">
        <v>3995</v>
      </c>
      <c r="F502" t="s">
        <v>3027</v>
      </c>
      <c r="G502" t="s">
        <v>3028</v>
      </c>
      <c r="H502">
        <v>1</v>
      </c>
      <c r="I502" t="s">
        <v>3994</v>
      </c>
    </row>
    <row r="503" spans="1:9" x14ac:dyDescent="0.3">
      <c r="A503" t="s">
        <v>3993</v>
      </c>
      <c r="B503" t="s">
        <v>272</v>
      </c>
      <c r="C503" t="s">
        <v>3994</v>
      </c>
      <c r="D503" t="s">
        <v>3029</v>
      </c>
      <c r="E503" t="s">
        <v>3996</v>
      </c>
      <c r="F503" t="s">
        <v>3027</v>
      </c>
      <c r="G503" t="s">
        <v>3031</v>
      </c>
      <c r="H503">
        <v>2</v>
      </c>
      <c r="I503" t="s">
        <v>3997</v>
      </c>
    </row>
    <row r="504" spans="1:9" x14ac:dyDescent="0.3">
      <c r="A504" t="s">
        <v>3993</v>
      </c>
      <c r="B504" t="s">
        <v>272</v>
      </c>
      <c r="C504" t="s">
        <v>3994</v>
      </c>
      <c r="D504" t="s">
        <v>3029</v>
      </c>
      <c r="E504" t="s">
        <v>3998</v>
      </c>
      <c r="F504" t="s">
        <v>3027</v>
      </c>
      <c r="G504" t="s">
        <v>3031</v>
      </c>
      <c r="H504">
        <v>3</v>
      </c>
      <c r="I504" t="s">
        <v>3999</v>
      </c>
    </row>
    <row r="505" spans="1:9" x14ac:dyDescent="0.3">
      <c r="A505" t="s">
        <v>3993</v>
      </c>
      <c r="B505" t="s">
        <v>272</v>
      </c>
      <c r="C505" t="s">
        <v>3994</v>
      </c>
      <c r="D505" t="s">
        <v>3029</v>
      </c>
      <c r="E505" t="s">
        <v>4000</v>
      </c>
      <c r="F505" t="s">
        <v>3027</v>
      </c>
      <c r="G505" t="s">
        <v>3031</v>
      </c>
      <c r="H505">
        <v>4</v>
      </c>
      <c r="I505" t="s">
        <v>4001</v>
      </c>
    </row>
    <row r="506" spans="1:9" x14ac:dyDescent="0.3">
      <c r="A506" t="s">
        <v>3993</v>
      </c>
      <c r="B506" t="s">
        <v>272</v>
      </c>
      <c r="C506" t="s">
        <v>3994</v>
      </c>
      <c r="D506" t="s">
        <v>3029</v>
      </c>
      <c r="E506" t="s">
        <v>4002</v>
      </c>
      <c r="F506" t="s">
        <v>3027</v>
      </c>
      <c r="G506" t="s">
        <v>3031</v>
      </c>
      <c r="H506">
        <v>5</v>
      </c>
      <c r="I506" t="s">
        <v>4003</v>
      </c>
    </row>
    <row r="507" spans="1:9" x14ac:dyDescent="0.3">
      <c r="A507" t="s">
        <v>3993</v>
      </c>
      <c r="B507" t="s">
        <v>272</v>
      </c>
      <c r="C507" t="s">
        <v>3994</v>
      </c>
      <c r="D507" t="s">
        <v>3029</v>
      </c>
      <c r="E507" t="s">
        <v>4004</v>
      </c>
      <c r="F507" t="s">
        <v>3027</v>
      </c>
      <c r="G507" t="s">
        <v>3031</v>
      </c>
      <c r="H507">
        <v>6</v>
      </c>
      <c r="I507" t="s">
        <v>4005</v>
      </c>
    </row>
    <row r="508" spans="1:9" x14ac:dyDescent="0.3">
      <c r="A508" t="s">
        <v>3993</v>
      </c>
      <c r="B508" t="s">
        <v>272</v>
      </c>
      <c r="C508" t="s">
        <v>3994</v>
      </c>
      <c r="D508" t="s">
        <v>3029</v>
      </c>
      <c r="E508" t="s">
        <v>4006</v>
      </c>
      <c r="F508" t="s">
        <v>3027</v>
      </c>
      <c r="G508" t="s">
        <v>3031</v>
      </c>
      <c r="H508">
        <v>7</v>
      </c>
      <c r="I508" t="s">
        <v>4007</v>
      </c>
    </row>
    <row r="509" spans="1:9" x14ac:dyDescent="0.3">
      <c r="A509" t="s">
        <v>3993</v>
      </c>
      <c r="B509" t="s">
        <v>272</v>
      </c>
      <c r="C509" t="s">
        <v>3994</v>
      </c>
      <c r="D509" t="s">
        <v>3029</v>
      </c>
      <c r="E509" t="s">
        <v>3118</v>
      </c>
      <c r="F509" t="s">
        <v>3027</v>
      </c>
      <c r="G509" t="s">
        <v>3031</v>
      </c>
      <c r="H509">
        <v>8</v>
      </c>
      <c r="I509" t="s">
        <v>4008</v>
      </c>
    </row>
    <row r="510" spans="1:9" x14ac:dyDescent="0.3">
      <c r="A510" t="s">
        <v>3993</v>
      </c>
      <c r="B510" t="s">
        <v>272</v>
      </c>
      <c r="C510" t="s">
        <v>3994</v>
      </c>
      <c r="D510" t="s">
        <v>3029</v>
      </c>
      <c r="E510" t="s">
        <v>4009</v>
      </c>
      <c r="F510" t="s">
        <v>3027</v>
      </c>
      <c r="G510" t="s">
        <v>3031</v>
      </c>
      <c r="H510">
        <v>9</v>
      </c>
      <c r="I510" t="s">
        <v>492</v>
      </c>
    </row>
    <row r="511" spans="1:9" x14ac:dyDescent="0.3">
      <c r="A511" t="s">
        <v>3993</v>
      </c>
      <c r="B511" t="s">
        <v>272</v>
      </c>
      <c r="C511" t="s">
        <v>3994</v>
      </c>
      <c r="D511" t="s">
        <v>3029</v>
      </c>
      <c r="E511" t="s">
        <v>3373</v>
      </c>
      <c r="F511" t="s">
        <v>3027</v>
      </c>
      <c r="G511" t="s">
        <v>3031</v>
      </c>
      <c r="H511">
        <v>10</v>
      </c>
      <c r="I511" t="s">
        <v>4010</v>
      </c>
    </row>
    <row r="512" spans="1:9" x14ac:dyDescent="0.3">
      <c r="A512" t="s">
        <v>3993</v>
      </c>
      <c r="B512" t="s">
        <v>272</v>
      </c>
      <c r="C512" t="s">
        <v>3994</v>
      </c>
      <c r="D512" t="s">
        <v>3029</v>
      </c>
      <c r="E512" t="s">
        <v>4011</v>
      </c>
      <c r="F512" t="s">
        <v>3027</v>
      </c>
      <c r="G512" t="s">
        <v>3031</v>
      </c>
      <c r="H512">
        <v>11</v>
      </c>
      <c r="I512" t="s">
        <v>4012</v>
      </c>
    </row>
    <row r="513" spans="1:9" x14ac:dyDescent="0.3">
      <c r="A513" t="s">
        <v>3993</v>
      </c>
      <c r="B513" t="s">
        <v>272</v>
      </c>
      <c r="C513" t="s">
        <v>3994</v>
      </c>
      <c r="D513" t="s">
        <v>3029</v>
      </c>
      <c r="E513" t="s">
        <v>3671</v>
      </c>
      <c r="F513" t="s">
        <v>3027</v>
      </c>
      <c r="G513" t="s">
        <v>3031</v>
      </c>
      <c r="H513">
        <v>12</v>
      </c>
      <c r="I513" t="s">
        <v>3672</v>
      </c>
    </row>
    <row r="514" spans="1:9" x14ac:dyDescent="0.3">
      <c r="A514" t="s">
        <v>3993</v>
      </c>
      <c r="B514" t="s">
        <v>272</v>
      </c>
      <c r="C514" t="s">
        <v>3994</v>
      </c>
      <c r="D514" t="s">
        <v>3029</v>
      </c>
      <c r="E514" t="s">
        <v>3640</v>
      </c>
      <c r="F514" t="s">
        <v>3027</v>
      </c>
      <c r="G514" t="s">
        <v>3031</v>
      </c>
      <c r="H514">
        <v>13</v>
      </c>
      <c r="I514" t="s">
        <v>3641</v>
      </c>
    </row>
    <row r="515" spans="1:9" x14ac:dyDescent="0.3">
      <c r="A515" t="s">
        <v>3993</v>
      </c>
      <c r="B515" t="s">
        <v>272</v>
      </c>
      <c r="C515" t="s">
        <v>3994</v>
      </c>
      <c r="D515" t="s">
        <v>3029</v>
      </c>
      <c r="E515" t="s">
        <v>4013</v>
      </c>
      <c r="F515" t="s">
        <v>3027</v>
      </c>
      <c r="G515" t="s">
        <v>3031</v>
      </c>
      <c r="H515">
        <v>14</v>
      </c>
      <c r="I515" t="s">
        <v>4014</v>
      </c>
    </row>
    <row r="516" spans="1:9" x14ac:dyDescent="0.3">
      <c r="A516" t="s">
        <v>3993</v>
      </c>
      <c r="B516" t="s">
        <v>272</v>
      </c>
      <c r="C516" t="s">
        <v>3994</v>
      </c>
      <c r="D516" t="s">
        <v>3029</v>
      </c>
      <c r="E516" t="s">
        <v>4015</v>
      </c>
      <c r="F516" t="s">
        <v>3027</v>
      </c>
      <c r="G516" t="s">
        <v>3031</v>
      </c>
      <c r="H516">
        <v>15</v>
      </c>
      <c r="I516" t="s">
        <v>4016</v>
      </c>
    </row>
    <row r="517" spans="1:9" x14ac:dyDescent="0.3">
      <c r="A517" t="s">
        <v>3993</v>
      </c>
      <c r="B517" t="s">
        <v>272</v>
      </c>
      <c r="C517" t="s">
        <v>3994</v>
      </c>
      <c r="D517" t="s">
        <v>3029</v>
      </c>
      <c r="E517" t="s">
        <v>4017</v>
      </c>
      <c r="F517" t="s">
        <v>3027</v>
      </c>
      <c r="G517" t="s">
        <v>3031</v>
      </c>
      <c r="H517">
        <v>16</v>
      </c>
      <c r="I517" t="s">
        <v>4018</v>
      </c>
    </row>
    <row r="518" spans="1:9" x14ac:dyDescent="0.3">
      <c r="A518" t="s">
        <v>3993</v>
      </c>
      <c r="B518" t="s">
        <v>272</v>
      </c>
      <c r="C518" t="s">
        <v>3994</v>
      </c>
      <c r="D518" t="s">
        <v>3029</v>
      </c>
      <c r="E518" t="s">
        <v>4019</v>
      </c>
      <c r="F518" t="s">
        <v>3027</v>
      </c>
      <c r="G518" t="s">
        <v>3031</v>
      </c>
      <c r="H518">
        <v>17</v>
      </c>
      <c r="I518" t="s">
        <v>4012</v>
      </c>
    </row>
    <row r="519" spans="1:9" x14ac:dyDescent="0.3">
      <c r="A519" t="s">
        <v>3993</v>
      </c>
      <c r="B519" t="s">
        <v>272</v>
      </c>
      <c r="C519" t="s">
        <v>3994</v>
      </c>
      <c r="D519" t="s">
        <v>3029</v>
      </c>
      <c r="E519" t="s">
        <v>4020</v>
      </c>
      <c r="F519" t="s">
        <v>3027</v>
      </c>
      <c r="G519" t="s">
        <v>3031</v>
      </c>
      <c r="H519">
        <v>18</v>
      </c>
      <c r="I519" t="s">
        <v>4021</v>
      </c>
    </row>
    <row r="520" spans="1:9" x14ac:dyDescent="0.3">
      <c r="A520" t="s">
        <v>3993</v>
      </c>
      <c r="B520" t="s">
        <v>272</v>
      </c>
      <c r="C520" t="s">
        <v>3994</v>
      </c>
      <c r="D520" t="s">
        <v>3029</v>
      </c>
      <c r="E520" t="s">
        <v>3307</v>
      </c>
      <c r="F520" t="s">
        <v>3027</v>
      </c>
      <c r="G520" t="s">
        <v>3031</v>
      </c>
      <c r="H520">
        <v>19</v>
      </c>
      <c r="I520" t="s">
        <v>3306</v>
      </c>
    </row>
    <row r="521" spans="1:9" x14ac:dyDescent="0.3">
      <c r="A521" t="s">
        <v>3993</v>
      </c>
      <c r="B521" t="s">
        <v>272</v>
      </c>
      <c r="C521" t="s">
        <v>3994</v>
      </c>
      <c r="D521" t="s">
        <v>3029</v>
      </c>
      <c r="E521" t="s">
        <v>4022</v>
      </c>
      <c r="F521" t="s">
        <v>3027</v>
      </c>
      <c r="G521" t="s">
        <v>3031</v>
      </c>
      <c r="H521">
        <v>20</v>
      </c>
      <c r="I521" t="s">
        <v>4023</v>
      </c>
    </row>
    <row r="522" spans="1:9" x14ac:dyDescent="0.3">
      <c r="A522" t="s">
        <v>4024</v>
      </c>
      <c r="B522" t="s">
        <v>278</v>
      </c>
      <c r="C522" t="s">
        <v>4025</v>
      </c>
      <c r="D522" t="s">
        <v>3025</v>
      </c>
      <c r="E522" t="s">
        <v>4026</v>
      </c>
      <c r="F522" t="s">
        <v>3027</v>
      </c>
      <c r="G522" t="s">
        <v>3028</v>
      </c>
      <c r="H522">
        <v>1</v>
      </c>
      <c r="I522" t="s">
        <v>4025</v>
      </c>
    </row>
    <row r="523" spans="1:9" x14ac:dyDescent="0.3">
      <c r="A523" t="s">
        <v>4024</v>
      </c>
      <c r="B523" t="s">
        <v>278</v>
      </c>
      <c r="C523" t="s">
        <v>4025</v>
      </c>
      <c r="D523" t="s">
        <v>3029</v>
      </c>
      <c r="E523" t="s">
        <v>3242</v>
      </c>
      <c r="F523" t="s">
        <v>3027</v>
      </c>
      <c r="G523" t="s">
        <v>3031</v>
      </c>
      <c r="H523">
        <v>2</v>
      </c>
      <c r="I523" t="s">
        <v>3243</v>
      </c>
    </row>
    <row r="524" spans="1:9" x14ac:dyDescent="0.3">
      <c r="A524" t="s">
        <v>4024</v>
      </c>
      <c r="B524" t="s">
        <v>278</v>
      </c>
      <c r="C524" t="s">
        <v>4025</v>
      </c>
      <c r="D524" t="s">
        <v>3029</v>
      </c>
      <c r="E524" t="s">
        <v>4027</v>
      </c>
      <c r="F524" t="s">
        <v>3027</v>
      </c>
      <c r="G524" t="s">
        <v>3031</v>
      </c>
      <c r="H524">
        <v>3</v>
      </c>
      <c r="I524" t="s">
        <v>4028</v>
      </c>
    </row>
    <row r="525" spans="1:9" x14ac:dyDescent="0.3">
      <c r="A525" t="s">
        <v>4024</v>
      </c>
      <c r="B525" t="s">
        <v>278</v>
      </c>
      <c r="C525" t="s">
        <v>4025</v>
      </c>
      <c r="D525" t="s">
        <v>3029</v>
      </c>
      <c r="E525" t="s">
        <v>4029</v>
      </c>
      <c r="F525" t="s">
        <v>3027</v>
      </c>
      <c r="G525" t="s">
        <v>3031</v>
      </c>
      <c r="H525">
        <v>4</v>
      </c>
      <c r="I525" t="s">
        <v>4030</v>
      </c>
    </row>
    <row r="526" spans="1:9" x14ac:dyDescent="0.3">
      <c r="A526" t="s">
        <v>4024</v>
      </c>
      <c r="B526" t="s">
        <v>278</v>
      </c>
      <c r="C526" t="s">
        <v>4025</v>
      </c>
      <c r="D526" t="s">
        <v>3029</v>
      </c>
      <c r="E526" t="s">
        <v>4031</v>
      </c>
      <c r="F526" t="s">
        <v>3027</v>
      </c>
      <c r="G526" t="s">
        <v>3031</v>
      </c>
      <c r="H526">
        <v>5</v>
      </c>
      <c r="I526" t="s">
        <v>4032</v>
      </c>
    </row>
    <row r="527" spans="1:9" x14ac:dyDescent="0.3">
      <c r="A527" t="s">
        <v>4024</v>
      </c>
      <c r="B527" t="s">
        <v>278</v>
      </c>
      <c r="C527" t="s">
        <v>4025</v>
      </c>
      <c r="D527" t="s">
        <v>3029</v>
      </c>
      <c r="E527" t="s">
        <v>4033</v>
      </c>
      <c r="F527" t="s">
        <v>3027</v>
      </c>
      <c r="G527" t="s">
        <v>3031</v>
      </c>
      <c r="H527">
        <v>6</v>
      </c>
      <c r="I527" t="s">
        <v>4034</v>
      </c>
    </row>
    <row r="528" spans="1:9" x14ac:dyDescent="0.3">
      <c r="A528" t="s">
        <v>4024</v>
      </c>
      <c r="B528" t="s">
        <v>278</v>
      </c>
      <c r="C528" t="s">
        <v>4025</v>
      </c>
      <c r="D528" t="s">
        <v>3029</v>
      </c>
      <c r="E528" t="s">
        <v>4035</v>
      </c>
      <c r="F528" t="s">
        <v>3027</v>
      </c>
      <c r="G528" t="s">
        <v>3031</v>
      </c>
      <c r="H528">
        <v>7</v>
      </c>
      <c r="I528" t="s">
        <v>4036</v>
      </c>
    </row>
    <row r="529" spans="1:9" x14ac:dyDescent="0.3">
      <c r="A529" t="s">
        <v>4024</v>
      </c>
      <c r="B529" t="s">
        <v>278</v>
      </c>
      <c r="C529" t="s">
        <v>4025</v>
      </c>
      <c r="D529" t="s">
        <v>3029</v>
      </c>
      <c r="E529" t="s">
        <v>4037</v>
      </c>
      <c r="F529" t="s">
        <v>3027</v>
      </c>
      <c r="G529" t="s">
        <v>3031</v>
      </c>
      <c r="H529">
        <v>8</v>
      </c>
      <c r="I529" t="s">
        <v>4038</v>
      </c>
    </row>
    <row r="530" spans="1:9" x14ac:dyDescent="0.3">
      <c r="A530" t="s">
        <v>4024</v>
      </c>
      <c r="B530" t="s">
        <v>278</v>
      </c>
      <c r="C530" t="s">
        <v>4025</v>
      </c>
      <c r="D530" t="s">
        <v>3029</v>
      </c>
      <c r="E530" t="s">
        <v>3252</v>
      </c>
      <c r="F530" t="s">
        <v>3027</v>
      </c>
      <c r="G530" t="s">
        <v>3031</v>
      </c>
      <c r="H530">
        <v>9</v>
      </c>
      <c r="I530" t="s">
        <v>4039</v>
      </c>
    </row>
    <row r="531" spans="1:9" x14ac:dyDescent="0.3">
      <c r="A531" t="s">
        <v>4024</v>
      </c>
      <c r="B531" t="s">
        <v>278</v>
      </c>
      <c r="C531" t="s">
        <v>4025</v>
      </c>
      <c r="D531" t="s">
        <v>3029</v>
      </c>
      <c r="E531" t="s">
        <v>4040</v>
      </c>
      <c r="F531" t="s">
        <v>3027</v>
      </c>
      <c r="G531" t="s">
        <v>3031</v>
      </c>
      <c r="H531">
        <v>10</v>
      </c>
      <c r="I531" t="s">
        <v>4041</v>
      </c>
    </row>
    <row r="532" spans="1:9" x14ac:dyDescent="0.3">
      <c r="A532" t="s">
        <v>4024</v>
      </c>
      <c r="B532" t="s">
        <v>278</v>
      </c>
      <c r="C532" t="s">
        <v>4025</v>
      </c>
      <c r="D532" t="s">
        <v>3029</v>
      </c>
      <c r="E532" t="s">
        <v>4042</v>
      </c>
      <c r="F532" t="s">
        <v>3027</v>
      </c>
      <c r="G532" t="s">
        <v>3031</v>
      </c>
      <c r="H532">
        <v>11</v>
      </c>
      <c r="I532" t="s">
        <v>4043</v>
      </c>
    </row>
    <row r="533" spans="1:9" x14ac:dyDescent="0.3">
      <c r="A533" t="s">
        <v>4024</v>
      </c>
      <c r="B533" t="s">
        <v>278</v>
      </c>
      <c r="C533" t="s">
        <v>4025</v>
      </c>
      <c r="D533" t="s">
        <v>3029</v>
      </c>
      <c r="E533" t="s">
        <v>4044</v>
      </c>
      <c r="F533" t="s">
        <v>3027</v>
      </c>
      <c r="G533" t="s">
        <v>3031</v>
      </c>
      <c r="H533">
        <v>12</v>
      </c>
      <c r="I533" t="s">
        <v>4045</v>
      </c>
    </row>
    <row r="534" spans="1:9" x14ac:dyDescent="0.3">
      <c r="A534" t="s">
        <v>4024</v>
      </c>
      <c r="B534" t="s">
        <v>278</v>
      </c>
      <c r="C534" t="s">
        <v>4025</v>
      </c>
      <c r="D534" t="s">
        <v>3029</v>
      </c>
      <c r="E534" t="s">
        <v>4046</v>
      </c>
      <c r="F534" t="s">
        <v>3027</v>
      </c>
      <c r="G534" t="s">
        <v>3031</v>
      </c>
      <c r="H534">
        <v>13</v>
      </c>
      <c r="I534" t="s">
        <v>4047</v>
      </c>
    </row>
    <row r="535" spans="1:9" x14ac:dyDescent="0.3">
      <c r="A535" t="s">
        <v>4024</v>
      </c>
      <c r="B535" t="s">
        <v>278</v>
      </c>
      <c r="C535" t="s">
        <v>4025</v>
      </c>
      <c r="D535" t="s">
        <v>3029</v>
      </c>
      <c r="E535" t="s">
        <v>4048</v>
      </c>
      <c r="F535" t="s">
        <v>3027</v>
      </c>
      <c r="G535" t="s">
        <v>3031</v>
      </c>
      <c r="H535">
        <v>14</v>
      </c>
      <c r="I535" t="s">
        <v>4049</v>
      </c>
    </row>
    <row r="536" spans="1:9" x14ac:dyDescent="0.3">
      <c r="A536" t="s">
        <v>4024</v>
      </c>
      <c r="B536" t="s">
        <v>278</v>
      </c>
      <c r="C536" t="s">
        <v>4025</v>
      </c>
      <c r="D536" t="s">
        <v>3029</v>
      </c>
      <c r="E536" t="s">
        <v>4050</v>
      </c>
      <c r="F536" t="s">
        <v>3027</v>
      </c>
      <c r="G536" t="s">
        <v>3031</v>
      </c>
      <c r="H536">
        <v>15</v>
      </c>
      <c r="I536" t="s">
        <v>4051</v>
      </c>
    </row>
    <row r="537" spans="1:9" x14ac:dyDescent="0.3">
      <c r="A537" t="s">
        <v>4024</v>
      </c>
      <c r="B537" t="s">
        <v>278</v>
      </c>
      <c r="C537" t="s">
        <v>4025</v>
      </c>
      <c r="D537" t="s">
        <v>3029</v>
      </c>
      <c r="E537" t="s">
        <v>4052</v>
      </c>
      <c r="F537" t="s">
        <v>3027</v>
      </c>
      <c r="G537" t="s">
        <v>3031</v>
      </c>
      <c r="H537">
        <v>16</v>
      </c>
      <c r="I537" t="s">
        <v>4053</v>
      </c>
    </row>
    <row r="538" spans="1:9" x14ac:dyDescent="0.3">
      <c r="A538" t="s">
        <v>4024</v>
      </c>
      <c r="B538" t="s">
        <v>278</v>
      </c>
      <c r="C538" t="s">
        <v>4025</v>
      </c>
      <c r="D538" t="s">
        <v>3029</v>
      </c>
      <c r="E538" t="s">
        <v>4054</v>
      </c>
      <c r="F538" t="s">
        <v>3027</v>
      </c>
      <c r="G538" t="s">
        <v>3031</v>
      </c>
      <c r="H538">
        <v>17</v>
      </c>
      <c r="I538" t="s">
        <v>4055</v>
      </c>
    </row>
    <row r="539" spans="1:9" x14ac:dyDescent="0.3">
      <c r="A539" t="s">
        <v>4024</v>
      </c>
      <c r="B539" t="s">
        <v>278</v>
      </c>
      <c r="C539" t="s">
        <v>4025</v>
      </c>
      <c r="D539" t="s">
        <v>3029</v>
      </c>
      <c r="E539" t="s">
        <v>4056</v>
      </c>
      <c r="F539" t="s">
        <v>3027</v>
      </c>
      <c r="G539" t="s">
        <v>3031</v>
      </c>
      <c r="H539">
        <v>18</v>
      </c>
      <c r="I539" t="s">
        <v>4057</v>
      </c>
    </row>
    <row r="540" spans="1:9" x14ac:dyDescent="0.3">
      <c r="A540" t="s">
        <v>4024</v>
      </c>
      <c r="B540" t="s">
        <v>278</v>
      </c>
      <c r="C540" t="s">
        <v>4025</v>
      </c>
      <c r="D540" t="s">
        <v>3029</v>
      </c>
      <c r="E540" t="s">
        <v>4058</v>
      </c>
      <c r="F540" t="s">
        <v>3027</v>
      </c>
      <c r="G540" t="s">
        <v>3031</v>
      </c>
      <c r="H540">
        <v>19</v>
      </c>
      <c r="I540" t="s">
        <v>4059</v>
      </c>
    </row>
    <row r="541" spans="1:9" x14ac:dyDescent="0.3">
      <c r="A541" t="s">
        <v>4024</v>
      </c>
      <c r="B541" t="s">
        <v>278</v>
      </c>
      <c r="C541" t="s">
        <v>4025</v>
      </c>
      <c r="D541" t="s">
        <v>3029</v>
      </c>
      <c r="E541" t="s">
        <v>4060</v>
      </c>
      <c r="F541" t="s">
        <v>3027</v>
      </c>
      <c r="G541" t="s">
        <v>3031</v>
      </c>
      <c r="H541">
        <v>20</v>
      </c>
      <c r="I541" t="s">
        <v>4061</v>
      </c>
    </row>
    <row r="542" spans="1:9" x14ac:dyDescent="0.3">
      <c r="A542" t="s">
        <v>4062</v>
      </c>
      <c r="B542" t="s">
        <v>286</v>
      </c>
      <c r="C542" t="s">
        <v>4063</v>
      </c>
      <c r="D542" t="s">
        <v>3025</v>
      </c>
      <c r="E542" t="s">
        <v>4064</v>
      </c>
      <c r="F542" t="s">
        <v>3027</v>
      </c>
      <c r="G542" t="s">
        <v>3028</v>
      </c>
      <c r="H542">
        <v>1</v>
      </c>
      <c r="I542" t="s">
        <v>4063</v>
      </c>
    </row>
    <row r="543" spans="1:9" x14ac:dyDescent="0.3">
      <c r="A543" t="s">
        <v>4062</v>
      </c>
      <c r="B543" t="s">
        <v>286</v>
      </c>
      <c r="C543" t="s">
        <v>4063</v>
      </c>
      <c r="D543" t="s">
        <v>3029</v>
      </c>
      <c r="E543" t="s">
        <v>4065</v>
      </c>
      <c r="F543" t="s">
        <v>3027</v>
      </c>
      <c r="G543" t="s">
        <v>3031</v>
      </c>
      <c r="H543">
        <v>2</v>
      </c>
      <c r="I543" t="s">
        <v>4066</v>
      </c>
    </row>
    <row r="544" spans="1:9" x14ac:dyDescent="0.3">
      <c r="A544" t="s">
        <v>4062</v>
      </c>
      <c r="B544" t="s">
        <v>286</v>
      </c>
      <c r="C544" t="s">
        <v>4063</v>
      </c>
      <c r="D544" t="s">
        <v>3029</v>
      </c>
      <c r="E544" t="s">
        <v>4067</v>
      </c>
      <c r="F544" t="s">
        <v>3027</v>
      </c>
      <c r="G544" t="s">
        <v>3031</v>
      </c>
      <c r="H544">
        <v>3</v>
      </c>
      <c r="I544" t="s">
        <v>4068</v>
      </c>
    </row>
    <row r="545" spans="1:9" x14ac:dyDescent="0.3">
      <c r="A545" t="s">
        <v>4062</v>
      </c>
      <c r="B545" t="s">
        <v>286</v>
      </c>
      <c r="C545" t="s">
        <v>4063</v>
      </c>
      <c r="D545" t="s">
        <v>3029</v>
      </c>
      <c r="E545" t="s">
        <v>4069</v>
      </c>
      <c r="F545" t="s">
        <v>3027</v>
      </c>
      <c r="G545" t="s">
        <v>3031</v>
      </c>
      <c r="H545">
        <v>4</v>
      </c>
      <c r="I545" t="s">
        <v>4070</v>
      </c>
    </row>
    <row r="546" spans="1:9" x14ac:dyDescent="0.3">
      <c r="A546" t="s">
        <v>4062</v>
      </c>
      <c r="B546" t="s">
        <v>286</v>
      </c>
      <c r="C546" t="s">
        <v>4063</v>
      </c>
      <c r="D546" t="s">
        <v>3029</v>
      </c>
      <c r="E546" t="s">
        <v>4071</v>
      </c>
      <c r="F546" t="s">
        <v>3027</v>
      </c>
      <c r="G546" t="s">
        <v>3031</v>
      </c>
      <c r="H546">
        <v>5</v>
      </c>
      <c r="I546" t="s">
        <v>4072</v>
      </c>
    </row>
    <row r="547" spans="1:9" x14ac:dyDescent="0.3">
      <c r="A547" t="s">
        <v>4062</v>
      </c>
      <c r="B547" t="s">
        <v>286</v>
      </c>
      <c r="C547" t="s">
        <v>4063</v>
      </c>
      <c r="D547" t="s">
        <v>3029</v>
      </c>
      <c r="E547" t="s">
        <v>4073</v>
      </c>
      <c r="F547" t="s">
        <v>3027</v>
      </c>
      <c r="G547" t="s">
        <v>3031</v>
      </c>
      <c r="H547">
        <v>6</v>
      </c>
      <c r="I547" t="s">
        <v>4074</v>
      </c>
    </row>
    <row r="548" spans="1:9" x14ac:dyDescent="0.3">
      <c r="A548" t="s">
        <v>4062</v>
      </c>
      <c r="B548" t="s">
        <v>286</v>
      </c>
      <c r="C548" t="s">
        <v>4063</v>
      </c>
      <c r="D548" t="s">
        <v>3029</v>
      </c>
      <c r="E548" t="s">
        <v>4075</v>
      </c>
      <c r="F548" t="s">
        <v>3027</v>
      </c>
      <c r="G548" t="s">
        <v>3031</v>
      </c>
      <c r="H548">
        <v>7</v>
      </c>
      <c r="I548" t="s">
        <v>4076</v>
      </c>
    </row>
    <row r="549" spans="1:9" x14ac:dyDescent="0.3">
      <c r="A549" t="s">
        <v>4062</v>
      </c>
      <c r="B549" t="s">
        <v>286</v>
      </c>
      <c r="C549" t="s">
        <v>4063</v>
      </c>
      <c r="D549" t="s">
        <v>3029</v>
      </c>
      <c r="E549" t="s">
        <v>4077</v>
      </c>
      <c r="F549" t="s">
        <v>3027</v>
      </c>
      <c r="G549" t="s">
        <v>3031</v>
      </c>
      <c r="H549">
        <v>8</v>
      </c>
      <c r="I549" t="s">
        <v>4078</v>
      </c>
    </row>
    <row r="550" spans="1:9" x14ac:dyDescent="0.3">
      <c r="A550" t="s">
        <v>4062</v>
      </c>
      <c r="B550" t="s">
        <v>286</v>
      </c>
      <c r="C550" t="s">
        <v>4063</v>
      </c>
      <c r="D550" t="s">
        <v>3029</v>
      </c>
      <c r="E550" t="s">
        <v>4079</v>
      </c>
      <c r="F550" t="s">
        <v>3027</v>
      </c>
      <c r="G550" t="s">
        <v>3031</v>
      </c>
      <c r="H550">
        <v>9</v>
      </c>
      <c r="I550" t="s">
        <v>4080</v>
      </c>
    </row>
    <row r="551" spans="1:9" x14ac:dyDescent="0.3">
      <c r="A551" t="s">
        <v>4062</v>
      </c>
      <c r="B551" t="s">
        <v>286</v>
      </c>
      <c r="C551" t="s">
        <v>4063</v>
      </c>
      <c r="D551" t="s">
        <v>3029</v>
      </c>
      <c r="E551" t="s">
        <v>4081</v>
      </c>
      <c r="F551" t="s">
        <v>3027</v>
      </c>
      <c r="G551" t="s">
        <v>3031</v>
      </c>
      <c r="H551">
        <v>10</v>
      </c>
      <c r="I551" t="s">
        <v>4082</v>
      </c>
    </row>
    <row r="552" spans="1:9" x14ac:dyDescent="0.3">
      <c r="A552" t="s">
        <v>4062</v>
      </c>
      <c r="B552" t="s">
        <v>286</v>
      </c>
      <c r="C552" t="s">
        <v>4063</v>
      </c>
      <c r="D552" t="s">
        <v>3029</v>
      </c>
      <c r="E552" t="s">
        <v>4083</v>
      </c>
      <c r="F552" t="s">
        <v>3027</v>
      </c>
      <c r="G552" t="s">
        <v>3031</v>
      </c>
      <c r="H552">
        <v>11</v>
      </c>
      <c r="I552" t="s">
        <v>4084</v>
      </c>
    </row>
    <row r="553" spans="1:9" x14ac:dyDescent="0.3">
      <c r="A553" t="s">
        <v>4062</v>
      </c>
      <c r="B553" t="s">
        <v>286</v>
      </c>
      <c r="C553" t="s">
        <v>4063</v>
      </c>
      <c r="D553" t="s">
        <v>3029</v>
      </c>
      <c r="E553" t="s">
        <v>4085</v>
      </c>
      <c r="F553" t="s">
        <v>3027</v>
      </c>
      <c r="G553" t="s">
        <v>3031</v>
      </c>
      <c r="H553">
        <v>12</v>
      </c>
      <c r="I553" t="s">
        <v>4086</v>
      </c>
    </row>
    <row r="554" spans="1:9" x14ac:dyDescent="0.3">
      <c r="A554" t="s">
        <v>4062</v>
      </c>
      <c r="B554" t="s">
        <v>286</v>
      </c>
      <c r="C554" t="s">
        <v>4063</v>
      </c>
      <c r="D554" t="s">
        <v>3029</v>
      </c>
      <c r="E554" t="s">
        <v>4087</v>
      </c>
      <c r="F554" t="s">
        <v>3027</v>
      </c>
      <c r="G554" t="s">
        <v>3031</v>
      </c>
      <c r="H554">
        <v>13</v>
      </c>
      <c r="I554" t="s">
        <v>4088</v>
      </c>
    </row>
    <row r="555" spans="1:9" x14ac:dyDescent="0.3">
      <c r="A555" t="s">
        <v>4062</v>
      </c>
      <c r="B555" t="s">
        <v>286</v>
      </c>
      <c r="C555" t="s">
        <v>4063</v>
      </c>
      <c r="D555" t="s">
        <v>3029</v>
      </c>
      <c r="E555" t="s">
        <v>4089</v>
      </c>
      <c r="F555" t="s">
        <v>3027</v>
      </c>
      <c r="G555" t="s">
        <v>3031</v>
      </c>
      <c r="H555">
        <v>14</v>
      </c>
      <c r="I555" t="s">
        <v>4090</v>
      </c>
    </row>
    <row r="556" spans="1:9" x14ac:dyDescent="0.3">
      <c r="A556" t="s">
        <v>4062</v>
      </c>
      <c r="B556" t="s">
        <v>286</v>
      </c>
      <c r="C556" t="s">
        <v>4063</v>
      </c>
      <c r="D556" t="s">
        <v>3029</v>
      </c>
      <c r="E556" t="s">
        <v>4091</v>
      </c>
      <c r="F556" t="s">
        <v>3027</v>
      </c>
      <c r="G556" t="s">
        <v>3031</v>
      </c>
      <c r="H556">
        <v>15</v>
      </c>
      <c r="I556" t="s">
        <v>4092</v>
      </c>
    </row>
    <row r="557" spans="1:9" x14ac:dyDescent="0.3">
      <c r="A557" t="s">
        <v>4062</v>
      </c>
      <c r="B557" t="s">
        <v>286</v>
      </c>
      <c r="C557" t="s">
        <v>4063</v>
      </c>
      <c r="D557" t="s">
        <v>3029</v>
      </c>
      <c r="E557" t="s">
        <v>4093</v>
      </c>
      <c r="F557" t="s">
        <v>3027</v>
      </c>
      <c r="G557" t="s">
        <v>3031</v>
      </c>
      <c r="H557">
        <v>16</v>
      </c>
      <c r="I557" t="s">
        <v>4094</v>
      </c>
    </row>
    <row r="558" spans="1:9" x14ac:dyDescent="0.3">
      <c r="A558" t="s">
        <v>4062</v>
      </c>
      <c r="B558" t="s">
        <v>286</v>
      </c>
      <c r="C558" t="s">
        <v>4063</v>
      </c>
      <c r="D558" t="s">
        <v>3029</v>
      </c>
      <c r="E558" t="s">
        <v>4095</v>
      </c>
      <c r="F558" t="s">
        <v>3027</v>
      </c>
      <c r="G558" t="s">
        <v>3031</v>
      </c>
      <c r="H558">
        <v>17</v>
      </c>
      <c r="I558" t="s">
        <v>4096</v>
      </c>
    </row>
    <row r="559" spans="1:9" x14ac:dyDescent="0.3">
      <c r="A559" t="s">
        <v>4062</v>
      </c>
      <c r="B559" t="s">
        <v>286</v>
      </c>
      <c r="C559" t="s">
        <v>4063</v>
      </c>
      <c r="D559" t="s">
        <v>3029</v>
      </c>
      <c r="E559" t="s">
        <v>4097</v>
      </c>
      <c r="F559" t="s">
        <v>3027</v>
      </c>
      <c r="G559" t="s">
        <v>3031</v>
      </c>
      <c r="H559">
        <v>18</v>
      </c>
      <c r="I559" t="s">
        <v>4098</v>
      </c>
    </row>
    <row r="560" spans="1:9" x14ac:dyDescent="0.3">
      <c r="A560" t="s">
        <v>4062</v>
      </c>
      <c r="B560" t="s">
        <v>286</v>
      </c>
      <c r="C560" t="s">
        <v>4063</v>
      </c>
      <c r="D560" t="s">
        <v>3029</v>
      </c>
      <c r="E560" t="s">
        <v>4099</v>
      </c>
      <c r="F560" t="s">
        <v>3027</v>
      </c>
      <c r="G560" t="s">
        <v>3031</v>
      </c>
      <c r="H560">
        <v>19</v>
      </c>
      <c r="I560" t="s">
        <v>4100</v>
      </c>
    </row>
    <row r="561" spans="1:9" x14ac:dyDescent="0.3">
      <c r="A561" t="s">
        <v>4062</v>
      </c>
      <c r="B561" t="s">
        <v>286</v>
      </c>
      <c r="C561" t="s">
        <v>4063</v>
      </c>
      <c r="D561" t="s">
        <v>3029</v>
      </c>
      <c r="E561" t="s">
        <v>4101</v>
      </c>
      <c r="F561" t="s">
        <v>3027</v>
      </c>
      <c r="G561" t="s">
        <v>3031</v>
      </c>
      <c r="H561">
        <v>20</v>
      </c>
      <c r="I561" t="s">
        <v>4102</v>
      </c>
    </row>
    <row r="562" spans="1:9" x14ac:dyDescent="0.3">
      <c r="A562" t="s">
        <v>4103</v>
      </c>
      <c r="B562" t="s">
        <v>292</v>
      </c>
      <c r="C562" t="s">
        <v>292</v>
      </c>
      <c r="D562" t="s">
        <v>3025</v>
      </c>
      <c r="E562" t="s">
        <v>4104</v>
      </c>
      <c r="F562" t="s">
        <v>3027</v>
      </c>
      <c r="G562" t="s">
        <v>3028</v>
      </c>
      <c r="H562">
        <v>1</v>
      </c>
      <c r="I562" t="s">
        <v>292</v>
      </c>
    </row>
    <row r="563" spans="1:9" x14ac:dyDescent="0.3">
      <c r="A563" t="s">
        <v>4103</v>
      </c>
      <c r="B563" t="s">
        <v>292</v>
      </c>
      <c r="C563" t="s">
        <v>292</v>
      </c>
      <c r="D563" t="s">
        <v>3029</v>
      </c>
      <c r="E563" t="s">
        <v>4105</v>
      </c>
      <c r="F563" t="s">
        <v>3027</v>
      </c>
      <c r="G563" t="s">
        <v>3031</v>
      </c>
      <c r="H563">
        <v>2</v>
      </c>
      <c r="I563" t="s">
        <v>573</v>
      </c>
    </row>
    <row r="564" spans="1:9" x14ac:dyDescent="0.3">
      <c r="A564" t="s">
        <v>4103</v>
      </c>
      <c r="B564" t="s">
        <v>292</v>
      </c>
      <c r="C564" t="s">
        <v>292</v>
      </c>
      <c r="D564" t="s">
        <v>3029</v>
      </c>
      <c r="E564" t="s">
        <v>4106</v>
      </c>
      <c r="F564" t="s">
        <v>3027</v>
      </c>
      <c r="G564" t="s">
        <v>3031</v>
      </c>
      <c r="H564">
        <v>3</v>
      </c>
      <c r="I564" t="s">
        <v>4107</v>
      </c>
    </row>
    <row r="565" spans="1:9" x14ac:dyDescent="0.3">
      <c r="A565" t="s">
        <v>4103</v>
      </c>
      <c r="B565" t="s">
        <v>292</v>
      </c>
      <c r="C565" t="s">
        <v>292</v>
      </c>
      <c r="D565" t="s">
        <v>3029</v>
      </c>
      <c r="E565" t="s">
        <v>4108</v>
      </c>
      <c r="F565" t="s">
        <v>3027</v>
      </c>
      <c r="G565" t="s">
        <v>3031</v>
      </c>
      <c r="H565">
        <v>4</v>
      </c>
      <c r="I565" t="s">
        <v>4109</v>
      </c>
    </row>
    <row r="566" spans="1:9" x14ac:dyDescent="0.3">
      <c r="A566" t="s">
        <v>4103</v>
      </c>
      <c r="B566" t="s">
        <v>292</v>
      </c>
      <c r="C566" t="s">
        <v>292</v>
      </c>
      <c r="D566" t="s">
        <v>3029</v>
      </c>
      <c r="E566" t="s">
        <v>4110</v>
      </c>
      <c r="F566" t="s">
        <v>3027</v>
      </c>
      <c r="G566" t="s">
        <v>3031</v>
      </c>
      <c r="H566">
        <v>5</v>
      </c>
      <c r="I566" t="s">
        <v>4111</v>
      </c>
    </row>
    <row r="567" spans="1:9" x14ac:dyDescent="0.3">
      <c r="A567" t="s">
        <v>4103</v>
      </c>
      <c r="B567" t="s">
        <v>292</v>
      </c>
      <c r="C567" t="s">
        <v>292</v>
      </c>
      <c r="D567" t="s">
        <v>3029</v>
      </c>
      <c r="E567" t="s">
        <v>4112</v>
      </c>
      <c r="F567" t="s">
        <v>3027</v>
      </c>
      <c r="G567" t="s">
        <v>3031</v>
      </c>
      <c r="H567">
        <v>6</v>
      </c>
      <c r="I567" t="s">
        <v>4113</v>
      </c>
    </row>
    <row r="568" spans="1:9" x14ac:dyDescent="0.3">
      <c r="A568" t="s">
        <v>4103</v>
      </c>
      <c r="B568" t="s">
        <v>292</v>
      </c>
      <c r="C568" t="s">
        <v>292</v>
      </c>
      <c r="D568" t="s">
        <v>3029</v>
      </c>
      <c r="E568" t="s">
        <v>4114</v>
      </c>
      <c r="F568" t="s">
        <v>3027</v>
      </c>
      <c r="G568" t="s">
        <v>3031</v>
      </c>
      <c r="H568">
        <v>7</v>
      </c>
      <c r="I568" t="s">
        <v>4115</v>
      </c>
    </row>
    <row r="569" spans="1:9" x14ac:dyDescent="0.3">
      <c r="A569" t="s">
        <v>4103</v>
      </c>
      <c r="B569" t="s">
        <v>292</v>
      </c>
      <c r="C569" t="s">
        <v>292</v>
      </c>
      <c r="D569" t="s">
        <v>3029</v>
      </c>
      <c r="E569" t="s">
        <v>4116</v>
      </c>
      <c r="F569" t="s">
        <v>3027</v>
      </c>
      <c r="G569" t="s">
        <v>3031</v>
      </c>
      <c r="H569">
        <v>8</v>
      </c>
      <c r="I569" t="s">
        <v>4117</v>
      </c>
    </row>
    <row r="570" spans="1:9" x14ac:dyDescent="0.3">
      <c r="A570" t="s">
        <v>4103</v>
      </c>
      <c r="B570" t="s">
        <v>292</v>
      </c>
      <c r="C570" t="s">
        <v>292</v>
      </c>
      <c r="D570" t="s">
        <v>3029</v>
      </c>
      <c r="E570" t="s">
        <v>4118</v>
      </c>
      <c r="F570" t="s">
        <v>3027</v>
      </c>
      <c r="G570" t="s">
        <v>3031</v>
      </c>
      <c r="H570">
        <v>9</v>
      </c>
      <c r="I570" t="s">
        <v>4119</v>
      </c>
    </row>
    <row r="571" spans="1:9" x14ac:dyDescent="0.3">
      <c r="A571" t="s">
        <v>4103</v>
      </c>
      <c r="B571" t="s">
        <v>292</v>
      </c>
      <c r="C571" t="s">
        <v>292</v>
      </c>
      <c r="D571" t="s">
        <v>3029</v>
      </c>
      <c r="E571" t="s">
        <v>4120</v>
      </c>
      <c r="F571" t="s">
        <v>3027</v>
      </c>
      <c r="G571" t="s">
        <v>3031</v>
      </c>
      <c r="H571">
        <v>10</v>
      </c>
      <c r="I571" t="s">
        <v>4121</v>
      </c>
    </row>
    <row r="572" spans="1:9" x14ac:dyDescent="0.3">
      <c r="A572" t="s">
        <v>4103</v>
      </c>
      <c r="B572" t="s">
        <v>292</v>
      </c>
      <c r="C572" t="s">
        <v>292</v>
      </c>
      <c r="D572" t="s">
        <v>3029</v>
      </c>
      <c r="E572" t="s">
        <v>4122</v>
      </c>
      <c r="F572" t="s">
        <v>3027</v>
      </c>
      <c r="G572" t="s">
        <v>3031</v>
      </c>
      <c r="H572">
        <v>11</v>
      </c>
      <c r="I572" t="s">
        <v>4123</v>
      </c>
    </row>
    <row r="573" spans="1:9" x14ac:dyDescent="0.3">
      <c r="A573" t="s">
        <v>4103</v>
      </c>
      <c r="B573" t="s">
        <v>292</v>
      </c>
      <c r="C573" t="s">
        <v>292</v>
      </c>
      <c r="D573" t="s">
        <v>3029</v>
      </c>
      <c r="E573" t="s">
        <v>4124</v>
      </c>
      <c r="F573" t="s">
        <v>3027</v>
      </c>
      <c r="G573" t="s">
        <v>3031</v>
      </c>
      <c r="H573">
        <v>12</v>
      </c>
      <c r="I573" t="s">
        <v>4125</v>
      </c>
    </row>
    <row r="574" spans="1:9" x14ac:dyDescent="0.3">
      <c r="A574" t="s">
        <v>4103</v>
      </c>
      <c r="B574" t="s">
        <v>292</v>
      </c>
      <c r="C574" t="s">
        <v>292</v>
      </c>
      <c r="D574" t="s">
        <v>3029</v>
      </c>
      <c r="E574" t="s">
        <v>4126</v>
      </c>
      <c r="F574" t="s">
        <v>3027</v>
      </c>
      <c r="G574" t="s">
        <v>3031</v>
      </c>
      <c r="H574">
        <v>13</v>
      </c>
      <c r="I574" t="s">
        <v>4127</v>
      </c>
    </row>
    <row r="575" spans="1:9" x14ac:dyDescent="0.3">
      <c r="A575" t="s">
        <v>4103</v>
      </c>
      <c r="B575" t="s">
        <v>292</v>
      </c>
      <c r="C575" t="s">
        <v>292</v>
      </c>
      <c r="D575" t="s">
        <v>3029</v>
      </c>
      <c r="E575" t="s">
        <v>4128</v>
      </c>
      <c r="F575" t="s">
        <v>3027</v>
      </c>
      <c r="G575" t="s">
        <v>3031</v>
      </c>
      <c r="H575">
        <v>14</v>
      </c>
      <c r="I575" t="s">
        <v>4129</v>
      </c>
    </row>
    <row r="576" spans="1:9" x14ac:dyDescent="0.3">
      <c r="A576" t="s">
        <v>4103</v>
      </c>
      <c r="B576" t="s">
        <v>292</v>
      </c>
      <c r="C576" t="s">
        <v>292</v>
      </c>
      <c r="D576" t="s">
        <v>3029</v>
      </c>
      <c r="E576" t="s">
        <v>4130</v>
      </c>
      <c r="F576" t="s">
        <v>3027</v>
      </c>
      <c r="G576" t="s">
        <v>3031</v>
      </c>
      <c r="H576">
        <v>15</v>
      </c>
      <c r="I576" t="s">
        <v>4131</v>
      </c>
    </row>
    <row r="577" spans="1:9" x14ac:dyDescent="0.3">
      <c r="A577" t="s">
        <v>4103</v>
      </c>
      <c r="B577" t="s">
        <v>292</v>
      </c>
      <c r="C577" t="s">
        <v>292</v>
      </c>
      <c r="D577" t="s">
        <v>3029</v>
      </c>
      <c r="E577" t="s">
        <v>4132</v>
      </c>
      <c r="F577" t="s">
        <v>3027</v>
      </c>
      <c r="G577" t="s">
        <v>3031</v>
      </c>
      <c r="H577">
        <v>16</v>
      </c>
      <c r="I577" t="s">
        <v>4133</v>
      </c>
    </row>
    <row r="578" spans="1:9" x14ac:dyDescent="0.3">
      <c r="A578" t="s">
        <v>4103</v>
      </c>
      <c r="B578" t="s">
        <v>292</v>
      </c>
      <c r="C578" t="s">
        <v>292</v>
      </c>
      <c r="D578" t="s">
        <v>3029</v>
      </c>
      <c r="E578" t="s">
        <v>4134</v>
      </c>
      <c r="F578" t="s">
        <v>3027</v>
      </c>
      <c r="G578" t="s">
        <v>3031</v>
      </c>
      <c r="H578">
        <v>17</v>
      </c>
      <c r="I578" t="s">
        <v>4135</v>
      </c>
    </row>
    <row r="579" spans="1:9" x14ac:dyDescent="0.3">
      <c r="A579" t="s">
        <v>4103</v>
      </c>
      <c r="B579" t="s">
        <v>292</v>
      </c>
      <c r="C579" t="s">
        <v>292</v>
      </c>
      <c r="D579" t="s">
        <v>3029</v>
      </c>
      <c r="E579" t="s">
        <v>4136</v>
      </c>
      <c r="F579" t="s">
        <v>3027</v>
      </c>
      <c r="G579" t="s">
        <v>3031</v>
      </c>
      <c r="H579">
        <v>18</v>
      </c>
      <c r="I579" t="s">
        <v>4137</v>
      </c>
    </row>
    <row r="580" spans="1:9" x14ac:dyDescent="0.3">
      <c r="A580" t="s">
        <v>4103</v>
      </c>
      <c r="B580" t="s">
        <v>292</v>
      </c>
      <c r="C580" t="s">
        <v>292</v>
      </c>
      <c r="D580" t="s">
        <v>3029</v>
      </c>
      <c r="E580" t="s">
        <v>4138</v>
      </c>
      <c r="F580" t="s">
        <v>3027</v>
      </c>
      <c r="G580" t="s">
        <v>3031</v>
      </c>
      <c r="H580">
        <v>19</v>
      </c>
      <c r="I580" t="s">
        <v>4139</v>
      </c>
    </row>
    <row r="581" spans="1:9" x14ac:dyDescent="0.3">
      <c r="A581" t="s">
        <v>4103</v>
      </c>
      <c r="B581" t="s">
        <v>292</v>
      </c>
      <c r="C581" t="s">
        <v>292</v>
      </c>
      <c r="D581" t="s">
        <v>3029</v>
      </c>
      <c r="E581" t="s">
        <v>4140</v>
      </c>
      <c r="F581" t="s">
        <v>3027</v>
      </c>
      <c r="G581" t="s">
        <v>3031</v>
      </c>
      <c r="H581">
        <v>20</v>
      </c>
      <c r="I581" t="s">
        <v>4141</v>
      </c>
    </row>
    <row r="582" spans="1:9" x14ac:dyDescent="0.3">
      <c r="A582" t="s">
        <v>4142</v>
      </c>
      <c r="B582" t="s">
        <v>298</v>
      </c>
      <c r="C582" t="s">
        <v>4143</v>
      </c>
      <c r="D582" t="s">
        <v>3025</v>
      </c>
      <c r="E582" t="s">
        <v>4144</v>
      </c>
      <c r="F582" t="s">
        <v>3027</v>
      </c>
      <c r="G582" t="s">
        <v>3028</v>
      </c>
      <c r="H582">
        <v>1</v>
      </c>
      <c r="I582" t="s">
        <v>4143</v>
      </c>
    </row>
    <row r="583" spans="1:9" x14ac:dyDescent="0.3">
      <c r="A583" t="s">
        <v>4142</v>
      </c>
      <c r="B583" t="s">
        <v>298</v>
      </c>
      <c r="C583" t="s">
        <v>4143</v>
      </c>
      <c r="D583" t="s">
        <v>3029</v>
      </c>
      <c r="E583" t="s">
        <v>4145</v>
      </c>
      <c r="F583" t="s">
        <v>3027</v>
      </c>
      <c r="G583" t="s">
        <v>3031</v>
      </c>
      <c r="H583">
        <v>2</v>
      </c>
      <c r="I583" t="s">
        <v>4146</v>
      </c>
    </row>
    <row r="584" spans="1:9" x14ac:dyDescent="0.3">
      <c r="A584" t="s">
        <v>4142</v>
      </c>
      <c r="B584" t="s">
        <v>298</v>
      </c>
      <c r="C584" t="s">
        <v>4143</v>
      </c>
      <c r="D584" t="s">
        <v>3029</v>
      </c>
      <c r="E584" t="s">
        <v>4147</v>
      </c>
      <c r="F584" t="s">
        <v>3027</v>
      </c>
      <c r="G584" t="s">
        <v>3031</v>
      </c>
      <c r="H584">
        <v>3</v>
      </c>
      <c r="I584" t="s">
        <v>4148</v>
      </c>
    </row>
    <row r="585" spans="1:9" x14ac:dyDescent="0.3">
      <c r="A585" t="s">
        <v>4142</v>
      </c>
      <c r="B585" t="s">
        <v>298</v>
      </c>
      <c r="C585" t="s">
        <v>4143</v>
      </c>
      <c r="D585" t="s">
        <v>3029</v>
      </c>
      <c r="E585" t="s">
        <v>4149</v>
      </c>
      <c r="F585" t="s">
        <v>3027</v>
      </c>
      <c r="G585" t="s">
        <v>3031</v>
      </c>
      <c r="H585">
        <v>4</v>
      </c>
      <c r="I585" t="s">
        <v>4150</v>
      </c>
    </row>
    <row r="586" spans="1:9" x14ac:dyDescent="0.3">
      <c r="A586" t="s">
        <v>4142</v>
      </c>
      <c r="B586" t="s">
        <v>298</v>
      </c>
      <c r="C586" t="s">
        <v>4143</v>
      </c>
      <c r="D586" t="s">
        <v>3029</v>
      </c>
      <c r="E586" t="s">
        <v>4151</v>
      </c>
      <c r="F586" t="s">
        <v>3027</v>
      </c>
      <c r="G586" t="s">
        <v>3031</v>
      </c>
      <c r="H586">
        <v>5</v>
      </c>
      <c r="I586" t="s">
        <v>4152</v>
      </c>
    </row>
    <row r="587" spans="1:9" x14ac:dyDescent="0.3">
      <c r="A587" t="s">
        <v>4142</v>
      </c>
      <c r="B587" t="s">
        <v>298</v>
      </c>
      <c r="C587" t="s">
        <v>4143</v>
      </c>
      <c r="D587" t="s">
        <v>3029</v>
      </c>
      <c r="E587" t="s">
        <v>4153</v>
      </c>
      <c r="F587" t="s">
        <v>3027</v>
      </c>
      <c r="G587" t="s">
        <v>3031</v>
      </c>
      <c r="H587">
        <v>6</v>
      </c>
      <c r="I587" t="s">
        <v>4154</v>
      </c>
    </row>
    <row r="588" spans="1:9" x14ac:dyDescent="0.3">
      <c r="A588" t="s">
        <v>4142</v>
      </c>
      <c r="B588" t="s">
        <v>298</v>
      </c>
      <c r="C588" t="s">
        <v>4143</v>
      </c>
      <c r="D588" t="s">
        <v>3029</v>
      </c>
      <c r="E588" t="s">
        <v>4155</v>
      </c>
      <c r="F588" t="s">
        <v>3027</v>
      </c>
      <c r="G588" t="s">
        <v>3031</v>
      </c>
      <c r="H588">
        <v>7</v>
      </c>
      <c r="I588" t="s">
        <v>4156</v>
      </c>
    </row>
    <row r="589" spans="1:9" x14ac:dyDescent="0.3">
      <c r="A589" t="s">
        <v>4142</v>
      </c>
      <c r="B589" t="s">
        <v>298</v>
      </c>
      <c r="C589" t="s">
        <v>4143</v>
      </c>
      <c r="D589" t="s">
        <v>3029</v>
      </c>
      <c r="E589" t="s">
        <v>4157</v>
      </c>
      <c r="F589" t="s">
        <v>3027</v>
      </c>
      <c r="G589" t="s">
        <v>3031</v>
      </c>
      <c r="H589">
        <v>8</v>
      </c>
      <c r="I589" t="s">
        <v>4158</v>
      </c>
    </row>
    <row r="590" spans="1:9" x14ac:dyDescent="0.3">
      <c r="A590" t="s">
        <v>4142</v>
      </c>
      <c r="B590" t="s">
        <v>298</v>
      </c>
      <c r="C590" t="s">
        <v>4143</v>
      </c>
      <c r="D590" t="s">
        <v>3029</v>
      </c>
      <c r="E590" t="s">
        <v>4159</v>
      </c>
      <c r="F590" t="s">
        <v>3027</v>
      </c>
      <c r="G590" t="s">
        <v>3031</v>
      </c>
      <c r="H590">
        <v>9</v>
      </c>
      <c r="I590" t="s">
        <v>4160</v>
      </c>
    </row>
    <row r="591" spans="1:9" x14ac:dyDescent="0.3">
      <c r="A591" t="s">
        <v>4142</v>
      </c>
      <c r="B591" t="s">
        <v>298</v>
      </c>
      <c r="C591" t="s">
        <v>4143</v>
      </c>
      <c r="D591" t="s">
        <v>3029</v>
      </c>
      <c r="E591" t="s">
        <v>4161</v>
      </c>
      <c r="F591" t="s">
        <v>3027</v>
      </c>
      <c r="G591" t="s">
        <v>3031</v>
      </c>
      <c r="H591">
        <v>10</v>
      </c>
      <c r="I591" t="s">
        <v>4162</v>
      </c>
    </row>
    <row r="592" spans="1:9" x14ac:dyDescent="0.3">
      <c r="A592" t="s">
        <v>4142</v>
      </c>
      <c r="B592" t="s">
        <v>298</v>
      </c>
      <c r="C592" t="s">
        <v>4143</v>
      </c>
      <c r="D592" t="s">
        <v>3029</v>
      </c>
      <c r="E592" t="s">
        <v>4163</v>
      </c>
      <c r="F592" t="s">
        <v>3027</v>
      </c>
      <c r="G592" t="s">
        <v>3031</v>
      </c>
      <c r="H592">
        <v>11</v>
      </c>
      <c r="I592" t="s">
        <v>4164</v>
      </c>
    </row>
    <row r="593" spans="1:9" x14ac:dyDescent="0.3">
      <c r="A593" t="s">
        <v>4142</v>
      </c>
      <c r="B593" t="s">
        <v>298</v>
      </c>
      <c r="C593" t="s">
        <v>4143</v>
      </c>
      <c r="D593" t="s">
        <v>3029</v>
      </c>
      <c r="E593" t="s">
        <v>4165</v>
      </c>
      <c r="F593" t="s">
        <v>3027</v>
      </c>
      <c r="G593" t="s">
        <v>3031</v>
      </c>
      <c r="H593">
        <v>12</v>
      </c>
      <c r="I593" t="s">
        <v>4166</v>
      </c>
    </row>
    <row r="594" spans="1:9" x14ac:dyDescent="0.3">
      <c r="A594" t="s">
        <v>4142</v>
      </c>
      <c r="B594" t="s">
        <v>298</v>
      </c>
      <c r="C594" t="s">
        <v>4143</v>
      </c>
      <c r="D594" t="s">
        <v>3029</v>
      </c>
      <c r="E594" t="s">
        <v>4167</v>
      </c>
      <c r="F594" t="s">
        <v>3027</v>
      </c>
      <c r="G594" t="s">
        <v>3031</v>
      </c>
      <c r="H594">
        <v>13</v>
      </c>
      <c r="I594" t="s">
        <v>4168</v>
      </c>
    </row>
    <row r="595" spans="1:9" x14ac:dyDescent="0.3">
      <c r="A595" t="s">
        <v>4142</v>
      </c>
      <c r="B595" t="s">
        <v>298</v>
      </c>
      <c r="C595" t="s">
        <v>4143</v>
      </c>
      <c r="D595" t="s">
        <v>3029</v>
      </c>
      <c r="E595" t="s">
        <v>4169</v>
      </c>
      <c r="F595" t="s">
        <v>3027</v>
      </c>
      <c r="G595" t="s">
        <v>3031</v>
      </c>
      <c r="H595">
        <v>14</v>
      </c>
      <c r="I595" t="s">
        <v>4170</v>
      </c>
    </row>
    <row r="596" spans="1:9" x14ac:dyDescent="0.3">
      <c r="A596" t="s">
        <v>4142</v>
      </c>
      <c r="B596" t="s">
        <v>298</v>
      </c>
      <c r="C596" t="s">
        <v>4143</v>
      </c>
      <c r="D596" t="s">
        <v>3029</v>
      </c>
      <c r="E596" t="s">
        <v>4171</v>
      </c>
      <c r="F596" t="s">
        <v>3027</v>
      </c>
      <c r="G596" t="s">
        <v>3031</v>
      </c>
      <c r="H596">
        <v>15</v>
      </c>
      <c r="I596" t="s">
        <v>4172</v>
      </c>
    </row>
    <row r="597" spans="1:9" x14ac:dyDescent="0.3">
      <c r="A597" t="s">
        <v>4142</v>
      </c>
      <c r="B597" t="s">
        <v>298</v>
      </c>
      <c r="C597" t="s">
        <v>4143</v>
      </c>
      <c r="D597" t="s">
        <v>3029</v>
      </c>
      <c r="E597" t="s">
        <v>4173</v>
      </c>
      <c r="F597" t="s">
        <v>3027</v>
      </c>
      <c r="G597" t="s">
        <v>3031</v>
      </c>
      <c r="H597">
        <v>16</v>
      </c>
      <c r="I597" t="s">
        <v>4174</v>
      </c>
    </row>
    <row r="598" spans="1:9" x14ac:dyDescent="0.3">
      <c r="A598" t="s">
        <v>4142</v>
      </c>
      <c r="B598" t="s">
        <v>298</v>
      </c>
      <c r="C598" t="s">
        <v>4143</v>
      </c>
      <c r="D598" t="s">
        <v>3029</v>
      </c>
      <c r="E598" t="s">
        <v>4175</v>
      </c>
      <c r="F598" t="s">
        <v>3027</v>
      </c>
      <c r="G598" t="s">
        <v>3031</v>
      </c>
      <c r="H598">
        <v>17</v>
      </c>
      <c r="I598" t="s">
        <v>4176</v>
      </c>
    </row>
    <row r="599" spans="1:9" x14ac:dyDescent="0.3">
      <c r="A599" t="s">
        <v>4142</v>
      </c>
      <c r="B599" t="s">
        <v>298</v>
      </c>
      <c r="C599" t="s">
        <v>4143</v>
      </c>
      <c r="D599" t="s">
        <v>3029</v>
      </c>
      <c r="E599" t="s">
        <v>3316</v>
      </c>
      <c r="F599" t="s">
        <v>3027</v>
      </c>
      <c r="G599" t="s">
        <v>3031</v>
      </c>
      <c r="H599">
        <v>18</v>
      </c>
      <c r="I599" t="s">
        <v>3317</v>
      </c>
    </row>
    <row r="600" spans="1:9" x14ac:dyDescent="0.3">
      <c r="A600" t="s">
        <v>4142</v>
      </c>
      <c r="B600" t="s">
        <v>298</v>
      </c>
      <c r="C600" t="s">
        <v>4143</v>
      </c>
      <c r="D600" t="s">
        <v>3029</v>
      </c>
      <c r="E600" t="s">
        <v>4177</v>
      </c>
      <c r="F600" t="s">
        <v>3027</v>
      </c>
      <c r="G600" t="s">
        <v>3031</v>
      </c>
      <c r="H600">
        <v>19</v>
      </c>
      <c r="I600" t="s">
        <v>4178</v>
      </c>
    </row>
    <row r="601" spans="1:9" x14ac:dyDescent="0.3">
      <c r="A601" t="s">
        <v>4142</v>
      </c>
      <c r="B601" t="s">
        <v>298</v>
      </c>
      <c r="C601" t="s">
        <v>4143</v>
      </c>
      <c r="D601" t="s">
        <v>3029</v>
      </c>
      <c r="E601" t="s">
        <v>4179</v>
      </c>
      <c r="F601" t="s">
        <v>3027</v>
      </c>
      <c r="G601" t="s">
        <v>3031</v>
      </c>
      <c r="H601">
        <v>20</v>
      </c>
      <c r="I601" t="s">
        <v>4180</v>
      </c>
    </row>
    <row r="602" spans="1:9" x14ac:dyDescent="0.3">
      <c r="A602" t="s">
        <v>4181</v>
      </c>
      <c r="B602" t="s">
        <v>304</v>
      </c>
      <c r="C602" t="s">
        <v>4182</v>
      </c>
      <c r="D602" t="s">
        <v>3025</v>
      </c>
      <c r="E602" t="s">
        <v>4183</v>
      </c>
      <c r="F602" t="s">
        <v>3027</v>
      </c>
      <c r="G602" t="s">
        <v>3028</v>
      </c>
      <c r="H602">
        <v>1</v>
      </c>
      <c r="I602" t="s">
        <v>4182</v>
      </c>
    </row>
    <row r="603" spans="1:9" x14ac:dyDescent="0.3">
      <c r="A603" t="s">
        <v>4181</v>
      </c>
      <c r="B603" t="s">
        <v>304</v>
      </c>
      <c r="C603" t="s">
        <v>4182</v>
      </c>
      <c r="D603" t="s">
        <v>3029</v>
      </c>
      <c r="E603" t="s">
        <v>4184</v>
      </c>
      <c r="F603" t="s">
        <v>3027</v>
      </c>
      <c r="G603" t="s">
        <v>3031</v>
      </c>
      <c r="H603">
        <v>2</v>
      </c>
      <c r="I603" t="s">
        <v>4185</v>
      </c>
    </row>
    <row r="604" spans="1:9" x14ac:dyDescent="0.3">
      <c r="A604" t="s">
        <v>4181</v>
      </c>
      <c r="B604" t="s">
        <v>304</v>
      </c>
      <c r="C604" t="s">
        <v>4182</v>
      </c>
      <c r="D604" t="s">
        <v>3029</v>
      </c>
      <c r="E604" t="s">
        <v>4186</v>
      </c>
      <c r="F604" t="s">
        <v>3027</v>
      </c>
      <c r="G604" t="s">
        <v>3031</v>
      </c>
      <c r="H604">
        <v>3</v>
      </c>
      <c r="I604" t="s">
        <v>4187</v>
      </c>
    </row>
    <row r="605" spans="1:9" x14ac:dyDescent="0.3">
      <c r="A605" t="s">
        <v>4181</v>
      </c>
      <c r="B605" t="s">
        <v>304</v>
      </c>
      <c r="C605" t="s">
        <v>4182</v>
      </c>
      <c r="D605" t="s">
        <v>3029</v>
      </c>
      <c r="E605" t="s">
        <v>4188</v>
      </c>
      <c r="F605" t="s">
        <v>3027</v>
      </c>
      <c r="G605" t="s">
        <v>3031</v>
      </c>
      <c r="H605">
        <v>4</v>
      </c>
      <c r="I605" t="s">
        <v>4189</v>
      </c>
    </row>
    <row r="606" spans="1:9" x14ac:dyDescent="0.3">
      <c r="A606" t="s">
        <v>4181</v>
      </c>
      <c r="B606" t="s">
        <v>304</v>
      </c>
      <c r="C606" t="s">
        <v>4182</v>
      </c>
      <c r="D606" t="s">
        <v>3029</v>
      </c>
      <c r="E606" t="s">
        <v>4190</v>
      </c>
      <c r="F606" t="s">
        <v>3027</v>
      </c>
      <c r="G606" t="s">
        <v>3031</v>
      </c>
      <c r="H606">
        <v>5</v>
      </c>
      <c r="I606" t="s">
        <v>4191</v>
      </c>
    </row>
    <row r="607" spans="1:9" x14ac:dyDescent="0.3">
      <c r="A607" t="s">
        <v>4181</v>
      </c>
      <c r="B607" t="s">
        <v>304</v>
      </c>
      <c r="C607" t="s">
        <v>4182</v>
      </c>
      <c r="D607" t="s">
        <v>3029</v>
      </c>
      <c r="E607" t="s">
        <v>3316</v>
      </c>
      <c r="F607" t="s">
        <v>3027</v>
      </c>
      <c r="G607" t="s">
        <v>3031</v>
      </c>
      <c r="H607">
        <v>6</v>
      </c>
      <c r="I607" t="s">
        <v>3317</v>
      </c>
    </row>
    <row r="608" spans="1:9" x14ac:dyDescent="0.3">
      <c r="A608" t="s">
        <v>4181</v>
      </c>
      <c r="B608" t="s">
        <v>304</v>
      </c>
      <c r="C608" t="s">
        <v>4182</v>
      </c>
      <c r="D608" t="s">
        <v>3029</v>
      </c>
      <c r="E608" t="s">
        <v>4177</v>
      </c>
      <c r="F608" t="s">
        <v>3027</v>
      </c>
      <c r="G608" t="s">
        <v>3031</v>
      </c>
      <c r="H608">
        <v>7</v>
      </c>
      <c r="I608" t="s">
        <v>4178</v>
      </c>
    </row>
    <row r="609" spans="1:9" x14ac:dyDescent="0.3">
      <c r="A609" t="s">
        <v>4181</v>
      </c>
      <c r="B609" t="s">
        <v>304</v>
      </c>
      <c r="C609" t="s">
        <v>4182</v>
      </c>
      <c r="D609" t="s">
        <v>3029</v>
      </c>
      <c r="E609" t="s">
        <v>4179</v>
      </c>
      <c r="F609" t="s">
        <v>3027</v>
      </c>
      <c r="G609" t="s">
        <v>3031</v>
      </c>
      <c r="H609">
        <v>8</v>
      </c>
      <c r="I609" t="s">
        <v>4180</v>
      </c>
    </row>
    <row r="610" spans="1:9" x14ac:dyDescent="0.3">
      <c r="A610" t="s">
        <v>4181</v>
      </c>
      <c r="B610" t="s">
        <v>304</v>
      </c>
      <c r="C610" t="s">
        <v>4182</v>
      </c>
      <c r="D610" t="s">
        <v>3029</v>
      </c>
      <c r="E610" t="s">
        <v>4192</v>
      </c>
      <c r="F610" t="s">
        <v>3027</v>
      </c>
      <c r="G610" t="s">
        <v>3031</v>
      </c>
      <c r="H610">
        <v>9</v>
      </c>
      <c r="I610" t="s">
        <v>4193</v>
      </c>
    </row>
    <row r="611" spans="1:9" x14ac:dyDescent="0.3">
      <c r="A611" t="s">
        <v>4181</v>
      </c>
      <c r="B611" t="s">
        <v>304</v>
      </c>
      <c r="C611" t="s">
        <v>4182</v>
      </c>
      <c r="D611" t="s">
        <v>3029</v>
      </c>
      <c r="E611" t="s">
        <v>4194</v>
      </c>
      <c r="F611" t="s">
        <v>3027</v>
      </c>
      <c r="G611" t="s">
        <v>3031</v>
      </c>
      <c r="H611">
        <v>10</v>
      </c>
      <c r="I611" t="s">
        <v>4195</v>
      </c>
    </row>
    <row r="612" spans="1:9" x14ac:dyDescent="0.3">
      <c r="A612" t="s">
        <v>4181</v>
      </c>
      <c r="B612" t="s">
        <v>304</v>
      </c>
      <c r="C612" t="s">
        <v>4182</v>
      </c>
      <c r="D612" t="s">
        <v>3029</v>
      </c>
      <c r="E612" t="s">
        <v>4196</v>
      </c>
      <c r="F612" t="s">
        <v>3027</v>
      </c>
      <c r="G612" t="s">
        <v>3031</v>
      </c>
      <c r="H612">
        <v>11</v>
      </c>
      <c r="I612" t="s">
        <v>4197</v>
      </c>
    </row>
    <row r="613" spans="1:9" x14ac:dyDescent="0.3">
      <c r="A613" t="s">
        <v>4181</v>
      </c>
      <c r="B613" t="s">
        <v>304</v>
      </c>
      <c r="C613" t="s">
        <v>4182</v>
      </c>
      <c r="D613" t="s">
        <v>3029</v>
      </c>
      <c r="E613" t="s">
        <v>4198</v>
      </c>
      <c r="F613" t="s">
        <v>3027</v>
      </c>
      <c r="G613" t="s">
        <v>3031</v>
      </c>
      <c r="H613">
        <v>12</v>
      </c>
      <c r="I613" t="s">
        <v>4199</v>
      </c>
    </row>
    <row r="614" spans="1:9" x14ac:dyDescent="0.3">
      <c r="A614" t="s">
        <v>4181</v>
      </c>
      <c r="B614" t="s">
        <v>304</v>
      </c>
      <c r="C614" t="s">
        <v>4182</v>
      </c>
      <c r="D614" t="s">
        <v>3029</v>
      </c>
      <c r="E614" t="s">
        <v>4200</v>
      </c>
      <c r="F614" t="s">
        <v>3027</v>
      </c>
      <c r="G614" t="s">
        <v>3031</v>
      </c>
      <c r="H614">
        <v>13</v>
      </c>
      <c r="I614" t="s">
        <v>4201</v>
      </c>
    </row>
    <row r="615" spans="1:9" x14ac:dyDescent="0.3">
      <c r="A615" t="s">
        <v>4181</v>
      </c>
      <c r="B615" t="s">
        <v>304</v>
      </c>
      <c r="C615" t="s">
        <v>4182</v>
      </c>
      <c r="D615" t="s">
        <v>3029</v>
      </c>
      <c r="E615" t="s">
        <v>4202</v>
      </c>
      <c r="F615" t="s">
        <v>3027</v>
      </c>
      <c r="G615" t="s">
        <v>3031</v>
      </c>
      <c r="H615">
        <v>14</v>
      </c>
      <c r="I615" t="s">
        <v>4203</v>
      </c>
    </row>
    <row r="616" spans="1:9" x14ac:dyDescent="0.3">
      <c r="A616" t="s">
        <v>4181</v>
      </c>
      <c r="B616" t="s">
        <v>304</v>
      </c>
      <c r="C616" t="s">
        <v>4182</v>
      </c>
      <c r="D616" t="s">
        <v>3029</v>
      </c>
      <c r="E616" t="s">
        <v>4204</v>
      </c>
      <c r="F616" t="s">
        <v>3027</v>
      </c>
      <c r="G616" t="s">
        <v>3031</v>
      </c>
      <c r="H616">
        <v>15</v>
      </c>
      <c r="I616" t="s">
        <v>4205</v>
      </c>
    </row>
    <row r="617" spans="1:9" x14ac:dyDescent="0.3">
      <c r="A617" t="s">
        <v>4181</v>
      </c>
      <c r="B617" t="s">
        <v>304</v>
      </c>
      <c r="C617" t="s">
        <v>4182</v>
      </c>
      <c r="D617" t="s">
        <v>3029</v>
      </c>
      <c r="E617" t="s">
        <v>4206</v>
      </c>
      <c r="F617" t="s">
        <v>3027</v>
      </c>
      <c r="G617" t="s">
        <v>3031</v>
      </c>
      <c r="H617">
        <v>16</v>
      </c>
      <c r="I617" t="s">
        <v>4207</v>
      </c>
    </row>
    <row r="618" spans="1:9" x14ac:dyDescent="0.3">
      <c r="A618" t="s">
        <v>4181</v>
      </c>
      <c r="B618" t="s">
        <v>304</v>
      </c>
      <c r="C618" t="s">
        <v>4182</v>
      </c>
      <c r="D618" t="s">
        <v>3029</v>
      </c>
      <c r="E618" t="s">
        <v>4208</v>
      </c>
      <c r="F618" t="s">
        <v>3027</v>
      </c>
      <c r="G618" t="s">
        <v>3031</v>
      </c>
      <c r="H618">
        <v>17</v>
      </c>
      <c r="I618" t="s">
        <v>4209</v>
      </c>
    </row>
    <row r="619" spans="1:9" x14ac:dyDescent="0.3">
      <c r="A619" t="s">
        <v>4181</v>
      </c>
      <c r="B619" t="s">
        <v>304</v>
      </c>
      <c r="C619" t="s">
        <v>4182</v>
      </c>
      <c r="D619" t="s">
        <v>3029</v>
      </c>
      <c r="E619" t="s">
        <v>4210</v>
      </c>
      <c r="F619" t="s">
        <v>3027</v>
      </c>
      <c r="G619" t="s">
        <v>3031</v>
      </c>
      <c r="H619">
        <v>18</v>
      </c>
      <c r="I619" t="s">
        <v>4211</v>
      </c>
    </row>
    <row r="620" spans="1:9" x14ac:dyDescent="0.3">
      <c r="A620" t="s">
        <v>4181</v>
      </c>
      <c r="B620" t="s">
        <v>304</v>
      </c>
      <c r="C620" t="s">
        <v>4182</v>
      </c>
      <c r="D620" t="s">
        <v>3029</v>
      </c>
      <c r="E620" t="s">
        <v>4212</v>
      </c>
      <c r="F620" t="s">
        <v>3027</v>
      </c>
      <c r="G620" t="s">
        <v>3031</v>
      </c>
      <c r="H620">
        <v>19</v>
      </c>
      <c r="I620" t="s">
        <v>4213</v>
      </c>
    </row>
    <row r="621" spans="1:9" x14ac:dyDescent="0.3">
      <c r="A621" t="s">
        <v>4181</v>
      </c>
      <c r="B621" t="s">
        <v>304</v>
      </c>
      <c r="C621" t="s">
        <v>4182</v>
      </c>
      <c r="D621" t="s">
        <v>3029</v>
      </c>
      <c r="E621" t="s">
        <v>4214</v>
      </c>
      <c r="F621" t="s">
        <v>3027</v>
      </c>
      <c r="G621" t="s">
        <v>3031</v>
      </c>
      <c r="H621">
        <v>20</v>
      </c>
      <c r="I621" t="s">
        <v>4215</v>
      </c>
    </row>
    <row r="622" spans="1:9" x14ac:dyDescent="0.3">
      <c r="A622" t="s">
        <v>4216</v>
      </c>
      <c r="B622" t="s">
        <v>311</v>
      </c>
      <c r="C622" t="s">
        <v>311</v>
      </c>
      <c r="D622" t="s">
        <v>3025</v>
      </c>
      <c r="E622" t="s">
        <v>4217</v>
      </c>
      <c r="F622" t="s">
        <v>3027</v>
      </c>
      <c r="G622" t="s">
        <v>3028</v>
      </c>
      <c r="H622">
        <v>1</v>
      </c>
      <c r="I622" t="s">
        <v>311</v>
      </c>
    </row>
    <row r="623" spans="1:9" x14ac:dyDescent="0.3">
      <c r="A623" t="s">
        <v>4216</v>
      </c>
      <c r="B623" t="s">
        <v>311</v>
      </c>
      <c r="C623" t="s">
        <v>311</v>
      </c>
      <c r="D623" t="s">
        <v>3029</v>
      </c>
      <c r="E623" t="s">
        <v>4218</v>
      </c>
      <c r="F623" t="s">
        <v>3027</v>
      </c>
      <c r="G623" t="s">
        <v>3031</v>
      </c>
      <c r="H623">
        <v>2</v>
      </c>
      <c r="I623" t="s">
        <v>4219</v>
      </c>
    </row>
    <row r="624" spans="1:9" x14ac:dyDescent="0.3">
      <c r="A624" t="s">
        <v>4216</v>
      </c>
      <c r="B624" t="s">
        <v>311</v>
      </c>
      <c r="C624" t="s">
        <v>311</v>
      </c>
      <c r="D624" t="s">
        <v>3029</v>
      </c>
      <c r="E624" t="s">
        <v>4220</v>
      </c>
      <c r="F624" t="s">
        <v>3027</v>
      </c>
      <c r="G624" t="s">
        <v>3031</v>
      </c>
      <c r="H624">
        <v>3</v>
      </c>
      <c r="I624" t="s">
        <v>4221</v>
      </c>
    </row>
    <row r="625" spans="1:9" x14ac:dyDescent="0.3">
      <c r="A625" t="s">
        <v>4216</v>
      </c>
      <c r="B625" t="s">
        <v>311</v>
      </c>
      <c r="C625" t="s">
        <v>311</v>
      </c>
      <c r="D625" t="s">
        <v>3029</v>
      </c>
      <c r="E625" t="s">
        <v>4222</v>
      </c>
      <c r="F625" t="s">
        <v>3027</v>
      </c>
      <c r="G625" t="s">
        <v>3031</v>
      </c>
      <c r="H625">
        <v>4</v>
      </c>
      <c r="I625" t="s">
        <v>4223</v>
      </c>
    </row>
    <row r="626" spans="1:9" x14ac:dyDescent="0.3">
      <c r="A626" t="s">
        <v>4216</v>
      </c>
      <c r="B626" t="s">
        <v>311</v>
      </c>
      <c r="C626" t="s">
        <v>311</v>
      </c>
      <c r="D626" t="s">
        <v>3029</v>
      </c>
      <c r="E626" t="s">
        <v>4224</v>
      </c>
      <c r="F626" t="s">
        <v>3027</v>
      </c>
      <c r="G626" t="s">
        <v>3031</v>
      </c>
      <c r="H626">
        <v>5</v>
      </c>
      <c r="I626" t="s">
        <v>4225</v>
      </c>
    </row>
    <row r="627" spans="1:9" x14ac:dyDescent="0.3">
      <c r="A627" t="s">
        <v>4216</v>
      </c>
      <c r="B627" t="s">
        <v>311</v>
      </c>
      <c r="C627" t="s">
        <v>311</v>
      </c>
      <c r="D627" t="s">
        <v>3029</v>
      </c>
      <c r="E627" t="s">
        <v>4226</v>
      </c>
      <c r="F627" t="s">
        <v>3027</v>
      </c>
      <c r="G627" t="s">
        <v>3031</v>
      </c>
      <c r="H627">
        <v>6</v>
      </c>
      <c r="I627" t="s">
        <v>4227</v>
      </c>
    </row>
    <row r="628" spans="1:9" x14ac:dyDescent="0.3">
      <c r="A628" t="s">
        <v>4216</v>
      </c>
      <c r="B628" t="s">
        <v>311</v>
      </c>
      <c r="C628" t="s">
        <v>311</v>
      </c>
      <c r="D628" t="s">
        <v>3029</v>
      </c>
      <c r="E628" t="s">
        <v>4228</v>
      </c>
      <c r="F628" t="s">
        <v>3027</v>
      </c>
      <c r="G628" t="s">
        <v>3031</v>
      </c>
      <c r="H628">
        <v>7</v>
      </c>
      <c r="I628" t="s">
        <v>4229</v>
      </c>
    </row>
    <row r="629" spans="1:9" x14ac:dyDescent="0.3">
      <c r="A629" t="s">
        <v>4216</v>
      </c>
      <c r="B629" t="s">
        <v>311</v>
      </c>
      <c r="C629" t="s">
        <v>311</v>
      </c>
      <c r="D629" t="s">
        <v>3029</v>
      </c>
      <c r="E629" t="s">
        <v>4230</v>
      </c>
      <c r="F629" t="s">
        <v>3027</v>
      </c>
      <c r="G629" t="s">
        <v>3031</v>
      </c>
      <c r="H629">
        <v>8</v>
      </c>
      <c r="I629" t="s">
        <v>4231</v>
      </c>
    </row>
    <row r="630" spans="1:9" x14ac:dyDescent="0.3">
      <c r="A630" t="s">
        <v>4216</v>
      </c>
      <c r="B630" t="s">
        <v>311</v>
      </c>
      <c r="C630" t="s">
        <v>311</v>
      </c>
      <c r="D630" t="s">
        <v>3029</v>
      </c>
      <c r="E630" t="s">
        <v>4232</v>
      </c>
      <c r="F630" t="s">
        <v>3027</v>
      </c>
      <c r="G630" t="s">
        <v>3031</v>
      </c>
      <c r="H630">
        <v>9</v>
      </c>
      <c r="I630" t="s">
        <v>4233</v>
      </c>
    </row>
    <row r="631" spans="1:9" x14ac:dyDescent="0.3">
      <c r="A631" t="s">
        <v>4216</v>
      </c>
      <c r="B631" t="s">
        <v>311</v>
      </c>
      <c r="C631" t="s">
        <v>311</v>
      </c>
      <c r="D631" t="s">
        <v>3029</v>
      </c>
      <c r="E631" t="s">
        <v>4234</v>
      </c>
      <c r="F631" t="s">
        <v>3027</v>
      </c>
      <c r="G631" t="s">
        <v>3031</v>
      </c>
      <c r="H631">
        <v>10</v>
      </c>
      <c r="I631" t="s">
        <v>4235</v>
      </c>
    </row>
    <row r="632" spans="1:9" x14ac:dyDescent="0.3">
      <c r="A632" t="s">
        <v>4216</v>
      </c>
      <c r="B632" t="s">
        <v>311</v>
      </c>
      <c r="C632" t="s">
        <v>311</v>
      </c>
      <c r="D632" t="s">
        <v>3029</v>
      </c>
      <c r="E632" t="s">
        <v>4138</v>
      </c>
      <c r="F632" t="s">
        <v>3027</v>
      </c>
      <c r="G632" t="s">
        <v>3031</v>
      </c>
      <c r="H632">
        <v>11</v>
      </c>
      <c r="I632" t="s">
        <v>4236</v>
      </c>
    </row>
    <row r="633" spans="1:9" x14ac:dyDescent="0.3">
      <c r="A633" t="s">
        <v>4216</v>
      </c>
      <c r="B633" t="s">
        <v>311</v>
      </c>
      <c r="C633" t="s">
        <v>311</v>
      </c>
      <c r="D633" t="s">
        <v>3029</v>
      </c>
      <c r="E633" t="s">
        <v>4237</v>
      </c>
      <c r="F633" t="s">
        <v>3027</v>
      </c>
      <c r="G633" t="s">
        <v>3031</v>
      </c>
      <c r="H633">
        <v>12</v>
      </c>
      <c r="I633" t="s">
        <v>4238</v>
      </c>
    </row>
    <row r="634" spans="1:9" x14ac:dyDescent="0.3">
      <c r="A634" t="s">
        <v>4216</v>
      </c>
      <c r="B634" t="s">
        <v>311</v>
      </c>
      <c r="C634" t="s">
        <v>311</v>
      </c>
      <c r="D634" t="s">
        <v>3029</v>
      </c>
      <c r="E634" t="s">
        <v>4239</v>
      </c>
      <c r="F634" t="s">
        <v>3027</v>
      </c>
      <c r="G634" t="s">
        <v>3031</v>
      </c>
      <c r="H634">
        <v>13</v>
      </c>
      <c r="I634" t="s">
        <v>4240</v>
      </c>
    </row>
    <row r="635" spans="1:9" x14ac:dyDescent="0.3">
      <c r="A635" t="s">
        <v>4216</v>
      </c>
      <c r="B635" t="s">
        <v>311</v>
      </c>
      <c r="C635" t="s">
        <v>311</v>
      </c>
      <c r="D635" t="s">
        <v>3029</v>
      </c>
      <c r="E635" t="s">
        <v>4241</v>
      </c>
      <c r="F635" t="s">
        <v>3027</v>
      </c>
      <c r="G635" t="s">
        <v>3031</v>
      </c>
      <c r="H635">
        <v>14</v>
      </c>
      <c r="I635" t="s">
        <v>4242</v>
      </c>
    </row>
    <row r="636" spans="1:9" x14ac:dyDescent="0.3">
      <c r="A636" t="s">
        <v>4216</v>
      </c>
      <c r="B636" t="s">
        <v>311</v>
      </c>
      <c r="C636" t="s">
        <v>311</v>
      </c>
      <c r="D636" t="s">
        <v>3029</v>
      </c>
      <c r="E636" t="s">
        <v>4243</v>
      </c>
      <c r="F636" t="s">
        <v>3027</v>
      </c>
      <c r="G636" t="s">
        <v>3031</v>
      </c>
      <c r="H636">
        <v>15</v>
      </c>
      <c r="I636" t="s">
        <v>4244</v>
      </c>
    </row>
    <row r="637" spans="1:9" x14ac:dyDescent="0.3">
      <c r="A637" t="s">
        <v>4216</v>
      </c>
      <c r="B637" t="s">
        <v>311</v>
      </c>
      <c r="C637" t="s">
        <v>311</v>
      </c>
      <c r="D637" t="s">
        <v>3029</v>
      </c>
      <c r="E637" t="s">
        <v>4245</v>
      </c>
      <c r="F637" t="s">
        <v>3027</v>
      </c>
      <c r="G637" t="s">
        <v>3031</v>
      </c>
      <c r="H637">
        <v>16</v>
      </c>
      <c r="I637" t="s">
        <v>4246</v>
      </c>
    </row>
    <row r="638" spans="1:9" x14ac:dyDescent="0.3">
      <c r="A638" t="s">
        <v>4216</v>
      </c>
      <c r="B638" t="s">
        <v>311</v>
      </c>
      <c r="C638" t="s">
        <v>311</v>
      </c>
      <c r="D638" t="s">
        <v>3029</v>
      </c>
      <c r="E638" t="s">
        <v>4247</v>
      </c>
      <c r="F638" t="s">
        <v>3027</v>
      </c>
      <c r="G638" t="s">
        <v>3031</v>
      </c>
      <c r="H638">
        <v>17</v>
      </c>
      <c r="I638" t="s">
        <v>4248</v>
      </c>
    </row>
    <row r="639" spans="1:9" x14ac:dyDescent="0.3">
      <c r="A639" t="s">
        <v>4216</v>
      </c>
      <c r="B639" t="s">
        <v>311</v>
      </c>
      <c r="C639" t="s">
        <v>311</v>
      </c>
      <c r="D639" t="s">
        <v>3029</v>
      </c>
      <c r="E639" t="s">
        <v>4249</v>
      </c>
      <c r="F639" t="s">
        <v>3027</v>
      </c>
      <c r="G639" t="s">
        <v>3031</v>
      </c>
      <c r="H639">
        <v>18</v>
      </c>
      <c r="I639" t="s">
        <v>4250</v>
      </c>
    </row>
    <row r="640" spans="1:9" x14ac:dyDescent="0.3">
      <c r="A640" t="s">
        <v>4216</v>
      </c>
      <c r="B640" t="s">
        <v>311</v>
      </c>
      <c r="C640" t="s">
        <v>311</v>
      </c>
      <c r="D640" t="s">
        <v>3029</v>
      </c>
      <c r="E640" t="s">
        <v>4251</v>
      </c>
      <c r="F640" t="s">
        <v>3027</v>
      </c>
      <c r="G640" t="s">
        <v>3031</v>
      </c>
      <c r="H640">
        <v>19</v>
      </c>
      <c r="I640" t="s">
        <v>393</v>
      </c>
    </row>
    <row r="641" spans="1:9" x14ac:dyDescent="0.3">
      <c r="A641" t="s">
        <v>4216</v>
      </c>
      <c r="B641" t="s">
        <v>311</v>
      </c>
      <c r="C641" t="s">
        <v>311</v>
      </c>
      <c r="D641" t="s">
        <v>3029</v>
      </c>
      <c r="E641" t="s">
        <v>4252</v>
      </c>
      <c r="F641" t="s">
        <v>3027</v>
      </c>
      <c r="G641" t="s">
        <v>3031</v>
      </c>
      <c r="H641">
        <v>20</v>
      </c>
      <c r="I641" t="s">
        <v>4253</v>
      </c>
    </row>
    <row r="642" spans="1:9" x14ac:dyDescent="0.3">
      <c r="A642" t="s">
        <v>4254</v>
      </c>
      <c r="B642" t="s">
        <v>317</v>
      </c>
      <c r="C642" t="s">
        <v>4255</v>
      </c>
      <c r="D642" t="s">
        <v>3025</v>
      </c>
      <c r="E642" t="s">
        <v>4256</v>
      </c>
      <c r="F642" t="s">
        <v>3027</v>
      </c>
      <c r="G642" t="s">
        <v>3028</v>
      </c>
      <c r="H642">
        <v>1</v>
      </c>
      <c r="I642" t="s">
        <v>4255</v>
      </c>
    </row>
    <row r="643" spans="1:9" x14ac:dyDescent="0.3">
      <c r="A643" t="s">
        <v>4254</v>
      </c>
      <c r="B643" t="s">
        <v>317</v>
      </c>
      <c r="C643" t="s">
        <v>4255</v>
      </c>
      <c r="D643" t="s">
        <v>3029</v>
      </c>
      <c r="E643" t="s">
        <v>4257</v>
      </c>
      <c r="F643" t="s">
        <v>3027</v>
      </c>
      <c r="G643" t="s">
        <v>3031</v>
      </c>
      <c r="H643">
        <v>2</v>
      </c>
      <c r="I643" t="s">
        <v>4258</v>
      </c>
    </row>
    <row r="644" spans="1:9" x14ac:dyDescent="0.3">
      <c r="A644" t="s">
        <v>4254</v>
      </c>
      <c r="B644" t="s">
        <v>317</v>
      </c>
      <c r="C644" t="s">
        <v>4255</v>
      </c>
      <c r="D644" t="s">
        <v>3029</v>
      </c>
      <c r="E644" t="s">
        <v>4259</v>
      </c>
      <c r="F644" t="s">
        <v>3027</v>
      </c>
      <c r="G644" t="s">
        <v>3031</v>
      </c>
      <c r="H644">
        <v>3</v>
      </c>
      <c r="I644" t="s">
        <v>4260</v>
      </c>
    </row>
    <row r="645" spans="1:9" x14ac:dyDescent="0.3">
      <c r="A645" t="s">
        <v>4254</v>
      </c>
      <c r="B645" t="s">
        <v>317</v>
      </c>
      <c r="C645" t="s">
        <v>4255</v>
      </c>
      <c r="D645" t="s">
        <v>3029</v>
      </c>
      <c r="E645" t="s">
        <v>4261</v>
      </c>
      <c r="F645" t="s">
        <v>3027</v>
      </c>
      <c r="G645" t="s">
        <v>3031</v>
      </c>
      <c r="H645">
        <v>4</v>
      </c>
      <c r="I645" t="s">
        <v>4262</v>
      </c>
    </row>
    <row r="646" spans="1:9" x14ac:dyDescent="0.3">
      <c r="A646" t="s">
        <v>4254</v>
      </c>
      <c r="B646" t="s">
        <v>317</v>
      </c>
      <c r="C646" t="s">
        <v>4255</v>
      </c>
      <c r="D646" t="s">
        <v>3029</v>
      </c>
      <c r="E646" t="s">
        <v>4263</v>
      </c>
      <c r="F646" t="s">
        <v>3027</v>
      </c>
      <c r="G646" t="s">
        <v>3031</v>
      </c>
      <c r="H646">
        <v>5</v>
      </c>
      <c r="I646" t="s">
        <v>4264</v>
      </c>
    </row>
    <row r="647" spans="1:9" x14ac:dyDescent="0.3">
      <c r="A647" t="s">
        <v>4254</v>
      </c>
      <c r="B647" t="s">
        <v>317</v>
      </c>
      <c r="C647" t="s">
        <v>4255</v>
      </c>
      <c r="D647" t="s">
        <v>3029</v>
      </c>
      <c r="E647" t="s">
        <v>4265</v>
      </c>
      <c r="F647" t="s">
        <v>3027</v>
      </c>
      <c r="G647" t="s">
        <v>3031</v>
      </c>
      <c r="H647">
        <v>6</v>
      </c>
      <c r="I647" t="s">
        <v>4266</v>
      </c>
    </row>
    <row r="648" spans="1:9" x14ac:dyDescent="0.3">
      <c r="A648" t="s">
        <v>4254</v>
      </c>
      <c r="B648" t="s">
        <v>317</v>
      </c>
      <c r="C648" t="s">
        <v>4255</v>
      </c>
      <c r="D648" t="s">
        <v>3029</v>
      </c>
      <c r="E648" t="s">
        <v>4267</v>
      </c>
      <c r="F648" t="s">
        <v>3027</v>
      </c>
      <c r="G648" t="s">
        <v>3031</v>
      </c>
      <c r="H648">
        <v>7</v>
      </c>
      <c r="I648" t="s">
        <v>4268</v>
      </c>
    </row>
    <row r="649" spans="1:9" x14ac:dyDescent="0.3">
      <c r="A649" t="s">
        <v>4254</v>
      </c>
      <c r="B649" t="s">
        <v>317</v>
      </c>
      <c r="C649" t="s">
        <v>4255</v>
      </c>
      <c r="D649" t="s">
        <v>3029</v>
      </c>
      <c r="E649" t="s">
        <v>4269</v>
      </c>
      <c r="F649" t="s">
        <v>3027</v>
      </c>
      <c r="G649" t="s">
        <v>3031</v>
      </c>
      <c r="H649">
        <v>8</v>
      </c>
      <c r="I649" t="s">
        <v>4270</v>
      </c>
    </row>
    <row r="650" spans="1:9" x14ac:dyDescent="0.3">
      <c r="A650" t="s">
        <v>4254</v>
      </c>
      <c r="B650" t="s">
        <v>317</v>
      </c>
      <c r="C650" t="s">
        <v>4255</v>
      </c>
      <c r="D650" t="s">
        <v>3029</v>
      </c>
      <c r="E650" t="s">
        <v>4271</v>
      </c>
      <c r="F650" t="s">
        <v>3027</v>
      </c>
      <c r="G650" t="s">
        <v>3031</v>
      </c>
      <c r="H650">
        <v>9</v>
      </c>
      <c r="I650" t="s">
        <v>4272</v>
      </c>
    </row>
    <row r="651" spans="1:9" x14ac:dyDescent="0.3">
      <c r="A651" t="s">
        <v>4254</v>
      </c>
      <c r="B651" t="s">
        <v>317</v>
      </c>
      <c r="C651" t="s">
        <v>4255</v>
      </c>
      <c r="D651" t="s">
        <v>3029</v>
      </c>
      <c r="E651" t="s">
        <v>4273</v>
      </c>
      <c r="F651" t="s">
        <v>3027</v>
      </c>
      <c r="G651" t="s">
        <v>3031</v>
      </c>
      <c r="H651">
        <v>10</v>
      </c>
      <c r="I651" t="s">
        <v>4274</v>
      </c>
    </row>
    <row r="652" spans="1:9" x14ac:dyDescent="0.3">
      <c r="A652" t="s">
        <v>4254</v>
      </c>
      <c r="B652" t="s">
        <v>317</v>
      </c>
      <c r="C652" t="s">
        <v>4255</v>
      </c>
      <c r="D652" t="s">
        <v>3029</v>
      </c>
      <c r="E652" t="s">
        <v>4275</v>
      </c>
      <c r="F652" t="s">
        <v>3027</v>
      </c>
      <c r="G652" t="s">
        <v>3031</v>
      </c>
      <c r="H652">
        <v>11</v>
      </c>
      <c r="I652" t="s">
        <v>4276</v>
      </c>
    </row>
    <row r="653" spans="1:9" x14ac:dyDescent="0.3">
      <c r="A653" t="s">
        <v>4254</v>
      </c>
      <c r="B653" t="s">
        <v>317</v>
      </c>
      <c r="C653" t="s">
        <v>4255</v>
      </c>
      <c r="D653" t="s">
        <v>3029</v>
      </c>
      <c r="E653" t="s">
        <v>4277</v>
      </c>
      <c r="F653" t="s">
        <v>3027</v>
      </c>
      <c r="G653" t="s">
        <v>3031</v>
      </c>
      <c r="H653">
        <v>12</v>
      </c>
      <c r="I653" t="s">
        <v>4278</v>
      </c>
    </row>
    <row r="654" spans="1:9" x14ac:dyDescent="0.3">
      <c r="A654" t="s">
        <v>4254</v>
      </c>
      <c r="B654" t="s">
        <v>317</v>
      </c>
      <c r="C654" t="s">
        <v>4255</v>
      </c>
      <c r="D654" t="s">
        <v>3029</v>
      </c>
      <c r="E654" t="s">
        <v>4279</v>
      </c>
      <c r="F654" t="s">
        <v>3027</v>
      </c>
      <c r="G654" t="s">
        <v>3031</v>
      </c>
      <c r="H654">
        <v>13</v>
      </c>
      <c r="I654" t="s">
        <v>4280</v>
      </c>
    </row>
    <row r="655" spans="1:9" x14ac:dyDescent="0.3">
      <c r="A655" t="s">
        <v>4254</v>
      </c>
      <c r="B655" t="s">
        <v>317</v>
      </c>
      <c r="C655" t="s">
        <v>4255</v>
      </c>
      <c r="D655" t="s">
        <v>3029</v>
      </c>
      <c r="E655" t="s">
        <v>4281</v>
      </c>
      <c r="F655" t="s">
        <v>3027</v>
      </c>
      <c r="G655" t="s">
        <v>3031</v>
      </c>
      <c r="H655">
        <v>14</v>
      </c>
      <c r="I655" t="s">
        <v>4282</v>
      </c>
    </row>
    <row r="656" spans="1:9" x14ac:dyDescent="0.3">
      <c r="A656" t="s">
        <v>4254</v>
      </c>
      <c r="B656" t="s">
        <v>317</v>
      </c>
      <c r="C656" t="s">
        <v>4255</v>
      </c>
      <c r="D656" t="s">
        <v>3029</v>
      </c>
      <c r="E656" t="s">
        <v>4283</v>
      </c>
      <c r="F656" t="s">
        <v>3027</v>
      </c>
      <c r="G656" t="s">
        <v>3031</v>
      </c>
      <c r="H656">
        <v>15</v>
      </c>
      <c r="I656" t="s">
        <v>4284</v>
      </c>
    </row>
    <row r="657" spans="1:9" x14ac:dyDescent="0.3">
      <c r="A657" t="s">
        <v>4254</v>
      </c>
      <c r="B657" t="s">
        <v>317</v>
      </c>
      <c r="C657" t="s">
        <v>4255</v>
      </c>
      <c r="D657" t="s">
        <v>3029</v>
      </c>
      <c r="E657" t="s">
        <v>4285</v>
      </c>
      <c r="F657" t="s">
        <v>3027</v>
      </c>
      <c r="G657" t="s">
        <v>3031</v>
      </c>
      <c r="H657">
        <v>16</v>
      </c>
      <c r="I657" t="s">
        <v>4286</v>
      </c>
    </row>
    <row r="658" spans="1:9" x14ac:dyDescent="0.3">
      <c r="A658" t="s">
        <v>4254</v>
      </c>
      <c r="B658" t="s">
        <v>317</v>
      </c>
      <c r="C658" t="s">
        <v>4255</v>
      </c>
      <c r="D658" t="s">
        <v>3029</v>
      </c>
      <c r="E658" t="s">
        <v>4287</v>
      </c>
      <c r="F658" t="s">
        <v>3027</v>
      </c>
      <c r="G658" t="s">
        <v>3031</v>
      </c>
      <c r="H658">
        <v>17</v>
      </c>
      <c r="I658" t="s">
        <v>4288</v>
      </c>
    </row>
    <row r="659" spans="1:9" x14ac:dyDescent="0.3">
      <c r="A659" t="s">
        <v>4254</v>
      </c>
      <c r="B659" t="s">
        <v>317</v>
      </c>
      <c r="C659" t="s">
        <v>4255</v>
      </c>
      <c r="D659" t="s">
        <v>3029</v>
      </c>
      <c r="E659" t="s">
        <v>4289</v>
      </c>
      <c r="F659" t="s">
        <v>3027</v>
      </c>
      <c r="G659" t="s">
        <v>3031</v>
      </c>
      <c r="H659">
        <v>18</v>
      </c>
      <c r="I659" t="s">
        <v>4290</v>
      </c>
    </row>
    <row r="660" spans="1:9" x14ac:dyDescent="0.3">
      <c r="A660" t="s">
        <v>4254</v>
      </c>
      <c r="B660" t="s">
        <v>317</v>
      </c>
      <c r="C660" t="s">
        <v>4255</v>
      </c>
      <c r="D660" t="s">
        <v>3029</v>
      </c>
      <c r="E660" t="s">
        <v>4291</v>
      </c>
      <c r="F660" t="s">
        <v>3027</v>
      </c>
      <c r="G660" t="s">
        <v>3031</v>
      </c>
      <c r="H660">
        <v>19</v>
      </c>
      <c r="I660" t="s">
        <v>4292</v>
      </c>
    </row>
    <row r="661" spans="1:9" x14ac:dyDescent="0.3">
      <c r="A661" t="s">
        <v>4254</v>
      </c>
      <c r="B661" t="s">
        <v>317</v>
      </c>
      <c r="C661" t="s">
        <v>4255</v>
      </c>
      <c r="D661" t="s">
        <v>3029</v>
      </c>
      <c r="E661" t="s">
        <v>4293</v>
      </c>
      <c r="F661" t="s">
        <v>3027</v>
      </c>
      <c r="G661" t="s">
        <v>3031</v>
      </c>
      <c r="H661">
        <v>20</v>
      </c>
      <c r="I661" t="s">
        <v>4294</v>
      </c>
    </row>
    <row r="662" spans="1:9" x14ac:dyDescent="0.3">
      <c r="A662" t="s">
        <v>4295</v>
      </c>
      <c r="B662" t="s">
        <v>323</v>
      </c>
      <c r="C662" t="s">
        <v>4296</v>
      </c>
      <c r="D662" t="s">
        <v>3025</v>
      </c>
      <c r="E662" t="s">
        <v>4297</v>
      </c>
      <c r="F662" t="s">
        <v>3027</v>
      </c>
      <c r="G662" t="s">
        <v>3028</v>
      </c>
      <c r="H662">
        <v>1</v>
      </c>
      <c r="I662" t="s">
        <v>4296</v>
      </c>
    </row>
    <row r="663" spans="1:9" x14ac:dyDescent="0.3">
      <c r="A663" t="s">
        <v>4295</v>
      </c>
      <c r="B663" t="s">
        <v>323</v>
      </c>
      <c r="C663" t="s">
        <v>4296</v>
      </c>
      <c r="D663" t="s">
        <v>3029</v>
      </c>
      <c r="E663" t="s">
        <v>4298</v>
      </c>
      <c r="F663" t="s">
        <v>3027</v>
      </c>
      <c r="G663" t="s">
        <v>3031</v>
      </c>
      <c r="H663">
        <v>2</v>
      </c>
      <c r="I663" t="s">
        <v>3116</v>
      </c>
    </row>
    <row r="664" spans="1:9" x14ac:dyDescent="0.3">
      <c r="A664" t="s">
        <v>4295</v>
      </c>
      <c r="B664" t="s">
        <v>323</v>
      </c>
      <c r="C664" t="s">
        <v>4296</v>
      </c>
      <c r="D664" t="s">
        <v>3029</v>
      </c>
      <c r="E664" t="s">
        <v>4299</v>
      </c>
      <c r="F664" t="s">
        <v>3027</v>
      </c>
      <c r="G664" t="s">
        <v>3031</v>
      </c>
      <c r="H664">
        <v>3</v>
      </c>
      <c r="I664" t="s">
        <v>4300</v>
      </c>
    </row>
    <row r="665" spans="1:9" x14ac:dyDescent="0.3">
      <c r="A665" t="s">
        <v>4295</v>
      </c>
      <c r="B665" t="s">
        <v>323</v>
      </c>
      <c r="C665" t="s">
        <v>4296</v>
      </c>
      <c r="D665" t="s">
        <v>3029</v>
      </c>
      <c r="E665" t="s">
        <v>4301</v>
      </c>
      <c r="F665" t="s">
        <v>3027</v>
      </c>
      <c r="G665" t="s">
        <v>3031</v>
      </c>
      <c r="H665">
        <v>4</v>
      </c>
      <c r="I665" t="s">
        <v>4302</v>
      </c>
    </row>
    <row r="666" spans="1:9" x14ac:dyDescent="0.3">
      <c r="A666" t="s">
        <v>4295</v>
      </c>
      <c r="B666" t="s">
        <v>323</v>
      </c>
      <c r="C666" t="s">
        <v>4296</v>
      </c>
      <c r="D666" t="s">
        <v>3029</v>
      </c>
      <c r="E666" t="s">
        <v>3594</v>
      </c>
      <c r="F666" t="s">
        <v>3027</v>
      </c>
      <c r="G666" t="s">
        <v>3031</v>
      </c>
      <c r="H666">
        <v>5</v>
      </c>
      <c r="I666" t="s">
        <v>3595</v>
      </c>
    </row>
    <row r="667" spans="1:9" x14ac:dyDescent="0.3">
      <c r="A667" t="s">
        <v>4295</v>
      </c>
      <c r="B667" t="s">
        <v>323</v>
      </c>
      <c r="C667" t="s">
        <v>4296</v>
      </c>
      <c r="D667" t="s">
        <v>3029</v>
      </c>
      <c r="E667" t="s">
        <v>4303</v>
      </c>
      <c r="F667" t="s">
        <v>3027</v>
      </c>
      <c r="G667" t="s">
        <v>3031</v>
      </c>
      <c r="H667">
        <v>6</v>
      </c>
      <c r="I667" t="s">
        <v>4304</v>
      </c>
    </row>
    <row r="668" spans="1:9" x14ac:dyDescent="0.3">
      <c r="A668" t="s">
        <v>4295</v>
      </c>
      <c r="B668" t="s">
        <v>323</v>
      </c>
      <c r="C668" t="s">
        <v>4296</v>
      </c>
      <c r="D668" t="s">
        <v>3029</v>
      </c>
      <c r="E668" t="s">
        <v>3117</v>
      </c>
      <c r="F668" t="s">
        <v>3027</v>
      </c>
      <c r="G668" t="s">
        <v>3031</v>
      </c>
      <c r="H668">
        <v>7</v>
      </c>
      <c r="I668" s="176">
        <v>37145</v>
      </c>
    </row>
    <row r="669" spans="1:9" x14ac:dyDescent="0.3">
      <c r="A669" t="s">
        <v>4295</v>
      </c>
      <c r="B669" t="s">
        <v>323</v>
      </c>
      <c r="C669" t="s">
        <v>4296</v>
      </c>
      <c r="D669" t="s">
        <v>3029</v>
      </c>
      <c r="E669" t="s">
        <v>4305</v>
      </c>
      <c r="F669" t="s">
        <v>3027</v>
      </c>
      <c r="G669" t="s">
        <v>3031</v>
      </c>
      <c r="H669">
        <v>8</v>
      </c>
      <c r="I669" t="s">
        <v>4306</v>
      </c>
    </row>
    <row r="670" spans="1:9" x14ac:dyDescent="0.3">
      <c r="A670" t="s">
        <v>4295</v>
      </c>
      <c r="B670" t="s">
        <v>323</v>
      </c>
      <c r="C670" t="s">
        <v>4296</v>
      </c>
      <c r="D670" t="s">
        <v>3029</v>
      </c>
      <c r="E670" t="s">
        <v>4307</v>
      </c>
      <c r="F670" t="s">
        <v>3027</v>
      </c>
      <c r="G670" t="s">
        <v>3031</v>
      </c>
      <c r="H670">
        <v>9</v>
      </c>
      <c r="I670" t="s">
        <v>4308</v>
      </c>
    </row>
    <row r="671" spans="1:9" x14ac:dyDescent="0.3">
      <c r="A671" t="s">
        <v>4295</v>
      </c>
      <c r="B671" t="s">
        <v>323</v>
      </c>
      <c r="C671" t="s">
        <v>4296</v>
      </c>
      <c r="D671" t="s">
        <v>3029</v>
      </c>
      <c r="E671" t="s">
        <v>4309</v>
      </c>
      <c r="F671" t="s">
        <v>3027</v>
      </c>
      <c r="G671" t="s">
        <v>3031</v>
      </c>
      <c r="H671">
        <v>10</v>
      </c>
      <c r="I671" t="s">
        <v>4310</v>
      </c>
    </row>
    <row r="672" spans="1:9" x14ac:dyDescent="0.3">
      <c r="A672" t="s">
        <v>4295</v>
      </c>
      <c r="B672" t="s">
        <v>323</v>
      </c>
      <c r="C672" t="s">
        <v>4296</v>
      </c>
      <c r="D672" t="s">
        <v>3029</v>
      </c>
      <c r="E672" t="s">
        <v>4311</v>
      </c>
      <c r="F672" t="s">
        <v>3027</v>
      </c>
      <c r="G672" t="s">
        <v>3031</v>
      </c>
      <c r="H672">
        <v>11</v>
      </c>
      <c r="I672" t="s">
        <v>4312</v>
      </c>
    </row>
    <row r="673" spans="1:9" x14ac:dyDescent="0.3">
      <c r="A673" t="s">
        <v>4295</v>
      </c>
      <c r="B673" t="s">
        <v>323</v>
      </c>
      <c r="C673" t="s">
        <v>4296</v>
      </c>
      <c r="D673" t="s">
        <v>3029</v>
      </c>
      <c r="E673" t="s">
        <v>4313</v>
      </c>
      <c r="F673" t="s">
        <v>3027</v>
      </c>
      <c r="G673" t="s">
        <v>3031</v>
      </c>
      <c r="H673">
        <v>12</v>
      </c>
      <c r="I673" t="s">
        <v>3114</v>
      </c>
    </row>
    <row r="674" spans="1:9" x14ac:dyDescent="0.3">
      <c r="A674" t="s">
        <v>4295</v>
      </c>
      <c r="B674" t="s">
        <v>323</v>
      </c>
      <c r="C674" t="s">
        <v>4296</v>
      </c>
      <c r="D674" t="s">
        <v>3029</v>
      </c>
      <c r="E674" t="s">
        <v>4314</v>
      </c>
      <c r="F674" t="s">
        <v>3027</v>
      </c>
      <c r="G674" t="s">
        <v>3031</v>
      </c>
      <c r="H674">
        <v>13</v>
      </c>
      <c r="I674" t="s">
        <v>4315</v>
      </c>
    </row>
    <row r="675" spans="1:9" x14ac:dyDescent="0.3">
      <c r="A675" t="s">
        <v>4295</v>
      </c>
      <c r="B675" t="s">
        <v>323</v>
      </c>
      <c r="C675" t="s">
        <v>4296</v>
      </c>
      <c r="D675" t="s">
        <v>3029</v>
      </c>
      <c r="E675" t="s">
        <v>4316</v>
      </c>
      <c r="F675" t="s">
        <v>3027</v>
      </c>
      <c r="G675" t="s">
        <v>3031</v>
      </c>
      <c r="H675">
        <v>14</v>
      </c>
      <c r="I675">
        <v>3</v>
      </c>
    </row>
    <row r="676" spans="1:9" x14ac:dyDescent="0.3">
      <c r="A676" t="s">
        <v>4295</v>
      </c>
      <c r="B676" t="s">
        <v>323</v>
      </c>
      <c r="C676" t="s">
        <v>4296</v>
      </c>
      <c r="D676" t="s">
        <v>3029</v>
      </c>
      <c r="E676" t="s">
        <v>4317</v>
      </c>
      <c r="F676" t="s">
        <v>3027</v>
      </c>
      <c r="G676" t="s">
        <v>3031</v>
      </c>
      <c r="H676">
        <v>15</v>
      </c>
      <c r="I676">
        <v>4</v>
      </c>
    </row>
    <row r="677" spans="1:9" x14ac:dyDescent="0.3">
      <c r="A677" t="s">
        <v>4295</v>
      </c>
      <c r="B677" t="s">
        <v>323</v>
      </c>
      <c r="C677" t="s">
        <v>4296</v>
      </c>
      <c r="D677" t="s">
        <v>3029</v>
      </c>
      <c r="E677" t="s">
        <v>4318</v>
      </c>
      <c r="F677" t="s">
        <v>3027</v>
      </c>
      <c r="G677" t="s">
        <v>3031</v>
      </c>
      <c r="H677">
        <v>16</v>
      </c>
      <c r="I677">
        <v>2</v>
      </c>
    </row>
    <row r="678" spans="1:9" x14ac:dyDescent="0.3">
      <c r="A678" t="s">
        <v>4295</v>
      </c>
      <c r="B678" t="s">
        <v>323</v>
      </c>
      <c r="C678" t="s">
        <v>4296</v>
      </c>
      <c r="D678" t="s">
        <v>3029</v>
      </c>
      <c r="E678" t="s">
        <v>4319</v>
      </c>
      <c r="F678" t="s">
        <v>3027</v>
      </c>
      <c r="G678" t="s">
        <v>3031</v>
      </c>
      <c r="H678">
        <v>17</v>
      </c>
      <c r="I678">
        <v>5</v>
      </c>
    </row>
    <row r="679" spans="1:9" x14ac:dyDescent="0.3">
      <c r="A679" t="s">
        <v>4295</v>
      </c>
      <c r="B679" t="s">
        <v>323</v>
      </c>
      <c r="C679" t="s">
        <v>4296</v>
      </c>
      <c r="D679" t="s">
        <v>3029</v>
      </c>
      <c r="E679" t="s">
        <v>4320</v>
      </c>
      <c r="F679" t="s">
        <v>3027</v>
      </c>
      <c r="G679" t="s">
        <v>3031</v>
      </c>
      <c r="H679">
        <v>18</v>
      </c>
      <c r="I679" t="s">
        <v>4321</v>
      </c>
    </row>
    <row r="680" spans="1:9" x14ac:dyDescent="0.3">
      <c r="A680" t="s">
        <v>4295</v>
      </c>
      <c r="B680" t="s">
        <v>323</v>
      </c>
      <c r="C680" t="s">
        <v>4296</v>
      </c>
      <c r="D680" t="s">
        <v>3029</v>
      </c>
      <c r="E680" t="s">
        <v>4322</v>
      </c>
      <c r="F680" t="s">
        <v>3027</v>
      </c>
      <c r="G680" t="s">
        <v>3031</v>
      </c>
      <c r="H680">
        <v>19</v>
      </c>
      <c r="I680" t="s">
        <v>4323</v>
      </c>
    </row>
    <row r="681" spans="1:9" x14ac:dyDescent="0.3">
      <c r="A681" t="s">
        <v>4295</v>
      </c>
      <c r="B681" t="s">
        <v>323</v>
      </c>
      <c r="C681" t="s">
        <v>4296</v>
      </c>
      <c r="D681" t="s">
        <v>3029</v>
      </c>
      <c r="E681" t="s">
        <v>4324</v>
      </c>
      <c r="F681" t="s">
        <v>3027</v>
      </c>
      <c r="G681" t="s">
        <v>3031</v>
      </c>
      <c r="H681">
        <v>20</v>
      </c>
      <c r="I681" t="s">
        <v>4325</v>
      </c>
    </row>
    <row r="682" spans="1:9" x14ac:dyDescent="0.3">
      <c r="A682" t="s">
        <v>4326</v>
      </c>
      <c r="B682" t="s">
        <v>330</v>
      </c>
      <c r="C682" t="s">
        <v>4327</v>
      </c>
      <c r="D682" t="s">
        <v>3025</v>
      </c>
      <c r="E682" t="s">
        <v>4328</v>
      </c>
      <c r="F682" t="s">
        <v>3027</v>
      </c>
      <c r="G682" t="s">
        <v>3028</v>
      </c>
      <c r="H682">
        <v>1</v>
      </c>
      <c r="I682" t="s">
        <v>4327</v>
      </c>
    </row>
    <row r="683" spans="1:9" x14ac:dyDescent="0.3">
      <c r="A683" t="s">
        <v>4326</v>
      </c>
      <c r="B683" t="s">
        <v>330</v>
      </c>
      <c r="C683" t="s">
        <v>4327</v>
      </c>
      <c r="D683" t="s">
        <v>3029</v>
      </c>
      <c r="E683" t="s">
        <v>4329</v>
      </c>
      <c r="F683" t="s">
        <v>3027</v>
      </c>
      <c r="G683" t="s">
        <v>3031</v>
      </c>
      <c r="H683">
        <v>2</v>
      </c>
      <c r="I683" t="s">
        <v>4330</v>
      </c>
    </row>
    <row r="684" spans="1:9" x14ac:dyDescent="0.3">
      <c r="A684" t="s">
        <v>4326</v>
      </c>
      <c r="B684" t="s">
        <v>330</v>
      </c>
      <c r="C684" t="s">
        <v>4327</v>
      </c>
      <c r="D684" t="s">
        <v>3029</v>
      </c>
      <c r="E684" t="s">
        <v>3508</v>
      </c>
      <c r="F684" t="s">
        <v>3027</v>
      </c>
      <c r="G684" t="s">
        <v>3031</v>
      </c>
      <c r="H684">
        <v>3</v>
      </c>
      <c r="I684" t="s">
        <v>3509</v>
      </c>
    </row>
    <row r="685" spans="1:9" x14ac:dyDescent="0.3">
      <c r="A685" t="s">
        <v>4326</v>
      </c>
      <c r="B685" t="s">
        <v>330</v>
      </c>
      <c r="C685" t="s">
        <v>4327</v>
      </c>
      <c r="D685" t="s">
        <v>3029</v>
      </c>
      <c r="E685" t="s">
        <v>4331</v>
      </c>
      <c r="F685" t="s">
        <v>3027</v>
      </c>
      <c r="G685" t="s">
        <v>3031</v>
      </c>
      <c r="H685">
        <v>4</v>
      </c>
      <c r="I685" t="s">
        <v>4332</v>
      </c>
    </row>
    <row r="686" spans="1:9" x14ac:dyDescent="0.3">
      <c r="A686" t="s">
        <v>4326</v>
      </c>
      <c r="B686" t="s">
        <v>330</v>
      </c>
      <c r="C686" t="s">
        <v>4327</v>
      </c>
      <c r="D686" t="s">
        <v>3029</v>
      </c>
      <c r="E686" t="s">
        <v>3118</v>
      </c>
      <c r="F686" t="s">
        <v>3027</v>
      </c>
      <c r="G686" t="s">
        <v>3031</v>
      </c>
      <c r="H686">
        <v>5</v>
      </c>
      <c r="I686" t="s">
        <v>24</v>
      </c>
    </row>
    <row r="687" spans="1:9" x14ac:dyDescent="0.3">
      <c r="A687" t="s">
        <v>4326</v>
      </c>
      <c r="B687" t="s">
        <v>330</v>
      </c>
      <c r="C687" t="s">
        <v>4327</v>
      </c>
      <c r="D687" t="s">
        <v>3029</v>
      </c>
      <c r="E687" t="s">
        <v>4333</v>
      </c>
      <c r="F687" t="s">
        <v>3027</v>
      </c>
      <c r="G687" t="s">
        <v>3031</v>
      </c>
      <c r="H687">
        <v>6</v>
      </c>
      <c r="I687" t="s">
        <v>4334</v>
      </c>
    </row>
    <row r="688" spans="1:9" x14ac:dyDescent="0.3">
      <c r="A688" t="s">
        <v>4326</v>
      </c>
      <c r="B688" t="s">
        <v>330</v>
      </c>
      <c r="C688" t="s">
        <v>4327</v>
      </c>
      <c r="D688" t="s">
        <v>3029</v>
      </c>
      <c r="E688" t="s">
        <v>4335</v>
      </c>
      <c r="F688" t="s">
        <v>3027</v>
      </c>
      <c r="G688" t="s">
        <v>3031</v>
      </c>
      <c r="H688">
        <v>7</v>
      </c>
      <c r="I688" t="s">
        <v>4336</v>
      </c>
    </row>
    <row r="689" spans="1:9" x14ac:dyDescent="0.3">
      <c r="A689" t="s">
        <v>4326</v>
      </c>
      <c r="B689" t="s">
        <v>330</v>
      </c>
      <c r="C689" t="s">
        <v>4327</v>
      </c>
      <c r="D689" t="s">
        <v>3029</v>
      </c>
      <c r="E689" t="s">
        <v>4337</v>
      </c>
      <c r="F689" t="s">
        <v>3027</v>
      </c>
      <c r="G689" t="s">
        <v>3031</v>
      </c>
      <c r="H689">
        <v>8</v>
      </c>
      <c r="I689" t="s">
        <v>4338</v>
      </c>
    </row>
    <row r="690" spans="1:9" x14ac:dyDescent="0.3">
      <c r="A690" t="s">
        <v>4326</v>
      </c>
      <c r="B690" t="s">
        <v>330</v>
      </c>
      <c r="C690" t="s">
        <v>4327</v>
      </c>
      <c r="D690" t="s">
        <v>3029</v>
      </c>
      <c r="E690" t="s">
        <v>4339</v>
      </c>
      <c r="F690" t="s">
        <v>3027</v>
      </c>
      <c r="G690" t="s">
        <v>3031</v>
      </c>
      <c r="H690">
        <v>9</v>
      </c>
      <c r="I690" t="s">
        <v>4340</v>
      </c>
    </row>
    <row r="691" spans="1:9" x14ac:dyDescent="0.3">
      <c r="A691" t="s">
        <v>4326</v>
      </c>
      <c r="B691" t="s">
        <v>330</v>
      </c>
      <c r="C691" t="s">
        <v>4327</v>
      </c>
      <c r="D691" t="s">
        <v>3029</v>
      </c>
      <c r="E691" t="s">
        <v>4341</v>
      </c>
      <c r="F691" t="s">
        <v>3027</v>
      </c>
      <c r="G691" t="s">
        <v>3031</v>
      </c>
      <c r="H691">
        <v>10</v>
      </c>
      <c r="I691" t="s">
        <v>4342</v>
      </c>
    </row>
    <row r="692" spans="1:9" x14ac:dyDescent="0.3">
      <c r="A692" t="s">
        <v>4326</v>
      </c>
      <c r="B692" t="s">
        <v>330</v>
      </c>
      <c r="C692" t="s">
        <v>4327</v>
      </c>
      <c r="D692" t="s">
        <v>3029</v>
      </c>
      <c r="E692" t="s">
        <v>4343</v>
      </c>
      <c r="F692" t="s">
        <v>3027</v>
      </c>
      <c r="G692" t="s">
        <v>3031</v>
      </c>
      <c r="H692">
        <v>11</v>
      </c>
      <c r="I692" t="s">
        <v>4344</v>
      </c>
    </row>
    <row r="693" spans="1:9" x14ac:dyDescent="0.3">
      <c r="A693" t="s">
        <v>4326</v>
      </c>
      <c r="B693" t="s">
        <v>330</v>
      </c>
      <c r="C693" t="s">
        <v>4327</v>
      </c>
      <c r="D693" t="s">
        <v>3029</v>
      </c>
      <c r="E693" t="s">
        <v>4345</v>
      </c>
      <c r="F693" t="s">
        <v>3027</v>
      </c>
      <c r="G693" t="s">
        <v>3031</v>
      </c>
      <c r="H693">
        <v>12</v>
      </c>
      <c r="I693" t="s">
        <v>4346</v>
      </c>
    </row>
    <row r="694" spans="1:9" x14ac:dyDescent="0.3">
      <c r="A694" t="s">
        <v>4326</v>
      </c>
      <c r="B694" t="s">
        <v>330</v>
      </c>
      <c r="C694" t="s">
        <v>4327</v>
      </c>
      <c r="D694" t="s">
        <v>3029</v>
      </c>
      <c r="E694" t="s">
        <v>4347</v>
      </c>
      <c r="F694" t="s">
        <v>3027</v>
      </c>
      <c r="G694" t="s">
        <v>3031</v>
      </c>
      <c r="H694">
        <v>13</v>
      </c>
      <c r="I694" t="s">
        <v>4348</v>
      </c>
    </row>
    <row r="695" spans="1:9" x14ac:dyDescent="0.3">
      <c r="A695" t="s">
        <v>4326</v>
      </c>
      <c r="B695" t="s">
        <v>330</v>
      </c>
      <c r="C695" t="s">
        <v>4327</v>
      </c>
      <c r="D695" t="s">
        <v>3029</v>
      </c>
      <c r="E695" t="s">
        <v>4349</v>
      </c>
      <c r="F695" t="s">
        <v>3027</v>
      </c>
      <c r="G695" t="s">
        <v>3031</v>
      </c>
      <c r="H695">
        <v>14</v>
      </c>
      <c r="I695" t="s">
        <v>4350</v>
      </c>
    </row>
    <row r="696" spans="1:9" x14ac:dyDescent="0.3">
      <c r="A696" t="s">
        <v>4326</v>
      </c>
      <c r="B696" t="s">
        <v>330</v>
      </c>
      <c r="C696" t="s">
        <v>4327</v>
      </c>
      <c r="D696" t="s">
        <v>3029</v>
      </c>
      <c r="E696" t="s">
        <v>4351</v>
      </c>
      <c r="F696" t="s">
        <v>3027</v>
      </c>
      <c r="G696" t="s">
        <v>3031</v>
      </c>
      <c r="H696">
        <v>15</v>
      </c>
      <c r="I696" t="s">
        <v>4352</v>
      </c>
    </row>
    <row r="697" spans="1:9" x14ac:dyDescent="0.3">
      <c r="A697" t="s">
        <v>4326</v>
      </c>
      <c r="B697" t="s">
        <v>330</v>
      </c>
      <c r="C697" t="s">
        <v>4327</v>
      </c>
      <c r="D697" t="s">
        <v>3029</v>
      </c>
      <c r="E697" t="s">
        <v>4353</v>
      </c>
      <c r="F697" t="s">
        <v>3027</v>
      </c>
      <c r="G697" t="s">
        <v>3031</v>
      </c>
      <c r="H697">
        <v>16</v>
      </c>
      <c r="I697" t="s">
        <v>4354</v>
      </c>
    </row>
    <row r="698" spans="1:9" x14ac:dyDescent="0.3">
      <c r="A698" t="s">
        <v>4326</v>
      </c>
      <c r="B698" t="s">
        <v>330</v>
      </c>
      <c r="C698" t="s">
        <v>4327</v>
      </c>
      <c r="D698" t="s">
        <v>3029</v>
      </c>
      <c r="E698" t="s">
        <v>4355</v>
      </c>
      <c r="F698" t="s">
        <v>3027</v>
      </c>
      <c r="G698" t="s">
        <v>3031</v>
      </c>
      <c r="H698">
        <v>17</v>
      </c>
      <c r="I698" t="s">
        <v>4356</v>
      </c>
    </row>
    <row r="699" spans="1:9" x14ac:dyDescent="0.3">
      <c r="A699" t="s">
        <v>4326</v>
      </c>
      <c r="B699" t="s">
        <v>330</v>
      </c>
      <c r="C699" t="s">
        <v>4327</v>
      </c>
      <c r="D699" t="s">
        <v>3029</v>
      </c>
      <c r="E699" t="s">
        <v>4357</v>
      </c>
      <c r="F699" t="s">
        <v>3027</v>
      </c>
      <c r="G699" t="s">
        <v>3031</v>
      </c>
      <c r="H699">
        <v>18</v>
      </c>
      <c r="I699" t="s">
        <v>4358</v>
      </c>
    </row>
    <row r="700" spans="1:9" x14ac:dyDescent="0.3">
      <c r="A700" t="s">
        <v>4326</v>
      </c>
      <c r="B700" t="s">
        <v>330</v>
      </c>
      <c r="C700" t="s">
        <v>4327</v>
      </c>
      <c r="D700" t="s">
        <v>3029</v>
      </c>
      <c r="E700" t="s">
        <v>4359</v>
      </c>
      <c r="F700" t="s">
        <v>3027</v>
      </c>
      <c r="G700" t="s">
        <v>3031</v>
      </c>
      <c r="H700">
        <v>19</v>
      </c>
      <c r="I700" t="s">
        <v>4360</v>
      </c>
    </row>
    <row r="701" spans="1:9" x14ac:dyDescent="0.3">
      <c r="A701" t="s">
        <v>4326</v>
      </c>
      <c r="B701" t="s">
        <v>330</v>
      </c>
      <c r="C701" t="s">
        <v>4327</v>
      </c>
      <c r="D701" t="s">
        <v>3029</v>
      </c>
      <c r="E701" t="s">
        <v>4361</v>
      </c>
      <c r="F701" t="s">
        <v>3027</v>
      </c>
      <c r="G701" t="s">
        <v>3031</v>
      </c>
      <c r="H701">
        <v>20</v>
      </c>
      <c r="I701" t="s">
        <v>4362</v>
      </c>
    </row>
    <row r="702" spans="1:9" x14ac:dyDescent="0.3">
      <c r="A702" t="s">
        <v>4363</v>
      </c>
      <c r="B702" t="s">
        <v>336</v>
      </c>
      <c r="C702" t="s">
        <v>4364</v>
      </c>
      <c r="D702" t="s">
        <v>3025</v>
      </c>
      <c r="E702" t="s">
        <v>4365</v>
      </c>
      <c r="F702" t="s">
        <v>3027</v>
      </c>
      <c r="G702" t="s">
        <v>3028</v>
      </c>
      <c r="H702">
        <v>1</v>
      </c>
      <c r="I702" t="s">
        <v>4364</v>
      </c>
    </row>
    <row r="703" spans="1:9" x14ac:dyDescent="0.3">
      <c r="A703" t="s">
        <v>4363</v>
      </c>
      <c r="B703" t="s">
        <v>336</v>
      </c>
      <c r="C703" t="s">
        <v>4364</v>
      </c>
      <c r="D703" t="s">
        <v>3029</v>
      </c>
      <c r="E703" t="s">
        <v>4366</v>
      </c>
      <c r="F703" t="s">
        <v>3027</v>
      </c>
      <c r="G703" t="s">
        <v>3031</v>
      </c>
      <c r="H703">
        <v>2</v>
      </c>
      <c r="I703" t="s">
        <v>4367</v>
      </c>
    </row>
    <row r="704" spans="1:9" x14ac:dyDescent="0.3">
      <c r="A704" t="s">
        <v>4363</v>
      </c>
      <c r="B704" t="s">
        <v>336</v>
      </c>
      <c r="C704" t="s">
        <v>4364</v>
      </c>
      <c r="D704" t="s">
        <v>3029</v>
      </c>
      <c r="E704" t="s">
        <v>4368</v>
      </c>
      <c r="F704" t="s">
        <v>3027</v>
      </c>
      <c r="G704" t="s">
        <v>3031</v>
      </c>
      <c r="H704">
        <v>3</v>
      </c>
      <c r="I704" t="s">
        <v>4369</v>
      </c>
    </row>
    <row r="705" spans="1:9" x14ac:dyDescent="0.3">
      <c r="A705" t="s">
        <v>4363</v>
      </c>
      <c r="B705" t="s">
        <v>336</v>
      </c>
      <c r="C705" t="s">
        <v>4364</v>
      </c>
      <c r="D705" t="s">
        <v>3029</v>
      </c>
      <c r="E705" t="s">
        <v>4370</v>
      </c>
      <c r="F705" t="s">
        <v>3027</v>
      </c>
      <c r="G705" t="s">
        <v>3031</v>
      </c>
      <c r="H705">
        <v>4</v>
      </c>
      <c r="I705" t="s">
        <v>4371</v>
      </c>
    </row>
    <row r="706" spans="1:9" x14ac:dyDescent="0.3">
      <c r="A706" t="s">
        <v>4363</v>
      </c>
      <c r="B706" t="s">
        <v>336</v>
      </c>
      <c r="C706" t="s">
        <v>4364</v>
      </c>
      <c r="D706" t="s">
        <v>3029</v>
      </c>
      <c r="E706" t="s">
        <v>4372</v>
      </c>
      <c r="F706" t="s">
        <v>3027</v>
      </c>
      <c r="G706" t="s">
        <v>3031</v>
      </c>
      <c r="H706">
        <v>5</v>
      </c>
      <c r="I706" t="s">
        <v>4373</v>
      </c>
    </row>
    <row r="707" spans="1:9" x14ac:dyDescent="0.3">
      <c r="A707" t="s">
        <v>4363</v>
      </c>
      <c r="B707" t="s">
        <v>336</v>
      </c>
      <c r="C707" t="s">
        <v>4364</v>
      </c>
      <c r="D707" t="s">
        <v>3029</v>
      </c>
      <c r="E707" t="s">
        <v>4374</v>
      </c>
      <c r="F707" t="s">
        <v>3027</v>
      </c>
      <c r="G707" t="s">
        <v>3031</v>
      </c>
      <c r="H707">
        <v>6</v>
      </c>
      <c r="I707" t="s">
        <v>4375</v>
      </c>
    </row>
    <row r="708" spans="1:9" x14ac:dyDescent="0.3">
      <c r="A708" t="s">
        <v>4363</v>
      </c>
      <c r="B708" t="s">
        <v>336</v>
      </c>
      <c r="C708" t="s">
        <v>4364</v>
      </c>
      <c r="D708" t="s">
        <v>3029</v>
      </c>
      <c r="E708" t="s">
        <v>4376</v>
      </c>
      <c r="F708" t="s">
        <v>3027</v>
      </c>
      <c r="G708" t="s">
        <v>3031</v>
      </c>
      <c r="H708">
        <v>7</v>
      </c>
      <c r="I708" t="s">
        <v>4377</v>
      </c>
    </row>
    <row r="709" spans="1:9" x14ac:dyDescent="0.3">
      <c r="A709" t="s">
        <v>4363</v>
      </c>
      <c r="B709" t="s">
        <v>336</v>
      </c>
      <c r="C709" t="s">
        <v>4364</v>
      </c>
      <c r="D709" t="s">
        <v>3029</v>
      </c>
      <c r="E709" t="s">
        <v>4378</v>
      </c>
      <c r="F709" t="s">
        <v>3027</v>
      </c>
      <c r="G709" t="s">
        <v>3031</v>
      </c>
      <c r="H709">
        <v>8</v>
      </c>
      <c r="I709" t="s">
        <v>4379</v>
      </c>
    </row>
    <row r="710" spans="1:9" x14ac:dyDescent="0.3">
      <c r="A710" t="s">
        <v>4363</v>
      </c>
      <c r="B710" t="s">
        <v>336</v>
      </c>
      <c r="C710" t="s">
        <v>4364</v>
      </c>
      <c r="D710" t="s">
        <v>3029</v>
      </c>
      <c r="E710" t="s">
        <v>4380</v>
      </c>
      <c r="F710" t="s">
        <v>3027</v>
      </c>
      <c r="G710" t="s">
        <v>3031</v>
      </c>
      <c r="H710">
        <v>9</v>
      </c>
      <c r="I710" t="s">
        <v>4381</v>
      </c>
    </row>
    <row r="711" spans="1:9" x14ac:dyDescent="0.3">
      <c r="A711" t="s">
        <v>4363</v>
      </c>
      <c r="B711" t="s">
        <v>336</v>
      </c>
      <c r="C711" t="s">
        <v>4364</v>
      </c>
      <c r="D711" t="s">
        <v>3029</v>
      </c>
      <c r="E711" t="s">
        <v>4382</v>
      </c>
      <c r="F711" t="s">
        <v>3027</v>
      </c>
      <c r="G711" t="s">
        <v>3031</v>
      </c>
      <c r="H711">
        <v>10</v>
      </c>
      <c r="I711" t="s">
        <v>4383</v>
      </c>
    </row>
    <row r="712" spans="1:9" x14ac:dyDescent="0.3">
      <c r="A712" t="s">
        <v>4363</v>
      </c>
      <c r="B712" t="s">
        <v>336</v>
      </c>
      <c r="C712" t="s">
        <v>4364</v>
      </c>
      <c r="D712" t="s">
        <v>3029</v>
      </c>
      <c r="E712" t="s">
        <v>4384</v>
      </c>
      <c r="F712" t="s">
        <v>3027</v>
      </c>
      <c r="G712" t="s">
        <v>3031</v>
      </c>
      <c r="H712">
        <v>11</v>
      </c>
      <c r="I712" t="s">
        <v>4385</v>
      </c>
    </row>
    <row r="713" spans="1:9" x14ac:dyDescent="0.3">
      <c r="A713" t="s">
        <v>4363</v>
      </c>
      <c r="B713" t="s">
        <v>336</v>
      </c>
      <c r="C713" t="s">
        <v>4364</v>
      </c>
      <c r="D713" t="s">
        <v>3029</v>
      </c>
      <c r="E713" t="s">
        <v>3381</v>
      </c>
      <c r="F713" t="s">
        <v>3027</v>
      </c>
      <c r="G713" t="s">
        <v>3031</v>
      </c>
      <c r="H713">
        <v>12</v>
      </c>
      <c r="I713" t="s">
        <v>4386</v>
      </c>
    </row>
    <row r="714" spans="1:9" x14ac:dyDescent="0.3">
      <c r="A714" t="s">
        <v>4363</v>
      </c>
      <c r="B714" t="s">
        <v>336</v>
      </c>
      <c r="C714" t="s">
        <v>4364</v>
      </c>
      <c r="D714" t="s">
        <v>3029</v>
      </c>
      <c r="E714" t="s">
        <v>4387</v>
      </c>
      <c r="F714" t="s">
        <v>3027</v>
      </c>
      <c r="G714" t="s">
        <v>3031</v>
      </c>
      <c r="H714">
        <v>13</v>
      </c>
      <c r="I714" t="s">
        <v>4388</v>
      </c>
    </row>
    <row r="715" spans="1:9" x14ac:dyDescent="0.3">
      <c r="A715" t="s">
        <v>4363</v>
      </c>
      <c r="B715" t="s">
        <v>336</v>
      </c>
      <c r="C715" t="s">
        <v>4364</v>
      </c>
      <c r="D715" t="s">
        <v>3029</v>
      </c>
      <c r="E715" t="s">
        <v>4389</v>
      </c>
      <c r="F715" t="s">
        <v>3027</v>
      </c>
      <c r="G715" t="s">
        <v>3031</v>
      </c>
      <c r="H715">
        <v>14</v>
      </c>
      <c r="I715" t="s">
        <v>4390</v>
      </c>
    </row>
    <row r="716" spans="1:9" x14ac:dyDescent="0.3">
      <c r="A716" t="s">
        <v>4363</v>
      </c>
      <c r="B716" t="s">
        <v>336</v>
      </c>
      <c r="C716" t="s">
        <v>4364</v>
      </c>
      <c r="D716" t="s">
        <v>3029</v>
      </c>
      <c r="E716" t="s">
        <v>3084</v>
      </c>
      <c r="F716" t="s">
        <v>3027</v>
      </c>
      <c r="G716" t="s">
        <v>3031</v>
      </c>
      <c r="H716">
        <v>15</v>
      </c>
      <c r="I716" t="s">
        <v>3085</v>
      </c>
    </row>
    <row r="717" spans="1:9" x14ac:dyDescent="0.3">
      <c r="A717" t="s">
        <v>4363</v>
      </c>
      <c r="B717" t="s">
        <v>336</v>
      </c>
      <c r="C717" t="s">
        <v>4364</v>
      </c>
      <c r="D717" t="s">
        <v>3029</v>
      </c>
      <c r="E717" t="s">
        <v>4391</v>
      </c>
      <c r="F717" t="s">
        <v>3027</v>
      </c>
      <c r="G717" t="s">
        <v>3031</v>
      </c>
      <c r="H717">
        <v>16</v>
      </c>
      <c r="I717" t="s">
        <v>4392</v>
      </c>
    </row>
    <row r="718" spans="1:9" x14ac:dyDescent="0.3">
      <c r="A718" t="s">
        <v>4363</v>
      </c>
      <c r="B718" t="s">
        <v>336</v>
      </c>
      <c r="C718" t="s">
        <v>4364</v>
      </c>
      <c r="D718" t="s">
        <v>3029</v>
      </c>
      <c r="E718" t="s">
        <v>3931</v>
      </c>
      <c r="F718" t="s">
        <v>3027</v>
      </c>
      <c r="G718" t="s">
        <v>3031</v>
      </c>
      <c r="H718">
        <v>17</v>
      </c>
      <c r="I718" t="s">
        <v>4393</v>
      </c>
    </row>
    <row r="719" spans="1:9" x14ac:dyDescent="0.3">
      <c r="A719" t="s">
        <v>4363</v>
      </c>
      <c r="B719" t="s">
        <v>336</v>
      </c>
      <c r="C719" t="s">
        <v>4364</v>
      </c>
      <c r="D719" t="s">
        <v>3029</v>
      </c>
      <c r="E719" t="s">
        <v>4394</v>
      </c>
      <c r="F719" t="s">
        <v>3027</v>
      </c>
      <c r="G719" t="s">
        <v>3031</v>
      </c>
      <c r="H719">
        <v>18</v>
      </c>
      <c r="I719" t="s">
        <v>4395</v>
      </c>
    </row>
    <row r="720" spans="1:9" x14ac:dyDescent="0.3">
      <c r="A720" t="s">
        <v>4363</v>
      </c>
      <c r="B720" t="s">
        <v>336</v>
      </c>
      <c r="C720" t="s">
        <v>4364</v>
      </c>
      <c r="D720" t="s">
        <v>3029</v>
      </c>
      <c r="E720" t="s">
        <v>4396</v>
      </c>
      <c r="F720" t="s">
        <v>3027</v>
      </c>
      <c r="G720" t="s">
        <v>3031</v>
      </c>
      <c r="H720">
        <v>19</v>
      </c>
      <c r="I720" t="s">
        <v>4397</v>
      </c>
    </row>
    <row r="721" spans="1:9" x14ac:dyDescent="0.3">
      <c r="A721" t="s">
        <v>4363</v>
      </c>
      <c r="B721" t="s">
        <v>336</v>
      </c>
      <c r="C721" t="s">
        <v>4364</v>
      </c>
      <c r="D721" t="s">
        <v>3029</v>
      </c>
      <c r="E721" t="s">
        <v>4398</v>
      </c>
      <c r="F721" t="s">
        <v>3027</v>
      </c>
      <c r="G721" t="s">
        <v>3031</v>
      </c>
      <c r="H721">
        <v>20</v>
      </c>
      <c r="I721" t="s">
        <v>4399</v>
      </c>
    </row>
    <row r="722" spans="1:9" x14ac:dyDescent="0.3">
      <c r="A722" t="s">
        <v>4400</v>
      </c>
      <c r="B722" t="s">
        <v>343</v>
      </c>
      <c r="C722" t="s">
        <v>4401</v>
      </c>
      <c r="D722" t="s">
        <v>3025</v>
      </c>
      <c r="E722" t="s">
        <v>4402</v>
      </c>
      <c r="F722" t="s">
        <v>3027</v>
      </c>
      <c r="G722" t="s">
        <v>3028</v>
      </c>
      <c r="H722">
        <v>1</v>
      </c>
      <c r="I722" t="s">
        <v>4401</v>
      </c>
    </row>
    <row r="723" spans="1:9" x14ac:dyDescent="0.3">
      <c r="A723" t="s">
        <v>4400</v>
      </c>
      <c r="B723" t="s">
        <v>343</v>
      </c>
      <c r="C723" t="s">
        <v>4401</v>
      </c>
      <c r="D723" t="s">
        <v>3029</v>
      </c>
      <c r="E723" t="s">
        <v>4403</v>
      </c>
      <c r="F723" t="s">
        <v>3027</v>
      </c>
      <c r="G723" t="s">
        <v>3031</v>
      </c>
      <c r="H723">
        <v>2</v>
      </c>
      <c r="I723" t="s">
        <v>4404</v>
      </c>
    </row>
    <row r="724" spans="1:9" x14ac:dyDescent="0.3">
      <c r="A724" t="s">
        <v>4400</v>
      </c>
      <c r="B724" t="s">
        <v>343</v>
      </c>
      <c r="C724" t="s">
        <v>4401</v>
      </c>
      <c r="D724" t="s">
        <v>3029</v>
      </c>
      <c r="E724" t="s">
        <v>4405</v>
      </c>
      <c r="F724" t="s">
        <v>3027</v>
      </c>
      <c r="G724" t="s">
        <v>3031</v>
      </c>
      <c r="H724">
        <v>3</v>
      </c>
      <c r="I724" t="s">
        <v>4406</v>
      </c>
    </row>
    <row r="725" spans="1:9" x14ac:dyDescent="0.3">
      <c r="A725" t="s">
        <v>4400</v>
      </c>
      <c r="B725" t="s">
        <v>343</v>
      </c>
      <c r="C725" t="s">
        <v>4401</v>
      </c>
      <c r="D725" t="s">
        <v>3029</v>
      </c>
      <c r="E725" t="s">
        <v>4407</v>
      </c>
      <c r="F725" t="s">
        <v>3027</v>
      </c>
      <c r="G725" t="s">
        <v>3031</v>
      </c>
      <c r="H725">
        <v>4</v>
      </c>
      <c r="I725" t="s">
        <v>4408</v>
      </c>
    </row>
    <row r="726" spans="1:9" x14ac:dyDescent="0.3">
      <c r="A726" t="s">
        <v>4400</v>
      </c>
      <c r="B726" t="s">
        <v>343</v>
      </c>
      <c r="C726" t="s">
        <v>4401</v>
      </c>
      <c r="D726" t="s">
        <v>3029</v>
      </c>
      <c r="E726" t="s">
        <v>4409</v>
      </c>
      <c r="F726" t="s">
        <v>3027</v>
      </c>
      <c r="G726" t="s">
        <v>3031</v>
      </c>
      <c r="H726">
        <v>5</v>
      </c>
      <c r="I726" t="s">
        <v>4410</v>
      </c>
    </row>
    <row r="727" spans="1:9" x14ac:dyDescent="0.3">
      <c r="A727" t="s">
        <v>4400</v>
      </c>
      <c r="B727" t="s">
        <v>343</v>
      </c>
      <c r="C727" t="s">
        <v>4401</v>
      </c>
      <c r="D727" t="s">
        <v>3029</v>
      </c>
      <c r="E727" t="s">
        <v>4411</v>
      </c>
      <c r="F727" t="s">
        <v>3027</v>
      </c>
      <c r="G727" t="s">
        <v>3031</v>
      </c>
      <c r="H727">
        <v>6</v>
      </c>
      <c r="I727" t="s">
        <v>4412</v>
      </c>
    </row>
    <row r="728" spans="1:9" x14ac:dyDescent="0.3">
      <c r="A728" t="s">
        <v>4400</v>
      </c>
      <c r="B728" t="s">
        <v>343</v>
      </c>
      <c r="C728" t="s">
        <v>4401</v>
      </c>
      <c r="D728" t="s">
        <v>3029</v>
      </c>
      <c r="E728" t="s">
        <v>3923</v>
      </c>
      <c r="F728" t="s">
        <v>3027</v>
      </c>
      <c r="G728" t="s">
        <v>3031</v>
      </c>
      <c r="H728">
        <v>7</v>
      </c>
      <c r="I728" t="s">
        <v>4413</v>
      </c>
    </row>
    <row r="729" spans="1:9" x14ac:dyDescent="0.3">
      <c r="A729" t="s">
        <v>4400</v>
      </c>
      <c r="B729" t="s">
        <v>343</v>
      </c>
      <c r="C729" t="s">
        <v>4401</v>
      </c>
      <c r="D729" t="s">
        <v>3029</v>
      </c>
      <c r="E729" t="s">
        <v>4414</v>
      </c>
      <c r="F729" t="s">
        <v>3027</v>
      </c>
      <c r="G729" t="s">
        <v>3031</v>
      </c>
      <c r="H729">
        <v>8</v>
      </c>
      <c r="I729" t="s">
        <v>4415</v>
      </c>
    </row>
    <row r="730" spans="1:9" x14ac:dyDescent="0.3">
      <c r="A730" t="s">
        <v>4400</v>
      </c>
      <c r="B730" t="s">
        <v>343</v>
      </c>
      <c r="C730" t="s">
        <v>4401</v>
      </c>
      <c r="D730" t="s">
        <v>3029</v>
      </c>
      <c r="E730" t="s">
        <v>4416</v>
      </c>
      <c r="F730" t="s">
        <v>3027</v>
      </c>
      <c r="G730" t="s">
        <v>3031</v>
      </c>
      <c r="H730">
        <v>9</v>
      </c>
      <c r="I730" t="s">
        <v>4417</v>
      </c>
    </row>
    <row r="731" spans="1:9" x14ac:dyDescent="0.3">
      <c r="A731" t="s">
        <v>4400</v>
      </c>
      <c r="B731" t="s">
        <v>343</v>
      </c>
      <c r="C731" t="s">
        <v>4401</v>
      </c>
      <c r="D731" t="s">
        <v>3029</v>
      </c>
      <c r="E731" t="s">
        <v>4418</v>
      </c>
      <c r="F731" t="s">
        <v>3027</v>
      </c>
      <c r="G731" t="s">
        <v>3031</v>
      </c>
      <c r="H731">
        <v>10</v>
      </c>
      <c r="I731" t="s">
        <v>4419</v>
      </c>
    </row>
    <row r="732" spans="1:9" x14ac:dyDescent="0.3">
      <c r="A732" t="s">
        <v>4400</v>
      </c>
      <c r="B732" t="s">
        <v>343</v>
      </c>
      <c r="C732" t="s">
        <v>4401</v>
      </c>
      <c r="D732" t="s">
        <v>3029</v>
      </c>
      <c r="E732" t="s">
        <v>3919</v>
      </c>
      <c r="F732" t="s">
        <v>3027</v>
      </c>
      <c r="G732" t="s">
        <v>3031</v>
      </c>
      <c r="H732">
        <v>11</v>
      </c>
      <c r="I732" t="s">
        <v>3920</v>
      </c>
    </row>
    <row r="733" spans="1:9" x14ac:dyDescent="0.3">
      <c r="A733" t="s">
        <v>4400</v>
      </c>
      <c r="B733" t="s">
        <v>343</v>
      </c>
      <c r="C733" t="s">
        <v>4401</v>
      </c>
      <c r="D733" t="s">
        <v>3029</v>
      </c>
      <c r="E733" t="s">
        <v>3921</v>
      </c>
      <c r="F733" t="s">
        <v>3027</v>
      </c>
      <c r="G733" t="s">
        <v>3031</v>
      </c>
      <c r="H733">
        <v>12</v>
      </c>
      <c r="I733" t="s">
        <v>3922</v>
      </c>
    </row>
    <row r="734" spans="1:9" x14ac:dyDescent="0.3">
      <c r="A734" t="s">
        <v>4400</v>
      </c>
      <c r="B734" t="s">
        <v>343</v>
      </c>
      <c r="C734" t="s">
        <v>4401</v>
      </c>
      <c r="D734" t="s">
        <v>3029</v>
      </c>
      <c r="E734" t="s">
        <v>3925</v>
      </c>
      <c r="F734" t="s">
        <v>3027</v>
      </c>
      <c r="G734" t="s">
        <v>3031</v>
      </c>
      <c r="H734">
        <v>13</v>
      </c>
      <c r="I734" t="s">
        <v>3926</v>
      </c>
    </row>
    <row r="735" spans="1:9" x14ac:dyDescent="0.3">
      <c r="A735" t="s">
        <v>4400</v>
      </c>
      <c r="B735" t="s">
        <v>343</v>
      </c>
      <c r="C735" t="s">
        <v>4401</v>
      </c>
      <c r="D735" t="s">
        <v>3029</v>
      </c>
      <c r="E735" t="s">
        <v>3927</v>
      </c>
      <c r="F735" t="s">
        <v>3027</v>
      </c>
      <c r="G735" t="s">
        <v>3031</v>
      </c>
      <c r="H735">
        <v>14</v>
      </c>
      <c r="I735" t="s">
        <v>3928</v>
      </c>
    </row>
    <row r="736" spans="1:9" x14ac:dyDescent="0.3">
      <c r="A736" t="s">
        <v>4400</v>
      </c>
      <c r="B736" t="s">
        <v>343</v>
      </c>
      <c r="C736" t="s">
        <v>4401</v>
      </c>
      <c r="D736" t="s">
        <v>3029</v>
      </c>
      <c r="E736" t="s">
        <v>3929</v>
      </c>
      <c r="F736" t="s">
        <v>3027</v>
      </c>
      <c r="G736" t="s">
        <v>3031</v>
      </c>
      <c r="H736">
        <v>15</v>
      </c>
      <c r="I736" t="s">
        <v>3930</v>
      </c>
    </row>
    <row r="737" spans="1:9" x14ac:dyDescent="0.3">
      <c r="A737" t="s">
        <v>4400</v>
      </c>
      <c r="B737" t="s">
        <v>343</v>
      </c>
      <c r="C737" t="s">
        <v>4401</v>
      </c>
      <c r="D737" t="s">
        <v>3029</v>
      </c>
      <c r="E737" t="s">
        <v>3931</v>
      </c>
      <c r="F737" t="s">
        <v>3027</v>
      </c>
      <c r="G737" t="s">
        <v>3031</v>
      </c>
      <c r="H737">
        <v>16</v>
      </c>
      <c r="I737" t="s">
        <v>3932</v>
      </c>
    </row>
    <row r="738" spans="1:9" x14ac:dyDescent="0.3">
      <c r="A738" t="s">
        <v>4400</v>
      </c>
      <c r="B738" t="s">
        <v>343</v>
      </c>
      <c r="C738" t="s">
        <v>4401</v>
      </c>
      <c r="D738" t="s">
        <v>3029</v>
      </c>
      <c r="E738" t="s">
        <v>3933</v>
      </c>
      <c r="F738" t="s">
        <v>3027</v>
      </c>
      <c r="G738" t="s">
        <v>3031</v>
      </c>
      <c r="H738">
        <v>17</v>
      </c>
      <c r="I738" t="s">
        <v>3934</v>
      </c>
    </row>
    <row r="739" spans="1:9" x14ac:dyDescent="0.3">
      <c r="A739" t="s">
        <v>4400</v>
      </c>
      <c r="B739" t="s">
        <v>343</v>
      </c>
      <c r="C739" t="s">
        <v>4401</v>
      </c>
      <c r="D739" t="s">
        <v>3029</v>
      </c>
      <c r="E739" t="s">
        <v>3935</v>
      </c>
      <c r="F739" t="s">
        <v>3027</v>
      </c>
      <c r="G739" t="s">
        <v>3031</v>
      </c>
      <c r="H739">
        <v>18</v>
      </c>
      <c r="I739" t="s">
        <v>3936</v>
      </c>
    </row>
    <row r="740" spans="1:9" x14ac:dyDescent="0.3">
      <c r="A740" t="s">
        <v>4400</v>
      </c>
      <c r="B740" t="s">
        <v>343</v>
      </c>
      <c r="C740" t="s">
        <v>4401</v>
      </c>
      <c r="D740" t="s">
        <v>3029</v>
      </c>
      <c r="E740" t="s">
        <v>3937</v>
      </c>
      <c r="F740" t="s">
        <v>3027</v>
      </c>
      <c r="G740" t="s">
        <v>3031</v>
      </c>
      <c r="H740">
        <v>19</v>
      </c>
      <c r="I740" t="s">
        <v>3938</v>
      </c>
    </row>
    <row r="741" spans="1:9" x14ac:dyDescent="0.3">
      <c r="A741" t="s">
        <v>4400</v>
      </c>
      <c r="B741" t="s">
        <v>343</v>
      </c>
      <c r="C741" t="s">
        <v>4401</v>
      </c>
      <c r="D741" t="s">
        <v>3029</v>
      </c>
      <c r="E741" t="s">
        <v>3939</v>
      </c>
      <c r="F741" t="s">
        <v>3027</v>
      </c>
      <c r="G741" t="s">
        <v>3031</v>
      </c>
      <c r="H741">
        <v>20</v>
      </c>
      <c r="I741" t="s">
        <v>3940</v>
      </c>
    </row>
    <row r="742" spans="1:9" x14ac:dyDescent="0.3">
      <c r="A742" t="s">
        <v>4420</v>
      </c>
      <c r="B742" t="s">
        <v>349</v>
      </c>
      <c r="C742" t="s">
        <v>4421</v>
      </c>
      <c r="D742" t="s">
        <v>3025</v>
      </c>
      <c r="E742" t="s">
        <v>4422</v>
      </c>
      <c r="F742" t="s">
        <v>3027</v>
      </c>
      <c r="G742" t="s">
        <v>3028</v>
      </c>
      <c r="H742">
        <v>1</v>
      </c>
      <c r="I742" t="s">
        <v>4421</v>
      </c>
    </row>
    <row r="743" spans="1:9" x14ac:dyDescent="0.3">
      <c r="A743" t="s">
        <v>4420</v>
      </c>
      <c r="B743" t="s">
        <v>349</v>
      </c>
      <c r="C743" t="s">
        <v>4421</v>
      </c>
      <c r="D743" t="s">
        <v>3029</v>
      </c>
      <c r="E743" t="s">
        <v>4423</v>
      </c>
      <c r="F743" t="s">
        <v>3027</v>
      </c>
      <c r="G743" t="s">
        <v>3031</v>
      </c>
      <c r="H743">
        <v>2</v>
      </c>
      <c r="I743" t="s">
        <v>4424</v>
      </c>
    </row>
    <row r="744" spans="1:9" x14ac:dyDescent="0.3">
      <c r="A744" t="s">
        <v>4420</v>
      </c>
      <c r="B744" t="s">
        <v>349</v>
      </c>
      <c r="C744" t="s">
        <v>4421</v>
      </c>
      <c r="D744" t="s">
        <v>3029</v>
      </c>
      <c r="E744" t="s">
        <v>4425</v>
      </c>
      <c r="F744" t="s">
        <v>3027</v>
      </c>
      <c r="G744" t="s">
        <v>3031</v>
      </c>
      <c r="H744">
        <v>3</v>
      </c>
      <c r="I744" t="s">
        <v>4426</v>
      </c>
    </row>
    <row r="745" spans="1:9" x14ac:dyDescent="0.3">
      <c r="A745" t="s">
        <v>4420</v>
      </c>
      <c r="B745" t="s">
        <v>349</v>
      </c>
      <c r="C745" t="s">
        <v>4421</v>
      </c>
      <c r="D745" t="s">
        <v>3029</v>
      </c>
      <c r="E745" t="s">
        <v>4427</v>
      </c>
      <c r="F745" t="s">
        <v>3027</v>
      </c>
      <c r="G745" t="s">
        <v>3031</v>
      </c>
      <c r="H745">
        <v>4</v>
      </c>
      <c r="I745" t="s">
        <v>4428</v>
      </c>
    </row>
    <row r="746" spans="1:9" x14ac:dyDescent="0.3">
      <c r="A746" t="s">
        <v>4420</v>
      </c>
      <c r="B746" t="s">
        <v>349</v>
      </c>
      <c r="C746" t="s">
        <v>4421</v>
      </c>
      <c r="D746" t="s">
        <v>3029</v>
      </c>
      <c r="E746" t="s">
        <v>4429</v>
      </c>
      <c r="F746" t="s">
        <v>3027</v>
      </c>
      <c r="G746" t="s">
        <v>3031</v>
      </c>
      <c r="H746">
        <v>5</v>
      </c>
      <c r="I746" t="s">
        <v>4430</v>
      </c>
    </row>
    <row r="747" spans="1:9" x14ac:dyDescent="0.3">
      <c r="A747" t="s">
        <v>4420</v>
      </c>
      <c r="B747" t="s">
        <v>349</v>
      </c>
      <c r="C747" t="s">
        <v>4421</v>
      </c>
      <c r="D747" t="s">
        <v>3029</v>
      </c>
      <c r="E747" t="s">
        <v>4431</v>
      </c>
      <c r="F747" t="s">
        <v>3027</v>
      </c>
      <c r="G747" t="s">
        <v>3031</v>
      </c>
      <c r="H747">
        <v>6</v>
      </c>
      <c r="I747" t="s">
        <v>4432</v>
      </c>
    </row>
    <row r="748" spans="1:9" x14ac:dyDescent="0.3">
      <c r="A748" t="s">
        <v>4420</v>
      </c>
      <c r="B748" t="s">
        <v>349</v>
      </c>
      <c r="C748" t="s">
        <v>4421</v>
      </c>
      <c r="D748" t="s">
        <v>3029</v>
      </c>
      <c r="E748" t="s">
        <v>4433</v>
      </c>
      <c r="F748" t="s">
        <v>3027</v>
      </c>
      <c r="G748" t="s">
        <v>3031</v>
      </c>
      <c r="H748">
        <v>7</v>
      </c>
      <c r="I748" t="s">
        <v>4434</v>
      </c>
    </row>
    <row r="749" spans="1:9" x14ac:dyDescent="0.3">
      <c r="A749" t="s">
        <v>4420</v>
      </c>
      <c r="B749" t="s">
        <v>349</v>
      </c>
      <c r="C749" t="s">
        <v>4421</v>
      </c>
      <c r="D749" t="s">
        <v>3029</v>
      </c>
      <c r="E749" t="s">
        <v>4435</v>
      </c>
      <c r="F749" t="s">
        <v>3027</v>
      </c>
      <c r="G749" t="s">
        <v>3031</v>
      </c>
      <c r="H749">
        <v>8</v>
      </c>
      <c r="I749" t="s">
        <v>4436</v>
      </c>
    </row>
    <row r="750" spans="1:9" x14ac:dyDescent="0.3">
      <c r="A750" t="s">
        <v>4420</v>
      </c>
      <c r="B750" t="s">
        <v>349</v>
      </c>
      <c r="C750" t="s">
        <v>4421</v>
      </c>
      <c r="D750" t="s">
        <v>3029</v>
      </c>
      <c r="E750" t="s">
        <v>4437</v>
      </c>
      <c r="F750" t="s">
        <v>3027</v>
      </c>
      <c r="G750" t="s">
        <v>3031</v>
      </c>
      <c r="H750">
        <v>9</v>
      </c>
      <c r="I750" t="s">
        <v>4438</v>
      </c>
    </row>
    <row r="751" spans="1:9" x14ac:dyDescent="0.3">
      <c r="A751" t="s">
        <v>4420</v>
      </c>
      <c r="B751" t="s">
        <v>349</v>
      </c>
      <c r="C751" t="s">
        <v>4421</v>
      </c>
      <c r="D751" t="s">
        <v>3029</v>
      </c>
      <c r="E751" t="s">
        <v>4439</v>
      </c>
      <c r="F751" t="s">
        <v>3027</v>
      </c>
      <c r="G751" t="s">
        <v>3031</v>
      </c>
      <c r="H751">
        <v>10</v>
      </c>
      <c r="I751" t="s">
        <v>4440</v>
      </c>
    </row>
    <row r="752" spans="1:9" x14ac:dyDescent="0.3">
      <c r="A752" t="s">
        <v>4420</v>
      </c>
      <c r="B752" t="s">
        <v>349</v>
      </c>
      <c r="C752" t="s">
        <v>4421</v>
      </c>
      <c r="D752" t="s">
        <v>3029</v>
      </c>
      <c r="E752" t="s">
        <v>4441</v>
      </c>
      <c r="F752" t="s">
        <v>3027</v>
      </c>
      <c r="G752" t="s">
        <v>3031</v>
      </c>
      <c r="H752">
        <v>11</v>
      </c>
      <c r="I752" t="s">
        <v>4442</v>
      </c>
    </row>
    <row r="753" spans="1:9" x14ac:dyDescent="0.3">
      <c r="A753" t="s">
        <v>4420</v>
      </c>
      <c r="B753" t="s">
        <v>349</v>
      </c>
      <c r="C753" t="s">
        <v>4421</v>
      </c>
      <c r="D753" t="s">
        <v>3029</v>
      </c>
      <c r="E753" t="s">
        <v>4443</v>
      </c>
      <c r="F753" t="s">
        <v>3027</v>
      </c>
      <c r="G753" t="s">
        <v>3031</v>
      </c>
      <c r="H753">
        <v>12</v>
      </c>
      <c r="I753" t="s">
        <v>4444</v>
      </c>
    </row>
    <row r="754" spans="1:9" x14ac:dyDescent="0.3">
      <c r="A754" t="s">
        <v>4420</v>
      </c>
      <c r="B754" t="s">
        <v>349</v>
      </c>
      <c r="C754" t="s">
        <v>4421</v>
      </c>
      <c r="D754" t="s">
        <v>3029</v>
      </c>
      <c r="E754" t="s">
        <v>4445</v>
      </c>
      <c r="F754" t="s">
        <v>3027</v>
      </c>
      <c r="G754" t="s">
        <v>3031</v>
      </c>
      <c r="H754">
        <v>13</v>
      </c>
      <c r="I754" t="s">
        <v>4446</v>
      </c>
    </row>
    <row r="755" spans="1:9" x14ac:dyDescent="0.3">
      <c r="A755" t="s">
        <v>4420</v>
      </c>
      <c r="B755" t="s">
        <v>349</v>
      </c>
      <c r="C755" t="s">
        <v>4421</v>
      </c>
      <c r="D755" t="s">
        <v>3029</v>
      </c>
      <c r="E755" t="s">
        <v>4447</v>
      </c>
      <c r="F755" t="s">
        <v>3027</v>
      </c>
      <c r="G755" t="s">
        <v>3031</v>
      </c>
      <c r="H755">
        <v>14</v>
      </c>
      <c r="I755" t="s">
        <v>4448</v>
      </c>
    </row>
    <row r="756" spans="1:9" x14ac:dyDescent="0.3">
      <c r="A756" t="s">
        <v>4420</v>
      </c>
      <c r="B756" t="s">
        <v>349</v>
      </c>
      <c r="C756" t="s">
        <v>4421</v>
      </c>
      <c r="D756" t="s">
        <v>3029</v>
      </c>
      <c r="E756" t="s">
        <v>4449</v>
      </c>
      <c r="F756" t="s">
        <v>3027</v>
      </c>
      <c r="G756" t="s">
        <v>3031</v>
      </c>
      <c r="H756">
        <v>15</v>
      </c>
      <c r="I756" t="s">
        <v>4450</v>
      </c>
    </row>
    <row r="757" spans="1:9" x14ac:dyDescent="0.3">
      <c r="A757" t="s">
        <v>4420</v>
      </c>
      <c r="B757" t="s">
        <v>349</v>
      </c>
      <c r="C757" t="s">
        <v>4421</v>
      </c>
      <c r="D757" t="s">
        <v>3029</v>
      </c>
      <c r="E757" t="s">
        <v>4451</v>
      </c>
      <c r="F757" t="s">
        <v>3027</v>
      </c>
      <c r="G757" t="s">
        <v>3031</v>
      </c>
      <c r="H757">
        <v>16</v>
      </c>
      <c r="I757" t="s">
        <v>4452</v>
      </c>
    </row>
    <row r="758" spans="1:9" x14ac:dyDescent="0.3">
      <c r="A758" t="s">
        <v>4420</v>
      </c>
      <c r="B758" t="s">
        <v>349</v>
      </c>
      <c r="C758" t="s">
        <v>4421</v>
      </c>
      <c r="D758" t="s">
        <v>3029</v>
      </c>
      <c r="E758" t="s">
        <v>4453</v>
      </c>
      <c r="F758" t="s">
        <v>3027</v>
      </c>
      <c r="G758" t="s">
        <v>3031</v>
      </c>
      <c r="H758">
        <v>17</v>
      </c>
      <c r="I758" t="s">
        <v>4454</v>
      </c>
    </row>
    <row r="759" spans="1:9" x14ac:dyDescent="0.3">
      <c r="A759" t="s">
        <v>4420</v>
      </c>
      <c r="B759" t="s">
        <v>349</v>
      </c>
      <c r="C759" t="s">
        <v>4421</v>
      </c>
      <c r="D759" t="s">
        <v>3029</v>
      </c>
      <c r="E759" t="s">
        <v>4455</v>
      </c>
      <c r="F759" t="s">
        <v>3027</v>
      </c>
      <c r="G759" t="s">
        <v>3031</v>
      </c>
      <c r="H759">
        <v>18</v>
      </c>
      <c r="I759" t="s">
        <v>4456</v>
      </c>
    </row>
    <row r="760" spans="1:9" x14ac:dyDescent="0.3">
      <c r="A760" t="s">
        <v>4420</v>
      </c>
      <c r="B760" t="s">
        <v>349</v>
      </c>
      <c r="C760" t="s">
        <v>4421</v>
      </c>
      <c r="D760" t="s">
        <v>3029</v>
      </c>
      <c r="E760" t="s">
        <v>4457</v>
      </c>
      <c r="F760" t="s">
        <v>3027</v>
      </c>
      <c r="G760" t="s">
        <v>3031</v>
      </c>
      <c r="H760">
        <v>19</v>
      </c>
      <c r="I760" t="s">
        <v>4458</v>
      </c>
    </row>
    <row r="761" spans="1:9" x14ac:dyDescent="0.3">
      <c r="A761" t="s">
        <v>4420</v>
      </c>
      <c r="B761" t="s">
        <v>349</v>
      </c>
      <c r="C761" t="s">
        <v>4421</v>
      </c>
      <c r="D761" t="s">
        <v>3029</v>
      </c>
      <c r="E761" t="s">
        <v>4459</v>
      </c>
      <c r="F761" t="s">
        <v>3027</v>
      </c>
      <c r="G761" t="s">
        <v>3031</v>
      </c>
      <c r="H761">
        <v>20</v>
      </c>
      <c r="I761" t="s">
        <v>4460</v>
      </c>
    </row>
    <row r="762" spans="1:9" x14ac:dyDescent="0.3">
      <c r="A762" t="s">
        <v>4461</v>
      </c>
      <c r="B762" t="s">
        <v>356</v>
      </c>
      <c r="C762" t="s">
        <v>4462</v>
      </c>
      <c r="D762" t="s">
        <v>3025</v>
      </c>
      <c r="E762" t="s">
        <v>4463</v>
      </c>
      <c r="F762" t="s">
        <v>3027</v>
      </c>
      <c r="G762" t="s">
        <v>3028</v>
      </c>
      <c r="H762">
        <v>1</v>
      </c>
      <c r="I762" t="s">
        <v>4462</v>
      </c>
    </row>
    <row r="763" spans="1:9" x14ac:dyDescent="0.3">
      <c r="A763" t="s">
        <v>4461</v>
      </c>
      <c r="B763" t="s">
        <v>356</v>
      </c>
      <c r="C763" t="s">
        <v>4462</v>
      </c>
      <c r="D763" t="s">
        <v>3029</v>
      </c>
      <c r="E763" t="s">
        <v>3128</v>
      </c>
      <c r="F763" t="s">
        <v>3027</v>
      </c>
      <c r="G763" t="s">
        <v>3031</v>
      </c>
      <c r="H763">
        <v>2</v>
      </c>
      <c r="I763" t="s">
        <v>4464</v>
      </c>
    </row>
    <row r="764" spans="1:9" x14ac:dyDescent="0.3">
      <c r="A764" t="s">
        <v>4461</v>
      </c>
      <c r="B764" t="s">
        <v>356</v>
      </c>
      <c r="C764" t="s">
        <v>4462</v>
      </c>
      <c r="D764" t="s">
        <v>3029</v>
      </c>
      <c r="E764" t="s">
        <v>4465</v>
      </c>
      <c r="F764" t="s">
        <v>3027</v>
      </c>
      <c r="G764" t="s">
        <v>3031</v>
      </c>
      <c r="H764">
        <v>3</v>
      </c>
      <c r="I764" t="s">
        <v>4466</v>
      </c>
    </row>
    <row r="765" spans="1:9" x14ac:dyDescent="0.3">
      <c r="A765" t="s">
        <v>4461</v>
      </c>
      <c r="B765" t="s">
        <v>356</v>
      </c>
      <c r="C765" t="s">
        <v>4462</v>
      </c>
      <c r="D765" t="s">
        <v>3029</v>
      </c>
      <c r="E765" t="s">
        <v>4467</v>
      </c>
      <c r="F765" t="s">
        <v>3027</v>
      </c>
      <c r="G765" t="s">
        <v>3031</v>
      </c>
      <c r="H765">
        <v>4</v>
      </c>
      <c r="I765" t="s">
        <v>4468</v>
      </c>
    </row>
    <row r="766" spans="1:9" x14ac:dyDescent="0.3">
      <c r="A766" t="s">
        <v>4461</v>
      </c>
      <c r="B766" t="s">
        <v>356</v>
      </c>
      <c r="C766" t="s">
        <v>4462</v>
      </c>
      <c r="D766" t="s">
        <v>3029</v>
      </c>
      <c r="E766" t="s">
        <v>4469</v>
      </c>
      <c r="F766" t="s">
        <v>3027</v>
      </c>
      <c r="G766" t="s">
        <v>3031</v>
      </c>
      <c r="H766">
        <v>5</v>
      </c>
      <c r="I766" t="s">
        <v>4470</v>
      </c>
    </row>
    <row r="767" spans="1:9" x14ac:dyDescent="0.3">
      <c r="A767" t="s">
        <v>4461</v>
      </c>
      <c r="B767" t="s">
        <v>356</v>
      </c>
      <c r="C767" t="s">
        <v>4462</v>
      </c>
      <c r="D767" t="s">
        <v>3029</v>
      </c>
      <c r="E767" t="s">
        <v>4471</v>
      </c>
      <c r="F767" t="s">
        <v>3027</v>
      </c>
      <c r="G767" t="s">
        <v>3031</v>
      </c>
      <c r="H767">
        <v>6</v>
      </c>
      <c r="I767" t="s">
        <v>4472</v>
      </c>
    </row>
    <row r="768" spans="1:9" x14ac:dyDescent="0.3">
      <c r="A768" t="s">
        <v>4461</v>
      </c>
      <c r="B768" t="s">
        <v>356</v>
      </c>
      <c r="C768" t="s">
        <v>4462</v>
      </c>
      <c r="D768" t="s">
        <v>3029</v>
      </c>
      <c r="E768" t="s">
        <v>3242</v>
      </c>
      <c r="F768" t="s">
        <v>3027</v>
      </c>
      <c r="G768" t="s">
        <v>3031</v>
      </c>
      <c r="H768">
        <v>7</v>
      </c>
      <c r="I768" t="s">
        <v>3243</v>
      </c>
    </row>
    <row r="769" spans="1:9" x14ac:dyDescent="0.3">
      <c r="A769" t="s">
        <v>4461</v>
      </c>
      <c r="B769" t="s">
        <v>356</v>
      </c>
      <c r="C769" t="s">
        <v>4462</v>
      </c>
      <c r="D769" t="s">
        <v>3029</v>
      </c>
      <c r="E769" t="s">
        <v>3120</v>
      </c>
      <c r="F769" t="s">
        <v>3027</v>
      </c>
      <c r="G769" t="s">
        <v>3031</v>
      </c>
      <c r="H769">
        <v>8</v>
      </c>
      <c r="I769" t="s">
        <v>3121</v>
      </c>
    </row>
    <row r="770" spans="1:9" x14ac:dyDescent="0.3">
      <c r="A770" t="s">
        <v>4461</v>
      </c>
      <c r="B770" t="s">
        <v>356</v>
      </c>
      <c r="C770" t="s">
        <v>4462</v>
      </c>
      <c r="D770" t="s">
        <v>3029</v>
      </c>
      <c r="E770" t="s">
        <v>4473</v>
      </c>
      <c r="F770" t="s">
        <v>3027</v>
      </c>
      <c r="G770" t="s">
        <v>3031</v>
      </c>
      <c r="H770">
        <v>9</v>
      </c>
      <c r="I770" t="s">
        <v>4474</v>
      </c>
    </row>
    <row r="771" spans="1:9" x14ac:dyDescent="0.3">
      <c r="A771" t="s">
        <v>4461</v>
      </c>
      <c r="B771" t="s">
        <v>356</v>
      </c>
      <c r="C771" t="s">
        <v>4462</v>
      </c>
      <c r="D771" t="s">
        <v>3029</v>
      </c>
      <c r="E771" t="s">
        <v>4475</v>
      </c>
      <c r="F771" t="s">
        <v>3027</v>
      </c>
      <c r="G771" t="s">
        <v>3031</v>
      </c>
      <c r="H771">
        <v>10</v>
      </c>
      <c r="I771" t="s">
        <v>4476</v>
      </c>
    </row>
    <row r="772" spans="1:9" x14ac:dyDescent="0.3">
      <c r="A772" t="s">
        <v>4461</v>
      </c>
      <c r="B772" t="s">
        <v>356</v>
      </c>
      <c r="C772" t="s">
        <v>4462</v>
      </c>
      <c r="D772" t="s">
        <v>3029</v>
      </c>
      <c r="E772" t="s">
        <v>4477</v>
      </c>
      <c r="F772" t="s">
        <v>3027</v>
      </c>
      <c r="G772" t="s">
        <v>3031</v>
      </c>
      <c r="H772">
        <v>11</v>
      </c>
      <c r="I772" t="s">
        <v>4478</v>
      </c>
    </row>
    <row r="773" spans="1:9" x14ac:dyDescent="0.3">
      <c r="A773" t="s">
        <v>4461</v>
      </c>
      <c r="B773" t="s">
        <v>356</v>
      </c>
      <c r="C773" t="s">
        <v>4462</v>
      </c>
      <c r="D773" t="s">
        <v>3029</v>
      </c>
      <c r="E773" t="s">
        <v>4479</v>
      </c>
      <c r="F773" t="s">
        <v>3027</v>
      </c>
      <c r="G773" t="s">
        <v>3031</v>
      </c>
      <c r="H773">
        <v>12</v>
      </c>
      <c r="I773" t="s">
        <v>3432</v>
      </c>
    </row>
    <row r="774" spans="1:9" x14ac:dyDescent="0.3">
      <c r="A774" t="s">
        <v>4461</v>
      </c>
      <c r="B774" t="s">
        <v>356</v>
      </c>
      <c r="C774" t="s">
        <v>4462</v>
      </c>
      <c r="D774" t="s">
        <v>3029</v>
      </c>
      <c r="E774" t="s">
        <v>4480</v>
      </c>
      <c r="F774" t="s">
        <v>3027</v>
      </c>
      <c r="G774" t="s">
        <v>3031</v>
      </c>
      <c r="H774">
        <v>13</v>
      </c>
      <c r="I774" t="s">
        <v>2185</v>
      </c>
    </row>
    <row r="775" spans="1:9" x14ac:dyDescent="0.3">
      <c r="A775" t="s">
        <v>4461</v>
      </c>
      <c r="B775" t="s">
        <v>356</v>
      </c>
      <c r="C775" t="s">
        <v>4462</v>
      </c>
      <c r="D775" t="s">
        <v>3029</v>
      </c>
      <c r="E775" t="s">
        <v>4481</v>
      </c>
      <c r="F775" t="s">
        <v>3027</v>
      </c>
      <c r="G775" t="s">
        <v>3031</v>
      </c>
      <c r="H775">
        <v>14</v>
      </c>
      <c r="I775">
        <v>2001</v>
      </c>
    </row>
    <row r="776" spans="1:9" x14ac:dyDescent="0.3">
      <c r="A776" t="s">
        <v>4461</v>
      </c>
      <c r="B776" t="s">
        <v>356</v>
      </c>
      <c r="C776" t="s">
        <v>4462</v>
      </c>
      <c r="D776" t="s">
        <v>3029</v>
      </c>
      <c r="E776" t="s">
        <v>4482</v>
      </c>
      <c r="F776" t="s">
        <v>3027</v>
      </c>
      <c r="G776" t="s">
        <v>3031</v>
      </c>
      <c r="H776">
        <v>15</v>
      </c>
      <c r="I776">
        <v>2002</v>
      </c>
    </row>
    <row r="777" spans="1:9" x14ac:dyDescent="0.3">
      <c r="A777" t="s">
        <v>4461</v>
      </c>
      <c r="B777" t="s">
        <v>356</v>
      </c>
      <c r="C777" t="s">
        <v>4462</v>
      </c>
      <c r="D777" t="s">
        <v>3029</v>
      </c>
      <c r="E777" t="s">
        <v>4483</v>
      </c>
      <c r="F777" t="s">
        <v>3027</v>
      </c>
      <c r="G777" t="s">
        <v>3031</v>
      </c>
      <c r="H777">
        <v>16</v>
      </c>
      <c r="I777">
        <v>2003</v>
      </c>
    </row>
    <row r="778" spans="1:9" x14ac:dyDescent="0.3">
      <c r="A778" t="s">
        <v>4461</v>
      </c>
      <c r="B778" t="s">
        <v>356</v>
      </c>
      <c r="C778" t="s">
        <v>4462</v>
      </c>
      <c r="D778" t="s">
        <v>3029</v>
      </c>
      <c r="E778" t="s">
        <v>4484</v>
      </c>
      <c r="F778" t="s">
        <v>3027</v>
      </c>
      <c r="G778" t="s">
        <v>3031</v>
      </c>
      <c r="H778">
        <v>17</v>
      </c>
      <c r="I778">
        <v>2004</v>
      </c>
    </row>
    <row r="779" spans="1:9" x14ac:dyDescent="0.3">
      <c r="A779" t="s">
        <v>4461</v>
      </c>
      <c r="B779" t="s">
        <v>356</v>
      </c>
      <c r="C779" t="s">
        <v>4462</v>
      </c>
      <c r="D779" t="s">
        <v>3029</v>
      </c>
      <c r="E779" t="s">
        <v>4485</v>
      </c>
      <c r="F779" t="s">
        <v>3027</v>
      </c>
      <c r="G779" t="s">
        <v>3031</v>
      </c>
      <c r="H779">
        <v>18</v>
      </c>
      <c r="I779">
        <v>2005</v>
      </c>
    </row>
    <row r="780" spans="1:9" x14ac:dyDescent="0.3">
      <c r="A780" t="s">
        <v>4461</v>
      </c>
      <c r="B780" t="s">
        <v>356</v>
      </c>
      <c r="C780" t="s">
        <v>4462</v>
      </c>
      <c r="D780" t="s">
        <v>3029</v>
      </c>
      <c r="E780" t="s">
        <v>4486</v>
      </c>
      <c r="F780" t="s">
        <v>3027</v>
      </c>
      <c r="G780" t="s">
        <v>3031</v>
      </c>
      <c r="H780">
        <v>19</v>
      </c>
      <c r="I780">
        <v>2006</v>
      </c>
    </row>
    <row r="781" spans="1:9" x14ac:dyDescent="0.3">
      <c r="A781" t="s">
        <v>4461</v>
      </c>
      <c r="B781" t="s">
        <v>356</v>
      </c>
      <c r="C781" t="s">
        <v>4462</v>
      </c>
      <c r="D781" t="s">
        <v>3029</v>
      </c>
      <c r="E781" t="s">
        <v>4487</v>
      </c>
      <c r="F781" t="s">
        <v>3027</v>
      </c>
      <c r="G781" t="s">
        <v>3031</v>
      </c>
      <c r="H781">
        <v>20</v>
      </c>
      <c r="I781">
        <v>2007</v>
      </c>
    </row>
    <row r="782" spans="1:9" x14ac:dyDescent="0.3">
      <c r="A782" t="s">
        <v>4488</v>
      </c>
      <c r="B782" t="s">
        <v>362</v>
      </c>
      <c r="C782" t="s">
        <v>362</v>
      </c>
      <c r="D782" t="s">
        <v>3025</v>
      </c>
      <c r="E782" t="s">
        <v>4489</v>
      </c>
      <c r="F782" t="s">
        <v>3027</v>
      </c>
      <c r="G782" t="s">
        <v>3028</v>
      </c>
      <c r="H782">
        <v>1</v>
      </c>
      <c r="I782" t="s">
        <v>362</v>
      </c>
    </row>
    <row r="783" spans="1:9" x14ac:dyDescent="0.3">
      <c r="A783" t="s">
        <v>4488</v>
      </c>
      <c r="B783" t="s">
        <v>362</v>
      </c>
      <c r="C783" t="s">
        <v>362</v>
      </c>
      <c r="D783" t="s">
        <v>3029</v>
      </c>
      <c r="E783" t="s">
        <v>4490</v>
      </c>
      <c r="F783" t="s">
        <v>3027</v>
      </c>
      <c r="G783" t="s">
        <v>3031</v>
      </c>
      <c r="H783">
        <v>2</v>
      </c>
      <c r="I783" t="s">
        <v>4491</v>
      </c>
    </row>
    <row r="784" spans="1:9" x14ac:dyDescent="0.3">
      <c r="A784" t="s">
        <v>4488</v>
      </c>
      <c r="B784" t="s">
        <v>362</v>
      </c>
      <c r="C784" t="s">
        <v>362</v>
      </c>
      <c r="D784" t="s">
        <v>3029</v>
      </c>
      <c r="E784" t="s">
        <v>4492</v>
      </c>
      <c r="F784" t="s">
        <v>3027</v>
      </c>
      <c r="G784" t="s">
        <v>3031</v>
      </c>
      <c r="H784">
        <v>3</v>
      </c>
      <c r="I784" t="s">
        <v>4493</v>
      </c>
    </row>
    <row r="785" spans="1:9" x14ac:dyDescent="0.3">
      <c r="A785" t="s">
        <v>4488</v>
      </c>
      <c r="B785" t="s">
        <v>362</v>
      </c>
      <c r="C785" t="s">
        <v>362</v>
      </c>
      <c r="D785" t="s">
        <v>3029</v>
      </c>
      <c r="E785" t="s">
        <v>3517</v>
      </c>
      <c r="F785" t="s">
        <v>3027</v>
      </c>
      <c r="G785" t="s">
        <v>3031</v>
      </c>
      <c r="H785">
        <v>4</v>
      </c>
      <c r="I785" t="s">
        <v>3518</v>
      </c>
    </row>
    <row r="786" spans="1:9" x14ac:dyDescent="0.3">
      <c r="A786" t="s">
        <v>4488</v>
      </c>
      <c r="B786" t="s">
        <v>362</v>
      </c>
      <c r="C786" t="s">
        <v>362</v>
      </c>
      <c r="D786" t="s">
        <v>3029</v>
      </c>
      <c r="E786" t="s">
        <v>4494</v>
      </c>
      <c r="F786" t="s">
        <v>3027</v>
      </c>
      <c r="G786" t="s">
        <v>3031</v>
      </c>
      <c r="H786">
        <v>5</v>
      </c>
      <c r="I786" t="s">
        <v>4495</v>
      </c>
    </row>
    <row r="787" spans="1:9" x14ac:dyDescent="0.3">
      <c r="A787" t="s">
        <v>4488</v>
      </c>
      <c r="B787" t="s">
        <v>362</v>
      </c>
      <c r="C787" t="s">
        <v>362</v>
      </c>
      <c r="D787" t="s">
        <v>3029</v>
      </c>
      <c r="E787" t="s">
        <v>4114</v>
      </c>
      <c r="F787" t="s">
        <v>3027</v>
      </c>
      <c r="G787" t="s">
        <v>3031</v>
      </c>
      <c r="H787">
        <v>6</v>
      </c>
      <c r="I787" t="s">
        <v>4115</v>
      </c>
    </row>
    <row r="788" spans="1:9" x14ac:dyDescent="0.3">
      <c r="A788" t="s">
        <v>4488</v>
      </c>
      <c r="B788" t="s">
        <v>362</v>
      </c>
      <c r="C788" t="s">
        <v>362</v>
      </c>
      <c r="D788" t="s">
        <v>3029</v>
      </c>
      <c r="E788" t="s">
        <v>4496</v>
      </c>
      <c r="F788" t="s">
        <v>3027</v>
      </c>
      <c r="G788" t="s">
        <v>3031</v>
      </c>
      <c r="H788">
        <v>7</v>
      </c>
      <c r="I788" t="s">
        <v>4497</v>
      </c>
    </row>
    <row r="789" spans="1:9" x14ac:dyDescent="0.3">
      <c r="A789" t="s">
        <v>4488</v>
      </c>
      <c r="B789" t="s">
        <v>362</v>
      </c>
      <c r="C789" t="s">
        <v>362</v>
      </c>
      <c r="D789" t="s">
        <v>3029</v>
      </c>
      <c r="E789" t="s">
        <v>4498</v>
      </c>
      <c r="F789" t="s">
        <v>3027</v>
      </c>
      <c r="G789" t="s">
        <v>3031</v>
      </c>
      <c r="H789">
        <v>8</v>
      </c>
      <c r="I789" t="s">
        <v>4499</v>
      </c>
    </row>
    <row r="790" spans="1:9" x14ac:dyDescent="0.3">
      <c r="A790" t="s">
        <v>4488</v>
      </c>
      <c r="B790" t="s">
        <v>362</v>
      </c>
      <c r="C790" t="s">
        <v>362</v>
      </c>
      <c r="D790" t="s">
        <v>3029</v>
      </c>
      <c r="E790" t="s">
        <v>4500</v>
      </c>
      <c r="F790" t="s">
        <v>3027</v>
      </c>
      <c r="G790" t="s">
        <v>3031</v>
      </c>
      <c r="H790">
        <v>9</v>
      </c>
      <c r="I790" t="s">
        <v>4501</v>
      </c>
    </row>
    <row r="791" spans="1:9" x14ac:dyDescent="0.3">
      <c r="A791" t="s">
        <v>4488</v>
      </c>
      <c r="B791" t="s">
        <v>362</v>
      </c>
      <c r="C791" t="s">
        <v>362</v>
      </c>
      <c r="D791" t="s">
        <v>3029</v>
      </c>
      <c r="E791" t="s">
        <v>4502</v>
      </c>
      <c r="F791" t="s">
        <v>3027</v>
      </c>
      <c r="G791" t="s">
        <v>3031</v>
      </c>
      <c r="H791">
        <v>10</v>
      </c>
      <c r="I791" t="s">
        <v>4503</v>
      </c>
    </row>
    <row r="792" spans="1:9" x14ac:dyDescent="0.3">
      <c r="A792" t="s">
        <v>4488</v>
      </c>
      <c r="B792" t="s">
        <v>362</v>
      </c>
      <c r="C792" t="s">
        <v>362</v>
      </c>
      <c r="D792" t="s">
        <v>3029</v>
      </c>
      <c r="E792" t="s">
        <v>4504</v>
      </c>
      <c r="F792" t="s">
        <v>3027</v>
      </c>
      <c r="G792" t="s">
        <v>3031</v>
      </c>
      <c r="H792">
        <v>11</v>
      </c>
      <c r="I792" t="s">
        <v>4505</v>
      </c>
    </row>
    <row r="793" spans="1:9" x14ac:dyDescent="0.3">
      <c r="A793" t="s">
        <v>4488</v>
      </c>
      <c r="B793" t="s">
        <v>362</v>
      </c>
      <c r="C793" t="s">
        <v>362</v>
      </c>
      <c r="D793" t="s">
        <v>3029</v>
      </c>
      <c r="E793" t="s">
        <v>4506</v>
      </c>
      <c r="F793" t="s">
        <v>3027</v>
      </c>
      <c r="G793" t="s">
        <v>3031</v>
      </c>
      <c r="H793">
        <v>12</v>
      </c>
      <c r="I793" t="s">
        <v>4507</v>
      </c>
    </row>
    <row r="794" spans="1:9" x14ac:dyDescent="0.3">
      <c r="A794" t="s">
        <v>4488</v>
      </c>
      <c r="B794" t="s">
        <v>362</v>
      </c>
      <c r="C794" t="s">
        <v>362</v>
      </c>
      <c r="D794" t="s">
        <v>3029</v>
      </c>
      <c r="E794" t="s">
        <v>4508</v>
      </c>
      <c r="F794" t="s">
        <v>3027</v>
      </c>
      <c r="G794" t="s">
        <v>3031</v>
      </c>
      <c r="H794">
        <v>13</v>
      </c>
      <c r="I794" t="s">
        <v>4509</v>
      </c>
    </row>
    <row r="795" spans="1:9" x14ac:dyDescent="0.3">
      <c r="A795" t="s">
        <v>4488</v>
      </c>
      <c r="B795" t="s">
        <v>362</v>
      </c>
      <c r="C795" t="s">
        <v>362</v>
      </c>
      <c r="D795" t="s">
        <v>3029</v>
      </c>
      <c r="E795" t="s">
        <v>4510</v>
      </c>
      <c r="F795" t="s">
        <v>3027</v>
      </c>
      <c r="G795" t="s">
        <v>3031</v>
      </c>
      <c r="H795">
        <v>14</v>
      </c>
      <c r="I795" t="s">
        <v>4511</v>
      </c>
    </row>
    <row r="796" spans="1:9" x14ac:dyDescent="0.3">
      <c r="A796" t="s">
        <v>4488</v>
      </c>
      <c r="B796" t="s">
        <v>362</v>
      </c>
      <c r="C796" t="s">
        <v>362</v>
      </c>
      <c r="D796" t="s">
        <v>3029</v>
      </c>
      <c r="E796" t="s">
        <v>4512</v>
      </c>
      <c r="F796" t="s">
        <v>3027</v>
      </c>
      <c r="G796" t="s">
        <v>3031</v>
      </c>
      <c r="H796">
        <v>15</v>
      </c>
      <c r="I796" t="s">
        <v>4513</v>
      </c>
    </row>
    <row r="797" spans="1:9" x14ac:dyDescent="0.3">
      <c r="A797" t="s">
        <v>4488</v>
      </c>
      <c r="B797" t="s">
        <v>362</v>
      </c>
      <c r="C797" t="s">
        <v>362</v>
      </c>
      <c r="D797" t="s">
        <v>3029</v>
      </c>
      <c r="E797" t="s">
        <v>4514</v>
      </c>
      <c r="F797" t="s">
        <v>3027</v>
      </c>
      <c r="G797" t="s">
        <v>3031</v>
      </c>
      <c r="H797">
        <v>16</v>
      </c>
      <c r="I797" t="s">
        <v>4515</v>
      </c>
    </row>
    <row r="798" spans="1:9" x14ac:dyDescent="0.3">
      <c r="A798" t="s">
        <v>4488</v>
      </c>
      <c r="B798" t="s">
        <v>362</v>
      </c>
      <c r="C798" t="s">
        <v>362</v>
      </c>
      <c r="D798" t="s">
        <v>3029</v>
      </c>
      <c r="E798" t="s">
        <v>4516</v>
      </c>
      <c r="F798" t="s">
        <v>3027</v>
      </c>
      <c r="G798" t="s">
        <v>3031</v>
      </c>
      <c r="H798">
        <v>17</v>
      </c>
      <c r="I798" t="s">
        <v>4517</v>
      </c>
    </row>
    <row r="799" spans="1:9" x14ac:dyDescent="0.3">
      <c r="A799" t="s">
        <v>4488</v>
      </c>
      <c r="B799" t="s">
        <v>362</v>
      </c>
      <c r="C799" t="s">
        <v>362</v>
      </c>
      <c r="D799" t="s">
        <v>3029</v>
      </c>
      <c r="E799" t="s">
        <v>3118</v>
      </c>
      <c r="F799" t="s">
        <v>3027</v>
      </c>
      <c r="G799" t="s">
        <v>3031</v>
      </c>
      <c r="H799">
        <v>18</v>
      </c>
      <c r="I799" t="s">
        <v>24</v>
      </c>
    </row>
    <row r="800" spans="1:9" x14ac:dyDescent="0.3">
      <c r="A800" t="s">
        <v>4488</v>
      </c>
      <c r="B800" t="s">
        <v>362</v>
      </c>
      <c r="C800" t="s">
        <v>362</v>
      </c>
      <c r="D800" t="s">
        <v>3029</v>
      </c>
      <c r="E800" t="s">
        <v>4518</v>
      </c>
      <c r="F800" t="s">
        <v>3027</v>
      </c>
      <c r="G800" t="s">
        <v>3031</v>
      </c>
      <c r="H800">
        <v>19</v>
      </c>
      <c r="I800" t="s">
        <v>4519</v>
      </c>
    </row>
    <row r="801" spans="1:9" x14ac:dyDescent="0.3">
      <c r="A801" t="s">
        <v>4488</v>
      </c>
      <c r="B801" t="s">
        <v>362</v>
      </c>
      <c r="C801" t="s">
        <v>362</v>
      </c>
      <c r="D801" t="s">
        <v>3029</v>
      </c>
      <c r="E801" t="s">
        <v>4520</v>
      </c>
      <c r="F801" t="s">
        <v>3027</v>
      </c>
      <c r="G801" t="s">
        <v>3031</v>
      </c>
      <c r="H801">
        <v>20</v>
      </c>
      <c r="I801" t="s">
        <v>4521</v>
      </c>
    </row>
    <row r="802" spans="1:9" x14ac:dyDescent="0.3">
      <c r="A802" t="s">
        <v>4522</v>
      </c>
      <c r="B802" t="s">
        <v>368</v>
      </c>
      <c r="C802" t="s">
        <v>368</v>
      </c>
      <c r="D802" t="s">
        <v>3025</v>
      </c>
      <c r="E802" t="s">
        <v>4523</v>
      </c>
      <c r="F802" t="s">
        <v>3027</v>
      </c>
      <c r="G802" t="s">
        <v>3028</v>
      </c>
      <c r="H802">
        <v>1</v>
      </c>
      <c r="I802" t="s">
        <v>368</v>
      </c>
    </row>
    <row r="803" spans="1:9" x14ac:dyDescent="0.3">
      <c r="A803" t="s">
        <v>4522</v>
      </c>
      <c r="B803" t="s">
        <v>368</v>
      </c>
      <c r="C803" t="s">
        <v>368</v>
      </c>
      <c r="D803" t="s">
        <v>3029</v>
      </c>
      <c r="E803" t="s">
        <v>4524</v>
      </c>
      <c r="F803" t="s">
        <v>3027</v>
      </c>
      <c r="G803" t="s">
        <v>3031</v>
      </c>
      <c r="H803">
        <v>2</v>
      </c>
      <c r="I803" t="s">
        <v>4525</v>
      </c>
    </row>
    <row r="804" spans="1:9" x14ac:dyDescent="0.3">
      <c r="A804" t="s">
        <v>4522</v>
      </c>
      <c r="B804" t="s">
        <v>368</v>
      </c>
      <c r="C804" t="s">
        <v>368</v>
      </c>
      <c r="D804" t="s">
        <v>3029</v>
      </c>
      <c r="E804" t="s">
        <v>4526</v>
      </c>
      <c r="F804" t="s">
        <v>3027</v>
      </c>
      <c r="G804" t="s">
        <v>3031</v>
      </c>
      <c r="H804">
        <v>3</v>
      </c>
      <c r="I804" t="s">
        <v>4527</v>
      </c>
    </row>
    <row r="805" spans="1:9" x14ac:dyDescent="0.3">
      <c r="A805" t="s">
        <v>4522</v>
      </c>
      <c r="B805" t="s">
        <v>368</v>
      </c>
      <c r="C805" t="s">
        <v>368</v>
      </c>
      <c r="D805" t="s">
        <v>3029</v>
      </c>
      <c r="E805" t="s">
        <v>3242</v>
      </c>
      <c r="F805" t="s">
        <v>3027</v>
      </c>
      <c r="G805" t="s">
        <v>3031</v>
      </c>
      <c r="H805">
        <v>4</v>
      </c>
      <c r="I805" t="s">
        <v>3243</v>
      </c>
    </row>
    <row r="806" spans="1:9" x14ac:dyDescent="0.3">
      <c r="A806" t="s">
        <v>4522</v>
      </c>
      <c r="B806" t="s">
        <v>368</v>
      </c>
      <c r="C806" t="s">
        <v>368</v>
      </c>
      <c r="D806" t="s">
        <v>3029</v>
      </c>
      <c r="E806" t="s">
        <v>3084</v>
      </c>
      <c r="F806" t="s">
        <v>3027</v>
      </c>
      <c r="G806" t="s">
        <v>3031</v>
      </c>
      <c r="H806">
        <v>5</v>
      </c>
      <c r="I806" t="s">
        <v>3085</v>
      </c>
    </row>
    <row r="807" spans="1:9" x14ac:dyDescent="0.3">
      <c r="A807" t="s">
        <v>4522</v>
      </c>
      <c r="B807" t="s">
        <v>368</v>
      </c>
      <c r="C807" t="s">
        <v>368</v>
      </c>
      <c r="D807" t="s">
        <v>3029</v>
      </c>
      <c r="E807" t="s">
        <v>4528</v>
      </c>
      <c r="F807" t="s">
        <v>3027</v>
      </c>
      <c r="G807" t="s">
        <v>3031</v>
      </c>
      <c r="H807">
        <v>6</v>
      </c>
      <c r="I807" t="s">
        <v>4529</v>
      </c>
    </row>
    <row r="808" spans="1:9" x14ac:dyDescent="0.3">
      <c r="A808" t="s">
        <v>4522</v>
      </c>
      <c r="B808" t="s">
        <v>368</v>
      </c>
      <c r="C808" t="s">
        <v>368</v>
      </c>
      <c r="D808" t="s">
        <v>3029</v>
      </c>
      <c r="E808" t="s">
        <v>4530</v>
      </c>
      <c r="F808" t="s">
        <v>3027</v>
      </c>
      <c r="G808" t="s">
        <v>3031</v>
      </c>
      <c r="H808">
        <v>7</v>
      </c>
      <c r="I808" t="s">
        <v>4531</v>
      </c>
    </row>
    <row r="809" spans="1:9" x14ac:dyDescent="0.3">
      <c r="A809" t="s">
        <v>4522</v>
      </c>
      <c r="B809" t="s">
        <v>368</v>
      </c>
      <c r="C809" t="s">
        <v>368</v>
      </c>
      <c r="D809" t="s">
        <v>3029</v>
      </c>
      <c r="E809" t="s">
        <v>4060</v>
      </c>
      <c r="F809" t="s">
        <v>3027</v>
      </c>
      <c r="G809" t="s">
        <v>3031</v>
      </c>
      <c r="H809">
        <v>8</v>
      </c>
      <c r="I809" t="s">
        <v>4061</v>
      </c>
    </row>
    <row r="810" spans="1:9" x14ac:dyDescent="0.3">
      <c r="A810" t="s">
        <v>4522</v>
      </c>
      <c r="B810" t="s">
        <v>368</v>
      </c>
      <c r="C810" t="s">
        <v>368</v>
      </c>
      <c r="D810" t="s">
        <v>3029</v>
      </c>
      <c r="E810" t="s">
        <v>4532</v>
      </c>
      <c r="F810" t="s">
        <v>3027</v>
      </c>
      <c r="G810" t="s">
        <v>3031</v>
      </c>
      <c r="H810">
        <v>9</v>
      </c>
      <c r="I810" t="s">
        <v>4533</v>
      </c>
    </row>
    <row r="811" spans="1:9" x14ac:dyDescent="0.3">
      <c r="A811" t="s">
        <v>4522</v>
      </c>
      <c r="B811" t="s">
        <v>368</v>
      </c>
      <c r="C811" t="s">
        <v>368</v>
      </c>
      <c r="D811" t="s">
        <v>3029</v>
      </c>
      <c r="E811" t="s">
        <v>4534</v>
      </c>
      <c r="F811" t="s">
        <v>3027</v>
      </c>
      <c r="G811" t="s">
        <v>3031</v>
      </c>
      <c r="H811">
        <v>10</v>
      </c>
      <c r="I811" t="s">
        <v>4535</v>
      </c>
    </row>
    <row r="812" spans="1:9" x14ac:dyDescent="0.3">
      <c r="A812" t="s">
        <v>4522</v>
      </c>
      <c r="B812" t="s">
        <v>368</v>
      </c>
      <c r="C812" t="s">
        <v>368</v>
      </c>
      <c r="D812" t="s">
        <v>3029</v>
      </c>
      <c r="E812" t="s">
        <v>3252</v>
      </c>
      <c r="F812" t="s">
        <v>3027</v>
      </c>
      <c r="G812" t="s">
        <v>3031</v>
      </c>
      <c r="H812">
        <v>11</v>
      </c>
      <c r="I812" t="s">
        <v>4536</v>
      </c>
    </row>
    <row r="813" spans="1:9" x14ac:dyDescent="0.3">
      <c r="A813" t="s">
        <v>4522</v>
      </c>
      <c r="B813" t="s">
        <v>368</v>
      </c>
      <c r="C813" t="s">
        <v>368</v>
      </c>
      <c r="D813" t="s">
        <v>3029</v>
      </c>
      <c r="E813" t="s">
        <v>4537</v>
      </c>
      <c r="F813" t="s">
        <v>3027</v>
      </c>
      <c r="G813" t="s">
        <v>3031</v>
      </c>
      <c r="H813">
        <v>12</v>
      </c>
      <c r="I813" t="s">
        <v>4538</v>
      </c>
    </row>
    <row r="814" spans="1:9" x14ac:dyDescent="0.3">
      <c r="A814" t="s">
        <v>4522</v>
      </c>
      <c r="B814" t="s">
        <v>368</v>
      </c>
      <c r="C814" t="s">
        <v>368</v>
      </c>
      <c r="D814" t="s">
        <v>3029</v>
      </c>
      <c r="E814" t="s">
        <v>4539</v>
      </c>
      <c r="F814" t="s">
        <v>3027</v>
      </c>
      <c r="G814" t="s">
        <v>3031</v>
      </c>
      <c r="H814">
        <v>13</v>
      </c>
      <c r="I814" t="s">
        <v>4540</v>
      </c>
    </row>
    <row r="815" spans="1:9" x14ac:dyDescent="0.3">
      <c r="A815" t="s">
        <v>4522</v>
      </c>
      <c r="B815" t="s">
        <v>368</v>
      </c>
      <c r="C815" t="s">
        <v>368</v>
      </c>
      <c r="D815" t="s">
        <v>3029</v>
      </c>
      <c r="E815" t="s">
        <v>4541</v>
      </c>
      <c r="F815" t="s">
        <v>3027</v>
      </c>
      <c r="G815" t="s">
        <v>3031</v>
      </c>
      <c r="H815">
        <v>14</v>
      </c>
      <c r="I815" t="s">
        <v>4542</v>
      </c>
    </row>
    <row r="816" spans="1:9" x14ac:dyDescent="0.3">
      <c r="A816" t="s">
        <v>4522</v>
      </c>
      <c r="B816" t="s">
        <v>368</v>
      </c>
      <c r="C816" t="s">
        <v>368</v>
      </c>
      <c r="D816" t="s">
        <v>3029</v>
      </c>
      <c r="E816" t="s">
        <v>4543</v>
      </c>
      <c r="F816" t="s">
        <v>3027</v>
      </c>
      <c r="G816" t="s">
        <v>3031</v>
      </c>
      <c r="H816">
        <v>15</v>
      </c>
      <c r="I816" t="s">
        <v>4544</v>
      </c>
    </row>
    <row r="817" spans="1:9" x14ac:dyDescent="0.3">
      <c r="A817" t="s">
        <v>4522</v>
      </c>
      <c r="B817" t="s">
        <v>368</v>
      </c>
      <c r="C817" t="s">
        <v>368</v>
      </c>
      <c r="D817" t="s">
        <v>3029</v>
      </c>
      <c r="E817" t="s">
        <v>4545</v>
      </c>
      <c r="F817" t="s">
        <v>3027</v>
      </c>
      <c r="G817" t="s">
        <v>3031</v>
      </c>
      <c r="H817">
        <v>16</v>
      </c>
      <c r="I817" t="s">
        <v>4546</v>
      </c>
    </row>
    <row r="818" spans="1:9" x14ac:dyDescent="0.3">
      <c r="A818" t="s">
        <v>4522</v>
      </c>
      <c r="B818" t="s">
        <v>368</v>
      </c>
      <c r="C818" t="s">
        <v>368</v>
      </c>
      <c r="D818" t="s">
        <v>3029</v>
      </c>
      <c r="E818" t="s">
        <v>4547</v>
      </c>
      <c r="F818" t="s">
        <v>3027</v>
      </c>
      <c r="G818" t="s">
        <v>3031</v>
      </c>
      <c r="H818">
        <v>17</v>
      </c>
      <c r="I818" t="s">
        <v>4548</v>
      </c>
    </row>
    <row r="819" spans="1:9" x14ac:dyDescent="0.3">
      <c r="A819" t="s">
        <v>4522</v>
      </c>
      <c r="B819" t="s">
        <v>368</v>
      </c>
      <c r="C819" t="s">
        <v>368</v>
      </c>
      <c r="D819" t="s">
        <v>3029</v>
      </c>
      <c r="E819" t="s">
        <v>4549</v>
      </c>
      <c r="F819" t="s">
        <v>3027</v>
      </c>
      <c r="G819" t="s">
        <v>3031</v>
      </c>
      <c r="H819">
        <v>18</v>
      </c>
      <c r="I819" t="s">
        <v>4550</v>
      </c>
    </row>
    <row r="820" spans="1:9" x14ac:dyDescent="0.3">
      <c r="A820" t="s">
        <v>4522</v>
      </c>
      <c r="B820" t="s">
        <v>368</v>
      </c>
      <c r="C820" t="s">
        <v>368</v>
      </c>
      <c r="D820" t="s">
        <v>3029</v>
      </c>
      <c r="E820" t="s">
        <v>4551</v>
      </c>
      <c r="F820" t="s">
        <v>3027</v>
      </c>
      <c r="G820" t="s">
        <v>3031</v>
      </c>
      <c r="H820">
        <v>19</v>
      </c>
      <c r="I820" t="s">
        <v>4552</v>
      </c>
    </row>
    <row r="821" spans="1:9" x14ac:dyDescent="0.3">
      <c r="A821" t="s">
        <v>4522</v>
      </c>
      <c r="B821" t="s">
        <v>368</v>
      </c>
      <c r="C821" t="s">
        <v>368</v>
      </c>
      <c r="D821" t="s">
        <v>3029</v>
      </c>
      <c r="E821" t="s">
        <v>4553</v>
      </c>
      <c r="F821" t="s">
        <v>3027</v>
      </c>
      <c r="G821" t="s">
        <v>3031</v>
      </c>
      <c r="H821">
        <v>20</v>
      </c>
      <c r="I821" t="s">
        <v>4554</v>
      </c>
    </row>
    <row r="822" spans="1:9" x14ac:dyDescent="0.3">
      <c r="A822" t="s">
        <v>4555</v>
      </c>
      <c r="B822" t="s">
        <v>375</v>
      </c>
      <c r="C822" t="s">
        <v>375</v>
      </c>
      <c r="D822" t="s">
        <v>3025</v>
      </c>
      <c r="E822" t="s">
        <v>4556</v>
      </c>
      <c r="F822" t="s">
        <v>3027</v>
      </c>
      <c r="G822" t="s">
        <v>3028</v>
      </c>
      <c r="H822">
        <v>1</v>
      </c>
      <c r="I822" t="s">
        <v>375</v>
      </c>
    </row>
    <row r="823" spans="1:9" x14ac:dyDescent="0.3">
      <c r="A823" t="s">
        <v>4555</v>
      </c>
      <c r="B823" t="s">
        <v>375</v>
      </c>
      <c r="C823" t="s">
        <v>375</v>
      </c>
      <c r="D823" t="s">
        <v>3029</v>
      </c>
      <c r="E823" t="s">
        <v>4557</v>
      </c>
      <c r="F823" t="s">
        <v>3027</v>
      </c>
      <c r="G823" t="s">
        <v>3031</v>
      </c>
      <c r="H823">
        <v>2</v>
      </c>
      <c r="I823" t="s">
        <v>4558</v>
      </c>
    </row>
    <row r="824" spans="1:9" x14ac:dyDescent="0.3">
      <c r="A824" t="s">
        <v>4555</v>
      </c>
      <c r="B824" t="s">
        <v>375</v>
      </c>
      <c r="C824" t="s">
        <v>375</v>
      </c>
      <c r="D824" t="s">
        <v>3029</v>
      </c>
      <c r="E824" t="s">
        <v>4559</v>
      </c>
      <c r="F824" t="s">
        <v>3027</v>
      </c>
      <c r="G824" t="s">
        <v>3031</v>
      </c>
      <c r="H824">
        <v>3</v>
      </c>
      <c r="I824" t="s">
        <v>4560</v>
      </c>
    </row>
    <row r="825" spans="1:9" x14ac:dyDescent="0.3">
      <c r="A825" t="s">
        <v>4555</v>
      </c>
      <c r="B825" t="s">
        <v>375</v>
      </c>
      <c r="C825" t="s">
        <v>375</v>
      </c>
      <c r="D825" t="s">
        <v>3029</v>
      </c>
      <c r="E825" t="s">
        <v>4561</v>
      </c>
      <c r="F825" t="s">
        <v>3027</v>
      </c>
      <c r="G825" t="s">
        <v>3031</v>
      </c>
      <c r="H825">
        <v>4</v>
      </c>
      <c r="I825" t="s">
        <v>4562</v>
      </c>
    </row>
    <row r="826" spans="1:9" x14ac:dyDescent="0.3">
      <c r="A826" t="s">
        <v>4555</v>
      </c>
      <c r="B826" t="s">
        <v>375</v>
      </c>
      <c r="C826" t="s">
        <v>375</v>
      </c>
      <c r="D826" t="s">
        <v>3029</v>
      </c>
      <c r="E826" t="s">
        <v>4563</v>
      </c>
      <c r="F826" t="s">
        <v>3027</v>
      </c>
      <c r="G826" t="s">
        <v>3031</v>
      </c>
      <c r="H826">
        <v>5</v>
      </c>
      <c r="I826" t="s">
        <v>4564</v>
      </c>
    </row>
    <row r="827" spans="1:9" x14ac:dyDescent="0.3">
      <c r="A827" t="s">
        <v>4555</v>
      </c>
      <c r="B827" t="s">
        <v>375</v>
      </c>
      <c r="C827" t="s">
        <v>375</v>
      </c>
      <c r="D827" t="s">
        <v>3029</v>
      </c>
      <c r="E827" t="s">
        <v>4565</v>
      </c>
      <c r="F827" t="s">
        <v>3027</v>
      </c>
      <c r="G827" t="s">
        <v>3031</v>
      </c>
      <c r="H827">
        <v>6</v>
      </c>
      <c r="I827" t="s">
        <v>4566</v>
      </c>
    </row>
    <row r="828" spans="1:9" x14ac:dyDescent="0.3">
      <c r="A828" t="s">
        <v>4555</v>
      </c>
      <c r="B828" t="s">
        <v>375</v>
      </c>
      <c r="C828" t="s">
        <v>375</v>
      </c>
      <c r="D828" t="s">
        <v>3029</v>
      </c>
      <c r="E828" t="s">
        <v>4567</v>
      </c>
      <c r="F828" t="s">
        <v>3027</v>
      </c>
      <c r="G828" t="s">
        <v>3031</v>
      </c>
      <c r="H828">
        <v>7</v>
      </c>
      <c r="I828" t="s">
        <v>4568</v>
      </c>
    </row>
    <row r="829" spans="1:9" x14ac:dyDescent="0.3">
      <c r="A829" t="s">
        <v>4555</v>
      </c>
      <c r="B829" t="s">
        <v>375</v>
      </c>
      <c r="C829" t="s">
        <v>375</v>
      </c>
      <c r="D829" t="s">
        <v>3029</v>
      </c>
      <c r="E829" t="s">
        <v>3240</v>
      </c>
      <c r="F829" t="s">
        <v>3027</v>
      </c>
      <c r="G829" t="s">
        <v>3031</v>
      </c>
      <c r="H829">
        <v>8</v>
      </c>
      <c r="I829" t="s">
        <v>4569</v>
      </c>
    </row>
    <row r="830" spans="1:9" x14ac:dyDescent="0.3">
      <c r="A830" t="s">
        <v>4555</v>
      </c>
      <c r="B830" t="s">
        <v>375</v>
      </c>
      <c r="C830" t="s">
        <v>375</v>
      </c>
      <c r="D830" t="s">
        <v>3029</v>
      </c>
      <c r="E830" t="s">
        <v>4570</v>
      </c>
      <c r="F830" t="s">
        <v>3027</v>
      </c>
      <c r="G830" t="s">
        <v>3031</v>
      </c>
      <c r="H830">
        <v>9</v>
      </c>
      <c r="I830" t="s">
        <v>4571</v>
      </c>
    </row>
    <row r="831" spans="1:9" x14ac:dyDescent="0.3">
      <c r="A831" t="s">
        <v>4555</v>
      </c>
      <c r="B831" t="s">
        <v>375</v>
      </c>
      <c r="C831" t="s">
        <v>375</v>
      </c>
      <c r="D831" t="s">
        <v>3029</v>
      </c>
      <c r="E831" t="s">
        <v>3254</v>
      </c>
      <c r="F831" t="s">
        <v>3027</v>
      </c>
      <c r="G831" t="s">
        <v>3031</v>
      </c>
      <c r="H831">
        <v>10</v>
      </c>
      <c r="I831" t="s">
        <v>3255</v>
      </c>
    </row>
    <row r="832" spans="1:9" x14ac:dyDescent="0.3">
      <c r="A832" t="s">
        <v>4555</v>
      </c>
      <c r="B832" t="s">
        <v>375</v>
      </c>
      <c r="C832" t="s">
        <v>375</v>
      </c>
      <c r="D832" t="s">
        <v>3029</v>
      </c>
      <c r="E832" t="s">
        <v>3049</v>
      </c>
      <c r="F832" t="s">
        <v>3027</v>
      </c>
      <c r="G832" t="s">
        <v>3031</v>
      </c>
      <c r="H832">
        <v>11</v>
      </c>
      <c r="I832" t="s">
        <v>4572</v>
      </c>
    </row>
    <row r="833" spans="1:9" x14ac:dyDescent="0.3">
      <c r="A833" t="s">
        <v>4555</v>
      </c>
      <c r="B833" t="s">
        <v>375</v>
      </c>
      <c r="C833" t="s">
        <v>375</v>
      </c>
      <c r="D833" t="s">
        <v>3029</v>
      </c>
      <c r="E833" t="s">
        <v>4573</v>
      </c>
      <c r="F833" t="s">
        <v>3027</v>
      </c>
      <c r="G833" t="s">
        <v>3031</v>
      </c>
      <c r="H833">
        <v>12</v>
      </c>
      <c r="I833" t="s">
        <v>4574</v>
      </c>
    </row>
    <row r="834" spans="1:9" x14ac:dyDescent="0.3">
      <c r="A834" t="s">
        <v>4555</v>
      </c>
      <c r="B834" t="s">
        <v>375</v>
      </c>
      <c r="C834" t="s">
        <v>375</v>
      </c>
      <c r="D834" t="s">
        <v>3029</v>
      </c>
      <c r="E834" t="s">
        <v>4575</v>
      </c>
      <c r="F834" t="s">
        <v>3027</v>
      </c>
      <c r="G834" t="s">
        <v>3031</v>
      </c>
      <c r="H834">
        <v>13</v>
      </c>
      <c r="I834" t="s">
        <v>4576</v>
      </c>
    </row>
    <row r="835" spans="1:9" x14ac:dyDescent="0.3">
      <c r="A835" t="s">
        <v>4555</v>
      </c>
      <c r="B835" t="s">
        <v>375</v>
      </c>
      <c r="C835" t="s">
        <v>375</v>
      </c>
      <c r="D835" t="s">
        <v>3029</v>
      </c>
      <c r="E835" t="s">
        <v>4577</v>
      </c>
      <c r="F835" t="s">
        <v>3027</v>
      </c>
      <c r="G835" t="s">
        <v>3031</v>
      </c>
      <c r="H835">
        <v>14</v>
      </c>
      <c r="I835" t="s">
        <v>4578</v>
      </c>
    </row>
    <row r="836" spans="1:9" x14ac:dyDescent="0.3">
      <c r="A836" t="s">
        <v>4555</v>
      </c>
      <c r="B836" t="s">
        <v>375</v>
      </c>
      <c r="C836" t="s">
        <v>375</v>
      </c>
      <c r="D836" t="s">
        <v>3029</v>
      </c>
      <c r="E836" t="s">
        <v>4579</v>
      </c>
      <c r="F836" t="s">
        <v>3027</v>
      </c>
      <c r="G836" t="s">
        <v>3031</v>
      </c>
      <c r="H836">
        <v>15</v>
      </c>
      <c r="I836" t="s">
        <v>4580</v>
      </c>
    </row>
    <row r="837" spans="1:9" x14ac:dyDescent="0.3">
      <c r="A837" t="s">
        <v>4555</v>
      </c>
      <c r="B837" t="s">
        <v>375</v>
      </c>
      <c r="C837" t="s">
        <v>375</v>
      </c>
      <c r="D837" t="s">
        <v>3029</v>
      </c>
      <c r="E837" t="s">
        <v>4581</v>
      </c>
      <c r="F837" t="s">
        <v>3027</v>
      </c>
      <c r="G837" t="s">
        <v>3031</v>
      </c>
      <c r="H837">
        <v>16</v>
      </c>
      <c r="I837" t="s">
        <v>4582</v>
      </c>
    </row>
    <row r="838" spans="1:9" x14ac:dyDescent="0.3">
      <c r="A838" t="s">
        <v>4555</v>
      </c>
      <c r="B838" t="s">
        <v>375</v>
      </c>
      <c r="C838" t="s">
        <v>375</v>
      </c>
      <c r="D838" t="s">
        <v>3029</v>
      </c>
      <c r="E838" t="s">
        <v>4583</v>
      </c>
      <c r="F838" t="s">
        <v>3027</v>
      </c>
      <c r="G838" t="s">
        <v>3031</v>
      </c>
      <c r="H838">
        <v>17</v>
      </c>
      <c r="I838" t="s">
        <v>4584</v>
      </c>
    </row>
    <row r="839" spans="1:9" x14ac:dyDescent="0.3">
      <c r="A839" t="s">
        <v>4555</v>
      </c>
      <c r="B839" t="s">
        <v>375</v>
      </c>
      <c r="C839" t="s">
        <v>375</v>
      </c>
      <c r="D839" t="s">
        <v>3029</v>
      </c>
      <c r="E839" t="s">
        <v>4585</v>
      </c>
      <c r="F839" t="s">
        <v>3027</v>
      </c>
      <c r="G839" t="s">
        <v>3031</v>
      </c>
      <c r="H839">
        <v>18</v>
      </c>
      <c r="I839" t="s">
        <v>4586</v>
      </c>
    </row>
    <row r="840" spans="1:9" x14ac:dyDescent="0.3">
      <c r="A840" t="s">
        <v>4555</v>
      </c>
      <c r="B840" t="s">
        <v>375</v>
      </c>
      <c r="C840" t="s">
        <v>375</v>
      </c>
      <c r="D840" t="s">
        <v>3029</v>
      </c>
      <c r="E840" t="s">
        <v>4587</v>
      </c>
      <c r="F840" t="s">
        <v>3027</v>
      </c>
      <c r="G840" t="s">
        <v>3031</v>
      </c>
      <c r="H840">
        <v>19</v>
      </c>
      <c r="I840" t="s">
        <v>591</v>
      </c>
    </row>
    <row r="841" spans="1:9" x14ac:dyDescent="0.3">
      <c r="A841" t="s">
        <v>4555</v>
      </c>
      <c r="B841" t="s">
        <v>375</v>
      </c>
      <c r="C841" t="s">
        <v>375</v>
      </c>
      <c r="D841" t="s">
        <v>3029</v>
      </c>
      <c r="E841" t="s">
        <v>4588</v>
      </c>
      <c r="F841" t="s">
        <v>3027</v>
      </c>
      <c r="G841" t="s">
        <v>3031</v>
      </c>
      <c r="H841">
        <v>20</v>
      </c>
      <c r="I841" t="s">
        <v>4589</v>
      </c>
    </row>
    <row r="842" spans="1:9" x14ac:dyDescent="0.3">
      <c r="A842" t="s">
        <v>4590</v>
      </c>
      <c r="B842" t="s">
        <v>381</v>
      </c>
      <c r="C842" t="s">
        <v>4591</v>
      </c>
      <c r="D842" t="s">
        <v>3025</v>
      </c>
      <c r="E842" t="s">
        <v>4592</v>
      </c>
      <c r="F842" t="s">
        <v>3027</v>
      </c>
      <c r="G842" t="s">
        <v>3028</v>
      </c>
      <c r="H842">
        <v>1</v>
      </c>
      <c r="I842" t="s">
        <v>4591</v>
      </c>
    </row>
    <row r="843" spans="1:9" x14ac:dyDescent="0.3">
      <c r="A843" t="s">
        <v>4590</v>
      </c>
      <c r="B843" t="s">
        <v>381</v>
      </c>
      <c r="C843" t="s">
        <v>4591</v>
      </c>
      <c r="D843" t="s">
        <v>3029</v>
      </c>
      <c r="E843" t="s">
        <v>4561</v>
      </c>
      <c r="F843" t="s">
        <v>3027</v>
      </c>
      <c r="G843" t="s">
        <v>3031</v>
      </c>
      <c r="H843">
        <v>2</v>
      </c>
      <c r="I843" t="s">
        <v>4593</v>
      </c>
    </row>
    <row r="844" spans="1:9" x14ac:dyDescent="0.3">
      <c r="A844" t="s">
        <v>4590</v>
      </c>
      <c r="B844" t="s">
        <v>381</v>
      </c>
      <c r="C844" t="s">
        <v>4591</v>
      </c>
      <c r="D844" t="s">
        <v>3029</v>
      </c>
      <c r="E844" t="s">
        <v>4594</v>
      </c>
      <c r="F844" t="s">
        <v>3027</v>
      </c>
      <c r="G844" t="s">
        <v>3031</v>
      </c>
      <c r="H844">
        <v>3</v>
      </c>
      <c r="I844" t="s">
        <v>4595</v>
      </c>
    </row>
    <row r="845" spans="1:9" x14ac:dyDescent="0.3">
      <c r="A845" t="s">
        <v>4590</v>
      </c>
      <c r="B845" t="s">
        <v>381</v>
      </c>
      <c r="C845" t="s">
        <v>4591</v>
      </c>
      <c r="D845" t="s">
        <v>3029</v>
      </c>
      <c r="E845" t="s">
        <v>4596</v>
      </c>
      <c r="F845" t="s">
        <v>3027</v>
      </c>
      <c r="G845" t="s">
        <v>3031</v>
      </c>
      <c r="H845">
        <v>4</v>
      </c>
      <c r="I845" t="s">
        <v>4597</v>
      </c>
    </row>
    <row r="846" spans="1:9" x14ac:dyDescent="0.3">
      <c r="A846" t="s">
        <v>4590</v>
      </c>
      <c r="B846" t="s">
        <v>381</v>
      </c>
      <c r="C846" t="s">
        <v>4591</v>
      </c>
      <c r="D846" t="s">
        <v>3029</v>
      </c>
      <c r="E846" t="s">
        <v>4598</v>
      </c>
      <c r="F846" t="s">
        <v>3027</v>
      </c>
      <c r="G846" t="s">
        <v>3031</v>
      </c>
      <c r="H846">
        <v>5</v>
      </c>
      <c r="I846" t="s">
        <v>4599</v>
      </c>
    </row>
    <row r="847" spans="1:9" x14ac:dyDescent="0.3">
      <c r="A847" t="s">
        <v>4590</v>
      </c>
      <c r="B847" t="s">
        <v>381</v>
      </c>
      <c r="C847" t="s">
        <v>4591</v>
      </c>
      <c r="D847" t="s">
        <v>3029</v>
      </c>
      <c r="E847" t="s">
        <v>4600</v>
      </c>
      <c r="F847" t="s">
        <v>3027</v>
      </c>
      <c r="G847" t="s">
        <v>3031</v>
      </c>
      <c r="H847">
        <v>6</v>
      </c>
      <c r="I847" t="s">
        <v>4601</v>
      </c>
    </row>
    <row r="848" spans="1:9" x14ac:dyDescent="0.3">
      <c r="A848" t="s">
        <v>4590</v>
      </c>
      <c r="B848" t="s">
        <v>381</v>
      </c>
      <c r="C848" t="s">
        <v>4591</v>
      </c>
      <c r="D848" t="s">
        <v>3029</v>
      </c>
      <c r="E848" t="s">
        <v>4602</v>
      </c>
      <c r="F848" t="s">
        <v>3027</v>
      </c>
      <c r="G848" t="s">
        <v>3031</v>
      </c>
      <c r="H848">
        <v>7</v>
      </c>
      <c r="I848" t="s">
        <v>4603</v>
      </c>
    </row>
    <row r="849" spans="1:9" x14ac:dyDescent="0.3">
      <c r="A849" t="s">
        <v>4590</v>
      </c>
      <c r="B849" t="s">
        <v>381</v>
      </c>
      <c r="C849" t="s">
        <v>4591</v>
      </c>
      <c r="D849" t="s">
        <v>3029</v>
      </c>
      <c r="E849" t="s">
        <v>4604</v>
      </c>
      <c r="F849" t="s">
        <v>3027</v>
      </c>
      <c r="G849" t="s">
        <v>3031</v>
      </c>
      <c r="H849">
        <v>8</v>
      </c>
      <c r="I849" t="s">
        <v>4605</v>
      </c>
    </row>
    <row r="850" spans="1:9" x14ac:dyDescent="0.3">
      <c r="A850" t="s">
        <v>4590</v>
      </c>
      <c r="B850" t="s">
        <v>381</v>
      </c>
      <c r="C850" t="s">
        <v>4591</v>
      </c>
      <c r="D850" t="s">
        <v>3029</v>
      </c>
      <c r="E850" t="s">
        <v>4606</v>
      </c>
      <c r="F850" t="s">
        <v>3027</v>
      </c>
      <c r="G850" t="s">
        <v>3031</v>
      </c>
      <c r="H850">
        <v>9</v>
      </c>
      <c r="I850" t="s">
        <v>4607</v>
      </c>
    </row>
    <row r="851" spans="1:9" x14ac:dyDescent="0.3">
      <c r="A851" t="s">
        <v>4590</v>
      </c>
      <c r="B851" t="s">
        <v>381</v>
      </c>
      <c r="C851" t="s">
        <v>4591</v>
      </c>
      <c r="D851" t="s">
        <v>3029</v>
      </c>
      <c r="E851" t="s">
        <v>4608</v>
      </c>
      <c r="F851" t="s">
        <v>3027</v>
      </c>
      <c r="G851" t="s">
        <v>3031</v>
      </c>
      <c r="H851">
        <v>10</v>
      </c>
      <c r="I851" t="s">
        <v>4609</v>
      </c>
    </row>
    <row r="852" spans="1:9" x14ac:dyDescent="0.3">
      <c r="A852" t="s">
        <v>4590</v>
      </c>
      <c r="B852" t="s">
        <v>381</v>
      </c>
      <c r="C852" t="s">
        <v>4591</v>
      </c>
      <c r="D852" t="s">
        <v>3029</v>
      </c>
      <c r="E852" t="s">
        <v>4610</v>
      </c>
      <c r="F852" t="s">
        <v>3027</v>
      </c>
      <c r="G852" t="s">
        <v>3031</v>
      </c>
      <c r="H852">
        <v>11</v>
      </c>
      <c r="I852" t="s">
        <v>4611</v>
      </c>
    </row>
    <row r="853" spans="1:9" x14ac:dyDescent="0.3">
      <c r="A853" t="s">
        <v>4590</v>
      </c>
      <c r="B853" t="s">
        <v>381</v>
      </c>
      <c r="C853" t="s">
        <v>4591</v>
      </c>
      <c r="D853" t="s">
        <v>3029</v>
      </c>
      <c r="E853" t="s">
        <v>4612</v>
      </c>
      <c r="F853" t="s">
        <v>3027</v>
      </c>
      <c r="G853" t="s">
        <v>3031</v>
      </c>
      <c r="H853">
        <v>12</v>
      </c>
      <c r="I853" t="s">
        <v>4613</v>
      </c>
    </row>
    <row r="854" spans="1:9" x14ac:dyDescent="0.3">
      <c r="A854" t="s">
        <v>4590</v>
      </c>
      <c r="B854" t="s">
        <v>381</v>
      </c>
      <c r="C854" t="s">
        <v>4591</v>
      </c>
      <c r="D854" t="s">
        <v>3029</v>
      </c>
      <c r="E854" t="s">
        <v>4563</v>
      </c>
      <c r="F854" t="s">
        <v>3027</v>
      </c>
      <c r="G854" t="s">
        <v>3031</v>
      </c>
      <c r="H854">
        <v>13</v>
      </c>
      <c r="I854" t="s">
        <v>4564</v>
      </c>
    </row>
    <row r="855" spans="1:9" x14ac:dyDescent="0.3">
      <c r="A855" t="s">
        <v>4590</v>
      </c>
      <c r="B855" t="s">
        <v>381</v>
      </c>
      <c r="C855" t="s">
        <v>4591</v>
      </c>
      <c r="D855" t="s">
        <v>3029</v>
      </c>
      <c r="E855" t="s">
        <v>4614</v>
      </c>
      <c r="F855" t="s">
        <v>3027</v>
      </c>
      <c r="G855" t="s">
        <v>3031</v>
      </c>
      <c r="H855">
        <v>14</v>
      </c>
      <c r="I855" t="s">
        <v>4615</v>
      </c>
    </row>
    <row r="856" spans="1:9" x14ac:dyDescent="0.3">
      <c r="A856" t="s">
        <v>4590</v>
      </c>
      <c r="B856" t="s">
        <v>381</v>
      </c>
      <c r="C856" t="s">
        <v>4591</v>
      </c>
      <c r="D856" t="s">
        <v>3029</v>
      </c>
      <c r="E856" t="s">
        <v>4110</v>
      </c>
      <c r="F856" t="s">
        <v>3027</v>
      </c>
      <c r="G856" t="s">
        <v>3031</v>
      </c>
      <c r="H856">
        <v>15</v>
      </c>
      <c r="I856" t="s">
        <v>4111</v>
      </c>
    </row>
    <row r="857" spans="1:9" x14ac:dyDescent="0.3">
      <c r="A857" t="s">
        <v>4590</v>
      </c>
      <c r="B857" t="s">
        <v>381</v>
      </c>
      <c r="C857" t="s">
        <v>4591</v>
      </c>
      <c r="D857" t="s">
        <v>3029</v>
      </c>
      <c r="E857" t="s">
        <v>4616</v>
      </c>
      <c r="F857" t="s">
        <v>3027</v>
      </c>
      <c r="G857" t="s">
        <v>3031</v>
      </c>
      <c r="H857">
        <v>16</v>
      </c>
      <c r="I857" t="s">
        <v>4617</v>
      </c>
    </row>
    <row r="858" spans="1:9" x14ac:dyDescent="0.3">
      <c r="A858" t="s">
        <v>4590</v>
      </c>
      <c r="B858" t="s">
        <v>381</v>
      </c>
      <c r="C858" t="s">
        <v>4591</v>
      </c>
      <c r="D858" t="s">
        <v>3029</v>
      </c>
      <c r="E858" t="s">
        <v>4618</v>
      </c>
      <c r="F858" t="s">
        <v>3027</v>
      </c>
      <c r="G858" t="s">
        <v>3031</v>
      </c>
      <c r="H858">
        <v>17</v>
      </c>
      <c r="I858" t="s">
        <v>4619</v>
      </c>
    </row>
    <row r="859" spans="1:9" x14ac:dyDescent="0.3">
      <c r="A859" t="s">
        <v>4620</v>
      </c>
      <c r="B859" t="s">
        <v>387</v>
      </c>
      <c r="C859" t="s">
        <v>387</v>
      </c>
      <c r="D859" t="s">
        <v>3025</v>
      </c>
      <c r="E859" t="s">
        <v>4621</v>
      </c>
      <c r="F859" t="s">
        <v>3027</v>
      </c>
      <c r="G859" t="s">
        <v>3028</v>
      </c>
      <c r="H859">
        <v>1</v>
      </c>
      <c r="I859" t="s">
        <v>387</v>
      </c>
    </row>
    <row r="860" spans="1:9" x14ac:dyDescent="0.3">
      <c r="A860" t="s">
        <v>4620</v>
      </c>
      <c r="B860" t="s">
        <v>387</v>
      </c>
      <c r="C860" t="s">
        <v>387</v>
      </c>
      <c r="D860" t="s">
        <v>3029</v>
      </c>
      <c r="E860" t="s">
        <v>4622</v>
      </c>
      <c r="F860" t="s">
        <v>3027</v>
      </c>
      <c r="G860" t="s">
        <v>3031</v>
      </c>
      <c r="H860">
        <v>2</v>
      </c>
      <c r="I860" t="s">
        <v>4623</v>
      </c>
    </row>
    <row r="861" spans="1:9" x14ac:dyDescent="0.3">
      <c r="A861" t="s">
        <v>4620</v>
      </c>
      <c r="B861" t="s">
        <v>387</v>
      </c>
      <c r="C861" t="s">
        <v>387</v>
      </c>
      <c r="D861" t="s">
        <v>3029</v>
      </c>
      <c r="E861" t="s">
        <v>4624</v>
      </c>
      <c r="F861" t="s">
        <v>3027</v>
      </c>
      <c r="G861" t="s">
        <v>3031</v>
      </c>
      <c r="H861">
        <v>3</v>
      </c>
      <c r="I861" t="s">
        <v>4625</v>
      </c>
    </row>
    <row r="862" spans="1:9" x14ac:dyDescent="0.3">
      <c r="A862" t="s">
        <v>4620</v>
      </c>
      <c r="B862" t="s">
        <v>387</v>
      </c>
      <c r="C862" t="s">
        <v>387</v>
      </c>
      <c r="D862" t="s">
        <v>3029</v>
      </c>
      <c r="E862" t="s">
        <v>4626</v>
      </c>
      <c r="F862" t="s">
        <v>3027</v>
      </c>
      <c r="G862" t="s">
        <v>3031</v>
      </c>
      <c r="H862">
        <v>4</v>
      </c>
      <c r="I862" t="s">
        <v>4627</v>
      </c>
    </row>
    <row r="863" spans="1:9" x14ac:dyDescent="0.3">
      <c r="A863" t="s">
        <v>4620</v>
      </c>
      <c r="B863" t="s">
        <v>387</v>
      </c>
      <c r="C863" t="s">
        <v>387</v>
      </c>
      <c r="D863" t="s">
        <v>3029</v>
      </c>
      <c r="E863" t="s">
        <v>3254</v>
      </c>
      <c r="F863" t="s">
        <v>3027</v>
      </c>
      <c r="G863" t="s">
        <v>3031</v>
      </c>
      <c r="H863">
        <v>5</v>
      </c>
      <c r="I863" t="s">
        <v>3839</v>
      </c>
    </row>
    <row r="864" spans="1:9" x14ac:dyDescent="0.3">
      <c r="A864" t="s">
        <v>4620</v>
      </c>
      <c r="B864" t="s">
        <v>387</v>
      </c>
      <c r="C864" t="s">
        <v>387</v>
      </c>
      <c r="D864" t="s">
        <v>3029</v>
      </c>
      <c r="E864" t="s">
        <v>4628</v>
      </c>
      <c r="F864" t="s">
        <v>3027</v>
      </c>
      <c r="G864" t="s">
        <v>3031</v>
      </c>
      <c r="H864">
        <v>6</v>
      </c>
      <c r="I864" t="s">
        <v>4536</v>
      </c>
    </row>
    <row r="865" spans="1:9" x14ac:dyDescent="0.3">
      <c r="A865" t="s">
        <v>4620</v>
      </c>
      <c r="B865" t="s">
        <v>387</v>
      </c>
      <c r="C865" t="s">
        <v>387</v>
      </c>
      <c r="D865" t="s">
        <v>3029</v>
      </c>
      <c r="E865" t="s">
        <v>4629</v>
      </c>
      <c r="F865" t="s">
        <v>3027</v>
      </c>
      <c r="G865" t="s">
        <v>3031</v>
      </c>
      <c r="H865">
        <v>7</v>
      </c>
      <c r="I865" t="s">
        <v>4627</v>
      </c>
    </row>
    <row r="866" spans="1:9" x14ac:dyDescent="0.3">
      <c r="A866" t="s">
        <v>4620</v>
      </c>
      <c r="B866" t="s">
        <v>387</v>
      </c>
      <c r="C866" t="s">
        <v>387</v>
      </c>
      <c r="D866" t="s">
        <v>3029</v>
      </c>
      <c r="E866" t="s">
        <v>4630</v>
      </c>
      <c r="F866" t="s">
        <v>3027</v>
      </c>
      <c r="G866" t="s">
        <v>3031</v>
      </c>
      <c r="H866">
        <v>8</v>
      </c>
      <c r="I866" t="s">
        <v>4631</v>
      </c>
    </row>
    <row r="867" spans="1:9" x14ac:dyDescent="0.3">
      <c r="A867" t="s">
        <v>4620</v>
      </c>
      <c r="B867" t="s">
        <v>387</v>
      </c>
      <c r="C867" t="s">
        <v>387</v>
      </c>
      <c r="D867" t="s">
        <v>3029</v>
      </c>
      <c r="E867" t="s">
        <v>4632</v>
      </c>
      <c r="F867" t="s">
        <v>3027</v>
      </c>
      <c r="G867" t="s">
        <v>3031</v>
      </c>
      <c r="H867">
        <v>9</v>
      </c>
      <c r="I867" t="s">
        <v>4633</v>
      </c>
    </row>
    <row r="868" spans="1:9" x14ac:dyDescent="0.3">
      <c r="A868" t="s">
        <v>4620</v>
      </c>
      <c r="B868" t="s">
        <v>387</v>
      </c>
      <c r="C868" t="s">
        <v>387</v>
      </c>
      <c r="D868" t="s">
        <v>3029</v>
      </c>
      <c r="E868" t="s">
        <v>4634</v>
      </c>
      <c r="F868" t="s">
        <v>3027</v>
      </c>
      <c r="G868" t="s">
        <v>3031</v>
      </c>
      <c r="H868">
        <v>10</v>
      </c>
      <c r="I868" t="s">
        <v>4635</v>
      </c>
    </row>
    <row r="869" spans="1:9" x14ac:dyDescent="0.3">
      <c r="A869" t="s">
        <v>4620</v>
      </c>
      <c r="B869" t="s">
        <v>387</v>
      </c>
      <c r="C869" t="s">
        <v>387</v>
      </c>
      <c r="D869" t="s">
        <v>3029</v>
      </c>
      <c r="E869" t="s">
        <v>4636</v>
      </c>
      <c r="F869" t="s">
        <v>3027</v>
      </c>
      <c r="G869" t="s">
        <v>3031</v>
      </c>
      <c r="H869">
        <v>11</v>
      </c>
      <c r="I869" t="s">
        <v>4637</v>
      </c>
    </row>
    <row r="870" spans="1:9" x14ac:dyDescent="0.3">
      <c r="A870" t="s">
        <v>4620</v>
      </c>
      <c r="B870" t="s">
        <v>387</v>
      </c>
      <c r="C870" t="s">
        <v>387</v>
      </c>
      <c r="D870" t="s">
        <v>3029</v>
      </c>
      <c r="E870" t="s">
        <v>4638</v>
      </c>
      <c r="F870" t="s">
        <v>3027</v>
      </c>
      <c r="G870" t="s">
        <v>3031</v>
      </c>
      <c r="H870">
        <v>12</v>
      </c>
      <c r="I870" t="s">
        <v>4639</v>
      </c>
    </row>
    <row r="871" spans="1:9" x14ac:dyDescent="0.3">
      <c r="A871" t="s">
        <v>4620</v>
      </c>
      <c r="B871" t="s">
        <v>387</v>
      </c>
      <c r="C871" t="s">
        <v>387</v>
      </c>
      <c r="D871" t="s">
        <v>3029</v>
      </c>
      <c r="E871" t="s">
        <v>4640</v>
      </c>
      <c r="F871" t="s">
        <v>3027</v>
      </c>
      <c r="G871" t="s">
        <v>3031</v>
      </c>
      <c r="H871">
        <v>13</v>
      </c>
      <c r="I871" t="s">
        <v>4641</v>
      </c>
    </row>
    <row r="872" spans="1:9" x14ac:dyDescent="0.3">
      <c r="A872" t="s">
        <v>4620</v>
      </c>
      <c r="B872" t="s">
        <v>387</v>
      </c>
      <c r="C872" t="s">
        <v>387</v>
      </c>
      <c r="D872" t="s">
        <v>3029</v>
      </c>
      <c r="E872" t="s">
        <v>4642</v>
      </c>
      <c r="F872" t="s">
        <v>3027</v>
      </c>
      <c r="G872" t="s">
        <v>3031</v>
      </c>
      <c r="H872">
        <v>14</v>
      </c>
      <c r="I872" t="s">
        <v>4643</v>
      </c>
    </row>
    <row r="873" spans="1:9" x14ac:dyDescent="0.3">
      <c r="A873" t="s">
        <v>4620</v>
      </c>
      <c r="B873" t="s">
        <v>387</v>
      </c>
      <c r="C873" t="s">
        <v>387</v>
      </c>
      <c r="D873" t="s">
        <v>3029</v>
      </c>
      <c r="E873" t="s">
        <v>4644</v>
      </c>
      <c r="F873" t="s">
        <v>3027</v>
      </c>
      <c r="G873" t="s">
        <v>3031</v>
      </c>
      <c r="H873">
        <v>15</v>
      </c>
      <c r="I873" t="s">
        <v>4645</v>
      </c>
    </row>
    <row r="874" spans="1:9" x14ac:dyDescent="0.3">
      <c r="A874" t="s">
        <v>4620</v>
      </c>
      <c r="B874" t="s">
        <v>387</v>
      </c>
      <c r="C874" t="s">
        <v>387</v>
      </c>
      <c r="D874" t="s">
        <v>3029</v>
      </c>
      <c r="E874" t="s">
        <v>4646</v>
      </c>
      <c r="F874" t="s">
        <v>3027</v>
      </c>
      <c r="G874" t="s">
        <v>3031</v>
      </c>
      <c r="H874">
        <v>16</v>
      </c>
      <c r="I874" t="s">
        <v>4647</v>
      </c>
    </row>
    <row r="875" spans="1:9" x14ac:dyDescent="0.3">
      <c r="A875" t="s">
        <v>4620</v>
      </c>
      <c r="B875" t="s">
        <v>387</v>
      </c>
      <c r="C875" t="s">
        <v>387</v>
      </c>
      <c r="D875" t="s">
        <v>3029</v>
      </c>
      <c r="E875" t="s">
        <v>4648</v>
      </c>
      <c r="F875" t="s">
        <v>3027</v>
      </c>
      <c r="G875" t="s">
        <v>3031</v>
      </c>
      <c r="H875">
        <v>17</v>
      </c>
      <c r="I875" t="s">
        <v>4649</v>
      </c>
    </row>
    <row r="876" spans="1:9" x14ac:dyDescent="0.3">
      <c r="A876" t="s">
        <v>4620</v>
      </c>
      <c r="B876" t="s">
        <v>387</v>
      </c>
      <c r="C876" t="s">
        <v>387</v>
      </c>
      <c r="D876" t="s">
        <v>3029</v>
      </c>
      <c r="E876" t="s">
        <v>4650</v>
      </c>
      <c r="F876" t="s">
        <v>3027</v>
      </c>
      <c r="G876" t="s">
        <v>3031</v>
      </c>
      <c r="H876">
        <v>18</v>
      </c>
      <c r="I876" t="s">
        <v>4651</v>
      </c>
    </row>
    <row r="877" spans="1:9" x14ac:dyDescent="0.3">
      <c r="A877" t="s">
        <v>4620</v>
      </c>
      <c r="B877" t="s">
        <v>387</v>
      </c>
      <c r="C877" t="s">
        <v>387</v>
      </c>
      <c r="D877" t="s">
        <v>3029</v>
      </c>
      <c r="E877" t="s">
        <v>4652</v>
      </c>
      <c r="F877" t="s">
        <v>3027</v>
      </c>
      <c r="G877" t="s">
        <v>3031</v>
      </c>
      <c r="H877">
        <v>19</v>
      </c>
      <c r="I877" t="s">
        <v>4653</v>
      </c>
    </row>
    <row r="878" spans="1:9" x14ac:dyDescent="0.3">
      <c r="A878" t="s">
        <v>4620</v>
      </c>
      <c r="B878" t="s">
        <v>387</v>
      </c>
      <c r="C878" t="s">
        <v>387</v>
      </c>
      <c r="D878" t="s">
        <v>3029</v>
      </c>
      <c r="E878" t="s">
        <v>4654</v>
      </c>
      <c r="F878" t="s">
        <v>3027</v>
      </c>
      <c r="G878" t="s">
        <v>3031</v>
      </c>
      <c r="H878">
        <v>20</v>
      </c>
      <c r="I878" t="s">
        <v>4655</v>
      </c>
    </row>
    <row r="879" spans="1:9" x14ac:dyDescent="0.3">
      <c r="A879" t="s">
        <v>4656</v>
      </c>
      <c r="B879" t="s">
        <v>393</v>
      </c>
      <c r="C879" t="s">
        <v>393</v>
      </c>
      <c r="D879" t="s">
        <v>3025</v>
      </c>
      <c r="E879" t="s">
        <v>4251</v>
      </c>
      <c r="F879" t="s">
        <v>3027</v>
      </c>
      <c r="G879" t="s">
        <v>3028</v>
      </c>
      <c r="H879">
        <v>1</v>
      </c>
      <c r="I879" t="s">
        <v>393</v>
      </c>
    </row>
    <row r="880" spans="1:9" x14ac:dyDescent="0.3">
      <c r="A880" t="s">
        <v>4656</v>
      </c>
      <c r="B880" t="s">
        <v>393</v>
      </c>
      <c r="C880" t="s">
        <v>393</v>
      </c>
      <c r="D880" t="s">
        <v>3029</v>
      </c>
      <c r="E880" t="s">
        <v>4657</v>
      </c>
      <c r="F880" t="s">
        <v>3027</v>
      </c>
      <c r="G880" t="s">
        <v>3031</v>
      </c>
      <c r="H880">
        <v>2</v>
      </c>
      <c r="I880" t="s">
        <v>4658</v>
      </c>
    </row>
    <row r="881" spans="1:9" x14ac:dyDescent="0.3">
      <c r="A881" t="s">
        <v>4656</v>
      </c>
      <c r="B881" t="s">
        <v>393</v>
      </c>
      <c r="C881" t="s">
        <v>393</v>
      </c>
      <c r="D881" t="s">
        <v>3029</v>
      </c>
      <c r="E881" t="s">
        <v>4659</v>
      </c>
      <c r="F881" t="s">
        <v>3027</v>
      </c>
      <c r="G881" t="s">
        <v>3031</v>
      </c>
      <c r="H881">
        <v>3</v>
      </c>
      <c r="I881" t="s">
        <v>4660</v>
      </c>
    </row>
    <row r="882" spans="1:9" x14ac:dyDescent="0.3">
      <c r="A882" t="s">
        <v>4656</v>
      </c>
      <c r="B882" t="s">
        <v>393</v>
      </c>
      <c r="C882" t="s">
        <v>393</v>
      </c>
      <c r="D882" t="s">
        <v>3029</v>
      </c>
      <c r="E882" t="s">
        <v>4661</v>
      </c>
      <c r="F882" t="s">
        <v>3027</v>
      </c>
      <c r="G882" t="s">
        <v>3031</v>
      </c>
      <c r="H882">
        <v>4</v>
      </c>
      <c r="I882" t="s">
        <v>4662</v>
      </c>
    </row>
    <row r="883" spans="1:9" x14ac:dyDescent="0.3">
      <c r="A883" t="s">
        <v>4656</v>
      </c>
      <c r="B883" t="s">
        <v>393</v>
      </c>
      <c r="C883" t="s">
        <v>393</v>
      </c>
      <c r="D883" t="s">
        <v>3029</v>
      </c>
      <c r="E883" t="s">
        <v>4663</v>
      </c>
      <c r="F883" t="s">
        <v>3027</v>
      </c>
      <c r="G883" t="s">
        <v>3031</v>
      </c>
      <c r="H883">
        <v>5</v>
      </c>
      <c r="I883" t="s">
        <v>4664</v>
      </c>
    </row>
    <row r="884" spans="1:9" x14ac:dyDescent="0.3">
      <c r="A884" t="s">
        <v>4656</v>
      </c>
      <c r="B884" t="s">
        <v>393</v>
      </c>
      <c r="C884" t="s">
        <v>393</v>
      </c>
      <c r="D884" t="s">
        <v>3029</v>
      </c>
      <c r="E884" t="s">
        <v>4665</v>
      </c>
      <c r="F884" t="s">
        <v>3027</v>
      </c>
      <c r="G884" t="s">
        <v>3031</v>
      </c>
      <c r="H884">
        <v>6</v>
      </c>
      <c r="I884" t="s">
        <v>4666</v>
      </c>
    </row>
    <row r="885" spans="1:9" x14ac:dyDescent="0.3">
      <c r="A885" t="s">
        <v>4656</v>
      </c>
      <c r="B885" t="s">
        <v>393</v>
      </c>
      <c r="C885" t="s">
        <v>393</v>
      </c>
      <c r="D885" t="s">
        <v>3029</v>
      </c>
      <c r="E885" t="s">
        <v>4667</v>
      </c>
      <c r="F885" t="s">
        <v>3027</v>
      </c>
      <c r="G885" t="s">
        <v>3031</v>
      </c>
      <c r="H885">
        <v>7</v>
      </c>
      <c r="I885" t="s">
        <v>4668</v>
      </c>
    </row>
    <row r="886" spans="1:9" x14ac:dyDescent="0.3">
      <c r="A886" t="s">
        <v>4656</v>
      </c>
      <c r="B886" t="s">
        <v>393</v>
      </c>
      <c r="C886" t="s">
        <v>393</v>
      </c>
      <c r="D886" t="s">
        <v>3029</v>
      </c>
      <c r="E886" t="s">
        <v>4301</v>
      </c>
      <c r="F886" t="s">
        <v>3027</v>
      </c>
      <c r="G886" t="s">
        <v>3031</v>
      </c>
      <c r="H886">
        <v>8</v>
      </c>
      <c r="I886" t="s">
        <v>4302</v>
      </c>
    </row>
    <row r="887" spans="1:9" x14ac:dyDescent="0.3">
      <c r="A887" t="s">
        <v>4656</v>
      </c>
      <c r="B887" t="s">
        <v>393</v>
      </c>
      <c r="C887" t="s">
        <v>393</v>
      </c>
      <c r="D887" t="s">
        <v>3029</v>
      </c>
      <c r="E887" t="s">
        <v>3594</v>
      </c>
      <c r="F887" t="s">
        <v>3027</v>
      </c>
      <c r="G887" t="s">
        <v>3031</v>
      </c>
      <c r="H887">
        <v>9</v>
      </c>
      <c r="I887" t="s">
        <v>3595</v>
      </c>
    </row>
    <row r="888" spans="1:9" x14ac:dyDescent="0.3">
      <c r="A888" t="s">
        <v>4656</v>
      </c>
      <c r="B888" t="s">
        <v>393</v>
      </c>
      <c r="C888" t="s">
        <v>393</v>
      </c>
      <c r="D888" t="s">
        <v>3029</v>
      </c>
      <c r="E888" t="s">
        <v>4669</v>
      </c>
      <c r="F888" t="s">
        <v>3027</v>
      </c>
      <c r="G888" t="s">
        <v>3031</v>
      </c>
      <c r="H888">
        <v>10</v>
      </c>
      <c r="I888" t="s">
        <v>4670</v>
      </c>
    </row>
    <row r="889" spans="1:9" x14ac:dyDescent="0.3">
      <c r="A889" t="s">
        <v>4656</v>
      </c>
      <c r="B889" t="s">
        <v>393</v>
      </c>
      <c r="C889" t="s">
        <v>393</v>
      </c>
      <c r="D889" t="s">
        <v>3029</v>
      </c>
      <c r="E889" t="s">
        <v>4671</v>
      </c>
      <c r="F889" t="s">
        <v>3027</v>
      </c>
      <c r="G889" t="s">
        <v>3031</v>
      </c>
      <c r="H889">
        <v>11</v>
      </c>
      <c r="I889" t="s">
        <v>4672</v>
      </c>
    </row>
    <row r="890" spans="1:9" x14ac:dyDescent="0.3">
      <c r="A890" t="s">
        <v>4656</v>
      </c>
      <c r="B890" t="s">
        <v>393</v>
      </c>
      <c r="C890" t="s">
        <v>393</v>
      </c>
      <c r="D890" t="s">
        <v>3029</v>
      </c>
      <c r="E890" t="s">
        <v>4673</v>
      </c>
      <c r="F890" t="s">
        <v>3027</v>
      </c>
      <c r="G890" t="s">
        <v>3031</v>
      </c>
      <c r="H890">
        <v>12</v>
      </c>
      <c r="I890" t="s">
        <v>4674</v>
      </c>
    </row>
    <row r="891" spans="1:9" x14ac:dyDescent="0.3">
      <c r="A891" t="s">
        <v>4656</v>
      </c>
      <c r="B891" t="s">
        <v>393</v>
      </c>
      <c r="C891" t="s">
        <v>393</v>
      </c>
      <c r="D891" t="s">
        <v>3029</v>
      </c>
      <c r="E891" t="s">
        <v>4675</v>
      </c>
      <c r="F891" t="s">
        <v>3027</v>
      </c>
      <c r="G891" t="s">
        <v>3031</v>
      </c>
      <c r="H891">
        <v>13</v>
      </c>
      <c r="I891" t="s">
        <v>4676</v>
      </c>
    </row>
    <row r="892" spans="1:9" x14ac:dyDescent="0.3">
      <c r="A892" t="s">
        <v>4656</v>
      </c>
      <c r="B892" t="s">
        <v>393</v>
      </c>
      <c r="C892" t="s">
        <v>393</v>
      </c>
      <c r="D892" t="s">
        <v>3029</v>
      </c>
      <c r="E892" t="s">
        <v>4677</v>
      </c>
      <c r="F892" t="s">
        <v>3027</v>
      </c>
      <c r="G892" t="s">
        <v>3031</v>
      </c>
      <c r="H892">
        <v>14</v>
      </c>
      <c r="I892" t="s">
        <v>4678</v>
      </c>
    </row>
    <row r="893" spans="1:9" x14ac:dyDescent="0.3">
      <c r="A893" t="s">
        <v>4656</v>
      </c>
      <c r="B893" t="s">
        <v>393</v>
      </c>
      <c r="C893" t="s">
        <v>393</v>
      </c>
      <c r="D893" t="s">
        <v>3029</v>
      </c>
      <c r="E893" t="s">
        <v>4679</v>
      </c>
      <c r="F893" t="s">
        <v>3027</v>
      </c>
      <c r="G893" t="s">
        <v>3031</v>
      </c>
      <c r="H893">
        <v>15</v>
      </c>
      <c r="I893" t="s">
        <v>4680</v>
      </c>
    </row>
    <row r="894" spans="1:9" x14ac:dyDescent="0.3">
      <c r="A894" t="s">
        <v>4656</v>
      </c>
      <c r="B894" t="s">
        <v>393</v>
      </c>
      <c r="C894" t="s">
        <v>393</v>
      </c>
      <c r="D894" t="s">
        <v>3029</v>
      </c>
      <c r="E894" t="s">
        <v>4681</v>
      </c>
      <c r="F894" t="s">
        <v>3027</v>
      </c>
      <c r="G894" t="s">
        <v>3031</v>
      </c>
      <c r="H894">
        <v>16</v>
      </c>
      <c r="I894" t="s">
        <v>4227</v>
      </c>
    </row>
    <row r="895" spans="1:9" x14ac:dyDescent="0.3">
      <c r="A895" t="s">
        <v>4656</v>
      </c>
      <c r="B895" t="s">
        <v>393</v>
      </c>
      <c r="C895" t="s">
        <v>393</v>
      </c>
      <c r="D895" t="s">
        <v>3029</v>
      </c>
      <c r="E895" t="s">
        <v>4682</v>
      </c>
      <c r="F895" t="s">
        <v>3027</v>
      </c>
      <c r="G895" t="s">
        <v>3031</v>
      </c>
      <c r="H895">
        <v>17</v>
      </c>
      <c r="I895" t="s">
        <v>4683</v>
      </c>
    </row>
    <row r="896" spans="1:9" x14ac:dyDescent="0.3">
      <c r="A896" t="s">
        <v>4656</v>
      </c>
      <c r="B896" t="s">
        <v>393</v>
      </c>
      <c r="C896" t="s">
        <v>393</v>
      </c>
      <c r="D896" t="s">
        <v>3029</v>
      </c>
      <c r="E896" t="s">
        <v>4684</v>
      </c>
      <c r="F896" t="s">
        <v>3027</v>
      </c>
      <c r="G896" t="s">
        <v>3031</v>
      </c>
      <c r="H896">
        <v>18</v>
      </c>
      <c r="I896" t="s">
        <v>4685</v>
      </c>
    </row>
    <row r="897" spans="1:9" x14ac:dyDescent="0.3">
      <c r="A897" t="s">
        <v>4656</v>
      </c>
      <c r="B897" t="s">
        <v>393</v>
      </c>
      <c r="C897" t="s">
        <v>393</v>
      </c>
      <c r="D897" t="s">
        <v>3029</v>
      </c>
      <c r="E897" t="s">
        <v>3242</v>
      </c>
      <c r="F897" t="s">
        <v>3027</v>
      </c>
      <c r="G897" t="s">
        <v>3031</v>
      </c>
      <c r="H897">
        <v>19</v>
      </c>
      <c r="I897" t="s">
        <v>2454</v>
      </c>
    </row>
    <row r="898" spans="1:9" x14ac:dyDescent="0.3">
      <c r="A898" t="s">
        <v>4656</v>
      </c>
      <c r="B898" t="s">
        <v>393</v>
      </c>
      <c r="C898" t="s">
        <v>393</v>
      </c>
      <c r="D898" t="s">
        <v>3029</v>
      </c>
      <c r="E898" t="s">
        <v>4537</v>
      </c>
      <c r="F898" t="s">
        <v>3027</v>
      </c>
      <c r="G898" t="s">
        <v>3031</v>
      </c>
      <c r="H898">
        <v>20</v>
      </c>
      <c r="I898" t="s">
        <v>4686</v>
      </c>
    </row>
    <row r="899" spans="1:9" x14ac:dyDescent="0.3">
      <c r="A899" t="s">
        <v>4687</v>
      </c>
      <c r="B899" t="s">
        <v>400</v>
      </c>
      <c r="C899" t="s">
        <v>4688</v>
      </c>
      <c r="D899" t="s">
        <v>3025</v>
      </c>
      <c r="E899" t="s">
        <v>4689</v>
      </c>
      <c r="F899" t="s">
        <v>3027</v>
      </c>
      <c r="G899" t="s">
        <v>3028</v>
      </c>
      <c r="H899">
        <v>1</v>
      </c>
      <c r="I899" t="s">
        <v>4688</v>
      </c>
    </row>
    <row r="900" spans="1:9" x14ac:dyDescent="0.3">
      <c r="A900" t="s">
        <v>4687</v>
      </c>
      <c r="B900" t="s">
        <v>400</v>
      </c>
      <c r="C900" t="s">
        <v>4688</v>
      </c>
      <c r="D900" t="s">
        <v>3029</v>
      </c>
      <c r="E900" t="s">
        <v>4690</v>
      </c>
      <c r="F900" t="s">
        <v>3027</v>
      </c>
      <c r="G900" t="s">
        <v>3031</v>
      </c>
      <c r="H900">
        <v>2</v>
      </c>
      <c r="I900" t="s">
        <v>4691</v>
      </c>
    </row>
    <row r="901" spans="1:9" x14ac:dyDescent="0.3">
      <c r="A901" t="s">
        <v>4687</v>
      </c>
      <c r="B901" t="s">
        <v>400</v>
      </c>
      <c r="C901" t="s">
        <v>4688</v>
      </c>
      <c r="D901" t="s">
        <v>3029</v>
      </c>
      <c r="E901" t="s">
        <v>4692</v>
      </c>
      <c r="F901" t="s">
        <v>3027</v>
      </c>
      <c r="G901" t="s">
        <v>3031</v>
      </c>
      <c r="H901">
        <v>3</v>
      </c>
      <c r="I901" t="s">
        <v>4693</v>
      </c>
    </row>
    <row r="902" spans="1:9" x14ac:dyDescent="0.3">
      <c r="A902" t="s">
        <v>4687</v>
      </c>
      <c r="B902" t="s">
        <v>400</v>
      </c>
      <c r="C902" t="s">
        <v>4688</v>
      </c>
      <c r="D902" t="s">
        <v>3029</v>
      </c>
      <c r="E902" t="s">
        <v>4694</v>
      </c>
      <c r="F902" t="s">
        <v>3027</v>
      </c>
      <c r="G902" t="s">
        <v>3031</v>
      </c>
      <c r="H902">
        <v>4</v>
      </c>
      <c r="I902" t="s">
        <v>4695</v>
      </c>
    </row>
    <row r="903" spans="1:9" x14ac:dyDescent="0.3">
      <c r="A903" t="s">
        <v>4687</v>
      </c>
      <c r="B903" t="s">
        <v>400</v>
      </c>
      <c r="C903" t="s">
        <v>4688</v>
      </c>
      <c r="D903" t="s">
        <v>3029</v>
      </c>
      <c r="E903" t="s">
        <v>3118</v>
      </c>
      <c r="F903" t="s">
        <v>3027</v>
      </c>
      <c r="G903" t="s">
        <v>3031</v>
      </c>
      <c r="H903">
        <v>5</v>
      </c>
      <c r="I903" t="s">
        <v>24</v>
      </c>
    </row>
    <row r="904" spans="1:9" x14ac:dyDescent="0.3">
      <c r="A904" t="s">
        <v>4687</v>
      </c>
      <c r="B904" t="s">
        <v>400</v>
      </c>
      <c r="C904" t="s">
        <v>4688</v>
      </c>
      <c r="D904" t="s">
        <v>3029</v>
      </c>
      <c r="E904" t="s">
        <v>4696</v>
      </c>
      <c r="F904" t="s">
        <v>3027</v>
      </c>
      <c r="G904" t="s">
        <v>3031</v>
      </c>
      <c r="H904">
        <v>6</v>
      </c>
      <c r="I904" t="s">
        <v>4697</v>
      </c>
    </row>
    <row r="905" spans="1:9" x14ac:dyDescent="0.3">
      <c r="A905" t="s">
        <v>4687</v>
      </c>
      <c r="B905" t="s">
        <v>400</v>
      </c>
      <c r="C905" t="s">
        <v>4688</v>
      </c>
      <c r="D905" t="s">
        <v>3029</v>
      </c>
      <c r="E905" t="s">
        <v>4698</v>
      </c>
      <c r="F905" t="s">
        <v>3027</v>
      </c>
      <c r="G905" t="s">
        <v>3031</v>
      </c>
      <c r="H905">
        <v>7</v>
      </c>
      <c r="I905" t="s">
        <v>4699</v>
      </c>
    </row>
    <row r="906" spans="1:9" x14ac:dyDescent="0.3">
      <c r="A906" t="s">
        <v>4687</v>
      </c>
      <c r="B906" t="s">
        <v>400</v>
      </c>
      <c r="C906" t="s">
        <v>4688</v>
      </c>
      <c r="D906" t="s">
        <v>3029</v>
      </c>
      <c r="E906" t="s">
        <v>4700</v>
      </c>
      <c r="F906" t="s">
        <v>3027</v>
      </c>
      <c r="G906" t="s">
        <v>3031</v>
      </c>
      <c r="H906">
        <v>8</v>
      </c>
      <c r="I906" t="s">
        <v>4701</v>
      </c>
    </row>
    <row r="907" spans="1:9" x14ac:dyDescent="0.3">
      <c r="A907" t="s">
        <v>4687</v>
      </c>
      <c r="B907" t="s">
        <v>400</v>
      </c>
      <c r="C907" t="s">
        <v>4688</v>
      </c>
      <c r="D907" t="s">
        <v>3029</v>
      </c>
      <c r="E907" t="s">
        <v>4702</v>
      </c>
      <c r="F907" t="s">
        <v>3027</v>
      </c>
      <c r="G907" t="s">
        <v>3031</v>
      </c>
      <c r="H907">
        <v>9</v>
      </c>
      <c r="I907" t="s">
        <v>4703</v>
      </c>
    </row>
    <row r="908" spans="1:9" x14ac:dyDescent="0.3">
      <c r="A908" t="s">
        <v>4687</v>
      </c>
      <c r="B908" t="s">
        <v>400</v>
      </c>
      <c r="C908" t="s">
        <v>4688</v>
      </c>
      <c r="D908" t="s">
        <v>3029</v>
      </c>
      <c r="E908" t="s">
        <v>4704</v>
      </c>
      <c r="F908" t="s">
        <v>3027</v>
      </c>
      <c r="G908" t="s">
        <v>3031</v>
      </c>
      <c r="H908">
        <v>10</v>
      </c>
      <c r="I908" t="s">
        <v>4705</v>
      </c>
    </row>
    <row r="909" spans="1:9" x14ac:dyDescent="0.3">
      <c r="A909" t="s">
        <v>4687</v>
      </c>
      <c r="B909" t="s">
        <v>400</v>
      </c>
      <c r="C909" t="s">
        <v>4688</v>
      </c>
      <c r="D909" t="s">
        <v>3029</v>
      </c>
      <c r="E909" t="s">
        <v>4706</v>
      </c>
      <c r="F909" t="s">
        <v>3027</v>
      </c>
      <c r="G909" t="s">
        <v>3031</v>
      </c>
      <c r="H909">
        <v>11</v>
      </c>
      <c r="I909" t="s">
        <v>4707</v>
      </c>
    </row>
    <row r="910" spans="1:9" x14ac:dyDescent="0.3">
      <c r="A910" t="s">
        <v>4687</v>
      </c>
      <c r="B910" t="s">
        <v>400</v>
      </c>
      <c r="C910" t="s">
        <v>4688</v>
      </c>
      <c r="D910" t="s">
        <v>3029</v>
      </c>
      <c r="E910" t="s">
        <v>4708</v>
      </c>
      <c r="F910" t="s">
        <v>3027</v>
      </c>
      <c r="G910" t="s">
        <v>3031</v>
      </c>
      <c r="H910">
        <v>12</v>
      </c>
      <c r="I910" t="s">
        <v>4709</v>
      </c>
    </row>
    <row r="911" spans="1:9" x14ac:dyDescent="0.3">
      <c r="A911" t="s">
        <v>4687</v>
      </c>
      <c r="B911" t="s">
        <v>400</v>
      </c>
      <c r="C911" t="s">
        <v>4688</v>
      </c>
      <c r="D911" t="s">
        <v>3029</v>
      </c>
      <c r="E911" t="s">
        <v>4710</v>
      </c>
      <c r="F911" t="s">
        <v>3027</v>
      </c>
      <c r="G911" t="s">
        <v>3031</v>
      </c>
      <c r="H911">
        <v>13</v>
      </c>
      <c r="I911" t="s">
        <v>4711</v>
      </c>
    </row>
    <row r="912" spans="1:9" x14ac:dyDescent="0.3">
      <c r="A912" t="s">
        <v>4687</v>
      </c>
      <c r="B912" t="s">
        <v>400</v>
      </c>
      <c r="C912" t="s">
        <v>4688</v>
      </c>
      <c r="D912" t="s">
        <v>3029</v>
      </c>
      <c r="E912" t="s">
        <v>4712</v>
      </c>
      <c r="F912" t="s">
        <v>3027</v>
      </c>
      <c r="G912" t="s">
        <v>3031</v>
      </c>
      <c r="H912">
        <v>14</v>
      </c>
      <c r="I912" t="s">
        <v>4713</v>
      </c>
    </row>
    <row r="913" spans="1:9" x14ac:dyDescent="0.3">
      <c r="A913" t="s">
        <v>4687</v>
      </c>
      <c r="B913" t="s">
        <v>400</v>
      </c>
      <c r="C913" t="s">
        <v>4688</v>
      </c>
      <c r="D913" t="s">
        <v>3029</v>
      </c>
      <c r="E913" t="s">
        <v>4714</v>
      </c>
      <c r="F913" t="s">
        <v>3027</v>
      </c>
      <c r="G913" t="s">
        <v>3031</v>
      </c>
      <c r="H913">
        <v>15</v>
      </c>
      <c r="I913" t="s">
        <v>4715</v>
      </c>
    </row>
    <row r="914" spans="1:9" x14ac:dyDescent="0.3">
      <c r="A914" t="s">
        <v>4687</v>
      </c>
      <c r="B914" t="s">
        <v>400</v>
      </c>
      <c r="C914" t="s">
        <v>4688</v>
      </c>
      <c r="D914" t="s">
        <v>3029</v>
      </c>
      <c r="E914" t="s">
        <v>4716</v>
      </c>
      <c r="F914" t="s">
        <v>3027</v>
      </c>
      <c r="G914" t="s">
        <v>3031</v>
      </c>
      <c r="H914">
        <v>16</v>
      </c>
      <c r="I914" t="s">
        <v>4717</v>
      </c>
    </row>
    <row r="915" spans="1:9" x14ac:dyDescent="0.3">
      <c r="A915" t="s">
        <v>4687</v>
      </c>
      <c r="B915" t="s">
        <v>400</v>
      </c>
      <c r="C915" t="s">
        <v>4688</v>
      </c>
      <c r="D915" t="s">
        <v>3029</v>
      </c>
      <c r="E915" t="s">
        <v>4718</v>
      </c>
      <c r="F915" t="s">
        <v>3027</v>
      </c>
      <c r="G915" t="s">
        <v>3031</v>
      </c>
      <c r="H915">
        <v>17</v>
      </c>
      <c r="I915" t="s">
        <v>4719</v>
      </c>
    </row>
    <row r="916" spans="1:9" x14ac:dyDescent="0.3">
      <c r="A916" t="s">
        <v>4687</v>
      </c>
      <c r="B916" t="s">
        <v>400</v>
      </c>
      <c r="C916" t="s">
        <v>4688</v>
      </c>
      <c r="D916" t="s">
        <v>3029</v>
      </c>
      <c r="E916" t="s">
        <v>4720</v>
      </c>
      <c r="F916" t="s">
        <v>3027</v>
      </c>
      <c r="G916" t="s">
        <v>3031</v>
      </c>
      <c r="H916">
        <v>18</v>
      </c>
      <c r="I916" t="s">
        <v>4721</v>
      </c>
    </row>
    <row r="917" spans="1:9" x14ac:dyDescent="0.3">
      <c r="A917" t="s">
        <v>4687</v>
      </c>
      <c r="B917" t="s">
        <v>400</v>
      </c>
      <c r="C917" t="s">
        <v>4688</v>
      </c>
      <c r="D917" t="s">
        <v>3029</v>
      </c>
      <c r="E917" t="s">
        <v>4722</v>
      </c>
      <c r="F917" t="s">
        <v>3027</v>
      </c>
      <c r="G917" t="s">
        <v>3031</v>
      </c>
      <c r="H917">
        <v>19</v>
      </c>
      <c r="I917" t="s">
        <v>4723</v>
      </c>
    </row>
    <row r="918" spans="1:9" x14ac:dyDescent="0.3">
      <c r="A918" t="s">
        <v>4687</v>
      </c>
      <c r="B918" t="s">
        <v>400</v>
      </c>
      <c r="C918" t="s">
        <v>4688</v>
      </c>
      <c r="D918" t="s">
        <v>3029</v>
      </c>
      <c r="E918" t="s">
        <v>4724</v>
      </c>
      <c r="F918" t="s">
        <v>3027</v>
      </c>
      <c r="G918" t="s">
        <v>3031</v>
      </c>
      <c r="H918">
        <v>20</v>
      </c>
      <c r="I918" t="s">
        <v>4725</v>
      </c>
    </row>
    <row r="919" spans="1:9" x14ac:dyDescent="0.3">
      <c r="A919" t="s">
        <v>4726</v>
      </c>
      <c r="B919" t="s">
        <v>407</v>
      </c>
      <c r="C919" t="s">
        <v>4727</v>
      </c>
      <c r="D919" t="s">
        <v>3025</v>
      </c>
      <c r="E919" t="s">
        <v>3635</v>
      </c>
      <c r="F919" t="s">
        <v>3027</v>
      </c>
      <c r="G919" t="s">
        <v>3028</v>
      </c>
      <c r="H919">
        <v>1</v>
      </c>
      <c r="I919" t="s">
        <v>4727</v>
      </c>
    </row>
    <row r="920" spans="1:9" x14ac:dyDescent="0.3">
      <c r="A920" t="s">
        <v>4726</v>
      </c>
      <c r="B920" t="s">
        <v>407</v>
      </c>
      <c r="C920" t="s">
        <v>4727</v>
      </c>
      <c r="D920" t="s">
        <v>3029</v>
      </c>
      <c r="E920" t="s">
        <v>4728</v>
      </c>
      <c r="F920" t="s">
        <v>3027</v>
      </c>
      <c r="G920" t="s">
        <v>3031</v>
      </c>
      <c r="H920">
        <v>2</v>
      </c>
      <c r="I920" t="s">
        <v>4729</v>
      </c>
    </row>
    <row r="921" spans="1:9" x14ac:dyDescent="0.3">
      <c r="A921" t="s">
        <v>4726</v>
      </c>
      <c r="B921" t="s">
        <v>407</v>
      </c>
      <c r="C921" t="s">
        <v>4727</v>
      </c>
      <c r="D921" t="s">
        <v>3029</v>
      </c>
      <c r="E921" t="s">
        <v>4730</v>
      </c>
      <c r="F921" t="s">
        <v>3027</v>
      </c>
      <c r="G921" t="s">
        <v>3031</v>
      </c>
      <c r="H921">
        <v>3</v>
      </c>
      <c r="I921" t="s">
        <v>4731</v>
      </c>
    </row>
    <row r="922" spans="1:9" x14ac:dyDescent="0.3">
      <c r="A922" t="s">
        <v>4726</v>
      </c>
      <c r="B922" t="s">
        <v>407</v>
      </c>
      <c r="C922" t="s">
        <v>4727</v>
      </c>
      <c r="D922" t="s">
        <v>3029</v>
      </c>
      <c r="E922" t="s">
        <v>4732</v>
      </c>
      <c r="F922" t="s">
        <v>3027</v>
      </c>
      <c r="G922" t="s">
        <v>3031</v>
      </c>
      <c r="H922">
        <v>4</v>
      </c>
      <c r="I922" t="s">
        <v>4733</v>
      </c>
    </row>
    <row r="923" spans="1:9" x14ac:dyDescent="0.3">
      <c r="A923" t="s">
        <v>4726</v>
      </c>
      <c r="B923" t="s">
        <v>407</v>
      </c>
      <c r="C923" t="s">
        <v>4727</v>
      </c>
      <c r="D923" t="s">
        <v>3029</v>
      </c>
      <c r="E923" t="s">
        <v>4734</v>
      </c>
      <c r="F923" t="s">
        <v>3027</v>
      </c>
      <c r="G923" t="s">
        <v>3031</v>
      </c>
      <c r="H923">
        <v>5</v>
      </c>
      <c r="I923" t="s">
        <v>4735</v>
      </c>
    </row>
    <row r="924" spans="1:9" x14ac:dyDescent="0.3">
      <c r="A924" t="s">
        <v>4726</v>
      </c>
      <c r="B924" t="s">
        <v>407</v>
      </c>
      <c r="C924" t="s">
        <v>4727</v>
      </c>
      <c r="D924" t="s">
        <v>3029</v>
      </c>
      <c r="E924" t="s">
        <v>4736</v>
      </c>
      <c r="F924" t="s">
        <v>3027</v>
      </c>
      <c r="G924" t="s">
        <v>3031</v>
      </c>
      <c r="H924">
        <v>6</v>
      </c>
      <c r="I924" t="s">
        <v>4737</v>
      </c>
    </row>
    <row r="925" spans="1:9" x14ac:dyDescent="0.3">
      <c r="A925" t="s">
        <v>4726</v>
      </c>
      <c r="B925" t="s">
        <v>407</v>
      </c>
      <c r="C925" t="s">
        <v>4727</v>
      </c>
      <c r="D925" t="s">
        <v>3029</v>
      </c>
      <c r="E925" t="s">
        <v>4738</v>
      </c>
      <c r="F925" t="s">
        <v>3027</v>
      </c>
      <c r="G925" t="s">
        <v>3031</v>
      </c>
      <c r="H925">
        <v>7</v>
      </c>
      <c r="I925" t="s">
        <v>4739</v>
      </c>
    </row>
    <row r="926" spans="1:9" x14ac:dyDescent="0.3">
      <c r="A926" t="s">
        <v>4726</v>
      </c>
      <c r="B926" t="s">
        <v>407</v>
      </c>
      <c r="C926" t="s">
        <v>4727</v>
      </c>
      <c r="D926" t="s">
        <v>3029</v>
      </c>
      <c r="E926" t="s">
        <v>4740</v>
      </c>
      <c r="F926" t="s">
        <v>3027</v>
      </c>
      <c r="G926" t="s">
        <v>3031</v>
      </c>
      <c r="H926">
        <v>8</v>
      </c>
      <c r="I926" t="s">
        <v>4741</v>
      </c>
    </row>
    <row r="927" spans="1:9" x14ac:dyDescent="0.3">
      <c r="A927" t="s">
        <v>4726</v>
      </c>
      <c r="B927" t="s">
        <v>407</v>
      </c>
      <c r="C927" t="s">
        <v>4727</v>
      </c>
      <c r="D927" t="s">
        <v>3029</v>
      </c>
      <c r="E927" t="s">
        <v>4742</v>
      </c>
      <c r="F927" t="s">
        <v>3027</v>
      </c>
      <c r="G927" t="s">
        <v>3031</v>
      </c>
      <c r="H927">
        <v>9</v>
      </c>
      <c r="I927" t="s">
        <v>3432</v>
      </c>
    </row>
    <row r="928" spans="1:9" x14ac:dyDescent="0.3">
      <c r="A928" t="s">
        <v>4726</v>
      </c>
      <c r="B928" t="s">
        <v>407</v>
      </c>
      <c r="C928" t="s">
        <v>4727</v>
      </c>
      <c r="D928" t="s">
        <v>3029</v>
      </c>
      <c r="E928" t="s">
        <v>4743</v>
      </c>
      <c r="F928" t="s">
        <v>3027</v>
      </c>
      <c r="G928" t="s">
        <v>3031</v>
      </c>
      <c r="H928">
        <v>10</v>
      </c>
      <c r="I928" t="s">
        <v>4744</v>
      </c>
    </row>
    <row r="929" spans="1:9" x14ac:dyDescent="0.3">
      <c r="A929" t="s">
        <v>4726</v>
      </c>
      <c r="B929" t="s">
        <v>407</v>
      </c>
      <c r="C929" t="s">
        <v>4727</v>
      </c>
      <c r="D929" t="s">
        <v>3029</v>
      </c>
      <c r="E929" t="s">
        <v>4745</v>
      </c>
      <c r="F929" t="s">
        <v>3027</v>
      </c>
      <c r="G929" t="s">
        <v>3031</v>
      </c>
      <c r="H929">
        <v>11</v>
      </c>
      <c r="I929" t="s">
        <v>4746</v>
      </c>
    </row>
    <row r="930" spans="1:9" x14ac:dyDescent="0.3">
      <c r="A930" t="s">
        <v>4726</v>
      </c>
      <c r="B930" t="s">
        <v>407</v>
      </c>
      <c r="C930" t="s">
        <v>4727</v>
      </c>
      <c r="D930" t="s">
        <v>3029</v>
      </c>
      <c r="E930" t="s">
        <v>4747</v>
      </c>
      <c r="F930" t="s">
        <v>3027</v>
      </c>
      <c r="G930" t="s">
        <v>3031</v>
      </c>
      <c r="H930">
        <v>12</v>
      </c>
      <c r="I930" t="s">
        <v>4748</v>
      </c>
    </row>
    <row r="931" spans="1:9" x14ac:dyDescent="0.3">
      <c r="A931" t="s">
        <v>4726</v>
      </c>
      <c r="B931" t="s">
        <v>407</v>
      </c>
      <c r="C931" t="s">
        <v>4727</v>
      </c>
      <c r="D931" t="s">
        <v>3029</v>
      </c>
      <c r="E931" t="s">
        <v>4749</v>
      </c>
      <c r="F931" t="s">
        <v>3027</v>
      </c>
      <c r="G931" t="s">
        <v>3031</v>
      </c>
      <c r="H931">
        <v>13</v>
      </c>
      <c r="I931" t="s">
        <v>4750</v>
      </c>
    </row>
    <row r="932" spans="1:9" x14ac:dyDescent="0.3">
      <c r="A932" t="s">
        <v>4726</v>
      </c>
      <c r="B932" t="s">
        <v>407</v>
      </c>
      <c r="C932" t="s">
        <v>4727</v>
      </c>
      <c r="D932" t="s">
        <v>3029</v>
      </c>
      <c r="E932" t="s">
        <v>4751</v>
      </c>
      <c r="F932" t="s">
        <v>3027</v>
      </c>
      <c r="G932" t="s">
        <v>3031</v>
      </c>
      <c r="H932">
        <v>14</v>
      </c>
      <c r="I932" t="s">
        <v>2185</v>
      </c>
    </row>
    <row r="933" spans="1:9" x14ac:dyDescent="0.3">
      <c r="A933" t="s">
        <v>4726</v>
      </c>
      <c r="B933" t="s">
        <v>407</v>
      </c>
      <c r="C933" t="s">
        <v>4727</v>
      </c>
      <c r="D933" t="s">
        <v>3029</v>
      </c>
      <c r="E933" t="s">
        <v>4752</v>
      </c>
      <c r="F933" t="s">
        <v>3027</v>
      </c>
      <c r="G933" t="s">
        <v>3031</v>
      </c>
      <c r="H933">
        <v>15</v>
      </c>
      <c r="I933" t="s">
        <v>4753</v>
      </c>
    </row>
    <row r="934" spans="1:9" x14ac:dyDescent="0.3">
      <c r="A934" t="s">
        <v>4726</v>
      </c>
      <c r="B934" t="s">
        <v>407</v>
      </c>
      <c r="C934" t="s">
        <v>4727</v>
      </c>
      <c r="D934" t="s">
        <v>3029</v>
      </c>
      <c r="E934" t="s">
        <v>4754</v>
      </c>
      <c r="F934" t="s">
        <v>3027</v>
      </c>
      <c r="G934" t="s">
        <v>3031</v>
      </c>
      <c r="H934">
        <v>16</v>
      </c>
      <c r="I934" t="s">
        <v>4755</v>
      </c>
    </row>
    <row r="935" spans="1:9" x14ac:dyDescent="0.3">
      <c r="A935" t="s">
        <v>4726</v>
      </c>
      <c r="B935" t="s">
        <v>407</v>
      </c>
      <c r="C935" t="s">
        <v>4727</v>
      </c>
      <c r="D935" t="s">
        <v>3029</v>
      </c>
      <c r="E935" t="s">
        <v>4756</v>
      </c>
      <c r="F935" t="s">
        <v>3027</v>
      </c>
      <c r="G935" t="s">
        <v>3031</v>
      </c>
      <c r="H935">
        <v>17</v>
      </c>
      <c r="I935" t="s">
        <v>4757</v>
      </c>
    </row>
    <row r="936" spans="1:9" x14ac:dyDescent="0.3">
      <c r="A936" t="s">
        <v>4726</v>
      </c>
      <c r="B936" t="s">
        <v>407</v>
      </c>
      <c r="C936" t="s">
        <v>4727</v>
      </c>
      <c r="D936" t="s">
        <v>3029</v>
      </c>
      <c r="E936" t="s">
        <v>4758</v>
      </c>
      <c r="F936" t="s">
        <v>3027</v>
      </c>
      <c r="G936" t="s">
        <v>3031</v>
      </c>
      <c r="H936">
        <v>18</v>
      </c>
      <c r="I936" t="s">
        <v>4759</v>
      </c>
    </row>
    <row r="937" spans="1:9" x14ac:dyDescent="0.3">
      <c r="A937" t="s">
        <v>4726</v>
      </c>
      <c r="B937" t="s">
        <v>407</v>
      </c>
      <c r="C937" t="s">
        <v>4727</v>
      </c>
      <c r="D937" t="s">
        <v>3029</v>
      </c>
      <c r="E937" t="s">
        <v>4760</v>
      </c>
      <c r="F937" t="s">
        <v>3027</v>
      </c>
      <c r="G937" t="s">
        <v>3031</v>
      </c>
      <c r="H937">
        <v>19</v>
      </c>
      <c r="I937" t="s">
        <v>4761</v>
      </c>
    </row>
    <row r="938" spans="1:9" x14ac:dyDescent="0.3">
      <c r="A938" t="s">
        <v>4726</v>
      </c>
      <c r="B938" t="s">
        <v>407</v>
      </c>
      <c r="C938" t="s">
        <v>4727</v>
      </c>
      <c r="D938" t="s">
        <v>3029</v>
      </c>
      <c r="E938" t="s">
        <v>4762</v>
      </c>
      <c r="F938" t="s">
        <v>3027</v>
      </c>
      <c r="G938" t="s">
        <v>3031</v>
      </c>
      <c r="H938">
        <v>20</v>
      </c>
      <c r="I938" t="s">
        <v>4763</v>
      </c>
    </row>
    <row r="939" spans="1:9" x14ac:dyDescent="0.3">
      <c r="A939" t="s">
        <v>4764</v>
      </c>
      <c r="B939" t="s">
        <v>413</v>
      </c>
      <c r="C939" t="s">
        <v>4765</v>
      </c>
      <c r="D939" t="s">
        <v>3025</v>
      </c>
      <c r="E939" t="s">
        <v>4766</v>
      </c>
      <c r="F939" t="s">
        <v>3027</v>
      </c>
      <c r="G939" t="s">
        <v>3028</v>
      </c>
      <c r="H939">
        <v>1</v>
      </c>
      <c r="I939" t="s">
        <v>4765</v>
      </c>
    </row>
    <row r="940" spans="1:9" x14ac:dyDescent="0.3">
      <c r="A940" t="s">
        <v>4764</v>
      </c>
      <c r="B940" t="s">
        <v>413</v>
      </c>
      <c r="C940" t="s">
        <v>4765</v>
      </c>
      <c r="D940" t="s">
        <v>3029</v>
      </c>
      <c r="E940" t="s">
        <v>4767</v>
      </c>
      <c r="F940" t="s">
        <v>3027</v>
      </c>
      <c r="G940" t="s">
        <v>3031</v>
      </c>
      <c r="H940">
        <v>2</v>
      </c>
      <c r="I940" t="s">
        <v>4768</v>
      </c>
    </row>
    <row r="941" spans="1:9" x14ac:dyDescent="0.3">
      <c r="A941" t="s">
        <v>4764</v>
      </c>
      <c r="B941" t="s">
        <v>413</v>
      </c>
      <c r="C941" t="s">
        <v>4765</v>
      </c>
      <c r="D941" t="s">
        <v>3029</v>
      </c>
      <c r="E941" t="s">
        <v>4769</v>
      </c>
      <c r="F941" t="s">
        <v>3027</v>
      </c>
      <c r="G941" t="s">
        <v>3031</v>
      </c>
      <c r="H941">
        <v>3</v>
      </c>
      <c r="I941" t="s">
        <v>4770</v>
      </c>
    </row>
    <row r="942" spans="1:9" x14ac:dyDescent="0.3">
      <c r="A942" t="s">
        <v>4764</v>
      </c>
      <c r="B942" t="s">
        <v>413</v>
      </c>
      <c r="C942" t="s">
        <v>4765</v>
      </c>
      <c r="D942" t="s">
        <v>3029</v>
      </c>
      <c r="E942" t="s">
        <v>4771</v>
      </c>
      <c r="F942" t="s">
        <v>3027</v>
      </c>
      <c r="G942" t="s">
        <v>3031</v>
      </c>
      <c r="H942">
        <v>4</v>
      </c>
      <c r="I942" t="s">
        <v>4772</v>
      </c>
    </row>
    <row r="943" spans="1:9" x14ac:dyDescent="0.3">
      <c r="A943" t="s">
        <v>4764</v>
      </c>
      <c r="B943" t="s">
        <v>413</v>
      </c>
      <c r="C943" t="s">
        <v>4765</v>
      </c>
      <c r="D943" t="s">
        <v>3029</v>
      </c>
      <c r="E943" t="s">
        <v>4773</v>
      </c>
      <c r="F943" t="s">
        <v>3027</v>
      </c>
      <c r="G943" t="s">
        <v>3031</v>
      </c>
      <c r="H943">
        <v>5</v>
      </c>
      <c r="I943" t="s">
        <v>4774</v>
      </c>
    </row>
    <row r="944" spans="1:9" x14ac:dyDescent="0.3">
      <c r="A944" t="s">
        <v>4764</v>
      </c>
      <c r="B944" t="s">
        <v>413</v>
      </c>
      <c r="C944" t="s">
        <v>4765</v>
      </c>
      <c r="D944" t="s">
        <v>3029</v>
      </c>
      <c r="E944" t="s">
        <v>4775</v>
      </c>
      <c r="F944" t="s">
        <v>3027</v>
      </c>
      <c r="G944" t="s">
        <v>3031</v>
      </c>
      <c r="H944">
        <v>6</v>
      </c>
      <c r="I944" t="s">
        <v>4776</v>
      </c>
    </row>
    <row r="945" spans="1:9" x14ac:dyDescent="0.3">
      <c r="A945" t="s">
        <v>4764</v>
      </c>
      <c r="B945" t="s">
        <v>413</v>
      </c>
      <c r="C945" t="s">
        <v>4765</v>
      </c>
      <c r="D945" t="s">
        <v>3029</v>
      </c>
      <c r="E945" t="s">
        <v>4777</v>
      </c>
      <c r="F945" t="s">
        <v>3027</v>
      </c>
      <c r="G945" t="s">
        <v>3031</v>
      </c>
      <c r="H945">
        <v>7</v>
      </c>
      <c r="I945" t="s">
        <v>4778</v>
      </c>
    </row>
    <row r="946" spans="1:9" x14ac:dyDescent="0.3">
      <c r="A946" t="s">
        <v>4764</v>
      </c>
      <c r="B946" t="s">
        <v>413</v>
      </c>
      <c r="C946" t="s">
        <v>4765</v>
      </c>
      <c r="D946" t="s">
        <v>3029</v>
      </c>
      <c r="E946" t="s">
        <v>4779</v>
      </c>
      <c r="F946" t="s">
        <v>3027</v>
      </c>
      <c r="G946" t="s">
        <v>3031</v>
      </c>
      <c r="H946">
        <v>8</v>
      </c>
      <c r="I946" t="s">
        <v>4780</v>
      </c>
    </row>
    <row r="947" spans="1:9" x14ac:dyDescent="0.3">
      <c r="A947" t="s">
        <v>4764</v>
      </c>
      <c r="B947" t="s">
        <v>413</v>
      </c>
      <c r="C947" t="s">
        <v>4765</v>
      </c>
      <c r="D947" t="s">
        <v>3029</v>
      </c>
      <c r="E947" t="s">
        <v>4781</v>
      </c>
      <c r="F947" t="s">
        <v>3027</v>
      </c>
      <c r="G947" t="s">
        <v>3031</v>
      </c>
      <c r="H947">
        <v>9</v>
      </c>
      <c r="I947" t="s">
        <v>4782</v>
      </c>
    </row>
    <row r="948" spans="1:9" x14ac:dyDescent="0.3">
      <c r="A948" t="s">
        <v>4764</v>
      </c>
      <c r="B948" t="s">
        <v>413</v>
      </c>
      <c r="C948" t="s">
        <v>4765</v>
      </c>
      <c r="D948" t="s">
        <v>3029</v>
      </c>
      <c r="E948" t="s">
        <v>4783</v>
      </c>
      <c r="F948" t="s">
        <v>3027</v>
      </c>
      <c r="G948" t="s">
        <v>3031</v>
      </c>
      <c r="H948">
        <v>10</v>
      </c>
      <c r="I948" t="s">
        <v>4784</v>
      </c>
    </row>
    <row r="949" spans="1:9" x14ac:dyDescent="0.3">
      <c r="A949" t="s">
        <v>4764</v>
      </c>
      <c r="B949" t="s">
        <v>413</v>
      </c>
      <c r="C949" t="s">
        <v>4765</v>
      </c>
      <c r="D949" t="s">
        <v>3029</v>
      </c>
      <c r="E949" t="s">
        <v>4785</v>
      </c>
      <c r="F949" t="s">
        <v>3027</v>
      </c>
      <c r="G949" t="s">
        <v>3031</v>
      </c>
      <c r="H949">
        <v>11</v>
      </c>
      <c r="I949" t="s">
        <v>4786</v>
      </c>
    </row>
    <row r="950" spans="1:9" x14ac:dyDescent="0.3">
      <c r="A950" t="s">
        <v>4764</v>
      </c>
      <c r="B950" t="s">
        <v>413</v>
      </c>
      <c r="C950" t="s">
        <v>4765</v>
      </c>
      <c r="D950" t="s">
        <v>3029</v>
      </c>
      <c r="E950" t="s">
        <v>4787</v>
      </c>
      <c r="F950" t="s">
        <v>3027</v>
      </c>
      <c r="G950" t="s">
        <v>3031</v>
      </c>
      <c r="H950">
        <v>12</v>
      </c>
      <c r="I950" t="s">
        <v>4788</v>
      </c>
    </row>
    <row r="951" spans="1:9" x14ac:dyDescent="0.3">
      <c r="A951" t="s">
        <v>4764</v>
      </c>
      <c r="B951" t="s">
        <v>413</v>
      </c>
      <c r="C951" t="s">
        <v>4765</v>
      </c>
      <c r="D951" t="s">
        <v>3029</v>
      </c>
      <c r="E951" t="s">
        <v>4789</v>
      </c>
      <c r="F951" t="s">
        <v>3027</v>
      </c>
      <c r="G951" t="s">
        <v>3031</v>
      </c>
      <c r="H951">
        <v>13</v>
      </c>
      <c r="I951" t="s">
        <v>4790</v>
      </c>
    </row>
    <row r="952" spans="1:9" x14ac:dyDescent="0.3">
      <c r="A952" t="s">
        <v>4764</v>
      </c>
      <c r="B952" t="s">
        <v>413</v>
      </c>
      <c r="C952" t="s">
        <v>4765</v>
      </c>
      <c r="D952" t="s">
        <v>3029</v>
      </c>
      <c r="E952" t="s">
        <v>4791</v>
      </c>
      <c r="F952" t="s">
        <v>3027</v>
      </c>
      <c r="G952" t="s">
        <v>3031</v>
      </c>
      <c r="H952">
        <v>14</v>
      </c>
      <c r="I952" t="s">
        <v>4792</v>
      </c>
    </row>
    <row r="953" spans="1:9" x14ac:dyDescent="0.3">
      <c r="A953" t="s">
        <v>4764</v>
      </c>
      <c r="B953" t="s">
        <v>413</v>
      </c>
      <c r="C953" t="s">
        <v>4765</v>
      </c>
      <c r="D953" t="s">
        <v>3029</v>
      </c>
      <c r="E953" t="s">
        <v>4793</v>
      </c>
      <c r="F953" t="s">
        <v>3027</v>
      </c>
      <c r="G953" t="s">
        <v>3031</v>
      </c>
      <c r="H953">
        <v>15</v>
      </c>
      <c r="I953" t="s">
        <v>4794</v>
      </c>
    </row>
    <row r="954" spans="1:9" x14ac:dyDescent="0.3">
      <c r="A954" t="s">
        <v>4764</v>
      </c>
      <c r="B954" t="s">
        <v>413</v>
      </c>
      <c r="C954" t="s">
        <v>4765</v>
      </c>
      <c r="D954" t="s">
        <v>3029</v>
      </c>
      <c r="E954" t="s">
        <v>3174</v>
      </c>
      <c r="F954" t="s">
        <v>3027</v>
      </c>
      <c r="G954" t="s">
        <v>3031</v>
      </c>
      <c r="H954">
        <v>16</v>
      </c>
      <c r="I954" t="s">
        <v>3175</v>
      </c>
    </row>
    <row r="955" spans="1:9" x14ac:dyDescent="0.3">
      <c r="A955" t="s">
        <v>4764</v>
      </c>
      <c r="B955" t="s">
        <v>413</v>
      </c>
      <c r="C955" t="s">
        <v>4765</v>
      </c>
      <c r="D955" t="s">
        <v>3029</v>
      </c>
      <c r="E955" t="s">
        <v>4795</v>
      </c>
      <c r="F955" t="s">
        <v>3027</v>
      </c>
      <c r="G955" t="s">
        <v>3031</v>
      </c>
      <c r="H955">
        <v>17</v>
      </c>
      <c r="I955" t="s">
        <v>4796</v>
      </c>
    </row>
    <row r="956" spans="1:9" x14ac:dyDescent="0.3">
      <c r="A956" t="s">
        <v>4764</v>
      </c>
      <c r="B956" t="s">
        <v>413</v>
      </c>
      <c r="C956" t="s">
        <v>4765</v>
      </c>
      <c r="D956" t="s">
        <v>3029</v>
      </c>
      <c r="E956" t="s">
        <v>4797</v>
      </c>
      <c r="F956" t="s">
        <v>3027</v>
      </c>
      <c r="G956" t="s">
        <v>3031</v>
      </c>
      <c r="H956">
        <v>18</v>
      </c>
      <c r="I956" t="s">
        <v>4798</v>
      </c>
    </row>
    <row r="957" spans="1:9" x14ac:dyDescent="0.3">
      <c r="A957" t="s">
        <v>4764</v>
      </c>
      <c r="B957" t="s">
        <v>413</v>
      </c>
      <c r="C957" t="s">
        <v>4765</v>
      </c>
      <c r="D957" t="s">
        <v>3029</v>
      </c>
      <c r="E957" t="s">
        <v>4799</v>
      </c>
      <c r="F957" t="s">
        <v>3027</v>
      </c>
      <c r="G957" t="s">
        <v>3031</v>
      </c>
      <c r="H957">
        <v>19</v>
      </c>
      <c r="I957" t="s">
        <v>4800</v>
      </c>
    </row>
    <row r="958" spans="1:9" x14ac:dyDescent="0.3">
      <c r="A958" t="s">
        <v>4764</v>
      </c>
      <c r="B958" t="s">
        <v>413</v>
      </c>
      <c r="C958" t="s">
        <v>4765</v>
      </c>
      <c r="D958" t="s">
        <v>3029</v>
      </c>
      <c r="E958" t="s">
        <v>4801</v>
      </c>
      <c r="F958" t="s">
        <v>3027</v>
      </c>
      <c r="G958" t="s">
        <v>3031</v>
      </c>
      <c r="H958">
        <v>20</v>
      </c>
      <c r="I958" t="s">
        <v>4802</v>
      </c>
    </row>
    <row r="959" spans="1:9" x14ac:dyDescent="0.3">
      <c r="A959" t="s">
        <v>4803</v>
      </c>
      <c r="B959" t="s">
        <v>421</v>
      </c>
      <c r="C959" t="s">
        <v>4804</v>
      </c>
      <c r="D959" t="s">
        <v>3025</v>
      </c>
      <c r="E959" t="s">
        <v>4805</v>
      </c>
      <c r="F959" t="s">
        <v>3027</v>
      </c>
      <c r="G959" t="s">
        <v>3028</v>
      </c>
      <c r="H959">
        <v>1</v>
      </c>
      <c r="I959" t="s">
        <v>4804</v>
      </c>
    </row>
    <row r="960" spans="1:9" x14ac:dyDescent="0.3">
      <c r="A960" t="s">
        <v>4803</v>
      </c>
      <c r="B960" t="s">
        <v>421</v>
      </c>
      <c r="C960" t="s">
        <v>4804</v>
      </c>
      <c r="D960" t="s">
        <v>3029</v>
      </c>
      <c r="E960" t="s">
        <v>4806</v>
      </c>
      <c r="F960" t="s">
        <v>3027</v>
      </c>
      <c r="G960" t="s">
        <v>3031</v>
      </c>
      <c r="H960">
        <v>2</v>
      </c>
      <c r="I960" t="s">
        <v>4807</v>
      </c>
    </row>
    <row r="961" spans="1:9" x14ac:dyDescent="0.3">
      <c r="A961" t="s">
        <v>4803</v>
      </c>
      <c r="B961" t="s">
        <v>421</v>
      </c>
      <c r="C961" t="s">
        <v>4804</v>
      </c>
      <c r="D961" t="s">
        <v>3029</v>
      </c>
      <c r="E961" t="s">
        <v>4808</v>
      </c>
      <c r="F961" t="s">
        <v>3027</v>
      </c>
      <c r="G961" t="s">
        <v>3031</v>
      </c>
      <c r="H961">
        <v>3</v>
      </c>
      <c r="I961" t="s">
        <v>4809</v>
      </c>
    </row>
    <row r="962" spans="1:9" x14ac:dyDescent="0.3">
      <c r="A962" t="s">
        <v>4803</v>
      </c>
      <c r="B962" t="s">
        <v>421</v>
      </c>
      <c r="C962" t="s">
        <v>4804</v>
      </c>
      <c r="D962" t="s">
        <v>3029</v>
      </c>
      <c r="E962" t="s">
        <v>4810</v>
      </c>
      <c r="F962" t="s">
        <v>3027</v>
      </c>
      <c r="G962" t="s">
        <v>3031</v>
      </c>
      <c r="H962">
        <v>4</v>
      </c>
      <c r="I962" t="s">
        <v>4811</v>
      </c>
    </row>
    <row r="963" spans="1:9" x14ac:dyDescent="0.3">
      <c r="A963" t="s">
        <v>4803</v>
      </c>
      <c r="B963" t="s">
        <v>421</v>
      </c>
      <c r="C963" t="s">
        <v>4804</v>
      </c>
      <c r="D963" t="s">
        <v>3029</v>
      </c>
      <c r="E963" t="s">
        <v>4812</v>
      </c>
      <c r="F963" t="s">
        <v>3027</v>
      </c>
      <c r="G963" t="s">
        <v>3031</v>
      </c>
      <c r="H963">
        <v>5</v>
      </c>
      <c r="I963" t="s">
        <v>4813</v>
      </c>
    </row>
    <row r="964" spans="1:9" x14ac:dyDescent="0.3">
      <c r="A964" t="s">
        <v>4803</v>
      </c>
      <c r="B964" t="s">
        <v>421</v>
      </c>
      <c r="C964" t="s">
        <v>4804</v>
      </c>
      <c r="D964" t="s">
        <v>3029</v>
      </c>
      <c r="E964" t="s">
        <v>4814</v>
      </c>
      <c r="F964" t="s">
        <v>3027</v>
      </c>
      <c r="G964" t="s">
        <v>3031</v>
      </c>
      <c r="H964">
        <v>6</v>
      </c>
      <c r="I964" t="s">
        <v>4815</v>
      </c>
    </row>
    <row r="965" spans="1:9" x14ac:dyDescent="0.3">
      <c r="A965" t="s">
        <v>4803</v>
      </c>
      <c r="B965" t="s">
        <v>421</v>
      </c>
      <c r="C965" t="s">
        <v>4804</v>
      </c>
      <c r="D965" t="s">
        <v>3029</v>
      </c>
      <c r="E965" t="s">
        <v>4816</v>
      </c>
      <c r="F965" t="s">
        <v>3027</v>
      </c>
      <c r="G965" t="s">
        <v>3031</v>
      </c>
      <c r="H965">
        <v>7</v>
      </c>
      <c r="I965" t="s">
        <v>4817</v>
      </c>
    </row>
    <row r="966" spans="1:9" x14ac:dyDescent="0.3">
      <c r="A966" t="s">
        <v>4803</v>
      </c>
      <c r="B966" t="s">
        <v>421</v>
      </c>
      <c r="C966" t="s">
        <v>4804</v>
      </c>
      <c r="D966" t="s">
        <v>3029</v>
      </c>
      <c r="E966" t="s">
        <v>4818</v>
      </c>
      <c r="F966" t="s">
        <v>3027</v>
      </c>
      <c r="G966" t="s">
        <v>3031</v>
      </c>
      <c r="H966">
        <v>8</v>
      </c>
      <c r="I966" t="s">
        <v>4819</v>
      </c>
    </row>
    <row r="967" spans="1:9" x14ac:dyDescent="0.3">
      <c r="A967" t="s">
        <v>4803</v>
      </c>
      <c r="B967" t="s">
        <v>421</v>
      </c>
      <c r="C967" t="s">
        <v>4804</v>
      </c>
      <c r="D967" t="s">
        <v>3029</v>
      </c>
      <c r="E967" t="s">
        <v>4820</v>
      </c>
      <c r="F967" t="s">
        <v>3027</v>
      </c>
      <c r="G967" t="s">
        <v>3031</v>
      </c>
      <c r="H967">
        <v>9</v>
      </c>
      <c r="I967" t="s">
        <v>4821</v>
      </c>
    </row>
    <row r="968" spans="1:9" x14ac:dyDescent="0.3">
      <c r="A968" t="s">
        <v>4803</v>
      </c>
      <c r="B968" t="s">
        <v>421</v>
      </c>
      <c r="C968" t="s">
        <v>4804</v>
      </c>
      <c r="D968" t="s">
        <v>3029</v>
      </c>
      <c r="E968" t="s">
        <v>4822</v>
      </c>
      <c r="F968" t="s">
        <v>3027</v>
      </c>
      <c r="G968" t="s">
        <v>3031</v>
      </c>
      <c r="H968">
        <v>10</v>
      </c>
      <c r="I968" t="s">
        <v>4823</v>
      </c>
    </row>
    <row r="969" spans="1:9" x14ac:dyDescent="0.3">
      <c r="A969" t="s">
        <v>4803</v>
      </c>
      <c r="B969" t="s">
        <v>421</v>
      </c>
      <c r="C969" t="s">
        <v>4804</v>
      </c>
      <c r="D969" t="s">
        <v>3029</v>
      </c>
      <c r="E969" t="s">
        <v>4824</v>
      </c>
      <c r="F969" t="s">
        <v>3027</v>
      </c>
      <c r="G969" t="s">
        <v>3031</v>
      </c>
      <c r="H969">
        <v>11</v>
      </c>
      <c r="I969" t="s">
        <v>4825</v>
      </c>
    </row>
    <row r="970" spans="1:9" x14ac:dyDescent="0.3">
      <c r="A970" t="s">
        <v>4803</v>
      </c>
      <c r="B970" t="s">
        <v>421</v>
      </c>
      <c r="C970" t="s">
        <v>4804</v>
      </c>
      <c r="D970" t="s">
        <v>3029</v>
      </c>
      <c r="E970" t="s">
        <v>4826</v>
      </c>
      <c r="F970" t="s">
        <v>3027</v>
      </c>
      <c r="G970" t="s">
        <v>3031</v>
      </c>
      <c r="H970">
        <v>12</v>
      </c>
      <c r="I970" t="s">
        <v>4827</v>
      </c>
    </row>
    <row r="971" spans="1:9" x14ac:dyDescent="0.3">
      <c r="A971" t="s">
        <v>4803</v>
      </c>
      <c r="B971" t="s">
        <v>421</v>
      </c>
      <c r="C971" t="s">
        <v>4804</v>
      </c>
      <c r="D971" t="s">
        <v>3029</v>
      </c>
      <c r="E971" t="s">
        <v>4828</v>
      </c>
      <c r="F971" t="s">
        <v>3027</v>
      </c>
      <c r="G971" t="s">
        <v>3031</v>
      </c>
      <c r="H971">
        <v>13</v>
      </c>
      <c r="I971" t="s">
        <v>4829</v>
      </c>
    </row>
    <row r="972" spans="1:9" x14ac:dyDescent="0.3">
      <c r="A972" t="s">
        <v>4803</v>
      </c>
      <c r="B972" t="s">
        <v>421</v>
      </c>
      <c r="C972" t="s">
        <v>4804</v>
      </c>
      <c r="D972" t="s">
        <v>3029</v>
      </c>
      <c r="E972" t="s">
        <v>4830</v>
      </c>
      <c r="F972" t="s">
        <v>3027</v>
      </c>
      <c r="G972" t="s">
        <v>3031</v>
      </c>
      <c r="H972">
        <v>14</v>
      </c>
      <c r="I972" t="s">
        <v>4831</v>
      </c>
    </row>
    <row r="973" spans="1:9" x14ac:dyDescent="0.3">
      <c r="A973" t="s">
        <v>4803</v>
      </c>
      <c r="B973" t="s">
        <v>421</v>
      </c>
      <c r="C973" t="s">
        <v>4804</v>
      </c>
      <c r="D973" t="s">
        <v>3029</v>
      </c>
      <c r="E973" t="s">
        <v>4832</v>
      </c>
      <c r="F973" t="s">
        <v>3027</v>
      </c>
      <c r="G973" t="s">
        <v>3031</v>
      </c>
      <c r="H973">
        <v>15</v>
      </c>
      <c r="I973" t="s">
        <v>4833</v>
      </c>
    </row>
    <row r="974" spans="1:9" x14ac:dyDescent="0.3">
      <c r="A974" t="s">
        <v>4803</v>
      </c>
      <c r="B974" t="s">
        <v>421</v>
      </c>
      <c r="C974" t="s">
        <v>4804</v>
      </c>
      <c r="D974" t="s">
        <v>3029</v>
      </c>
      <c r="E974" t="s">
        <v>4834</v>
      </c>
      <c r="F974" t="s">
        <v>3027</v>
      </c>
      <c r="G974" t="s">
        <v>3031</v>
      </c>
      <c r="H974">
        <v>16</v>
      </c>
      <c r="I974" t="s">
        <v>4835</v>
      </c>
    </row>
    <row r="975" spans="1:9" x14ac:dyDescent="0.3">
      <c r="A975" t="s">
        <v>4803</v>
      </c>
      <c r="B975" t="s">
        <v>421</v>
      </c>
      <c r="C975" t="s">
        <v>4804</v>
      </c>
      <c r="D975" t="s">
        <v>3029</v>
      </c>
      <c r="E975" t="s">
        <v>4836</v>
      </c>
      <c r="F975" t="s">
        <v>3027</v>
      </c>
      <c r="G975" t="s">
        <v>3031</v>
      </c>
      <c r="H975">
        <v>17</v>
      </c>
      <c r="I975" t="s">
        <v>4837</v>
      </c>
    </row>
    <row r="976" spans="1:9" x14ac:dyDescent="0.3">
      <c r="A976" t="s">
        <v>4803</v>
      </c>
      <c r="B976" t="s">
        <v>421</v>
      </c>
      <c r="C976" t="s">
        <v>4804</v>
      </c>
      <c r="D976" t="s">
        <v>3029</v>
      </c>
      <c r="E976" t="s">
        <v>4838</v>
      </c>
      <c r="F976" t="s">
        <v>3027</v>
      </c>
      <c r="G976" t="s">
        <v>3031</v>
      </c>
      <c r="H976">
        <v>18</v>
      </c>
      <c r="I976" t="s">
        <v>4839</v>
      </c>
    </row>
    <row r="977" spans="1:9" x14ac:dyDescent="0.3">
      <c r="A977" t="s">
        <v>4803</v>
      </c>
      <c r="B977" t="s">
        <v>421</v>
      </c>
      <c r="C977" t="s">
        <v>4804</v>
      </c>
      <c r="D977" t="s">
        <v>3029</v>
      </c>
      <c r="E977" t="s">
        <v>4840</v>
      </c>
      <c r="F977" t="s">
        <v>3027</v>
      </c>
      <c r="G977" t="s">
        <v>3031</v>
      </c>
      <c r="H977">
        <v>19</v>
      </c>
      <c r="I977" t="s">
        <v>4841</v>
      </c>
    </row>
    <row r="978" spans="1:9" x14ac:dyDescent="0.3">
      <c r="A978" t="s">
        <v>4803</v>
      </c>
      <c r="B978" t="s">
        <v>421</v>
      </c>
      <c r="C978" t="s">
        <v>4804</v>
      </c>
      <c r="D978" t="s">
        <v>3029</v>
      </c>
      <c r="E978" t="s">
        <v>4842</v>
      </c>
      <c r="F978" t="s">
        <v>3027</v>
      </c>
      <c r="G978" t="s">
        <v>3031</v>
      </c>
      <c r="H978">
        <v>20</v>
      </c>
      <c r="I978" t="s">
        <v>4843</v>
      </c>
    </row>
    <row r="979" spans="1:9" x14ac:dyDescent="0.3">
      <c r="A979" t="s">
        <v>4844</v>
      </c>
      <c r="B979" t="s">
        <v>427</v>
      </c>
      <c r="C979" t="s">
        <v>4845</v>
      </c>
      <c r="D979" t="s">
        <v>3025</v>
      </c>
      <c r="E979" t="s">
        <v>4846</v>
      </c>
      <c r="F979" t="s">
        <v>3027</v>
      </c>
      <c r="G979" t="s">
        <v>3028</v>
      </c>
      <c r="H979">
        <v>1</v>
      </c>
      <c r="I979" t="s">
        <v>4845</v>
      </c>
    </row>
    <row r="980" spans="1:9" x14ac:dyDescent="0.3">
      <c r="A980" t="s">
        <v>4844</v>
      </c>
      <c r="B980" t="s">
        <v>427</v>
      </c>
      <c r="C980" t="s">
        <v>4845</v>
      </c>
      <c r="D980" t="s">
        <v>3029</v>
      </c>
      <c r="E980" t="s">
        <v>4847</v>
      </c>
      <c r="F980" t="s">
        <v>3027</v>
      </c>
      <c r="G980" t="s">
        <v>3031</v>
      </c>
      <c r="H980">
        <v>2</v>
      </c>
      <c r="I980" t="s">
        <v>4848</v>
      </c>
    </row>
    <row r="981" spans="1:9" x14ac:dyDescent="0.3">
      <c r="A981" t="s">
        <v>4844</v>
      </c>
      <c r="B981" t="s">
        <v>427</v>
      </c>
      <c r="C981" t="s">
        <v>4845</v>
      </c>
      <c r="D981" t="s">
        <v>3029</v>
      </c>
      <c r="E981" t="s">
        <v>4849</v>
      </c>
      <c r="F981" t="s">
        <v>3027</v>
      </c>
      <c r="G981" t="s">
        <v>3031</v>
      </c>
      <c r="H981">
        <v>3</v>
      </c>
      <c r="I981" t="s">
        <v>4850</v>
      </c>
    </row>
    <row r="982" spans="1:9" x14ac:dyDescent="0.3">
      <c r="A982" t="s">
        <v>4844</v>
      </c>
      <c r="B982" t="s">
        <v>427</v>
      </c>
      <c r="C982" t="s">
        <v>4845</v>
      </c>
      <c r="D982" t="s">
        <v>3029</v>
      </c>
      <c r="E982" t="s">
        <v>4851</v>
      </c>
      <c r="F982" t="s">
        <v>3027</v>
      </c>
      <c r="G982" t="s">
        <v>3031</v>
      </c>
      <c r="H982">
        <v>4</v>
      </c>
      <c r="I982" t="s">
        <v>4852</v>
      </c>
    </row>
    <row r="983" spans="1:9" x14ac:dyDescent="0.3">
      <c r="A983" t="s">
        <v>4844</v>
      </c>
      <c r="B983" t="s">
        <v>427</v>
      </c>
      <c r="C983" t="s">
        <v>4845</v>
      </c>
      <c r="D983" t="s">
        <v>3029</v>
      </c>
      <c r="E983" t="s">
        <v>4853</v>
      </c>
      <c r="F983" t="s">
        <v>3027</v>
      </c>
      <c r="G983" t="s">
        <v>3031</v>
      </c>
      <c r="H983">
        <v>5</v>
      </c>
      <c r="I983" t="s">
        <v>4854</v>
      </c>
    </row>
    <row r="984" spans="1:9" x14ac:dyDescent="0.3">
      <c r="A984" t="s">
        <v>4844</v>
      </c>
      <c r="B984" t="s">
        <v>427</v>
      </c>
      <c r="C984" t="s">
        <v>4845</v>
      </c>
      <c r="D984" t="s">
        <v>3029</v>
      </c>
      <c r="E984" t="s">
        <v>4855</v>
      </c>
      <c r="F984" t="s">
        <v>3027</v>
      </c>
      <c r="G984" t="s">
        <v>3031</v>
      </c>
      <c r="H984">
        <v>6</v>
      </c>
      <c r="I984" t="s">
        <v>4856</v>
      </c>
    </row>
    <row r="985" spans="1:9" x14ac:dyDescent="0.3">
      <c r="A985" t="s">
        <v>4844</v>
      </c>
      <c r="B985" t="s">
        <v>427</v>
      </c>
      <c r="C985" t="s">
        <v>4845</v>
      </c>
      <c r="D985" t="s">
        <v>3029</v>
      </c>
      <c r="E985" t="s">
        <v>4857</v>
      </c>
      <c r="F985" t="s">
        <v>3027</v>
      </c>
      <c r="G985" t="s">
        <v>3031</v>
      </c>
      <c r="H985">
        <v>7</v>
      </c>
      <c r="I985" t="s">
        <v>4858</v>
      </c>
    </row>
    <row r="986" spans="1:9" x14ac:dyDescent="0.3">
      <c r="A986" t="s">
        <v>4844</v>
      </c>
      <c r="B986" t="s">
        <v>427</v>
      </c>
      <c r="C986" t="s">
        <v>4845</v>
      </c>
      <c r="D986" t="s">
        <v>3029</v>
      </c>
      <c r="E986" t="s">
        <v>4859</v>
      </c>
      <c r="F986" t="s">
        <v>3027</v>
      </c>
      <c r="G986" t="s">
        <v>3031</v>
      </c>
      <c r="H986">
        <v>8</v>
      </c>
      <c r="I986" t="s">
        <v>4860</v>
      </c>
    </row>
    <row r="987" spans="1:9" x14ac:dyDescent="0.3">
      <c r="A987" t="s">
        <v>4844</v>
      </c>
      <c r="B987" t="s">
        <v>427</v>
      </c>
      <c r="C987" t="s">
        <v>4845</v>
      </c>
      <c r="D987" t="s">
        <v>3029</v>
      </c>
      <c r="E987" t="s">
        <v>4861</v>
      </c>
      <c r="F987" t="s">
        <v>3027</v>
      </c>
      <c r="G987" t="s">
        <v>3031</v>
      </c>
      <c r="H987">
        <v>9</v>
      </c>
      <c r="I987" t="s">
        <v>4862</v>
      </c>
    </row>
    <row r="988" spans="1:9" x14ac:dyDescent="0.3">
      <c r="A988" t="s">
        <v>4844</v>
      </c>
      <c r="B988" t="s">
        <v>427</v>
      </c>
      <c r="C988" t="s">
        <v>4845</v>
      </c>
      <c r="D988" t="s">
        <v>3029</v>
      </c>
      <c r="E988" t="s">
        <v>4863</v>
      </c>
      <c r="F988" t="s">
        <v>3027</v>
      </c>
      <c r="G988" t="s">
        <v>3031</v>
      </c>
      <c r="H988">
        <v>10</v>
      </c>
      <c r="I988" t="s">
        <v>4864</v>
      </c>
    </row>
    <row r="989" spans="1:9" x14ac:dyDescent="0.3">
      <c r="A989" t="s">
        <v>4844</v>
      </c>
      <c r="B989" t="s">
        <v>427</v>
      </c>
      <c r="C989" t="s">
        <v>4845</v>
      </c>
      <c r="D989" t="s">
        <v>3029</v>
      </c>
      <c r="E989" t="s">
        <v>4865</v>
      </c>
      <c r="F989" t="s">
        <v>3027</v>
      </c>
      <c r="G989" t="s">
        <v>3031</v>
      </c>
      <c r="H989">
        <v>11</v>
      </c>
      <c r="I989" t="s">
        <v>4866</v>
      </c>
    </row>
    <row r="990" spans="1:9" x14ac:dyDescent="0.3">
      <c r="A990" t="s">
        <v>4844</v>
      </c>
      <c r="B990" t="s">
        <v>427</v>
      </c>
      <c r="C990" t="s">
        <v>4845</v>
      </c>
      <c r="D990" t="s">
        <v>3029</v>
      </c>
      <c r="E990" t="s">
        <v>4867</v>
      </c>
      <c r="F990" t="s">
        <v>3027</v>
      </c>
      <c r="G990" t="s">
        <v>3031</v>
      </c>
      <c r="H990">
        <v>12</v>
      </c>
      <c r="I990" t="s">
        <v>4868</v>
      </c>
    </row>
    <row r="991" spans="1:9" x14ac:dyDescent="0.3">
      <c r="A991" t="s">
        <v>4844</v>
      </c>
      <c r="B991" t="s">
        <v>427</v>
      </c>
      <c r="C991" t="s">
        <v>4845</v>
      </c>
      <c r="D991" t="s">
        <v>3029</v>
      </c>
      <c r="E991" t="s">
        <v>4869</v>
      </c>
      <c r="F991" t="s">
        <v>3027</v>
      </c>
      <c r="G991" t="s">
        <v>3031</v>
      </c>
      <c r="H991">
        <v>13</v>
      </c>
      <c r="I991" t="s">
        <v>4870</v>
      </c>
    </row>
    <row r="992" spans="1:9" x14ac:dyDescent="0.3">
      <c r="A992" t="s">
        <v>4844</v>
      </c>
      <c r="B992" t="s">
        <v>427</v>
      </c>
      <c r="C992" t="s">
        <v>4845</v>
      </c>
      <c r="D992" t="s">
        <v>3029</v>
      </c>
      <c r="E992" t="s">
        <v>4871</v>
      </c>
      <c r="F992" t="s">
        <v>3027</v>
      </c>
      <c r="G992" t="s">
        <v>3031</v>
      </c>
      <c r="H992">
        <v>14</v>
      </c>
      <c r="I992" t="s">
        <v>4872</v>
      </c>
    </row>
    <row r="993" spans="1:9" x14ac:dyDescent="0.3">
      <c r="A993" t="s">
        <v>4844</v>
      </c>
      <c r="B993" t="s">
        <v>427</v>
      </c>
      <c r="C993" t="s">
        <v>4845</v>
      </c>
      <c r="D993" t="s">
        <v>3029</v>
      </c>
      <c r="E993" t="s">
        <v>4873</v>
      </c>
      <c r="F993" t="s">
        <v>3027</v>
      </c>
      <c r="G993" t="s">
        <v>3031</v>
      </c>
      <c r="H993">
        <v>15</v>
      </c>
      <c r="I993" t="s">
        <v>4874</v>
      </c>
    </row>
    <row r="994" spans="1:9" x14ac:dyDescent="0.3">
      <c r="A994" t="s">
        <v>4844</v>
      </c>
      <c r="B994" t="s">
        <v>427</v>
      </c>
      <c r="C994" t="s">
        <v>4845</v>
      </c>
      <c r="D994" t="s">
        <v>3029</v>
      </c>
      <c r="E994" t="s">
        <v>4875</v>
      </c>
      <c r="F994" t="s">
        <v>3027</v>
      </c>
      <c r="G994" t="s">
        <v>3031</v>
      </c>
      <c r="H994">
        <v>16</v>
      </c>
      <c r="I994" t="s">
        <v>4876</v>
      </c>
    </row>
    <row r="995" spans="1:9" x14ac:dyDescent="0.3">
      <c r="A995" t="s">
        <v>4844</v>
      </c>
      <c r="B995" t="s">
        <v>427</v>
      </c>
      <c r="C995" t="s">
        <v>4845</v>
      </c>
      <c r="D995" t="s">
        <v>3029</v>
      </c>
      <c r="E995" t="s">
        <v>3316</v>
      </c>
      <c r="F995" t="s">
        <v>3027</v>
      </c>
      <c r="G995" t="s">
        <v>3031</v>
      </c>
      <c r="H995">
        <v>17</v>
      </c>
      <c r="I995" t="s">
        <v>3317</v>
      </c>
    </row>
    <row r="996" spans="1:9" x14ac:dyDescent="0.3">
      <c r="A996" t="s">
        <v>4844</v>
      </c>
      <c r="B996" t="s">
        <v>427</v>
      </c>
      <c r="C996" t="s">
        <v>4845</v>
      </c>
      <c r="D996" t="s">
        <v>3029</v>
      </c>
      <c r="E996" t="s">
        <v>4877</v>
      </c>
      <c r="F996" t="s">
        <v>3027</v>
      </c>
      <c r="G996" t="s">
        <v>3031</v>
      </c>
      <c r="H996">
        <v>18</v>
      </c>
      <c r="I996" t="s">
        <v>965</v>
      </c>
    </row>
    <row r="997" spans="1:9" x14ac:dyDescent="0.3">
      <c r="A997" t="s">
        <v>4844</v>
      </c>
      <c r="B997" t="s">
        <v>427</v>
      </c>
      <c r="C997" t="s">
        <v>4845</v>
      </c>
      <c r="D997" t="s">
        <v>3029</v>
      </c>
      <c r="E997" t="s">
        <v>4878</v>
      </c>
      <c r="F997" t="s">
        <v>3027</v>
      </c>
      <c r="G997" t="s">
        <v>3031</v>
      </c>
      <c r="H997">
        <v>19</v>
      </c>
      <c r="I997" t="s">
        <v>4879</v>
      </c>
    </row>
    <row r="998" spans="1:9" x14ac:dyDescent="0.3">
      <c r="A998" t="s">
        <v>4844</v>
      </c>
      <c r="B998" t="s">
        <v>427</v>
      </c>
      <c r="C998" t="s">
        <v>4845</v>
      </c>
      <c r="D998" t="s">
        <v>3029</v>
      </c>
      <c r="E998" t="s">
        <v>4880</v>
      </c>
      <c r="F998" t="s">
        <v>3027</v>
      </c>
      <c r="G998" t="s">
        <v>3031</v>
      </c>
      <c r="H998">
        <v>20</v>
      </c>
      <c r="I998" t="s">
        <v>4881</v>
      </c>
    </row>
    <row r="999" spans="1:9" x14ac:dyDescent="0.3">
      <c r="A999" t="s">
        <v>4882</v>
      </c>
      <c r="B999" t="s">
        <v>433</v>
      </c>
      <c r="C999" t="s">
        <v>433</v>
      </c>
      <c r="D999" t="s">
        <v>3025</v>
      </c>
      <c r="E999" t="s">
        <v>4883</v>
      </c>
      <c r="F999" t="s">
        <v>3027</v>
      </c>
      <c r="G999" t="s">
        <v>3028</v>
      </c>
      <c r="H999">
        <v>1</v>
      </c>
      <c r="I999" t="s">
        <v>433</v>
      </c>
    </row>
    <row r="1000" spans="1:9" x14ac:dyDescent="0.3">
      <c r="A1000" t="s">
        <v>4882</v>
      </c>
      <c r="B1000" t="s">
        <v>433</v>
      </c>
      <c r="C1000" t="s">
        <v>433</v>
      </c>
      <c r="D1000" t="s">
        <v>3029</v>
      </c>
      <c r="E1000" t="s">
        <v>4884</v>
      </c>
      <c r="F1000" t="s">
        <v>3027</v>
      </c>
      <c r="G1000" t="s">
        <v>3031</v>
      </c>
      <c r="H1000">
        <v>2</v>
      </c>
      <c r="I1000" t="s">
        <v>4885</v>
      </c>
    </row>
    <row r="1001" spans="1:9" x14ac:dyDescent="0.3">
      <c r="A1001" t="s">
        <v>4882</v>
      </c>
      <c r="B1001" t="s">
        <v>433</v>
      </c>
      <c r="C1001" t="s">
        <v>433</v>
      </c>
      <c r="D1001" t="s">
        <v>3029</v>
      </c>
      <c r="E1001" t="s">
        <v>3084</v>
      </c>
      <c r="F1001" t="s">
        <v>3027</v>
      </c>
      <c r="G1001" t="s">
        <v>3031</v>
      </c>
      <c r="H1001">
        <v>3</v>
      </c>
      <c r="I1001" t="s">
        <v>3085</v>
      </c>
    </row>
    <row r="1002" spans="1:9" x14ac:dyDescent="0.3">
      <c r="A1002" t="s">
        <v>4882</v>
      </c>
      <c r="B1002" t="s">
        <v>433</v>
      </c>
      <c r="C1002" t="s">
        <v>433</v>
      </c>
      <c r="D1002" t="s">
        <v>3029</v>
      </c>
      <c r="E1002" t="s">
        <v>4886</v>
      </c>
      <c r="F1002" t="s">
        <v>3027</v>
      </c>
      <c r="G1002" t="s">
        <v>3031</v>
      </c>
      <c r="H1002">
        <v>4</v>
      </c>
      <c r="I1002" t="s">
        <v>4887</v>
      </c>
    </row>
    <row r="1003" spans="1:9" x14ac:dyDescent="0.3">
      <c r="A1003" t="s">
        <v>4882</v>
      </c>
      <c r="B1003" t="s">
        <v>433</v>
      </c>
      <c r="C1003" t="s">
        <v>433</v>
      </c>
      <c r="D1003" t="s">
        <v>3029</v>
      </c>
      <c r="E1003" t="s">
        <v>4888</v>
      </c>
      <c r="F1003" t="s">
        <v>3027</v>
      </c>
      <c r="G1003" t="s">
        <v>3031</v>
      </c>
      <c r="H1003">
        <v>5</v>
      </c>
      <c r="I1003" t="s">
        <v>4889</v>
      </c>
    </row>
    <row r="1004" spans="1:9" x14ac:dyDescent="0.3">
      <c r="A1004" t="s">
        <v>4882</v>
      </c>
      <c r="B1004" t="s">
        <v>433</v>
      </c>
      <c r="C1004" t="s">
        <v>433</v>
      </c>
      <c r="D1004" t="s">
        <v>3029</v>
      </c>
      <c r="E1004" t="s">
        <v>4890</v>
      </c>
      <c r="F1004" t="s">
        <v>3027</v>
      </c>
      <c r="G1004" t="s">
        <v>3031</v>
      </c>
      <c r="H1004">
        <v>6</v>
      </c>
      <c r="I1004" t="s">
        <v>4891</v>
      </c>
    </row>
    <row r="1005" spans="1:9" x14ac:dyDescent="0.3">
      <c r="A1005" t="s">
        <v>4882</v>
      </c>
      <c r="B1005" t="s">
        <v>433</v>
      </c>
      <c r="C1005" t="s">
        <v>433</v>
      </c>
      <c r="D1005" t="s">
        <v>3029</v>
      </c>
      <c r="E1005" t="s">
        <v>4892</v>
      </c>
      <c r="F1005" t="s">
        <v>3027</v>
      </c>
      <c r="G1005" t="s">
        <v>3031</v>
      </c>
      <c r="H1005">
        <v>7</v>
      </c>
      <c r="I1005" t="s">
        <v>4893</v>
      </c>
    </row>
    <row r="1006" spans="1:9" x14ac:dyDescent="0.3">
      <c r="A1006" t="s">
        <v>4882</v>
      </c>
      <c r="B1006" t="s">
        <v>433</v>
      </c>
      <c r="C1006" t="s">
        <v>433</v>
      </c>
      <c r="D1006" t="s">
        <v>3029</v>
      </c>
      <c r="E1006" t="s">
        <v>4894</v>
      </c>
      <c r="F1006" t="s">
        <v>3027</v>
      </c>
      <c r="G1006" t="s">
        <v>3031</v>
      </c>
      <c r="H1006">
        <v>8</v>
      </c>
      <c r="I1006" t="s">
        <v>4895</v>
      </c>
    </row>
    <row r="1007" spans="1:9" x14ac:dyDescent="0.3">
      <c r="A1007" t="s">
        <v>4882</v>
      </c>
      <c r="B1007" t="s">
        <v>433</v>
      </c>
      <c r="C1007" t="s">
        <v>433</v>
      </c>
      <c r="D1007" t="s">
        <v>3029</v>
      </c>
      <c r="E1007" t="s">
        <v>4896</v>
      </c>
      <c r="F1007" t="s">
        <v>3027</v>
      </c>
      <c r="G1007" t="s">
        <v>3031</v>
      </c>
      <c r="H1007">
        <v>9</v>
      </c>
    </row>
    <row r="1008" spans="1:9" x14ac:dyDescent="0.3">
      <c r="A1008" t="s">
        <v>4882</v>
      </c>
      <c r="B1008" t="s">
        <v>433</v>
      </c>
      <c r="C1008" t="s">
        <v>433</v>
      </c>
      <c r="D1008" t="s">
        <v>3029</v>
      </c>
      <c r="E1008" t="s">
        <v>4897</v>
      </c>
      <c r="F1008" t="s">
        <v>3027</v>
      </c>
      <c r="G1008" t="s">
        <v>3031</v>
      </c>
      <c r="H1008">
        <v>10</v>
      </c>
      <c r="I1008" t="s">
        <v>4898</v>
      </c>
    </row>
    <row r="1009" spans="1:9" x14ac:dyDescent="0.3">
      <c r="A1009" t="s">
        <v>4882</v>
      </c>
      <c r="B1009" t="s">
        <v>433</v>
      </c>
      <c r="C1009" t="s">
        <v>433</v>
      </c>
      <c r="D1009" t="s">
        <v>3029</v>
      </c>
      <c r="E1009" t="s">
        <v>3242</v>
      </c>
      <c r="F1009" t="s">
        <v>3027</v>
      </c>
      <c r="G1009" t="s">
        <v>3031</v>
      </c>
      <c r="H1009">
        <v>11</v>
      </c>
      <c r="I1009" t="s">
        <v>2454</v>
      </c>
    </row>
    <row r="1010" spans="1:9" x14ac:dyDescent="0.3">
      <c r="A1010" t="s">
        <v>4882</v>
      </c>
      <c r="B1010" t="s">
        <v>433</v>
      </c>
      <c r="C1010" t="s">
        <v>433</v>
      </c>
      <c r="D1010" t="s">
        <v>3029</v>
      </c>
      <c r="E1010" t="s">
        <v>3254</v>
      </c>
      <c r="F1010" t="s">
        <v>3027</v>
      </c>
      <c r="G1010" t="s">
        <v>3031</v>
      </c>
      <c r="H1010">
        <v>12</v>
      </c>
      <c r="I1010" t="s">
        <v>3839</v>
      </c>
    </row>
    <row r="1011" spans="1:9" x14ac:dyDescent="0.3">
      <c r="A1011" t="s">
        <v>4882</v>
      </c>
      <c r="B1011" t="s">
        <v>433</v>
      </c>
      <c r="C1011" t="s">
        <v>433</v>
      </c>
      <c r="D1011" t="s">
        <v>3029</v>
      </c>
      <c r="E1011" t="s">
        <v>4899</v>
      </c>
      <c r="F1011" t="s">
        <v>3027</v>
      </c>
      <c r="G1011" t="s">
        <v>3031</v>
      </c>
      <c r="H1011">
        <v>13</v>
      </c>
      <c r="I1011" t="s">
        <v>4900</v>
      </c>
    </row>
    <row r="1012" spans="1:9" x14ac:dyDescent="0.3">
      <c r="A1012" t="s">
        <v>4882</v>
      </c>
      <c r="B1012" t="s">
        <v>433</v>
      </c>
      <c r="C1012" t="s">
        <v>433</v>
      </c>
      <c r="D1012" t="s">
        <v>3029</v>
      </c>
      <c r="E1012" t="s">
        <v>4901</v>
      </c>
      <c r="F1012" t="s">
        <v>3027</v>
      </c>
      <c r="G1012" t="s">
        <v>3031</v>
      </c>
      <c r="H1012">
        <v>14</v>
      </c>
    </row>
    <row r="1013" spans="1:9" x14ac:dyDescent="0.3">
      <c r="A1013" t="s">
        <v>4882</v>
      </c>
      <c r="B1013" t="s">
        <v>433</v>
      </c>
      <c r="C1013" t="s">
        <v>433</v>
      </c>
      <c r="D1013" t="s">
        <v>3029</v>
      </c>
      <c r="E1013" t="s">
        <v>4329</v>
      </c>
      <c r="F1013" t="s">
        <v>3027</v>
      </c>
      <c r="G1013" t="s">
        <v>3031</v>
      </c>
      <c r="H1013">
        <v>15</v>
      </c>
      <c r="I1013" t="s">
        <v>4330</v>
      </c>
    </row>
    <row r="1014" spans="1:9" x14ac:dyDescent="0.3">
      <c r="A1014" t="s">
        <v>4882</v>
      </c>
      <c r="B1014" t="s">
        <v>433</v>
      </c>
      <c r="C1014" t="s">
        <v>433</v>
      </c>
      <c r="D1014" t="s">
        <v>3029</v>
      </c>
      <c r="E1014" t="s">
        <v>4902</v>
      </c>
      <c r="F1014" t="s">
        <v>3027</v>
      </c>
      <c r="G1014" t="s">
        <v>3031</v>
      </c>
      <c r="H1014">
        <v>16</v>
      </c>
      <c r="I1014" t="s">
        <v>4903</v>
      </c>
    </row>
    <row r="1015" spans="1:9" x14ac:dyDescent="0.3">
      <c r="A1015" t="s">
        <v>4882</v>
      </c>
      <c r="B1015" t="s">
        <v>433</v>
      </c>
      <c r="C1015" t="s">
        <v>433</v>
      </c>
      <c r="D1015" t="s">
        <v>3029</v>
      </c>
      <c r="E1015" t="s">
        <v>4904</v>
      </c>
      <c r="F1015" t="s">
        <v>3027</v>
      </c>
      <c r="G1015" t="s">
        <v>3031</v>
      </c>
      <c r="H1015">
        <v>17</v>
      </c>
      <c r="I1015" t="s">
        <v>3075</v>
      </c>
    </row>
    <row r="1016" spans="1:9" x14ac:dyDescent="0.3">
      <c r="A1016" t="s">
        <v>4882</v>
      </c>
      <c r="B1016" t="s">
        <v>433</v>
      </c>
      <c r="C1016" t="s">
        <v>433</v>
      </c>
      <c r="D1016" t="s">
        <v>3029</v>
      </c>
      <c r="E1016" t="s">
        <v>4905</v>
      </c>
      <c r="F1016" t="s">
        <v>3027</v>
      </c>
      <c r="G1016" t="s">
        <v>3031</v>
      </c>
      <c r="H1016">
        <v>18</v>
      </c>
      <c r="I1016" t="s">
        <v>4906</v>
      </c>
    </row>
    <row r="1017" spans="1:9" x14ac:dyDescent="0.3">
      <c r="A1017" t="s">
        <v>4882</v>
      </c>
      <c r="B1017" t="s">
        <v>433</v>
      </c>
      <c r="C1017" t="s">
        <v>433</v>
      </c>
      <c r="D1017" t="s">
        <v>3029</v>
      </c>
      <c r="E1017" t="s">
        <v>4907</v>
      </c>
      <c r="F1017" t="s">
        <v>3027</v>
      </c>
      <c r="G1017" t="s">
        <v>3031</v>
      </c>
      <c r="H1017">
        <v>19</v>
      </c>
      <c r="I1017" t="s">
        <v>4908</v>
      </c>
    </row>
    <row r="1018" spans="1:9" x14ac:dyDescent="0.3">
      <c r="A1018" t="s">
        <v>4882</v>
      </c>
      <c r="B1018" t="s">
        <v>433</v>
      </c>
      <c r="C1018" t="s">
        <v>433</v>
      </c>
      <c r="D1018" t="s">
        <v>3029</v>
      </c>
      <c r="E1018" t="s">
        <v>4909</v>
      </c>
      <c r="F1018" t="s">
        <v>3027</v>
      </c>
      <c r="G1018" t="s">
        <v>3031</v>
      </c>
      <c r="H1018">
        <v>20</v>
      </c>
      <c r="I1018" t="s">
        <v>4910</v>
      </c>
    </row>
    <row r="1019" spans="1:9" x14ac:dyDescent="0.3">
      <c r="A1019" t="s">
        <v>4911</v>
      </c>
      <c r="B1019" t="s">
        <v>440</v>
      </c>
      <c r="C1019" t="s">
        <v>4912</v>
      </c>
      <c r="D1019" t="s">
        <v>3025</v>
      </c>
      <c r="E1019" t="s">
        <v>4913</v>
      </c>
      <c r="F1019" t="s">
        <v>3027</v>
      </c>
      <c r="G1019" t="s">
        <v>3028</v>
      </c>
      <c r="H1019">
        <v>1</v>
      </c>
      <c r="I1019" t="s">
        <v>4912</v>
      </c>
    </row>
    <row r="1020" spans="1:9" x14ac:dyDescent="0.3">
      <c r="A1020" t="s">
        <v>4911</v>
      </c>
      <c r="B1020" t="s">
        <v>440</v>
      </c>
      <c r="C1020" t="s">
        <v>4912</v>
      </c>
      <c r="D1020" t="s">
        <v>3029</v>
      </c>
      <c r="E1020" t="s">
        <v>4914</v>
      </c>
      <c r="F1020" t="s">
        <v>3027</v>
      </c>
      <c r="G1020" t="s">
        <v>3031</v>
      </c>
      <c r="H1020">
        <v>2</v>
      </c>
      <c r="I1020" t="s">
        <v>4915</v>
      </c>
    </row>
    <row r="1021" spans="1:9" x14ac:dyDescent="0.3">
      <c r="A1021" t="s">
        <v>4911</v>
      </c>
      <c r="B1021" t="s">
        <v>440</v>
      </c>
      <c r="C1021" t="s">
        <v>4912</v>
      </c>
      <c r="D1021" t="s">
        <v>3029</v>
      </c>
      <c r="E1021" t="s">
        <v>4916</v>
      </c>
      <c r="F1021" t="s">
        <v>3027</v>
      </c>
      <c r="G1021" t="s">
        <v>3031</v>
      </c>
      <c r="H1021">
        <v>3</v>
      </c>
      <c r="I1021" t="s">
        <v>4917</v>
      </c>
    </row>
    <row r="1022" spans="1:9" x14ac:dyDescent="0.3">
      <c r="A1022" t="s">
        <v>4911</v>
      </c>
      <c r="B1022" t="s">
        <v>440</v>
      </c>
      <c r="C1022" t="s">
        <v>4912</v>
      </c>
      <c r="D1022" t="s">
        <v>3029</v>
      </c>
      <c r="E1022" t="s">
        <v>4918</v>
      </c>
      <c r="F1022" t="s">
        <v>3027</v>
      </c>
      <c r="G1022" t="s">
        <v>3031</v>
      </c>
      <c r="H1022">
        <v>4</v>
      </c>
      <c r="I1022" t="s">
        <v>4919</v>
      </c>
    </row>
    <row r="1023" spans="1:9" x14ac:dyDescent="0.3">
      <c r="A1023" t="s">
        <v>4911</v>
      </c>
      <c r="B1023" t="s">
        <v>440</v>
      </c>
      <c r="C1023" t="s">
        <v>4912</v>
      </c>
      <c r="D1023" t="s">
        <v>3029</v>
      </c>
      <c r="E1023" t="s">
        <v>3252</v>
      </c>
      <c r="F1023" t="s">
        <v>3027</v>
      </c>
      <c r="G1023" t="s">
        <v>3031</v>
      </c>
      <c r="H1023">
        <v>5</v>
      </c>
      <c r="I1023" t="s">
        <v>3079</v>
      </c>
    </row>
    <row r="1024" spans="1:9" x14ac:dyDescent="0.3">
      <c r="A1024" t="s">
        <v>4911</v>
      </c>
      <c r="B1024" t="s">
        <v>440</v>
      </c>
      <c r="C1024" t="s">
        <v>4912</v>
      </c>
      <c r="D1024" t="s">
        <v>3029</v>
      </c>
      <c r="E1024" t="s">
        <v>4920</v>
      </c>
      <c r="F1024" t="s">
        <v>3027</v>
      </c>
      <c r="G1024" t="s">
        <v>3031</v>
      </c>
      <c r="H1024">
        <v>6</v>
      </c>
      <c r="I1024" t="s">
        <v>4921</v>
      </c>
    </row>
    <row r="1025" spans="1:9" x14ac:dyDescent="0.3">
      <c r="A1025" t="s">
        <v>4911</v>
      </c>
      <c r="B1025" t="s">
        <v>440</v>
      </c>
      <c r="C1025" t="s">
        <v>4912</v>
      </c>
      <c r="D1025" t="s">
        <v>3029</v>
      </c>
      <c r="E1025" t="s">
        <v>4922</v>
      </c>
      <c r="F1025" t="s">
        <v>3027</v>
      </c>
      <c r="G1025" t="s">
        <v>3031</v>
      </c>
      <c r="H1025">
        <v>7</v>
      </c>
      <c r="I1025" t="s">
        <v>4923</v>
      </c>
    </row>
    <row r="1026" spans="1:9" x14ac:dyDescent="0.3">
      <c r="A1026" t="s">
        <v>4911</v>
      </c>
      <c r="B1026" t="s">
        <v>440</v>
      </c>
      <c r="C1026" t="s">
        <v>4912</v>
      </c>
      <c r="D1026" t="s">
        <v>3029</v>
      </c>
      <c r="E1026" t="s">
        <v>4626</v>
      </c>
      <c r="F1026" t="s">
        <v>3027</v>
      </c>
      <c r="G1026" t="s">
        <v>3031</v>
      </c>
      <c r="H1026">
        <v>8</v>
      </c>
      <c r="I1026" t="s">
        <v>4627</v>
      </c>
    </row>
    <row r="1027" spans="1:9" x14ac:dyDescent="0.3">
      <c r="A1027" t="s">
        <v>4911</v>
      </c>
      <c r="B1027" t="s">
        <v>440</v>
      </c>
      <c r="C1027" t="s">
        <v>4912</v>
      </c>
      <c r="D1027" t="s">
        <v>3029</v>
      </c>
      <c r="E1027" t="s">
        <v>3254</v>
      </c>
      <c r="F1027" t="s">
        <v>3027</v>
      </c>
      <c r="G1027" t="s">
        <v>3031</v>
      </c>
      <c r="H1027">
        <v>9</v>
      </c>
      <c r="I1027" t="s">
        <v>3839</v>
      </c>
    </row>
    <row r="1028" spans="1:9" x14ac:dyDescent="0.3">
      <c r="A1028" t="s">
        <v>4911</v>
      </c>
      <c r="B1028" t="s">
        <v>440</v>
      </c>
      <c r="C1028" t="s">
        <v>4912</v>
      </c>
      <c r="D1028" t="s">
        <v>3029</v>
      </c>
      <c r="E1028" t="s">
        <v>4924</v>
      </c>
      <c r="F1028" t="s">
        <v>3027</v>
      </c>
      <c r="G1028" t="s">
        <v>3031</v>
      </c>
      <c r="H1028">
        <v>10</v>
      </c>
      <c r="I1028" t="s">
        <v>4925</v>
      </c>
    </row>
    <row r="1029" spans="1:9" x14ac:dyDescent="0.3">
      <c r="A1029" t="s">
        <v>4911</v>
      </c>
      <c r="B1029" t="s">
        <v>440</v>
      </c>
      <c r="C1029" t="s">
        <v>4912</v>
      </c>
      <c r="D1029" t="s">
        <v>3029</v>
      </c>
      <c r="E1029" t="s">
        <v>4926</v>
      </c>
      <c r="F1029" t="s">
        <v>3027</v>
      </c>
      <c r="G1029" t="s">
        <v>3031</v>
      </c>
      <c r="H1029">
        <v>11</v>
      </c>
      <c r="I1029" t="s">
        <v>4927</v>
      </c>
    </row>
    <row r="1030" spans="1:9" x14ac:dyDescent="0.3">
      <c r="A1030" t="s">
        <v>4911</v>
      </c>
      <c r="B1030" t="s">
        <v>440</v>
      </c>
      <c r="C1030" t="s">
        <v>4912</v>
      </c>
      <c r="D1030" t="s">
        <v>3029</v>
      </c>
      <c r="E1030" t="s">
        <v>4928</v>
      </c>
      <c r="F1030" t="s">
        <v>3027</v>
      </c>
      <c r="G1030" t="s">
        <v>3031</v>
      </c>
      <c r="H1030">
        <v>12</v>
      </c>
      <c r="I1030" t="s">
        <v>4929</v>
      </c>
    </row>
    <row r="1031" spans="1:9" x14ac:dyDescent="0.3">
      <c r="A1031" t="s">
        <v>4911</v>
      </c>
      <c r="B1031" t="s">
        <v>440</v>
      </c>
      <c r="C1031" t="s">
        <v>4912</v>
      </c>
      <c r="D1031" t="s">
        <v>3029</v>
      </c>
      <c r="E1031" t="s">
        <v>4930</v>
      </c>
      <c r="F1031" t="s">
        <v>3027</v>
      </c>
      <c r="G1031" t="s">
        <v>3031</v>
      </c>
      <c r="H1031">
        <v>13</v>
      </c>
      <c r="I1031" t="s">
        <v>4931</v>
      </c>
    </row>
    <row r="1032" spans="1:9" x14ac:dyDescent="0.3">
      <c r="A1032" t="s">
        <v>4911</v>
      </c>
      <c r="B1032" t="s">
        <v>440</v>
      </c>
      <c r="C1032" t="s">
        <v>4912</v>
      </c>
      <c r="D1032" t="s">
        <v>3029</v>
      </c>
      <c r="E1032" t="s">
        <v>3119</v>
      </c>
      <c r="F1032" t="s">
        <v>3027</v>
      </c>
      <c r="G1032" t="s">
        <v>3031</v>
      </c>
      <c r="H1032">
        <v>14</v>
      </c>
      <c r="I1032" t="s">
        <v>3079</v>
      </c>
    </row>
    <row r="1033" spans="1:9" x14ac:dyDescent="0.3">
      <c r="A1033" t="s">
        <v>4911</v>
      </c>
      <c r="B1033" t="s">
        <v>440</v>
      </c>
      <c r="C1033" t="s">
        <v>4912</v>
      </c>
      <c r="D1033" t="s">
        <v>3029</v>
      </c>
      <c r="E1033" t="s">
        <v>4932</v>
      </c>
      <c r="F1033" t="s">
        <v>3027</v>
      </c>
      <c r="G1033" t="s">
        <v>3031</v>
      </c>
      <c r="H1033">
        <v>15</v>
      </c>
      <c r="I1033" t="s">
        <v>4933</v>
      </c>
    </row>
    <row r="1034" spans="1:9" x14ac:dyDescent="0.3">
      <c r="A1034" t="s">
        <v>4911</v>
      </c>
      <c r="B1034" t="s">
        <v>440</v>
      </c>
      <c r="C1034" t="s">
        <v>4912</v>
      </c>
      <c r="D1034" t="s">
        <v>3029</v>
      </c>
      <c r="E1034" t="s">
        <v>4934</v>
      </c>
      <c r="F1034" t="s">
        <v>3027</v>
      </c>
      <c r="G1034" t="s">
        <v>3031</v>
      </c>
      <c r="H1034">
        <v>16</v>
      </c>
      <c r="I1034" t="s">
        <v>4935</v>
      </c>
    </row>
    <row r="1035" spans="1:9" x14ac:dyDescent="0.3">
      <c r="A1035" t="s">
        <v>4911</v>
      </c>
      <c r="B1035" t="s">
        <v>440</v>
      </c>
      <c r="C1035" t="s">
        <v>4912</v>
      </c>
      <c r="D1035" t="s">
        <v>3029</v>
      </c>
      <c r="E1035" t="s">
        <v>4936</v>
      </c>
      <c r="F1035" t="s">
        <v>3027</v>
      </c>
      <c r="G1035" t="s">
        <v>3031</v>
      </c>
      <c r="H1035">
        <v>17</v>
      </c>
      <c r="I1035" t="s">
        <v>4937</v>
      </c>
    </row>
    <row r="1036" spans="1:9" x14ac:dyDescent="0.3">
      <c r="A1036" t="s">
        <v>4911</v>
      </c>
      <c r="B1036" t="s">
        <v>440</v>
      </c>
      <c r="C1036" t="s">
        <v>4912</v>
      </c>
      <c r="D1036" t="s">
        <v>3029</v>
      </c>
      <c r="E1036" t="s">
        <v>4938</v>
      </c>
      <c r="F1036" t="s">
        <v>3027</v>
      </c>
      <c r="G1036" t="s">
        <v>3031</v>
      </c>
      <c r="H1036">
        <v>18</v>
      </c>
      <c r="I1036" t="s">
        <v>4939</v>
      </c>
    </row>
    <row r="1037" spans="1:9" x14ac:dyDescent="0.3">
      <c r="A1037" t="s">
        <v>4911</v>
      </c>
      <c r="B1037" t="s">
        <v>440</v>
      </c>
      <c r="C1037" t="s">
        <v>4912</v>
      </c>
      <c r="D1037" t="s">
        <v>3029</v>
      </c>
      <c r="E1037" t="s">
        <v>4940</v>
      </c>
      <c r="F1037" t="s">
        <v>3027</v>
      </c>
      <c r="G1037" t="s">
        <v>3031</v>
      </c>
      <c r="H1037">
        <v>19</v>
      </c>
      <c r="I1037" t="s">
        <v>4941</v>
      </c>
    </row>
    <row r="1038" spans="1:9" x14ac:dyDescent="0.3">
      <c r="A1038" t="s">
        <v>4911</v>
      </c>
      <c r="B1038" t="s">
        <v>440</v>
      </c>
      <c r="C1038" t="s">
        <v>4912</v>
      </c>
      <c r="D1038" t="s">
        <v>3029</v>
      </c>
      <c r="E1038" t="s">
        <v>4942</v>
      </c>
      <c r="F1038" t="s">
        <v>3027</v>
      </c>
      <c r="G1038" t="s">
        <v>3031</v>
      </c>
      <c r="H1038">
        <v>20</v>
      </c>
      <c r="I1038" t="s">
        <v>4943</v>
      </c>
    </row>
    <row r="1039" spans="1:9" x14ac:dyDescent="0.3">
      <c r="A1039" t="s">
        <v>4944</v>
      </c>
      <c r="B1039" t="s">
        <v>446</v>
      </c>
      <c r="C1039" t="s">
        <v>446</v>
      </c>
      <c r="D1039" t="s">
        <v>3025</v>
      </c>
      <c r="E1039" t="s">
        <v>3589</v>
      </c>
      <c r="F1039" t="s">
        <v>3027</v>
      </c>
      <c r="G1039" t="s">
        <v>3028</v>
      </c>
      <c r="H1039">
        <v>1</v>
      </c>
      <c r="I1039" t="s">
        <v>446</v>
      </c>
    </row>
    <row r="1040" spans="1:9" x14ac:dyDescent="0.3">
      <c r="A1040" t="s">
        <v>4944</v>
      </c>
      <c r="B1040" t="s">
        <v>446</v>
      </c>
      <c r="C1040" t="s">
        <v>446</v>
      </c>
      <c r="D1040" t="s">
        <v>3029</v>
      </c>
      <c r="E1040" t="s">
        <v>4945</v>
      </c>
      <c r="F1040" t="s">
        <v>3027</v>
      </c>
      <c r="G1040" t="s">
        <v>3031</v>
      </c>
      <c r="H1040">
        <v>2</v>
      </c>
      <c r="I1040" t="s">
        <v>4946</v>
      </c>
    </row>
    <row r="1041" spans="1:9" x14ac:dyDescent="0.3">
      <c r="A1041" t="s">
        <v>4944</v>
      </c>
      <c r="B1041" t="s">
        <v>446</v>
      </c>
      <c r="C1041" t="s">
        <v>446</v>
      </c>
      <c r="D1041" t="s">
        <v>3029</v>
      </c>
      <c r="E1041" t="s">
        <v>4947</v>
      </c>
      <c r="F1041" t="s">
        <v>3027</v>
      </c>
      <c r="G1041" t="s">
        <v>3031</v>
      </c>
      <c r="H1041">
        <v>3</v>
      </c>
      <c r="I1041" t="s">
        <v>4948</v>
      </c>
    </row>
    <row r="1042" spans="1:9" x14ac:dyDescent="0.3">
      <c r="A1042" t="s">
        <v>4944</v>
      </c>
      <c r="B1042" t="s">
        <v>446</v>
      </c>
      <c r="C1042" t="s">
        <v>446</v>
      </c>
      <c r="D1042" t="s">
        <v>3029</v>
      </c>
      <c r="E1042" t="s">
        <v>4949</v>
      </c>
      <c r="F1042" t="s">
        <v>3027</v>
      </c>
      <c r="G1042" t="s">
        <v>3031</v>
      </c>
      <c r="H1042">
        <v>4</v>
      </c>
      <c r="I1042" t="s">
        <v>4950</v>
      </c>
    </row>
    <row r="1043" spans="1:9" x14ac:dyDescent="0.3">
      <c r="A1043" t="s">
        <v>4944</v>
      </c>
      <c r="B1043" t="s">
        <v>446</v>
      </c>
      <c r="C1043" t="s">
        <v>446</v>
      </c>
      <c r="D1043" t="s">
        <v>3029</v>
      </c>
      <c r="E1043" t="s">
        <v>4951</v>
      </c>
      <c r="F1043" t="s">
        <v>3027</v>
      </c>
      <c r="G1043" t="s">
        <v>3031</v>
      </c>
      <c r="H1043">
        <v>5</v>
      </c>
      <c r="I1043" t="s">
        <v>4952</v>
      </c>
    </row>
    <row r="1044" spans="1:9" x14ac:dyDescent="0.3">
      <c r="A1044" t="s">
        <v>4944</v>
      </c>
      <c r="B1044" t="s">
        <v>446</v>
      </c>
      <c r="C1044" t="s">
        <v>446</v>
      </c>
      <c r="D1044" t="s">
        <v>3029</v>
      </c>
      <c r="E1044" t="s">
        <v>4953</v>
      </c>
      <c r="F1044" t="s">
        <v>3027</v>
      </c>
      <c r="G1044" t="s">
        <v>3031</v>
      </c>
      <c r="H1044">
        <v>6</v>
      </c>
      <c r="I1044" t="s">
        <v>4954</v>
      </c>
    </row>
    <row r="1045" spans="1:9" x14ac:dyDescent="0.3">
      <c r="A1045" t="s">
        <v>4944</v>
      </c>
      <c r="B1045" t="s">
        <v>446</v>
      </c>
      <c r="C1045" t="s">
        <v>446</v>
      </c>
      <c r="D1045" t="s">
        <v>3029</v>
      </c>
      <c r="E1045" t="s">
        <v>3590</v>
      </c>
      <c r="F1045" t="s">
        <v>3027</v>
      </c>
      <c r="G1045" t="s">
        <v>3031</v>
      </c>
      <c r="H1045">
        <v>7</v>
      </c>
      <c r="I1045" t="s">
        <v>4955</v>
      </c>
    </row>
    <row r="1046" spans="1:9" x14ac:dyDescent="0.3">
      <c r="A1046" t="s">
        <v>4944</v>
      </c>
      <c r="B1046" t="s">
        <v>446</v>
      </c>
      <c r="C1046" t="s">
        <v>446</v>
      </c>
      <c r="D1046" t="s">
        <v>3029</v>
      </c>
      <c r="E1046" t="s">
        <v>4956</v>
      </c>
      <c r="F1046" t="s">
        <v>3027</v>
      </c>
      <c r="G1046" t="s">
        <v>3031</v>
      </c>
      <c r="H1046">
        <v>8</v>
      </c>
      <c r="I1046" t="s">
        <v>4957</v>
      </c>
    </row>
    <row r="1047" spans="1:9" x14ac:dyDescent="0.3">
      <c r="A1047" t="s">
        <v>4944</v>
      </c>
      <c r="B1047" t="s">
        <v>446</v>
      </c>
      <c r="C1047" t="s">
        <v>446</v>
      </c>
      <c r="D1047" t="s">
        <v>3029</v>
      </c>
      <c r="E1047" t="s">
        <v>3586</v>
      </c>
      <c r="F1047" t="s">
        <v>3027</v>
      </c>
      <c r="G1047" t="s">
        <v>3031</v>
      </c>
      <c r="H1047">
        <v>9</v>
      </c>
      <c r="I1047" t="s">
        <v>200</v>
      </c>
    </row>
    <row r="1048" spans="1:9" x14ac:dyDescent="0.3">
      <c r="A1048" t="s">
        <v>4944</v>
      </c>
      <c r="B1048" t="s">
        <v>446</v>
      </c>
      <c r="C1048" t="s">
        <v>446</v>
      </c>
      <c r="D1048" t="s">
        <v>3029</v>
      </c>
      <c r="E1048" t="s">
        <v>3606</v>
      </c>
      <c r="F1048" t="s">
        <v>3027</v>
      </c>
      <c r="G1048" t="s">
        <v>3031</v>
      </c>
      <c r="H1048">
        <v>10</v>
      </c>
      <c r="I1048" t="s">
        <v>4958</v>
      </c>
    </row>
    <row r="1049" spans="1:9" x14ac:dyDescent="0.3">
      <c r="A1049" t="s">
        <v>4944</v>
      </c>
      <c r="B1049" t="s">
        <v>446</v>
      </c>
      <c r="C1049" t="s">
        <v>446</v>
      </c>
      <c r="D1049" t="s">
        <v>3029</v>
      </c>
      <c r="E1049" t="s">
        <v>4959</v>
      </c>
      <c r="F1049" t="s">
        <v>3027</v>
      </c>
      <c r="G1049" t="s">
        <v>3031</v>
      </c>
      <c r="H1049">
        <v>11</v>
      </c>
      <c r="I1049" t="s">
        <v>4960</v>
      </c>
    </row>
    <row r="1050" spans="1:9" x14ac:dyDescent="0.3">
      <c r="A1050" t="s">
        <v>4944</v>
      </c>
      <c r="B1050" t="s">
        <v>446</v>
      </c>
      <c r="C1050" t="s">
        <v>446</v>
      </c>
      <c r="D1050" t="s">
        <v>3029</v>
      </c>
      <c r="E1050" t="s">
        <v>4961</v>
      </c>
      <c r="F1050" t="s">
        <v>3027</v>
      </c>
      <c r="G1050" t="s">
        <v>3031</v>
      </c>
      <c r="H1050">
        <v>12</v>
      </c>
      <c r="I1050" t="s">
        <v>4962</v>
      </c>
    </row>
    <row r="1051" spans="1:9" x14ac:dyDescent="0.3">
      <c r="A1051" t="s">
        <v>4944</v>
      </c>
      <c r="B1051" t="s">
        <v>446</v>
      </c>
      <c r="C1051" t="s">
        <v>446</v>
      </c>
      <c r="D1051" t="s">
        <v>3029</v>
      </c>
      <c r="E1051" t="s">
        <v>4963</v>
      </c>
      <c r="F1051" t="s">
        <v>3027</v>
      </c>
      <c r="G1051" t="s">
        <v>3031</v>
      </c>
      <c r="H1051">
        <v>13</v>
      </c>
      <c r="I1051" t="s">
        <v>4964</v>
      </c>
    </row>
    <row r="1052" spans="1:9" x14ac:dyDescent="0.3">
      <c r="A1052" t="s">
        <v>4944</v>
      </c>
      <c r="B1052" t="s">
        <v>446</v>
      </c>
      <c r="C1052" t="s">
        <v>446</v>
      </c>
      <c r="D1052" t="s">
        <v>3029</v>
      </c>
      <c r="E1052" t="s">
        <v>4965</v>
      </c>
      <c r="F1052" t="s">
        <v>3027</v>
      </c>
      <c r="G1052" t="s">
        <v>3031</v>
      </c>
      <c r="H1052">
        <v>14</v>
      </c>
      <c r="I1052" t="s">
        <v>4966</v>
      </c>
    </row>
    <row r="1053" spans="1:9" x14ac:dyDescent="0.3">
      <c r="A1053" t="s">
        <v>4944</v>
      </c>
      <c r="B1053" t="s">
        <v>446</v>
      </c>
      <c r="C1053" t="s">
        <v>446</v>
      </c>
      <c r="D1053" t="s">
        <v>3029</v>
      </c>
      <c r="E1053" t="s">
        <v>4967</v>
      </c>
      <c r="F1053" t="s">
        <v>3027</v>
      </c>
      <c r="G1053" t="s">
        <v>3031</v>
      </c>
      <c r="H1053">
        <v>15</v>
      </c>
      <c r="I1053" t="s">
        <v>4968</v>
      </c>
    </row>
    <row r="1054" spans="1:9" x14ac:dyDescent="0.3">
      <c r="A1054" t="s">
        <v>4944</v>
      </c>
      <c r="B1054" t="s">
        <v>446</v>
      </c>
      <c r="C1054" t="s">
        <v>446</v>
      </c>
      <c r="D1054" t="s">
        <v>3029</v>
      </c>
      <c r="E1054" t="s">
        <v>4969</v>
      </c>
      <c r="F1054" t="s">
        <v>3027</v>
      </c>
      <c r="G1054" t="s">
        <v>3031</v>
      </c>
      <c r="H1054">
        <v>16</v>
      </c>
      <c r="I1054" t="s">
        <v>4970</v>
      </c>
    </row>
    <row r="1055" spans="1:9" x14ac:dyDescent="0.3">
      <c r="A1055" t="s">
        <v>4944</v>
      </c>
      <c r="B1055" t="s">
        <v>446</v>
      </c>
      <c r="C1055" t="s">
        <v>446</v>
      </c>
      <c r="D1055" t="s">
        <v>3029</v>
      </c>
      <c r="E1055" t="s">
        <v>4971</v>
      </c>
      <c r="F1055" t="s">
        <v>3027</v>
      </c>
      <c r="G1055" t="s">
        <v>3031</v>
      </c>
      <c r="H1055">
        <v>17</v>
      </c>
      <c r="I1055" t="s">
        <v>4972</v>
      </c>
    </row>
    <row r="1056" spans="1:9" x14ac:dyDescent="0.3">
      <c r="A1056" t="s">
        <v>4944</v>
      </c>
      <c r="B1056" t="s">
        <v>446</v>
      </c>
      <c r="C1056" t="s">
        <v>446</v>
      </c>
      <c r="D1056" t="s">
        <v>3029</v>
      </c>
      <c r="E1056" t="s">
        <v>4973</v>
      </c>
      <c r="F1056" t="s">
        <v>3027</v>
      </c>
      <c r="G1056" t="s">
        <v>3031</v>
      </c>
      <c r="H1056">
        <v>18</v>
      </c>
      <c r="I1056" t="s">
        <v>4974</v>
      </c>
    </row>
    <row r="1057" spans="1:9" x14ac:dyDescent="0.3">
      <c r="A1057" t="s">
        <v>4944</v>
      </c>
      <c r="B1057" t="s">
        <v>446</v>
      </c>
      <c r="C1057" t="s">
        <v>446</v>
      </c>
      <c r="D1057" t="s">
        <v>3029</v>
      </c>
      <c r="E1057" t="s">
        <v>4975</v>
      </c>
      <c r="F1057" t="s">
        <v>3027</v>
      </c>
      <c r="G1057" t="s">
        <v>3031</v>
      </c>
      <c r="H1057">
        <v>19</v>
      </c>
      <c r="I1057" t="s">
        <v>4976</v>
      </c>
    </row>
    <row r="1058" spans="1:9" x14ac:dyDescent="0.3">
      <c r="A1058" t="s">
        <v>4944</v>
      </c>
      <c r="B1058" t="s">
        <v>446</v>
      </c>
      <c r="C1058" t="s">
        <v>446</v>
      </c>
      <c r="D1058" t="s">
        <v>3029</v>
      </c>
      <c r="E1058" t="s">
        <v>4977</v>
      </c>
      <c r="F1058" t="s">
        <v>3027</v>
      </c>
      <c r="G1058" t="s">
        <v>3031</v>
      </c>
      <c r="H1058">
        <v>20</v>
      </c>
      <c r="I1058" t="s">
        <v>4978</v>
      </c>
    </row>
    <row r="1059" spans="1:9" x14ac:dyDescent="0.3">
      <c r="A1059" t="s">
        <v>4979</v>
      </c>
      <c r="B1059" t="s">
        <v>452</v>
      </c>
      <c r="C1059" t="s">
        <v>4980</v>
      </c>
      <c r="D1059" t="s">
        <v>3025</v>
      </c>
      <c r="E1059" t="s">
        <v>4602</v>
      </c>
      <c r="F1059" t="s">
        <v>3027</v>
      </c>
      <c r="G1059" t="s">
        <v>3028</v>
      </c>
      <c r="H1059">
        <v>1</v>
      </c>
      <c r="I1059" t="s">
        <v>4980</v>
      </c>
    </row>
    <row r="1060" spans="1:9" x14ac:dyDescent="0.3">
      <c r="A1060" t="s">
        <v>4979</v>
      </c>
      <c r="B1060" t="s">
        <v>452</v>
      </c>
      <c r="C1060" t="s">
        <v>4980</v>
      </c>
      <c r="D1060" t="s">
        <v>3029</v>
      </c>
      <c r="E1060" t="s">
        <v>4981</v>
      </c>
      <c r="F1060" t="s">
        <v>3027</v>
      </c>
      <c r="G1060" t="s">
        <v>3031</v>
      </c>
      <c r="H1060">
        <v>2</v>
      </c>
      <c r="I1060" t="s">
        <v>4982</v>
      </c>
    </row>
    <row r="1061" spans="1:9" x14ac:dyDescent="0.3">
      <c r="A1061" t="s">
        <v>4979</v>
      </c>
      <c r="B1061" t="s">
        <v>452</v>
      </c>
      <c r="C1061" t="s">
        <v>4980</v>
      </c>
      <c r="D1061" t="s">
        <v>3029</v>
      </c>
      <c r="E1061" t="s">
        <v>3720</v>
      </c>
      <c r="F1061" t="s">
        <v>3027</v>
      </c>
      <c r="G1061" t="s">
        <v>3031</v>
      </c>
      <c r="H1061">
        <v>3</v>
      </c>
      <c r="I1061" t="s">
        <v>3721</v>
      </c>
    </row>
    <row r="1062" spans="1:9" x14ac:dyDescent="0.3">
      <c r="A1062" t="s">
        <v>4979</v>
      </c>
      <c r="B1062" t="s">
        <v>452</v>
      </c>
      <c r="C1062" t="s">
        <v>4980</v>
      </c>
      <c r="D1062" t="s">
        <v>3029</v>
      </c>
      <c r="E1062" t="s">
        <v>4606</v>
      </c>
      <c r="F1062" t="s">
        <v>3027</v>
      </c>
      <c r="G1062" t="s">
        <v>3031</v>
      </c>
      <c r="H1062">
        <v>4</v>
      </c>
      <c r="I1062" t="s">
        <v>4607</v>
      </c>
    </row>
    <row r="1063" spans="1:9" x14ac:dyDescent="0.3">
      <c r="A1063" t="s">
        <v>4979</v>
      </c>
      <c r="B1063" t="s">
        <v>452</v>
      </c>
      <c r="C1063" t="s">
        <v>4980</v>
      </c>
      <c r="D1063" t="s">
        <v>3029</v>
      </c>
      <c r="E1063" t="s">
        <v>4983</v>
      </c>
      <c r="F1063" t="s">
        <v>3027</v>
      </c>
      <c r="G1063" t="s">
        <v>3031</v>
      </c>
      <c r="H1063">
        <v>5</v>
      </c>
      <c r="I1063" t="s">
        <v>4984</v>
      </c>
    </row>
    <row r="1064" spans="1:9" x14ac:dyDescent="0.3">
      <c r="A1064" t="s">
        <v>4979</v>
      </c>
      <c r="B1064" t="s">
        <v>452</v>
      </c>
      <c r="C1064" t="s">
        <v>4980</v>
      </c>
      <c r="D1064" t="s">
        <v>3029</v>
      </c>
      <c r="E1064" t="s">
        <v>4985</v>
      </c>
      <c r="F1064" t="s">
        <v>3027</v>
      </c>
      <c r="G1064" t="s">
        <v>3031</v>
      </c>
      <c r="H1064">
        <v>6</v>
      </c>
      <c r="I1064" t="s">
        <v>4986</v>
      </c>
    </row>
    <row r="1065" spans="1:9" x14ac:dyDescent="0.3">
      <c r="A1065" t="s">
        <v>4979</v>
      </c>
      <c r="B1065" t="s">
        <v>452</v>
      </c>
      <c r="C1065" t="s">
        <v>4980</v>
      </c>
      <c r="D1065" t="s">
        <v>3029</v>
      </c>
      <c r="E1065" t="s">
        <v>4987</v>
      </c>
      <c r="F1065" t="s">
        <v>3027</v>
      </c>
      <c r="G1065" t="s">
        <v>3031</v>
      </c>
      <c r="H1065">
        <v>7</v>
      </c>
      <c r="I1065" t="s">
        <v>4988</v>
      </c>
    </row>
    <row r="1066" spans="1:9" x14ac:dyDescent="0.3">
      <c r="A1066" t="s">
        <v>4979</v>
      </c>
      <c r="B1066" t="s">
        <v>452</v>
      </c>
      <c r="C1066" t="s">
        <v>4980</v>
      </c>
      <c r="D1066" t="s">
        <v>3029</v>
      </c>
      <c r="E1066" t="s">
        <v>4989</v>
      </c>
      <c r="F1066" t="s">
        <v>3027</v>
      </c>
      <c r="G1066" t="s">
        <v>3031</v>
      </c>
      <c r="H1066">
        <v>8</v>
      </c>
      <c r="I1066" t="s">
        <v>4990</v>
      </c>
    </row>
    <row r="1067" spans="1:9" x14ac:dyDescent="0.3">
      <c r="A1067" t="s">
        <v>4979</v>
      </c>
      <c r="B1067" t="s">
        <v>452</v>
      </c>
      <c r="C1067" t="s">
        <v>4980</v>
      </c>
      <c r="D1067" t="s">
        <v>3029</v>
      </c>
      <c r="E1067" t="s">
        <v>4991</v>
      </c>
      <c r="F1067" t="s">
        <v>3027</v>
      </c>
      <c r="G1067" t="s">
        <v>3031</v>
      </c>
      <c r="H1067">
        <v>9</v>
      </c>
      <c r="I1067" t="s">
        <v>4992</v>
      </c>
    </row>
    <row r="1068" spans="1:9" x14ac:dyDescent="0.3">
      <c r="A1068" t="s">
        <v>4979</v>
      </c>
      <c r="B1068" t="s">
        <v>452</v>
      </c>
      <c r="C1068" t="s">
        <v>4980</v>
      </c>
      <c r="D1068" t="s">
        <v>3029</v>
      </c>
      <c r="E1068" t="s">
        <v>4993</v>
      </c>
      <c r="F1068" t="s">
        <v>3027</v>
      </c>
      <c r="G1068" t="s">
        <v>3031</v>
      </c>
      <c r="H1068">
        <v>10</v>
      </c>
      <c r="I1068" t="s">
        <v>4994</v>
      </c>
    </row>
    <row r="1069" spans="1:9" x14ac:dyDescent="0.3">
      <c r="A1069" t="s">
        <v>4979</v>
      </c>
      <c r="B1069" t="s">
        <v>452</v>
      </c>
      <c r="C1069" t="s">
        <v>4980</v>
      </c>
      <c r="D1069" t="s">
        <v>3029</v>
      </c>
      <c r="E1069" t="s">
        <v>4995</v>
      </c>
      <c r="F1069" t="s">
        <v>3027</v>
      </c>
      <c r="G1069" t="s">
        <v>3031</v>
      </c>
      <c r="H1069">
        <v>11</v>
      </c>
      <c r="I1069" t="s">
        <v>4996</v>
      </c>
    </row>
    <row r="1070" spans="1:9" x14ac:dyDescent="0.3">
      <c r="A1070" t="s">
        <v>4979</v>
      </c>
      <c r="B1070" t="s">
        <v>452</v>
      </c>
      <c r="C1070" t="s">
        <v>4980</v>
      </c>
      <c r="D1070" t="s">
        <v>3029</v>
      </c>
      <c r="E1070" t="s">
        <v>4592</v>
      </c>
      <c r="F1070" t="s">
        <v>3027</v>
      </c>
      <c r="G1070" t="s">
        <v>3031</v>
      </c>
      <c r="H1070">
        <v>12</v>
      </c>
      <c r="I1070" t="s">
        <v>4591</v>
      </c>
    </row>
    <row r="1071" spans="1:9" x14ac:dyDescent="0.3">
      <c r="A1071" t="s">
        <v>4979</v>
      </c>
      <c r="B1071" t="s">
        <v>452</v>
      </c>
      <c r="C1071" t="s">
        <v>4980</v>
      </c>
      <c r="D1071" t="s">
        <v>3029</v>
      </c>
      <c r="E1071" t="s">
        <v>4997</v>
      </c>
      <c r="F1071" t="s">
        <v>3027</v>
      </c>
      <c r="G1071" t="s">
        <v>3031</v>
      </c>
      <c r="H1071">
        <v>13</v>
      </c>
      <c r="I1071" t="s">
        <v>4998</v>
      </c>
    </row>
    <row r="1072" spans="1:9" x14ac:dyDescent="0.3">
      <c r="A1072" t="s">
        <v>4979</v>
      </c>
      <c r="B1072" t="s">
        <v>452</v>
      </c>
      <c r="C1072" t="s">
        <v>4980</v>
      </c>
      <c r="D1072" t="s">
        <v>3029</v>
      </c>
      <c r="E1072" t="s">
        <v>4563</v>
      </c>
      <c r="F1072" t="s">
        <v>3027</v>
      </c>
      <c r="G1072" t="s">
        <v>3031</v>
      </c>
      <c r="H1072">
        <v>14</v>
      </c>
      <c r="I1072" t="s">
        <v>24</v>
      </c>
    </row>
    <row r="1073" spans="1:9" x14ac:dyDescent="0.3">
      <c r="A1073" t="s">
        <v>4979</v>
      </c>
      <c r="B1073" t="s">
        <v>452</v>
      </c>
      <c r="C1073" t="s">
        <v>4980</v>
      </c>
      <c r="D1073" t="s">
        <v>3029</v>
      </c>
      <c r="E1073" t="s">
        <v>4999</v>
      </c>
      <c r="F1073" t="s">
        <v>3027</v>
      </c>
      <c r="G1073" t="s">
        <v>3031</v>
      </c>
      <c r="H1073">
        <v>15</v>
      </c>
      <c r="I1073" t="s">
        <v>5000</v>
      </c>
    </row>
    <row r="1074" spans="1:9" x14ac:dyDescent="0.3">
      <c r="A1074" t="s">
        <v>4979</v>
      </c>
      <c r="B1074" t="s">
        <v>452</v>
      </c>
      <c r="C1074" t="s">
        <v>4980</v>
      </c>
      <c r="D1074" t="s">
        <v>3029</v>
      </c>
      <c r="E1074" t="s">
        <v>5001</v>
      </c>
      <c r="F1074" t="s">
        <v>3027</v>
      </c>
      <c r="G1074" t="s">
        <v>3031</v>
      </c>
      <c r="H1074">
        <v>16</v>
      </c>
      <c r="I1074" t="s">
        <v>5002</v>
      </c>
    </row>
    <row r="1075" spans="1:9" x14ac:dyDescent="0.3">
      <c r="A1075" t="s">
        <v>4979</v>
      </c>
      <c r="B1075" t="s">
        <v>452</v>
      </c>
      <c r="C1075" t="s">
        <v>4980</v>
      </c>
      <c r="D1075" t="s">
        <v>3029</v>
      </c>
      <c r="E1075" t="s">
        <v>5003</v>
      </c>
      <c r="F1075" t="s">
        <v>3027</v>
      </c>
      <c r="G1075" t="s">
        <v>3031</v>
      </c>
      <c r="H1075">
        <v>17</v>
      </c>
      <c r="I1075" t="s">
        <v>5004</v>
      </c>
    </row>
    <row r="1076" spans="1:9" x14ac:dyDescent="0.3">
      <c r="A1076" t="s">
        <v>4979</v>
      </c>
      <c r="B1076" t="s">
        <v>452</v>
      </c>
      <c r="C1076" t="s">
        <v>4980</v>
      </c>
      <c r="D1076" t="s">
        <v>3029</v>
      </c>
      <c r="E1076" t="s">
        <v>5005</v>
      </c>
      <c r="F1076" t="s">
        <v>3027</v>
      </c>
      <c r="G1076" t="s">
        <v>3031</v>
      </c>
      <c r="H1076">
        <v>18</v>
      </c>
      <c r="I1076" t="s">
        <v>5006</v>
      </c>
    </row>
    <row r="1077" spans="1:9" x14ac:dyDescent="0.3">
      <c r="A1077" t="s">
        <v>4979</v>
      </c>
      <c r="B1077" t="s">
        <v>452</v>
      </c>
      <c r="C1077" t="s">
        <v>4980</v>
      </c>
      <c r="D1077" t="s">
        <v>3029</v>
      </c>
      <c r="E1077" t="s">
        <v>5007</v>
      </c>
      <c r="F1077" t="s">
        <v>3027</v>
      </c>
      <c r="G1077" t="s">
        <v>3031</v>
      </c>
      <c r="H1077">
        <v>19</v>
      </c>
      <c r="I1077" t="s">
        <v>5008</v>
      </c>
    </row>
    <row r="1078" spans="1:9" x14ac:dyDescent="0.3">
      <c r="A1078" t="s">
        <v>4979</v>
      </c>
      <c r="B1078" t="s">
        <v>452</v>
      </c>
      <c r="C1078" t="s">
        <v>4980</v>
      </c>
      <c r="D1078" t="s">
        <v>3029</v>
      </c>
      <c r="E1078" t="s">
        <v>5009</v>
      </c>
      <c r="F1078" t="s">
        <v>3027</v>
      </c>
      <c r="G1078" t="s">
        <v>3031</v>
      </c>
      <c r="H1078">
        <v>20</v>
      </c>
      <c r="I1078" t="s">
        <v>5010</v>
      </c>
    </row>
    <row r="1079" spans="1:9" x14ac:dyDescent="0.3">
      <c r="A1079" t="s">
        <v>5011</v>
      </c>
      <c r="B1079" t="s">
        <v>458</v>
      </c>
      <c r="C1079" t="s">
        <v>458</v>
      </c>
      <c r="D1079" t="s">
        <v>3025</v>
      </c>
      <c r="E1079" t="s">
        <v>5012</v>
      </c>
      <c r="F1079" t="s">
        <v>3027</v>
      </c>
      <c r="G1079" t="s">
        <v>3028</v>
      </c>
      <c r="H1079">
        <v>1</v>
      </c>
      <c r="I1079" t="s">
        <v>458</v>
      </c>
    </row>
    <row r="1080" spans="1:9" x14ac:dyDescent="0.3">
      <c r="A1080" t="s">
        <v>5011</v>
      </c>
      <c r="B1080" t="s">
        <v>458</v>
      </c>
      <c r="C1080" t="s">
        <v>458</v>
      </c>
      <c r="D1080" t="s">
        <v>3029</v>
      </c>
      <c r="E1080" t="s">
        <v>3118</v>
      </c>
      <c r="F1080" t="s">
        <v>3027</v>
      </c>
      <c r="G1080" t="s">
        <v>3031</v>
      </c>
      <c r="H1080">
        <v>2</v>
      </c>
      <c r="I1080" t="s">
        <v>3707</v>
      </c>
    </row>
    <row r="1081" spans="1:9" x14ac:dyDescent="0.3">
      <c r="A1081" t="s">
        <v>5011</v>
      </c>
      <c r="B1081" t="s">
        <v>458</v>
      </c>
      <c r="C1081" t="s">
        <v>458</v>
      </c>
      <c r="D1081" t="s">
        <v>3029</v>
      </c>
      <c r="E1081" t="s">
        <v>3119</v>
      </c>
      <c r="F1081" t="s">
        <v>3027</v>
      </c>
      <c r="G1081" t="s">
        <v>3031</v>
      </c>
      <c r="H1081">
        <v>3</v>
      </c>
      <c r="I1081" t="s">
        <v>3079</v>
      </c>
    </row>
    <row r="1082" spans="1:9" x14ac:dyDescent="0.3">
      <c r="A1082" t="s">
        <v>5011</v>
      </c>
      <c r="B1082" t="s">
        <v>458</v>
      </c>
      <c r="C1082" t="s">
        <v>458</v>
      </c>
      <c r="D1082" t="s">
        <v>3029</v>
      </c>
      <c r="E1082" t="s">
        <v>5013</v>
      </c>
      <c r="F1082" t="s">
        <v>3027</v>
      </c>
      <c r="G1082" t="s">
        <v>3031</v>
      </c>
      <c r="H1082">
        <v>4</v>
      </c>
      <c r="I1082" t="s">
        <v>5014</v>
      </c>
    </row>
    <row r="1083" spans="1:9" x14ac:dyDescent="0.3">
      <c r="A1083" t="s">
        <v>5011</v>
      </c>
      <c r="B1083" t="s">
        <v>458</v>
      </c>
      <c r="C1083" t="s">
        <v>458</v>
      </c>
      <c r="D1083" t="s">
        <v>3029</v>
      </c>
      <c r="E1083" t="s">
        <v>5015</v>
      </c>
      <c r="F1083" t="s">
        <v>3027</v>
      </c>
      <c r="G1083" t="s">
        <v>3031</v>
      </c>
      <c r="H1083">
        <v>5</v>
      </c>
      <c r="I1083" t="s">
        <v>5016</v>
      </c>
    </row>
    <row r="1084" spans="1:9" x14ac:dyDescent="0.3">
      <c r="A1084" t="s">
        <v>5011</v>
      </c>
      <c r="B1084" t="s">
        <v>458</v>
      </c>
      <c r="C1084" t="s">
        <v>458</v>
      </c>
      <c r="D1084" t="s">
        <v>3029</v>
      </c>
      <c r="E1084" t="s">
        <v>5017</v>
      </c>
      <c r="F1084" t="s">
        <v>3027</v>
      </c>
      <c r="G1084" t="s">
        <v>3031</v>
      </c>
      <c r="H1084">
        <v>6</v>
      </c>
      <c r="I1084" t="s">
        <v>5018</v>
      </c>
    </row>
    <row r="1085" spans="1:9" x14ac:dyDescent="0.3">
      <c r="A1085" t="s">
        <v>5011</v>
      </c>
      <c r="B1085" t="s">
        <v>458</v>
      </c>
      <c r="C1085" t="s">
        <v>458</v>
      </c>
      <c r="D1085" t="s">
        <v>3029</v>
      </c>
      <c r="E1085" t="s">
        <v>5019</v>
      </c>
      <c r="F1085" t="s">
        <v>3027</v>
      </c>
      <c r="G1085" t="s">
        <v>3031</v>
      </c>
      <c r="H1085">
        <v>7</v>
      </c>
      <c r="I1085" t="s">
        <v>5020</v>
      </c>
    </row>
    <row r="1086" spans="1:9" x14ac:dyDescent="0.3">
      <c r="A1086" t="s">
        <v>5011</v>
      </c>
      <c r="B1086" t="s">
        <v>458</v>
      </c>
      <c r="C1086" t="s">
        <v>458</v>
      </c>
      <c r="D1086" t="s">
        <v>3029</v>
      </c>
      <c r="E1086" t="s">
        <v>4596</v>
      </c>
      <c r="F1086" t="s">
        <v>3027</v>
      </c>
      <c r="G1086" t="s">
        <v>3031</v>
      </c>
      <c r="H1086">
        <v>8</v>
      </c>
      <c r="I1086" t="s">
        <v>4597</v>
      </c>
    </row>
    <row r="1087" spans="1:9" x14ac:dyDescent="0.3">
      <c r="A1087" t="s">
        <v>5011</v>
      </c>
      <c r="B1087" t="s">
        <v>458</v>
      </c>
      <c r="C1087" t="s">
        <v>458</v>
      </c>
      <c r="D1087" t="s">
        <v>3029</v>
      </c>
      <c r="E1087" t="s">
        <v>5021</v>
      </c>
      <c r="F1087" t="s">
        <v>3027</v>
      </c>
      <c r="G1087" t="s">
        <v>3031</v>
      </c>
      <c r="H1087">
        <v>9</v>
      </c>
      <c r="I1087" t="s">
        <v>5022</v>
      </c>
    </row>
    <row r="1088" spans="1:9" x14ac:dyDescent="0.3">
      <c r="A1088" t="s">
        <v>5011</v>
      </c>
      <c r="B1088" t="s">
        <v>458</v>
      </c>
      <c r="C1088" t="s">
        <v>458</v>
      </c>
      <c r="D1088" t="s">
        <v>3029</v>
      </c>
      <c r="E1088" t="s">
        <v>5001</v>
      </c>
      <c r="F1088" t="s">
        <v>3027</v>
      </c>
      <c r="G1088" t="s">
        <v>3031</v>
      </c>
      <c r="H1088">
        <v>10</v>
      </c>
      <c r="I1088" t="s">
        <v>44</v>
      </c>
    </row>
    <row r="1089" spans="1:9" x14ac:dyDescent="0.3">
      <c r="A1089" t="s">
        <v>5011</v>
      </c>
      <c r="B1089" t="s">
        <v>458</v>
      </c>
      <c r="C1089" t="s">
        <v>458</v>
      </c>
      <c r="D1089" t="s">
        <v>3029</v>
      </c>
      <c r="E1089" t="s">
        <v>5023</v>
      </c>
      <c r="F1089" t="s">
        <v>3027</v>
      </c>
      <c r="G1089" t="s">
        <v>3031</v>
      </c>
      <c r="H1089">
        <v>11</v>
      </c>
      <c r="I1089" t="s">
        <v>5024</v>
      </c>
    </row>
    <row r="1090" spans="1:9" x14ac:dyDescent="0.3">
      <c r="A1090" t="s">
        <v>5011</v>
      </c>
      <c r="B1090" t="s">
        <v>458</v>
      </c>
      <c r="C1090" t="s">
        <v>458</v>
      </c>
      <c r="D1090" t="s">
        <v>3029</v>
      </c>
      <c r="E1090" t="s">
        <v>5025</v>
      </c>
      <c r="F1090" t="s">
        <v>3027</v>
      </c>
      <c r="G1090" t="s">
        <v>3031</v>
      </c>
      <c r="H1090">
        <v>12</v>
      </c>
      <c r="I1090" t="s">
        <v>5026</v>
      </c>
    </row>
    <row r="1091" spans="1:9" x14ac:dyDescent="0.3">
      <c r="A1091" t="s">
        <v>5011</v>
      </c>
      <c r="B1091" t="s">
        <v>458</v>
      </c>
      <c r="C1091" t="s">
        <v>458</v>
      </c>
      <c r="D1091" t="s">
        <v>3029</v>
      </c>
      <c r="E1091" t="s">
        <v>5027</v>
      </c>
      <c r="F1091" t="s">
        <v>3027</v>
      </c>
      <c r="G1091" t="s">
        <v>3031</v>
      </c>
      <c r="H1091">
        <v>13</v>
      </c>
      <c r="I1091" t="s">
        <v>5028</v>
      </c>
    </row>
    <row r="1092" spans="1:9" x14ac:dyDescent="0.3">
      <c r="A1092" t="s">
        <v>5011</v>
      </c>
      <c r="B1092" t="s">
        <v>458</v>
      </c>
      <c r="C1092" t="s">
        <v>458</v>
      </c>
      <c r="D1092" t="s">
        <v>3029</v>
      </c>
      <c r="E1092" t="s">
        <v>5029</v>
      </c>
      <c r="F1092" t="s">
        <v>3027</v>
      </c>
      <c r="G1092" t="s">
        <v>3031</v>
      </c>
      <c r="H1092">
        <v>14</v>
      </c>
      <c r="I1092" t="s">
        <v>5030</v>
      </c>
    </row>
    <row r="1093" spans="1:9" x14ac:dyDescent="0.3">
      <c r="A1093" t="s">
        <v>5011</v>
      </c>
      <c r="B1093" t="s">
        <v>458</v>
      </c>
      <c r="C1093" t="s">
        <v>458</v>
      </c>
      <c r="D1093" t="s">
        <v>3029</v>
      </c>
      <c r="E1093" t="s">
        <v>3958</v>
      </c>
      <c r="F1093" t="s">
        <v>3027</v>
      </c>
      <c r="G1093" t="s">
        <v>3031</v>
      </c>
      <c r="H1093">
        <v>15</v>
      </c>
      <c r="I1093" t="s">
        <v>3959</v>
      </c>
    </row>
    <row r="1094" spans="1:9" x14ac:dyDescent="0.3">
      <c r="A1094" t="s">
        <v>5011</v>
      </c>
      <c r="B1094" t="s">
        <v>458</v>
      </c>
      <c r="C1094" t="s">
        <v>458</v>
      </c>
      <c r="D1094" t="s">
        <v>3029</v>
      </c>
      <c r="E1094" t="s">
        <v>5031</v>
      </c>
      <c r="F1094" t="s">
        <v>3027</v>
      </c>
      <c r="G1094" t="s">
        <v>3031</v>
      </c>
      <c r="H1094">
        <v>16</v>
      </c>
      <c r="I1094" t="s">
        <v>5032</v>
      </c>
    </row>
    <row r="1095" spans="1:9" x14ac:dyDescent="0.3">
      <c r="A1095" t="s">
        <v>5011</v>
      </c>
      <c r="B1095" t="s">
        <v>458</v>
      </c>
      <c r="C1095" t="s">
        <v>458</v>
      </c>
      <c r="D1095" t="s">
        <v>3029</v>
      </c>
      <c r="E1095" t="s">
        <v>3026</v>
      </c>
      <c r="F1095" t="s">
        <v>3027</v>
      </c>
      <c r="G1095" t="s">
        <v>3031</v>
      </c>
      <c r="H1095">
        <v>17</v>
      </c>
      <c r="I1095" t="s">
        <v>5033</v>
      </c>
    </row>
    <row r="1096" spans="1:9" x14ac:dyDescent="0.3">
      <c r="A1096" t="s">
        <v>5011</v>
      </c>
      <c r="B1096" t="s">
        <v>458</v>
      </c>
      <c r="C1096" t="s">
        <v>458</v>
      </c>
      <c r="D1096" t="s">
        <v>3029</v>
      </c>
      <c r="E1096" t="s">
        <v>3914</v>
      </c>
      <c r="F1096" t="s">
        <v>3027</v>
      </c>
      <c r="G1096" t="s">
        <v>3031</v>
      </c>
      <c r="H1096">
        <v>18</v>
      </c>
      <c r="I1096" t="s">
        <v>259</v>
      </c>
    </row>
    <row r="1097" spans="1:9" x14ac:dyDescent="0.3">
      <c r="A1097" t="s">
        <v>5011</v>
      </c>
      <c r="B1097" t="s">
        <v>458</v>
      </c>
      <c r="C1097" t="s">
        <v>458</v>
      </c>
      <c r="D1097" t="s">
        <v>3029</v>
      </c>
      <c r="E1097" t="s">
        <v>5034</v>
      </c>
      <c r="F1097" t="s">
        <v>3027</v>
      </c>
      <c r="G1097" t="s">
        <v>3031</v>
      </c>
      <c r="H1097">
        <v>19</v>
      </c>
      <c r="I1097" t="s">
        <v>5035</v>
      </c>
    </row>
    <row r="1098" spans="1:9" x14ac:dyDescent="0.3">
      <c r="A1098" t="s">
        <v>5011</v>
      </c>
      <c r="B1098" t="s">
        <v>458</v>
      </c>
      <c r="C1098" t="s">
        <v>458</v>
      </c>
      <c r="D1098" t="s">
        <v>3029</v>
      </c>
      <c r="E1098" t="s">
        <v>5036</v>
      </c>
      <c r="F1098" t="s">
        <v>3027</v>
      </c>
      <c r="G1098" t="s">
        <v>3031</v>
      </c>
      <c r="H1098">
        <v>20</v>
      </c>
      <c r="I1098" t="s">
        <v>5037</v>
      </c>
    </row>
    <row r="1099" spans="1:9" x14ac:dyDescent="0.3">
      <c r="A1099" t="s">
        <v>5038</v>
      </c>
      <c r="B1099" t="s">
        <v>465</v>
      </c>
      <c r="C1099" t="s">
        <v>5039</v>
      </c>
      <c r="D1099" t="s">
        <v>3025</v>
      </c>
      <c r="E1099" t="s">
        <v>3852</v>
      </c>
      <c r="F1099" t="s">
        <v>3027</v>
      </c>
      <c r="G1099" t="s">
        <v>3028</v>
      </c>
      <c r="H1099">
        <v>1</v>
      </c>
      <c r="I1099" t="s">
        <v>5039</v>
      </c>
    </row>
    <row r="1100" spans="1:9" x14ac:dyDescent="0.3">
      <c r="A1100" t="s">
        <v>5038</v>
      </c>
      <c r="B1100" t="s">
        <v>465</v>
      </c>
      <c r="C1100" t="s">
        <v>5039</v>
      </c>
      <c r="D1100" t="s">
        <v>3029</v>
      </c>
      <c r="E1100" t="s">
        <v>5040</v>
      </c>
      <c r="F1100" t="s">
        <v>3027</v>
      </c>
      <c r="G1100" t="s">
        <v>3031</v>
      </c>
      <c r="H1100">
        <v>2</v>
      </c>
      <c r="I1100" t="s">
        <v>5041</v>
      </c>
    </row>
    <row r="1101" spans="1:9" x14ac:dyDescent="0.3">
      <c r="A1101" t="s">
        <v>5038</v>
      </c>
      <c r="B1101" t="s">
        <v>465</v>
      </c>
      <c r="C1101" t="s">
        <v>5039</v>
      </c>
      <c r="D1101" t="s">
        <v>3029</v>
      </c>
      <c r="E1101" t="s">
        <v>5042</v>
      </c>
      <c r="F1101" t="s">
        <v>3027</v>
      </c>
      <c r="G1101" t="s">
        <v>3031</v>
      </c>
      <c r="H1101">
        <v>3</v>
      </c>
      <c r="I1101" t="s">
        <v>5043</v>
      </c>
    </row>
    <row r="1102" spans="1:9" x14ac:dyDescent="0.3">
      <c r="A1102" t="s">
        <v>5038</v>
      </c>
      <c r="B1102" t="s">
        <v>465</v>
      </c>
      <c r="C1102" t="s">
        <v>5039</v>
      </c>
      <c r="D1102" t="s">
        <v>3029</v>
      </c>
      <c r="E1102" t="s">
        <v>5044</v>
      </c>
      <c r="F1102" t="s">
        <v>3027</v>
      </c>
      <c r="G1102" t="s">
        <v>3031</v>
      </c>
      <c r="H1102">
        <v>4</v>
      </c>
      <c r="I1102" t="s">
        <v>5045</v>
      </c>
    </row>
    <row r="1103" spans="1:9" x14ac:dyDescent="0.3">
      <c r="A1103" t="s">
        <v>5038</v>
      </c>
      <c r="B1103" t="s">
        <v>465</v>
      </c>
      <c r="C1103" t="s">
        <v>5039</v>
      </c>
      <c r="D1103" t="s">
        <v>3029</v>
      </c>
      <c r="E1103" t="s">
        <v>5046</v>
      </c>
      <c r="F1103" t="s">
        <v>3027</v>
      </c>
      <c r="G1103" t="s">
        <v>3031</v>
      </c>
      <c r="H1103">
        <v>5</v>
      </c>
      <c r="I1103" t="s">
        <v>5047</v>
      </c>
    </row>
    <row r="1104" spans="1:9" x14ac:dyDescent="0.3">
      <c r="A1104" t="s">
        <v>5038</v>
      </c>
      <c r="B1104" t="s">
        <v>465</v>
      </c>
      <c r="C1104" t="s">
        <v>5039</v>
      </c>
      <c r="D1104" t="s">
        <v>3029</v>
      </c>
      <c r="E1104" t="s">
        <v>5048</v>
      </c>
      <c r="F1104" t="s">
        <v>3027</v>
      </c>
      <c r="G1104" t="s">
        <v>3031</v>
      </c>
      <c r="H1104">
        <v>6</v>
      </c>
      <c r="I1104" t="s">
        <v>5049</v>
      </c>
    </row>
    <row r="1105" spans="1:9" x14ac:dyDescent="0.3">
      <c r="A1105" t="s">
        <v>5038</v>
      </c>
      <c r="B1105" t="s">
        <v>465</v>
      </c>
      <c r="C1105" t="s">
        <v>5039</v>
      </c>
      <c r="D1105" t="s">
        <v>3029</v>
      </c>
      <c r="E1105" t="s">
        <v>5050</v>
      </c>
      <c r="F1105" t="s">
        <v>3027</v>
      </c>
      <c r="G1105" t="s">
        <v>3031</v>
      </c>
      <c r="H1105">
        <v>7</v>
      </c>
      <c r="I1105" t="s">
        <v>5051</v>
      </c>
    </row>
    <row r="1106" spans="1:9" x14ac:dyDescent="0.3">
      <c r="A1106" t="s">
        <v>5038</v>
      </c>
      <c r="B1106" t="s">
        <v>465</v>
      </c>
      <c r="C1106" t="s">
        <v>5039</v>
      </c>
      <c r="D1106" t="s">
        <v>3029</v>
      </c>
      <c r="E1106" t="s">
        <v>5052</v>
      </c>
      <c r="F1106" t="s">
        <v>3027</v>
      </c>
      <c r="G1106" t="s">
        <v>3031</v>
      </c>
      <c r="H1106">
        <v>8</v>
      </c>
      <c r="I1106" t="s">
        <v>5053</v>
      </c>
    </row>
    <row r="1107" spans="1:9" x14ac:dyDescent="0.3">
      <c r="A1107" t="s">
        <v>5038</v>
      </c>
      <c r="B1107" t="s">
        <v>465</v>
      </c>
      <c r="C1107" t="s">
        <v>5039</v>
      </c>
      <c r="D1107" t="s">
        <v>3029</v>
      </c>
      <c r="E1107" t="s">
        <v>5054</v>
      </c>
      <c r="F1107" t="s">
        <v>3027</v>
      </c>
      <c r="G1107" t="s">
        <v>3031</v>
      </c>
      <c r="H1107">
        <v>9</v>
      </c>
      <c r="I1107" t="s">
        <v>5055</v>
      </c>
    </row>
    <row r="1108" spans="1:9" x14ac:dyDescent="0.3">
      <c r="A1108" t="s">
        <v>5038</v>
      </c>
      <c r="B1108" t="s">
        <v>465</v>
      </c>
      <c r="C1108" t="s">
        <v>5039</v>
      </c>
      <c r="D1108" t="s">
        <v>3029</v>
      </c>
      <c r="E1108" t="s">
        <v>5056</v>
      </c>
      <c r="F1108" t="s">
        <v>3027</v>
      </c>
      <c r="G1108" t="s">
        <v>3031</v>
      </c>
      <c r="H1108">
        <v>10</v>
      </c>
      <c r="I1108" t="s">
        <v>5057</v>
      </c>
    </row>
    <row r="1109" spans="1:9" x14ac:dyDescent="0.3">
      <c r="A1109" t="s">
        <v>5038</v>
      </c>
      <c r="B1109" t="s">
        <v>465</v>
      </c>
      <c r="C1109" t="s">
        <v>5039</v>
      </c>
      <c r="D1109" t="s">
        <v>3029</v>
      </c>
      <c r="E1109" t="s">
        <v>5058</v>
      </c>
      <c r="F1109" t="s">
        <v>3027</v>
      </c>
      <c r="G1109" t="s">
        <v>3031</v>
      </c>
      <c r="H1109">
        <v>11</v>
      </c>
      <c r="I1109" t="s">
        <v>5059</v>
      </c>
    </row>
    <row r="1110" spans="1:9" x14ac:dyDescent="0.3">
      <c r="A1110" t="s">
        <v>5038</v>
      </c>
      <c r="B1110" t="s">
        <v>465</v>
      </c>
      <c r="C1110" t="s">
        <v>5039</v>
      </c>
      <c r="D1110" t="s">
        <v>3029</v>
      </c>
      <c r="E1110" t="s">
        <v>4234</v>
      </c>
      <c r="F1110" t="s">
        <v>3027</v>
      </c>
      <c r="G1110" t="s">
        <v>3031</v>
      </c>
      <c r="H1110">
        <v>12</v>
      </c>
      <c r="I1110" t="s">
        <v>5060</v>
      </c>
    </row>
    <row r="1111" spans="1:9" x14ac:dyDescent="0.3">
      <c r="A1111" t="s">
        <v>5038</v>
      </c>
      <c r="B1111" t="s">
        <v>465</v>
      </c>
      <c r="C1111" t="s">
        <v>5039</v>
      </c>
      <c r="D1111" t="s">
        <v>3029</v>
      </c>
      <c r="E1111" t="s">
        <v>5061</v>
      </c>
      <c r="F1111" t="s">
        <v>3027</v>
      </c>
      <c r="G1111" t="s">
        <v>3031</v>
      </c>
      <c r="H1111">
        <v>13</v>
      </c>
      <c r="I1111" t="s">
        <v>5062</v>
      </c>
    </row>
    <row r="1112" spans="1:9" x14ac:dyDescent="0.3">
      <c r="A1112" t="s">
        <v>5038</v>
      </c>
      <c r="B1112" t="s">
        <v>465</v>
      </c>
      <c r="C1112" t="s">
        <v>5039</v>
      </c>
      <c r="D1112" t="s">
        <v>3029</v>
      </c>
      <c r="E1112" t="s">
        <v>5063</v>
      </c>
      <c r="F1112" t="s">
        <v>3027</v>
      </c>
      <c r="G1112" t="s">
        <v>3031</v>
      </c>
      <c r="H1112">
        <v>14</v>
      </c>
      <c r="I1112" t="s">
        <v>5064</v>
      </c>
    </row>
    <row r="1113" spans="1:9" x14ac:dyDescent="0.3">
      <c r="A1113" t="s">
        <v>5038</v>
      </c>
      <c r="B1113" t="s">
        <v>465</v>
      </c>
      <c r="C1113" t="s">
        <v>5039</v>
      </c>
      <c r="D1113" t="s">
        <v>3029</v>
      </c>
      <c r="E1113" t="s">
        <v>5065</v>
      </c>
      <c r="F1113" t="s">
        <v>3027</v>
      </c>
      <c r="G1113" t="s">
        <v>3031</v>
      </c>
      <c r="H1113">
        <v>15</v>
      </c>
      <c r="I1113" t="s">
        <v>5066</v>
      </c>
    </row>
    <row r="1114" spans="1:9" x14ac:dyDescent="0.3">
      <c r="A1114" t="s">
        <v>5038</v>
      </c>
      <c r="B1114" t="s">
        <v>465</v>
      </c>
      <c r="C1114" t="s">
        <v>5039</v>
      </c>
      <c r="D1114" t="s">
        <v>3029</v>
      </c>
      <c r="E1114" t="s">
        <v>5067</v>
      </c>
      <c r="F1114" t="s">
        <v>3027</v>
      </c>
      <c r="G1114" t="s">
        <v>3031</v>
      </c>
      <c r="H1114">
        <v>16</v>
      </c>
      <c r="I1114" t="s">
        <v>5068</v>
      </c>
    </row>
    <row r="1115" spans="1:9" x14ac:dyDescent="0.3">
      <c r="A1115" t="s">
        <v>5038</v>
      </c>
      <c r="B1115" t="s">
        <v>465</v>
      </c>
      <c r="C1115" t="s">
        <v>5039</v>
      </c>
      <c r="D1115" t="s">
        <v>3029</v>
      </c>
      <c r="E1115" t="s">
        <v>5069</v>
      </c>
      <c r="F1115" t="s">
        <v>3027</v>
      </c>
      <c r="G1115" t="s">
        <v>3031</v>
      </c>
      <c r="H1115">
        <v>17</v>
      </c>
      <c r="I1115" t="s">
        <v>5070</v>
      </c>
    </row>
    <row r="1116" spans="1:9" x14ac:dyDescent="0.3">
      <c r="A1116" t="s">
        <v>5038</v>
      </c>
      <c r="B1116" t="s">
        <v>465</v>
      </c>
      <c r="C1116" t="s">
        <v>5039</v>
      </c>
      <c r="D1116" t="s">
        <v>3029</v>
      </c>
      <c r="E1116" t="s">
        <v>5071</v>
      </c>
      <c r="F1116" t="s">
        <v>3027</v>
      </c>
      <c r="G1116" t="s">
        <v>3031</v>
      </c>
      <c r="H1116">
        <v>18</v>
      </c>
      <c r="I1116" t="s">
        <v>5072</v>
      </c>
    </row>
    <row r="1117" spans="1:9" x14ac:dyDescent="0.3">
      <c r="A1117" t="s">
        <v>5038</v>
      </c>
      <c r="B1117" t="s">
        <v>465</v>
      </c>
      <c r="C1117" t="s">
        <v>5039</v>
      </c>
      <c r="D1117" t="s">
        <v>3029</v>
      </c>
      <c r="E1117" t="s">
        <v>5073</v>
      </c>
      <c r="F1117" t="s">
        <v>3027</v>
      </c>
      <c r="G1117" t="s">
        <v>3031</v>
      </c>
      <c r="H1117">
        <v>19</v>
      </c>
      <c r="I1117" t="s">
        <v>5074</v>
      </c>
    </row>
    <row r="1118" spans="1:9" x14ac:dyDescent="0.3">
      <c r="A1118" t="s">
        <v>5038</v>
      </c>
      <c r="B1118" t="s">
        <v>465</v>
      </c>
      <c r="C1118" t="s">
        <v>5039</v>
      </c>
      <c r="D1118" t="s">
        <v>3029</v>
      </c>
      <c r="E1118" t="s">
        <v>5075</v>
      </c>
      <c r="F1118" t="s">
        <v>3027</v>
      </c>
      <c r="G1118" t="s">
        <v>3031</v>
      </c>
      <c r="H1118">
        <v>20</v>
      </c>
      <c r="I1118" t="s">
        <v>5076</v>
      </c>
    </row>
    <row r="1119" spans="1:9" x14ac:dyDescent="0.3">
      <c r="A1119" t="s">
        <v>5077</v>
      </c>
      <c r="B1119" t="s">
        <v>472</v>
      </c>
      <c r="C1119" t="s">
        <v>5078</v>
      </c>
      <c r="D1119" t="s">
        <v>3025</v>
      </c>
      <c r="E1119" t="s">
        <v>5079</v>
      </c>
      <c r="F1119" t="s">
        <v>3027</v>
      </c>
      <c r="G1119" t="s">
        <v>3028</v>
      </c>
      <c r="H1119">
        <v>1</v>
      </c>
      <c r="I1119" t="s">
        <v>5078</v>
      </c>
    </row>
    <row r="1120" spans="1:9" x14ac:dyDescent="0.3">
      <c r="A1120" t="s">
        <v>5077</v>
      </c>
      <c r="B1120" t="s">
        <v>472</v>
      </c>
      <c r="C1120" t="s">
        <v>5078</v>
      </c>
      <c r="D1120" t="s">
        <v>3029</v>
      </c>
      <c r="E1120" t="s">
        <v>3118</v>
      </c>
      <c r="F1120" t="s">
        <v>3027</v>
      </c>
      <c r="G1120" t="s">
        <v>3031</v>
      </c>
      <c r="H1120">
        <v>2</v>
      </c>
      <c r="I1120" t="s">
        <v>3707</v>
      </c>
    </row>
    <row r="1121" spans="1:9" x14ac:dyDescent="0.3">
      <c r="A1121" t="s">
        <v>5077</v>
      </c>
      <c r="B1121" t="s">
        <v>472</v>
      </c>
      <c r="C1121" t="s">
        <v>5078</v>
      </c>
      <c r="D1121" t="s">
        <v>3029</v>
      </c>
      <c r="E1121" t="s">
        <v>5080</v>
      </c>
      <c r="F1121" t="s">
        <v>3027</v>
      </c>
      <c r="G1121" t="s">
        <v>3031</v>
      </c>
      <c r="H1121">
        <v>3</v>
      </c>
      <c r="I1121" t="s">
        <v>5081</v>
      </c>
    </row>
    <row r="1122" spans="1:9" x14ac:dyDescent="0.3">
      <c r="A1122" t="s">
        <v>5077</v>
      </c>
      <c r="B1122" t="s">
        <v>472</v>
      </c>
      <c r="C1122" t="s">
        <v>5078</v>
      </c>
      <c r="D1122" t="s">
        <v>3029</v>
      </c>
      <c r="E1122" t="s">
        <v>5082</v>
      </c>
      <c r="F1122" t="s">
        <v>3027</v>
      </c>
      <c r="G1122" t="s">
        <v>3031</v>
      </c>
      <c r="H1122">
        <v>4</v>
      </c>
      <c r="I1122" t="s">
        <v>5083</v>
      </c>
    </row>
    <row r="1123" spans="1:9" x14ac:dyDescent="0.3">
      <c r="A1123" t="s">
        <v>5077</v>
      </c>
      <c r="B1123" t="s">
        <v>472</v>
      </c>
      <c r="C1123" t="s">
        <v>5078</v>
      </c>
      <c r="D1123" t="s">
        <v>3029</v>
      </c>
      <c r="E1123" t="s">
        <v>5084</v>
      </c>
      <c r="F1123" t="s">
        <v>3027</v>
      </c>
      <c r="G1123" t="s">
        <v>3031</v>
      </c>
      <c r="H1123">
        <v>5</v>
      </c>
      <c r="I1123" t="s">
        <v>5085</v>
      </c>
    </row>
    <row r="1124" spans="1:9" x14ac:dyDescent="0.3">
      <c r="A1124" t="s">
        <v>5077</v>
      </c>
      <c r="B1124" t="s">
        <v>472</v>
      </c>
      <c r="C1124" t="s">
        <v>5078</v>
      </c>
      <c r="D1124" t="s">
        <v>3029</v>
      </c>
      <c r="E1124" t="s">
        <v>5086</v>
      </c>
      <c r="F1124" t="s">
        <v>3027</v>
      </c>
      <c r="G1124" t="s">
        <v>3031</v>
      </c>
      <c r="H1124">
        <v>6</v>
      </c>
      <c r="I1124" t="s">
        <v>5087</v>
      </c>
    </row>
    <row r="1125" spans="1:9" x14ac:dyDescent="0.3">
      <c r="A1125" t="s">
        <v>5077</v>
      </c>
      <c r="B1125" t="s">
        <v>472</v>
      </c>
      <c r="C1125" t="s">
        <v>5078</v>
      </c>
      <c r="D1125" t="s">
        <v>3029</v>
      </c>
      <c r="E1125" t="s">
        <v>5088</v>
      </c>
      <c r="F1125" t="s">
        <v>3027</v>
      </c>
      <c r="G1125" t="s">
        <v>3031</v>
      </c>
      <c r="H1125">
        <v>7</v>
      </c>
      <c r="I1125" t="s">
        <v>5089</v>
      </c>
    </row>
    <row r="1126" spans="1:9" x14ac:dyDescent="0.3">
      <c r="A1126" t="s">
        <v>5077</v>
      </c>
      <c r="B1126" t="s">
        <v>472</v>
      </c>
      <c r="C1126" t="s">
        <v>5078</v>
      </c>
      <c r="D1126" t="s">
        <v>3029</v>
      </c>
      <c r="E1126" t="s">
        <v>5090</v>
      </c>
      <c r="F1126" t="s">
        <v>3027</v>
      </c>
      <c r="G1126" t="s">
        <v>3031</v>
      </c>
      <c r="H1126">
        <v>8</v>
      </c>
      <c r="I1126" t="s">
        <v>5091</v>
      </c>
    </row>
    <row r="1127" spans="1:9" x14ac:dyDescent="0.3">
      <c r="A1127" t="s">
        <v>5077</v>
      </c>
      <c r="B1127" t="s">
        <v>472</v>
      </c>
      <c r="C1127" t="s">
        <v>5078</v>
      </c>
      <c r="D1127" t="s">
        <v>3029</v>
      </c>
      <c r="E1127" t="s">
        <v>5092</v>
      </c>
      <c r="F1127" t="s">
        <v>3027</v>
      </c>
      <c r="G1127" t="s">
        <v>3031</v>
      </c>
      <c r="H1127">
        <v>9</v>
      </c>
      <c r="I1127" t="s">
        <v>5093</v>
      </c>
    </row>
    <row r="1128" spans="1:9" x14ac:dyDescent="0.3">
      <c r="A1128" t="s">
        <v>5077</v>
      </c>
      <c r="B1128" t="s">
        <v>472</v>
      </c>
      <c r="C1128" t="s">
        <v>5078</v>
      </c>
      <c r="D1128" t="s">
        <v>3029</v>
      </c>
      <c r="E1128" t="s">
        <v>5094</v>
      </c>
      <c r="F1128" t="s">
        <v>3027</v>
      </c>
      <c r="G1128" t="s">
        <v>3031</v>
      </c>
      <c r="H1128">
        <v>10</v>
      </c>
      <c r="I1128" t="s">
        <v>5095</v>
      </c>
    </row>
    <row r="1129" spans="1:9" x14ac:dyDescent="0.3">
      <c r="A1129" t="s">
        <v>5077</v>
      </c>
      <c r="B1129" t="s">
        <v>472</v>
      </c>
      <c r="C1129" t="s">
        <v>5078</v>
      </c>
      <c r="D1129" t="s">
        <v>3029</v>
      </c>
      <c r="E1129" t="s">
        <v>5096</v>
      </c>
      <c r="F1129" t="s">
        <v>3027</v>
      </c>
      <c r="G1129" t="s">
        <v>3031</v>
      </c>
      <c r="H1129">
        <v>11</v>
      </c>
      <c r="I1129" t="s">
        <v>5097</v>
      </c>
    </row>
    <row r="1130" spans="1:9" x14ac:dyDescent="0.3">
      <c r="A1130" t="s">
        <v>5077</v>
      </c>
      <c r="B1130" t="s">
        <v>472</v>
      </c>
      <c r="C1130" t="s">
        <v>5078</v>
      </c>
      <c r="D1130" t="s">
        <v>3029</v>
      </c>
      <c r="E1130" t="s">
        <v>5098</v>
      </c>
      <c r="F1130" t="s">
        <v>3027</v>
      </c>
      <c r="G1130" t="s">
        <v>3031</v>
      </c>
      <c r="H1130">
        <v>12</v>
      </c>
      <c r="I1130" t="s">
        <v>5099</v>
      </c>
    </row>
    <row r="1131" spans="1:9" x14ac:dyDescent="0.3">
      <c r="A1131" t="s">
        <v>5077</v>
      </c>
      <c r="B1131" t="s">
        <v>472</v>
      </c>
      <c r="C1131" t="s">
        <v>5078</v>
      </c>
      <c r="D1131" t="s">
        <v>3029</v>
      </c>
      <c r="E1131" t="s">
        <v>5100</v>
      </c>
      <c r="F1131" t="s">
        <v>3027</v>
      </c>
      <c r="G1131" t="s">
        <v>3031</v>
      </c>
      <c r="H1131">
        <v>13</v>
      </c>
      <c r="I1131" t="s">
        <v>5101</v>
      </c>
    </row>
    <row r="1132" spans="1:9" x14ac:dyDescent="0.3">
      <c r="A1132" t="s">
        <v>5077</v>
      </c>
      <c r="B1132" t="s">
        <v>472</v>
      </c>
      <c r="C1132" t="s">
        <v>5078</v>
      </c>
      <c r="D1132" t="s">
        <v>3029</v>
      </c>
      <c r="E1132" t="s">
        <v>5102</v>
      </c>
      <c r="F1132" t="s">
        <v>3027</v>
      </c>
      <c r="G1132" t="s">
        <v>3031</v>
      </c>
      <c r="H1132">
        <v>14</v>
      </c>
      <c r="I1132" t="s">
        <v>5103</v>
      </c>
    </row>
    <row r="1133" spans="1:9" x14ac:dyDescent="0.3">
      <c r="A1133" t="s">
        <v>5077</v>
      </c>
      <c r="B1133" t="s">
        <v>472</v>
      </c>
      <c r="C1133" t="s">
        <v>5078</v>
      </c>
      <c r="D1133" t="s">
        <v>3029</v>
      </c>
      <c r="E1133" t="s">
        <v>5104</v>
      </c>
      <c r="F1133" t="s">
        <v>3027</v>
      </c>
      <c r="G1133" t="s">
        <v>3031</v>
      </c>
      <c r="H1133">
        <v>15</v>
      </c>
      <c r="I1133" t="s">
        <v>5105</v>
      </c>
    </row>
    <row r="1134" spans="1:9" x14ac:dyDescent="0.3">
      <c r="A1134" t="s">
        <v>5077</v>
      </c>
      <c r="B1134" t="s">
        <v>472</v>
      </c>
      <c r="C1134" t="s">
        <v>5078</v>
      </c>
      <c r="D1134" t="s">
        <v>3029</v>
      </c>
      <c r="E1134" t="s">
        <v>5106</v>
      </c>
      <c r="F1134" t="s">
        <v>3027</v>
      </c>
      <c r="G1134" t="s">
        <v>3031</v>
      </c>
      <c r="H1134">
        <v>16</v>
      </c>
      <c r="I1134" t="s">
        <v>5107</v>
      </c>
    </row>
    <row r="1135" spans="1:9" x14ac:dyDescent="0.3">
      <c r="A1135" t="s">
        <v>5077</v>
      </c>
      <c r="B1135" t="s">
        <v>472</v>
      </c>
      <c r="C1135" t="s">
        <v>5078</v>
      </c>
      <c r="D1135" t="s">
        <v>3029</v>
      </c>
      <c r="E1135" t="s">
        <v>5108</v>
      </c>
      <c r="F1135" t="s">
        <v>3027</v>
      </c>
      <c r="G1135" t="s">
        <v>3031</v>
      </c>
      <c r="H1135">
        <v>17</v>
      </c>
      <c r="I1135" t="s">
        <v>5109</v>
      </c>
    </row>
    <row r="1136" spans="1:9" x14ac:dyDescent="0.3">
      <c r="A1136" t="s">
        <v>5077</v>
      </c>
      <c r="B1136" t="s">
        <v>472</v>
      </c>
      <c r="C1136" t="s">
        <v>5078</v>
      </c>
      <c r="D1136" t="s">
        <v>3029</v>
      </c>
      <c r="E1136" t="s">
        <v>5110</v>
      </c>
      <c r="F1136" t="s">
        <v>3027</v>
      </c>
      <c r="G1136" t="s">
        <v>3031</v>
      </c>
      <c r="H1136">
        <v>18</v>
      </c>
      <c r="I1136" t="s">
        <v>5111</v>
      </c>
    </row>
    <row r="1137" spans="1:9" x14ac:dyDescent="0.3">
      <c r="A1137" t="s">
        <v>5077</v>
      </c>
      <c r="B1137" t="s">
        <v>472</v>
      </c>
      <c r="C1137" t="s">
        <v>5078</v>
      </c>
      <c r="D1137" t="s">
        <v>3029</v>
      </c>
      <c r="E1137" t="s">
        <v>5112</v>
      </c>
      <c r="F1137" t="s">
        <v>3027</v>
      </c>
      <c r="G1137" t="s">
        <v>3031</v>
      </c>
      <c r="H1137">
        <v>19</v>
      </c>
      <c r="I1137" t="s">
        <v>5113</v>
      </c>
    </row>
    <row r="1138" spans="1:9" x14ac:dyDescent="0.3">
      <c r="A1138" t="s">
        <v>5077</v>
      </c>
      <c r="B1138" t="s">
        <v>472</v>
      </c>
      <c r="C1138" t="s">
        <v>5078</v>
      </c>
      <c r="D1138" t="s">
        <v>3029</v>
      </c>
      <c r="E1138" t="s">
        <v>5114</v>
      </c>
      <c r="F1138" t="s">
        <v>3027</v>
      </c>
      <c r="G1138" t="s">
        <v>3031</v>
      </c>
      <c r="H1138">
        <v>20</v>
      </c>
      <c r="I1138" t="s">
        <v>5115</v>
      </c>
    </row>
    <row r="1139" spans="1:9" x14ac:dyDescent="0.3">
      <c r="A1139" t="s">
        <v>5116</v>
      </c>
      <c r="B1139" t="s">
        <v>479</v>
      </c>
      <c r="C1139" t="s">
        <v>5117</v>
      </c>
      <c r="D1139" t="s">
        <v>3025</v>
      </c>
      <c r="E1139" t="s">
        <v>5118</v>
      </c>
      <c r="F1139" t="s">
        <v>3027</v>
      </c>
      <c r="G1139" t="s">
        <v>3028</v>
      </c>
      <c r="H1139">
        <v>1</v>
      </c>
      <c r="I1139" t="s">
        <v>5117</v>
      </c>
    </row>
    <row r="1140" spans="1:9" x14ac:dyDescent="0.3">
      <c r="A1140" t="s">
        <v>5116</v>
      </c>
      <c r="B1140" t="s">
        <v>479</v>
      </c>
      <c r="C1140" t="s">
        <v>5117</v>
      </c>
      <c r="D1140" t="s">
        <v>3029</v>
      </c>
      <c r="E1140" t="s">
        <v>5119</v>
      </c>
      <c r="F1140" t="s">
        <v>3027</v>
      </c>
      <c r="G1140" t="s">
        <v>3031</v>
      </c>
      <c r="H1140">
        <v>2</v>
      </c>
      <c r="I1140" t="s">
        <v>5120</v>
      </c>
    </row>
    <row r="1141" spans="1:9" x14ac:dyDescent="0.3">
      <c r="A1141" t="s">
        <v>5116</v>
      </c>
      <c r="B1141" t="s">
        <v>479</v>
      </c>
      <c r="C1141" t="s">
        <v>5117</v>
      </c>
      <c r="D1141" t="s">
        <v>3029</v>
      </c>
      <c r="E1141" t="s">
        <v>5121</v>
      </c>
      <c r="F1141" t="s">
        <v>3027</v>
      </c>
      <c r="G1141" t="s">
        <v>3031</v>
      </c>
      <c r="H1141">
        <v>3</v>
      </c>
      <c r="I1141" t="s">
        <v>5122</v>
      </c>
    </row>
    <row r="1142" spans="1:9" x14ac:dyDescent="0.3">
      <c r="A1142" t="s">
        <v>5116</v>
      </c>
      <c r="B1142" t="s">
        <v>479</v>
      </c>
      <c r="C1142" t="s">
        <v>5117</v>
      </c>
      <c r="D1142" t="s">
        <v>3029</v>
      </c>
      <c r="E1142" t="s">
        <v>5123</v>
      </c>
      <c r="F1142" t="s">
        <v>3027</v>
      </c>
      <c r="G1142" t="s">
        <v>3031</v>
      </c>
      <c r="H1142">
        <v>4</v>
      </c>
      <c r="I1142" t="s">
        <v>5124</v>
      </c>
    </row>
    <row r="1143" spans="1:9" x14ac:dyDescent="0.3">
      <c r="A1143" t="s">
        <v>5116</v>
      </c>
      <c r="B1143" t="s">
        <v>479</v>
      </c>
      <c r="C1143" t="s">
        <v>5117</v>
      </c>
      <c r="D1143" t="s">
        <v>3029</v>
      </c>
      <c r="E1143" t="s">
        <v>5125</v>
      </c>
      <c r="F1143" t="s">
        <v>3027</v>
      </c>
      <c r="G1143" t="s">
        <v>3031</v>
      </c>
      <c r="H1143">
        <v>5</v>
      </c>
      <c r="I1143" t="s">
        <v>5126</v>
      </c>
    </row>
    <row r="1144" spans="1:9" x14ac:dyDescent="0.3">
      <c r="A1144" t="s">
        <v>5116</v>
      </c>
      <c r="B1144" t="s">
        <v>479</v>
      </c>
      <c r="C1144" t="s">
        <v>5117</v>
      </c>
      <c r="D1144" t="s">
        <v>3029</v>
      </c>
      <c r="E1144" t="s">
        <v>5127</v>
      </c>
      <c r="F1144" t="s">
        <v>3027</v>
      </c>
      <c r="G1144" t="s">
        <v>3031</v>
      </c>
      <c r="H1144">
        <v>6</v>
      </c>
      <c r="I1144" t="s">
        <v>629</v>
      </c>
    </row>
    <row r="1145" spans="1:9" x14ac:dyDescent="0.3">
      <c r="A1145" t="s">
        <v>5116</v>
      </c>
      <c r="B1145" t="s">
        <v>479</v>
      </c>
      <c r="C1145" t="s">
        <v>5117</v>
      </c>
      <c r="D1145" t="s">
        <v>3029</v>
      </c>
      <c r="E1145" t="s">
        <v>5128</v>
      </c>
      <c r="F1145" t="s">
        <v>3027</v>
      </c>
      <c r="G1145" t="s">
        <v>3031</v>
      </c>
      <c r="H1145">
        <v>7</v>
      </c>
      <c r="I1145" t="s">
        <v>5129</v>
      </c>
    </row>
    <row r="1146" spans="1:9" x14ac:dyDescent="0.3">
      <c r="A1146" t="s">
        <v>5116</v>
      </c>
      <c r="B1146" t="s">
        <v>479</v>
      </c>
      <c r="C1146" t="s">
        <v>5117</v>
      </c>
      <c r="D1146" t="s">
        <v>3029</v>
      </c>
      <c r="E1146" t="s">
        <v>5130</v>
      </c>
      <c r="F1146" t="s">
        <v>3027</v>
      </c>
      <c r="G1146" t="s">
        <v>3031</v>
      </c>
      <c r="H1146">
        <v>8</v>
      </c>
      <c r="I1146" t="s">
        <v>5131</v>
      </c>
    </row>
    <row r="1147" spans="1:9" x14ac:dyDescent="0.3">
      <c r="A1147" t="s">
        <v>5116</v>
      </c>
      <c r="B1147" t="s">
        <v>479</v>
      </c>
      <c r="C1147" t="s">
        <v>5117</v>
      </c>
      <c r="D1147" t="s">
        <v>3029</v>
      </c>
      <c r="E1147" t="s">
        <v>5132</v>
      </c>
      <c r="F1147" t="s">
        <v>3027</v>
      </c>
      <c r="G1147" t="s">
        <v>3031</v>
      </c>
      <c r="H1147">
        <v>9</v>
      </c>
      <c r="I1147" t="s">
        <v>5133</v>
      </c>
    </row>
    <row r="1148" spans="1:9" x14ac:dyDescent="0.3">
      <c r="A1148" t="s">
        <v>5116</v>
      </c>
      <c r="B1148" t="s">
        <v>479</v>
      </c>
      <c r="C1148" t="s">
        <v>5117</v>
      </c>
      <c r="D1148" t="s">
        <v>3029</v>
      </c>
      <c r="E1148" t="s">
        <v>5134</v>
      </c>
      <c r="F1148" t="s">
        <v>3027</v>
      </c>
      <c r="G1148" t="s">
        <v>3031</v>
      </c>
      <c r="H1148">
        <v>10</v>
      </c>
      <c r="I1148" t="s">
        <v>5135</v>
      </c>
    </row>
    <row r="1149" spans="1:9" x14ac:dyDescent="0.3">
      <c r="A1149" t="s">
        <v>5116</v>
      </c>
      <c r="B1149" t="s">
        <v>479</v>
      </c>
      <c r="C1149" t="s">
        <v>5117</v>
      </c>
      <c r="D1149" t="s">
        <v>3029</v>
      </c>
      <c r="E1149" t="s">
        <v>5136</v>
      </c>
      <c r="F1149" t="s">
        <v>3027</v>
      </c>
      <c r="G1149" t="s">
        <v>3031</v>
      </c>
      <c r="H1149">
        <v>11</v>
      </c>
      <c r="I1149" t="s">
        <v>5137</v>
      </c>
    </row>
    <row r="1150" spans="1:9" x14ac:dyDescent="0.3">
      <c r="A1150" t="s">
        <v>5116</v>
      </c>
      <c r="B1150" t="s">
        <v>479</v>
      </c>
      <c r="C1150" t="s">
        <v>5117</v>
      </c>
      <c r="D1150" t="s">
        <v>3029</v>
      </c>
      <c r="E1150" t="s">
        <v>5138</v>
      </c>
      <c r="F1150" t="s">
        <v>3027</v>
      </c>
      <c r="G1150" t="s">
        <v>3031</v>
      </c>
      <c r="H1150">
        <v>12</v>
      </c>
      <c r="I1150" t="s">
        <v>5139</v>
      </c>
    </row>
    <row r="1151" spans="1:9" x14ac:dyDescent="0.3">
      <c r="A1151" t="s">
        <v>5116</v>
      </c>
      <c r="B1151" t="s">
        <v>479</v>
      </c>
      <c r="C1151" t="s">
        <v>5117</v>
      </c>
      <c r="D1151" t="s">
        <v>3029</v>
      </c>
      <c r="E1151" t="s">
        <v>5140</v>
      </c>
      <c r="F1151" t="s">
        <v>3027</v>
      </c>
      <c r="G1151" t="s">
        <v>3031</v>
      </c>
      <c r="H1151">
        <v>13</v>
      </c>
      <c r="I1151" t="s">
        <v>5141</v>
      </c>
    </row>
    <row r="1152" spans="1:9" x14ac:dyDescent="0.3">
      <c r="A1152" t="s">
        <v>5116</v>
      </c>
      <c r="B1152" t="s">
        <v>479</v>
      </c>
      <c r="C1152" t="s">
        <v>5117</v>
      </c>
      <c r="D1152" t="s">
        <v>3029</v>
      </c>
      <c r="E1152" t="s">
        <v>5142</v>
      </c>
      <c r="F1152" t="s">
        <v>3027</v>
      </c>
      <c r="G1152" t="s">
        <v>3031</v>
      </c>
      <c r="H1152">
        <v>14</v>
      </c>
      <c r="I1152" t="s">
        <v>5143</v>
      </c>
    </row>
    <row r="1153" spans="1:9" x14ac:dyDescent="0.3">
      <c r="A1153" t="s">
        <v>5116</v>
      </c>
      <c r="B1153" t="s">
        <v>479</v>
      </c>
      <c r="C1153" t="s">
        <v>5117</v>
      </c>
      <c r="D1153" t="s">
        <v>3029</v>
      </c>
      <c r="E1153" t="s">
        <v>5144</v>
      </c>
      <c r="F1153" t="s">
        <v>3027</v>
      </c>
      <c r="G1153" t="s">
        <v>3031</v>
      </c>
      <c r="H1153">
        <v>15</v>
      </c>
      <c r="I1153" t="s">
        <v>5145</v>
      </c>
    </row>
    <row r="1154" spans="1:9" x14ac:dyDescent="0.3">
      <c r="A1154" t="s">
        <v>5116</v>
      </c>
      <c r="B1154" t="s">
        <v>479</v>
      </c>
      <c r="C1154" t="s">
        <v>5117</v>
      </c>
      <c r="D1154" t="s">
        <v>3029</v>
      </c>
      <c r="E1154" t="s">
        <v>5146</v>
      </c>
      <c r="F1154" t="s">
        <v>3027</v>
      </c>
      <c r="G1154" t="s">
        <v>3031</v>
      </c>
      <c r="H1154">
        <v>16</v>
      </c>
      <c r="I1154" t="s">
        <v>5147</v>
      </c>
    </row>
    <row r="1155" spans="1:9" x14ac:dyDescent="0.3">
      <c r="A1155" t="s">
        <v>5116</v>
      </c>
      <c r="B1155" t="s">
        <v>479</v>
      </c>
      <c r="C1155" t="s">
        <v>5117</v>
      </c>
      <c r="D1155" t="s">
        <v>3029</v>
      </c>
      <c r="E1155" t="s">
        <v>5148</v>
      </c>
      <c r="F1155" t="s">
        <v>3027</v>
      </c>
      <c r="G1155" t="s">
        <v>3031</v>
      </c>
      <c r="H1155">
        <v>17</v>
      </c>
      <c r="I1155" t="s">
        <v>5149</v>
      </c>
    </row>
    <row r="1156" spans="1:9" x14ac:dyDescent="0.3">
      <c r="A1156" t="s">
        <v>5116</v>
      </c>
      <c r="B1156" t="s">
        <v>479</v>
      </c>
      <c r="C1156" t="s">
        <v>5117</v>
      </c>
      <c r="D1156" t="s">
        <v>3029</v>
      </c>
      <c r="E1156" t="s">
        <v>5150</v>
      </c>
      <c r="F1156" t="s">
        <v>3027</v>
      </c>
      <c r="G1156" t="s">
        <v>3031</v>
      </c>
      <c r="H1156">
        <v>18</v>
      </c>
      <c r="I1156" t="s">
        <v>5151</v>
      </c>
    </row>
    <row r="1157" spans="1:9" x14ac:dyDescent="0.3">
      <c r="A1157" t="s">
        <v>5116</v>
      </c>
      <c r="B1157" t="s">
        <v>479</v>
      </c>
      <c r="C1157" t="s">
        <v>5117</v>
      </c>
      <c r="D1157" t="s">
        <v>3029</v>
      </c>
      <c r="E1157" t="s">
        <v>5152</v>
      </c>
      <c r="F1157" t="s">
        <v>3027</v>
      </c>
      <c r="G1157" t="s">
        <v>3031</v>
      </c>
      <c r="H1157">
        <v>19</v>
      </c>
      <c r="I1157" t="s">
        <v>5153</v>
      </c>
    </row>
    <row r="1158" spans="1:9" x14ac:dyDescent="0.3">
      <c r="A1158" t="s">
        <v>5116</v>
      </c>
      <c r="B1158" t="s">
        <v>479</v>
      </c>
      <c r="C1158" t="s">
        <v>5117</v>
      </c>
      <c r="D1158" t="s">
        <v>3029</v>
      </c>
      <c r="E1158" t="s">
        <v>5154</v>
      </c>
      <c r="F1158" t="s">
        <v>3027</v>
      </c>
      <c r="G1158" t="s">
        <v>3031</v>
      </c>
      <c r="H1158">
        <v>20</v>
      </c>
      <c r="I1158" t="s">
        <v>5155</v>
      </c>
    </row>
    <row r="1159" spans="1:9" x14ac:dyDescent="0.3">
      <c r="A1159" t="s">
        <v>5156</v>
      </c>
      <c r="B1159" t="s">
        <v>486</v>
      </c>
      <c r="C1159" t="s">
        <v>5157</v>
      </c>
      <c r="D1159" t="s">
        <v>3025</v>
      </c>
      <c r="E1159" t="s">
        <v>5158</v>
      </c>
      <c r="F1159" t="s">
        <v>3027</v>
      </c>
      <c r="G1159" t="s">
        <v>3028</v>
      </c>
      <c r="H1159">
        <v>1</v>
      </c>
      <c r="I1159" t="s">
        <v>5157</v>
      </c>
    </row>
    <row r="1160" spans="1:9" x14ac:dyDescent="0.3">
      <c r="A1160" t="s">
        <v>5156</v>
      </c>
      <c r="B1160" t="s">
        <v>486</v>
      </c>
      <c r="C1160" t="s">
        <v>5157</v>
      </c>
      <c r="D1160" t="s">
        <v>3029</v>
      </c>
      <c r="E1160" t="s">
        <v>5159</v>
      </c>
      <c r="F1160" t="s">
        <v>3027</v>
      </c>
      <c r="G1160" t="s">
        <v>3031</v>
      </c>
      <c r="H1160">
        <v>2</v>
      </c>
      <c r="I1160" t="s">
        <v>5160</v>
      </c>
    </row>
    <row r="1161" spans="1:9" x14ac:dyDescent="0.3">
      <c r="A1161" t="s">
        <v>5156</v>
      </c>
      <c r="B1161" t="s">
        <v>486</v>
      </c>
      <c r="C1161" t="s">
        <v>5157</v>
      </c>
      <c r="D1161" t="s">
        <v>3029</v>
      </c>
      <c r="E1161" t="s">
        <v>5161</v>
      </c>
      <c r="F1161" t="s">
        <v>3027</v>
      </c>
      <c r="G1161" t="s">
        <v>3031</v>
      </c>
      <c r="H1161">
        <v>3</v>
      </c>
      <c r="I1161" t="s">
        <v>5162</v>
      </c>
    </row>
    <row r="1162" spans="1:9" x14ac:dyDescent="0.3">
      <c r="A1162" t="s">
        <v>5156</v>
      </c>
      <c r="B1162" t="s">
        <v>486</v>
      </c>
      <c r="C1162" t="s">
        <v>5157</v>
      </c>
      <c r="D1162" t="s">
        <v>3029</v>
      </c>
      <c r="E1162" t="s">
        <v>5163</v>
      </c>
      <c r="F1162" t="s">
        <v>3027</v>
      </c>
      <c r="G1162" t="s">
        <v>3031</v>
      </c>
      <c r="H1162">
        <v>4</v>
      </c>
      <c r="I1162" t="s">
        <v>5164</v>
      </c>
    </row>
    <row r="1163" spans="1:9" x14ac:dyDescent="0.3">
      <c r="A1163" t="s">
        <v>5156</v>
      </c>
      <c r="B1163" t="s">
        <v>486</v>
      </c>
      <c r="C1163" t="s">
        <v>5157</v>
      </c>
      <c r="D1163" t="s">
        <v>3029</v>
      </c>
      <c r="E1163" t="s">
        <v>5165</v>
      </c>
      <c r="F1163" t="s">
        <v>3027</v>
      </c>
      <c r="G1163" t="s">
        <v>3031</v>
      </c>
      <c r="H1163">
        <v>5</v>
      </c>
      <c r="I1163" t="s">
        <v>5166</v>
      </c>
    </row>
    <row r="1164" spans="1:9" x14ac:dyDescent="0.3">
      <c r="A1164" t="s">
        <v>5156</v>
      </c>
      <c r="B1164" t="s">
        <v>486</v>
      </c>
      <c r="C1164" t="s">
        <v>5157</v>
      </c>
      <c r="D1164" t="s">
        <v>3029</v>
      </c>
      <c r="E1164" t="s">
        <v>5167</v>
      </c>
      <c r="F1164" t="s">
        <v>3027</v>
      </c>
      <c r="G1164" t="s">
        <v>3031</v>
      </c>
      <c r="H1164">
        <v>6</v>
      </c>
      <c r="I1164" t="s">
        <v>5168</v>
      </c>
    </row>
    <row r="1165" spans="1:9" x14ac:dyDescent="0.3">
      <c r="A1165" t="s">
        <v>5156</v>
      </c>
      <c r="B1165" t="s">
        <v>486</v>
      </c>
      <c r="C1165" t="s">
        <v>5157</v>
      </c>
      <c r="D1165" t="s">
        <v>3029</v>
      </c>
      <c r="E1165" t="s">
        <v>5169</v>
      </c>
      <c r="F1165" t="s">
        <v>3027</v>
      </c>
      <c r="G1165" t="s">
        <v>3031</v>
      </c>
      <c r="H1165">
        <v>7</v>
      </c>
      <c r="I1165" t="s">
        <v>488</v>
      </c>
    </row>
    <row r="1166" spans="1:9" x14ac:dyDescent="0.3">
      <c r="A1166" t="s">
        <v>5170</v>
      </c>
      <c r="B1166" t="s">
        <v>492</v>
      </c>
      <c r="C1166" t="s">
        <v>5171</v>
      </c>
      <c r="D1166" t="s">
        <v>3025</v>
      </c>
      <c r="E1166" t="s">
        <v>4009</v>
      </c>
      <c r="F1166" t="s">
        <v>3027</v>
      </c>
      <c r="G1166" t="s">
        <v>3028</v>
      </c>
      <c r="H1166">
        <v>1</v>
      </c>
      <c r="I1166" t="s">
        <v>5171</v>
      </c>
    </row>
    <row r="1167" spans="1:9" x14ac:dyDescent="0.3">
      <c r="A1167" t="s">
        <v>5170</v>
      </c>
      <c r="B1167" t="s">
        <v>492</v>
      </c>
      <c r="C1167" t="s">
        <v>5171</v>
      </c>
      <c r="D1167" t="s">
        <v>3029</v>
      </c>
      <c r="E1167" t="s">
        <v>5172</v>
      </c>
      <c r="F1167" t="s">
        <v>3027</v>
      </c>
      <c r="G1167" t="s">
        <v>3031</v>
      </c>
      <c r="H1167">
        <v>2</v>
      </c>
      <c r="I1167" t="s">
        <v>5173</v>
      </c>
    </row>
    <row r="1168" spans="1:9" x14ac:dyDescent="0.3">
      <c r="A1168" t="s">
        <v>5170</v>
      </c>
      <c r="B1168" t="s">
        <v>492</v>
      </c>
      <c r="C1168" t="s">
        <v>5171</v>
      </c>
      <c r="D1168" t="s">
        <v>3029</v>
      </c>
      <c r="E1168" t="s">
        <v>5174</v>
      </c>
      <c r="F1168" t="s">
        <v>3027</v>
      </c>
      <c r="G1168" t="s">
        <v>3031</v>
      </c>
      <c r="H1168">
        <v>3</v>
      </c>
      <c r="I1168" t="s">
        <v>5175</v>
      </c>
    </row>
    <row r="1169" spans="1:9" x14ac:dyDescent="0.3">
      <c r="A1169" t="s">
        <v>5170</v>
      </c>
      <c r="B1169" t="s">
        <v>492</v>
      </c>
      <c r="C1169" t="s">
        <v>5171</v>
      </c>
      <c r="D1169" t="s">
        <v>3029</v>
      </c>
      <c r="E1169" t="s">
        <v>5176</v>
      </c>
      <c r="F1169" t="s">
        <v>3027</v>
      </c>
      <c r="G1169" t="s">
        <v>3031</v>
      </c>
      <c r="H1169">
        <v>4</v>
      </c>
      <c r="I1169" t="s">
        <v>5177</v>
      </c>
    </row>
    <row r="1170" spans="1:9" x14ac:dyDescent="0.3">
      <c r="A1170" t="s">
        <v>5170</v>
      </c>
      <c r="B1170" t="s">
        <v>492</v>
      </c>
      <c r="C1170" t="s">
        <v>5171</v>
      </c>
      <c r="D1170" t="s">
        <v>3029</v>
      </c>
      <c r="E1170" t="s">
        <v>5178</v>
      </c>
      <c r="F1170" t="s">
        <v>3027</v>
      </c>
      <c r="G1170" t="s">
        <v>3031</v>
      </c>
      <c r="H1170">
        <v>5</v>
      </c>
      <c r="I1170" t="s">
        <v>5179</v>
      </c>
    </row>
    <row r="1171" spans="1:9" x14ac:dyDescent="0.3">
      <c r="A1171" t="s">
        <v>5170</v>
      </c>
      <c r="B1171" t="s">
        <v>492</v>
      </c>
      <c r="C1171" t="s">
        <v>5171</v>
      </c>
      <c r="D1171" t="s">
        <v>3029</v>
      </c>
      <c r="E1171" t="s">
        <v>5180</v>
      </c>
      <c r="F1171" t="s">
        <v>3027</v>
      </c>
      <c r="G1171" t="s">
        <v>3031</v>
      </c>
      <c r="H1171">
        <v>6</v>
      </c>
      <c r="I1171" t="s">
        <v>5181</v>
      </c>
    </row>
    <row r="1172" spans="1:9" x14ac:dyDescent="0.3">
      <c r="A1172" t="s">
        <v>5170</v>
      </c>
      <c r="B1172" t="s">
        <v>492</v>
      </c>
      <c r="C1172" t="s">
        <v>5171</v>
      </c>
      <c r="D1172" t="s">
        <v>3029</v>
      </c>
      <c r="E1172" t="s">
        <v>5182</v>
      </c>
      <c r="F1172" t="s">
        <v>3027</v>
      </c>
      <c r="G1172" t="s">
        <v>3031</v>
      </c>
      <c r="H1172">
        <v>7</v>
      </c>
      <c r="I1172" t="s">
        <v>5183</v>
      </c>
    </row>
    <row r="1173" spans="1:9" x14ac:dyDescent="0.3">
      <c r="A1173" t="s">
        <v>5170</v>
      </c>
      <c r="B1173" t="s">
        <v>492</v>
      </c>
      <c r="C1173" t="s">
        <v>5171</v>
      </c>
      <c r="D1173" t="s">
        <v>3029</v>
      </c>
      <c r="E1173" t="s">
        <v>5184</v>
      </c>
      <c r="F1173" t="s">
        <v>3027</v>
      </c>
      <c r="G1173" t="s">
        <v>3031</v>
      </c>
      <c r="H1173">
        <v>8</v>
      </c>
      <c r="I1173" t="s">
        <v>5185</v>
      </c>
    </row>
    <row r="1174" spans="1:9" x14ac:dyDescent="0.3">
      <c r="A1174" t="s">
        <v>5170</v>
      </c>
      <c r="B1174" t="s">
        <v>492</v>
      </c>
      <c r="C1174" t="s">
        <v>5171</v>
      </c>
      <c r="D1174" t="s">
        <v>3029</v>
      </c>
      <c r="E1174" t="s">
        <v>5186</v>
      </c>
      <c r="F1174" t="s">
        <v>3027</v>
      </c>
      <c r="G1174" t="s">
        <v>3031</v>
      </c>
      <c r="H1174">
        <v>9</v>
      </c>
      <c r="I1174" t="s">
        <v>5187</v>
      </c>
    </row>
    <row r="1175" spans="1:9" x14ac:dyDescent="0.3">
      <c r="A1175" t="s">
        <v>5170</v>
      </c>
      <c r="B1175" t="s">
        <v>492</v>
      </c>
      <c r="C1175" t="s">
        <v>5171</v>
      </c>
      <c r="D1175" t="s">
        <v>3029</v>
      </c>
      <c r="E1175" t="s">
        <v>5188</v>
      </c>
      <c r="F1175" t="s">
        <v>3027</v>
      </c>
      <c r="G1175" t="s">
        <v>3031</v>
      </c>
      <c r="H1175">
        <v>10</v>
      </c>
      <c r="I1175" t="s">
        <v>5189</v>
      </c>
    </row>
    <row r="1176" spans="1:9" x14ac:dyDescent="0.3">
      <c r="A1176" t="s">
        <v>5170</v>
      </c>
      <c r="B1176" t="s">
        <v>492</v>
      </c>
      <c r="C1176" t="s">
        <v>5171</v>
      </c>
      <c r="D1176" t="s">
        <v>3029</v>
      </c>
      <c r="E1176" t="s">
        <v>5190</v>
      </c>
      <c r="F1176" t="s">
        <v>3027</v>
      </c>
      <c r="G1176" t="s">
        <v>3031</v>
      </c>
      <c r="H1176">
        <v>11</v>
      </c>
      <c r="I1176" t="s">
        <v>5191</v>
      </c>
    </row>
    <row r="1177" spans="1:9" x14ac:dyDescent="0.3">
      <c r="A1177" t="s">
        <v>5170</v>
      </c>
      <c r="B1177" t="s">
        <v>492</v>
      </c>
      <c r="C1177" t="s">
        <v>5171</v>
      </c>
      <c r="D1177" t="s">
        <v>3029</v>
      </c>
      <c r="E1177" t="s">
        <v>5192</v>
      </c>
      <c r="F1177" t="s">
        <v>3027</v>
      </c>
      <c r="G1177" t="s">
        <v>3031</v>
      </c>
      <c r="H1177">
        <v>12</v>
      </c>
      <c r="I1177" t="s">
        <v>5193</v>
      </c>
    </row>
    <row r="1178" spans="1:9" x14ac:dyDescent="0.3">
      <c r="A1178" t="s">
        <v>5170</v>
      </c>
      <c r="B1178" t="s">
        <v>492</v>
      </c>
      <c r="C1178" t="s">
        <v>5171</v>
      </c>
      <c r="D1178" t="s">
        <v>3029</v>
      </c>
      <c r="E1178" t="s">
        <v>5194</v>
      </c>
      <c r="F1178" t="s">
        <v>3027</v>
      </c>
      <c r="G1178" t="s">
        <v>3031</v>
      </c>
      <c r="H1178">
        <v>13</v>
      </c>
      <c r="I1178" t="s">
        <v>5195</v>
      </c>
    </row>
    <row r="1179" spans="1:9" x14ac:dyDescent="0.3">
      <c r="A1179" t="s">
        <v>5170</v>
      </c>
      <c r="B1179" t="s">
        <v>492</v>
      </c>
      <c r="C1179" t="s">
        <v>5171</v>
      </c>
      <c r="D1179" t="s">
        <v>3029</v>
      </c>
      <c r="E1179" t="s">
        <v>5196</v>
      </c>
      <c r="F1179" t="s">
        <v>3027</v>
      </c>
      <c r="G1179" t="s">
        <v>3031</v>
      </c>
      <c r="H1179">
        <v>14</v>
      </c>
      <c r="I1179" t="s">
        <v>5197</v>
      </c>
    </row>
    <row r="1180" spans="1:9" x14ac:dyDescent="0.3">
      <c r="A1180" t="s">
        <v>5170</v>
      </c>
      <c r="B1180" t="s">
        <v>492</v>
      </c>
      <c r="C1180" t="s">
        <v>5171</v>
      </c>
      <c r="D1180" t="s">
        <v>3029</v>
      </c>
      <c r="E1180" t="s">
        <v>5198</v>
      </c>
      <c r="F1180" t="s">
        <v>3027</v>
      </c>
      <c r="G1180" t="s">
        <v>3031</v>
      </c>
      <c r="H1180">
        <v>15</v>
      </c>
      <c r="I1180" t="s">
        <v>5199</v>
      </c>
    </row>
    <row r="1181" spans="1:9" x14ac:dyDescent="0.3">
      <c r="A1181" t="s">
        <v>5170</v>
      </c>
      <c r="B1181" t="s">
        <v>492</v>
      </c>
      <c r="C1181" t="s">
        <v>5171</v>
      </c>
      <c r="D1181" t="s">
        <v>3029</v>
      </c>
      <c r="E1181" t="s">
        <v>5200</v>
      </c>
      <c r="F1181" t="s">
        <v>3027</v>
      </c>
      <c r="G1181" t="s">
        <v>3031</v>
      </c>
      <c r="H1181">
        <v>16</v>
      </c>
      <c r="I1181" t="s">
        <v>5201</v>
      </c>
    </row>
    <row r="1182" spans="1:9" x14ac:dyDescent="0.3">
      <c r="A1182" t="s">
        <v>5170</v>
      </c>
      <c r="B1182" t="s">
        <v>492</v>
      </c>
      <c r="C1182" t="s">
        <v>5171</v>
      </c>
      <c r="D1182" t="s">
        <v>3029</v>
      </c>
      <c r="E1182" t="s">
        <v>5202</v>
      </c>
      <c r="F1182" t="s">
        <v>3027</v>
      </c>
      <c r="G1182" t="s">
        <v>3031</v>
      </c>
      <c r="H1182">
        <v>17</v>
      </c>
      <c r="I1182" t="s">
        <v>5203</v>
      </c>
    </row>
    <row r="1183" spans="1:9" x14ac:dyDescent="0.3">
      <c r="A1183" t="s">
        <v>5170</v>
      </c>
      <c r="B1183" t="s">
        <v>492</v>
      </c>
      <c r="C1183" t="s">
        <v>5171</v>
      </c>
      <c r="D1183" t="s">
        <v>3029</v>
      </c>
      <c r="E1183" t="s">
        <v>5204</v>
      </c>
      <c r="F1183" t="s">
        <v>3027</v>
      </c>
      <c r="G1183" t="s">
        <v>3031</v>
      </c>
      <c r="H1183">
        <v>18</v>
      </c>
      <c r="I1183" t="s">
        <v>5205</v>
      </c>
    </row>
    <row r="1184" spans="1:9" x14ac:dyDescent="0.3">
      <c r="A1184" t="s">
        <v>5170</v>
      </c>
      <c r="B1184" t="s">
        <v>492</v>
      </c>
      <c r="C1184" t="s">
        <v>5171</v>
      </c>
      <c r="D1184" t="s">
        <v>3029</v>
      </c>
      <c r="E1184" t="s">
        <v>5206</v>
      </c>
      <c r="F1184" t="s">
        <v>3027</v>
      </c>
      <c r="G1184" t="s">
        <v>3031</v>
      </c>
      <c r="H1184">
        <v>19</v>
      </c>
      <c r="I1184" t="s">
        <v>5207</v>
      </c>
    </row>
    <row r="1185" spans="1:9" x14ac:dyDescent="0.3">
      <c r="A1185" t="s">
        <v>5170</v>
      </c>
      <c r="B1185" t="s">
        <v>492</v>
      </c>
      <c r="C1185" t="s">
        <v>5171</v>
      </c>
      <c r="D1185" t="s">
        <v>3029</v>
      </c>
      <c r="E1185" t="s">
        <v>5208</v>
      </c>
      <c r="F1185" t="s">
        <v>3027</v>
      </c>
      <c r="G1185" t="s">
        <v>3031</v>
      </c>
      <c r="H1185">
        <v>20</v>
      </c>
      <c r="I1185" t="s">
        <v>5209</v>
      </c>
    </row>
    <row r="1186" spans="1:9" x14ac:dyDescent="0.3">
      <c r="A1186" t="s">
        <v>5210</v>
      </c>
      <c r="B1186" t="s">
        <v>498</v>
      </c>
      <c r="C1186" t="s">
        <v>5211</v>
      </c>
      <c r="D1186" t="s">
        <v>3025</v>
      </c>
      <c r="E1186" t="s">
        <v>5212</v>
      </c>
      <c r="F1186" t="s">
        <v>3027</v>
      </c>
      <c r="G1186" t="s">
        <v>3028</v>
      </c>
      <c r="H1186">
        <v>1</v>
      </c>
      <c r="I1186" t="s">
        <v>5211</v>
      </c>
    </row>
    <row r="1187" spans="1:9" x14ac:dyDescent="0.3">
      <c r="A1187" t="s">
        <v>5210</v>
      </c>
      <c r="B1187" t="s">
        <v>498</v>
      </c>
      <c r="C1187" t="s">
        <v>5211</v>
      </c>
      <c r="D1187" t="s">
        <v>3029</v>
      </c>
      <c r="E1187" t="s">
        <v>5213</v>
      </c>
      <c r="F1187" t="s">
        <v>3027</v>
      </c>
      <c r="G1187" t="s">
        <v>3031</v>
      </c>
      <c r="H1187">
        <v>2</v>
      </c>
      <c r="I1187" t="s">
        <v>5214</v>
      </c>
    </row>
    <row r="1188" spans="1:9" x14ac:dyDescent="0.3">
      <c r="A1188" t="s">
        <v>5210</v>
      </c>
      <c r="B1188" t="s">
        <v>498</v>
      </c>
      <c r="C1188" t="s">
        <v>5211</v>
      </c>
      <c r="D1188" t="s">
        <v>3029</v>
      </c>
      <c r="E1188" t="s">
        <v>5215</v>
      </c>
      <c r="F1188" t="s">
        <v>3027</v>
      </c>
      <c r="G1188" t="s">
        <v>3031</v>
      </c>
      <c r="H1188">
        <v>3</v>
      </c>
      <c r="I1188" t="s">
        <v>5216</v>
      </c>
    </row>
    <row r="1189" spans="1:9" x14ac:dyDescent="0.3">
      <c r="A1189" t="s">
        <v>5210</v>
      </c>
      <c r="B1189" t="s">
        <v>498</v>
      </c>
      <c r="C1189" t="s">
        <v>5211</v>
      </c>
      <c r="D1189" t="s">
        <v>3029</v>
      </c>
      <c r="E1189" t="s">
        <v>5217</v>
      </c>
      <c r="F1189" t="s">
        <v>3027</v>
      </c>
      <c r="G1189" t="s">
        <v>3031</v>
      </c>
      <c r="H1189">
        <v>4</v>
      </c>
      <c r="I1189" t="s">
        <v>5218</v>
      </c>
    </row>
    <row r="1190" spans="1:9" x14ac:dyDescent="0.3">
      <c r="A1190" t="s">
        <v>5210</v>
      </c>
      <c r="B1190" t="s">
        <v>498</v>
      </c>
      <c r="C1190" t="s">
        <v>5211</v>
      </c>
      <c r="D1190" t="s">
        <v>3029</v>
      </c>
      <c r="E1190" t="s">
        <v>5219</v>
      </c>
      <c r="F1190" t="s">
        <v>3027</v>
      </c>
      <c r="G1190" t="s">
        <v>3031</v>
      </c>
      <c r="H1190">
        <v>5</v>
      </c>
      <c r="I1190" t="s">
        <v>5220</v>
      </c>
    </row>
    <row r="1191" spans="1:9" x14ac:dyDescent="0.3">
      <c r="A1191" t="s">
        <v>5210</v>
      </c>
      <c r="B1191" t="s">
        <v>498</v>
      </c>
      <c r="C1191" t="s">
        <v>5211</v>
      </c>
      <c r="D1191" t="s">
        <v>3029</v>
      </c>
      <c r="E1191" t="s">
        <v>5221</v>
      </c>
      <c r="F1191" t="s">
        <v>3027</v>
      </c>
      <c r="G1191" t="s">
        <v>3031</v>
      </c>
      <c r="H1191">
        <v>6</v>
      </c>
      <c r="I1191" t="s">
        <v>5222</v>
      </c>
    </row>
    <row r="1192" spans="1:9" x14ac:dyDescent="0.3">
      <c r="A1192" t="s">
        <v>5210</v>
      </c>
      <c r="B1192" t="s">
        <v>498</v>
      </c>
      <c r="C1192" t="s">
        <v>5211</v>
      </c>
      <c r="D1192" t="s">
        <v>3029</v>
      </c>
      <c r="E1192" t="s">
        <v>5223</v>
      </c>
      <c r="F1192" t="s">
        <v>3027</v>
      </c>
      <c r="G1192" t="s">
        <v>3031</v>
      </c>
      <c r="H1192">
        <v>7</v>
      </c>
      <c r="I1192" t="s">
        <v>5224</v>
      </c>
    </row>
    <row r="1193" spans="1:9" x14ac:dyDescent="0.3">
      <c r="A1193" t="s">
        <v>5210</v>
      </c>
      <c r="B1193" t="s">
        <v>498</v>
      </c>
      <c r="C1193" t="s">
        <v>5211</v>
      </c>
      <c r="D1193" t="s">
        <v>3029</v>
      </c>
      <c r="E1193" t="s">
        <v>5225</v>
      </c>
      <c r="F1193" t="s">
        <v>3027</v>
      </c>
      <c r="G1193" t="s">
        <v>3031</v>
      </c>
      <c r="H1193">
        <v>8</v>
      </c>
      <c r="I1193" t="s">
        <v>5226</v>
      </c>
    </row>
    <row r="1194" spans="1:9" x14ac:dyDescent="0.3">
      <c r="A1194" t="s">
        <v>5210</v>
      </c>
      <c r="B1194" t="s">
        <v>498</v>
      </c>
      <c r="C1194" t="s">
        <v>5211</v>
      </c>
      <c r="D1194" t="s">
        <v>3029</v>
      </c>
      <c r="E1194" t="s">
        <v>5227</v>
      </c>
      <c r="F1194" t="s">
        <v>3027</v>
      </c>
      <c r="G1194" t="s">
        <v>3031</v>
      </c>
      <c r="H1194">
        <v>9</v>
      </c>
      <c r="I1194" t="s">
        <v>5228</v>
      </c>
    </row>
    <row r="1195" spans="1:9" x14ac:dyDescent="0.3">
      <c r="A1195" t="s">
        <v>5210</v>
      </c>
      <c r="B1195" t="s">
        <v>498</v>
      </c>
      <c r="C1195" t="s">
        <v>5211</v>
      </c>
      <c r="D1195" t="s">
        <v>3029</v>
      </c>
      <c r="E1195" t="s">
        <v>5229</v>
      </c>
      <c r="F1195" t="s">
        <v>3027</v>
      </c>
      <c r="G1195" t="s">
        <v>3031</v>
      </c>
      <c r="H1195">
        <v>10</v>
      </c>
      <c r="I1195" t="s">
        <v>5230</v>
      </c>
    </row>
    <row r="1196" spans="1:9" x14ac:dyDescent="0.3">
      <c r="A1196" t="s">
        <v>5210</v>
      </c>
      <c r="B1196" t="s">
        <v>498</v>
      </c>
      <c r="C1196" t="s">
        <v>5211</v>
      </c>
      <c r="D1196" t="s">
        <v>3029</v>
      </c>
      <c r="E1196" t="s">
        <v>5231</v>
      </c>
      <c r="F1196" t="s">
        <v>3027</v>
      </c>
      <c r="G1196" t="s">
        <v>3031</v>
      </c>
      <c r="H1196">
        <v>11</v>
      </c>
      <c r="I1196" t="s">
        <v>5232</v>
      </c>
    </row>
    <row r="1197" spans="1:9" x14ac:dyDescent="0.3">
      <c r="A1197" t="s">
        <v>5210</v>
      </c>
      <c r="B1197" t="s">
        <v>498</v>
      </c>
      <c r="C1197" t="s">
        <v>5211</v>
      </c>
      <c r="D1197" t="s">
        <v>3029</v>
      </c>
      <c r="E1197" t="s">
        <v>5233</v>
      </c>
      <c r="F1197" t="s">
        <v>3027</v>
      </c>
      <c r="G1197" t="s">
        <v>3031</v>
      </c>
      <c r="H1197">
        <v>12</v>
      </c>
      <c r="I1197" t="s">
        <v>5234</v>
      </c>
    </row>
    <row r="1198" spans="1:9" x14ac:dyDescent="0.3">
      <c r="A1198" t="s">
        <v>5210</v>
      </c>
      <c r="B1198" t="s">
        <v>498</v>
      </c>
      <c r="C1198" t="s">
        <v>5211</v>
      </c>
      <c r="D1198" t="s">
        <v>3029</v>
      </c>
      <c r="E1198" t="s">
        <v>5235</v>
      </c>
      <c r="F1198" t="s">
        <v>3027</v>
      </c>
      <c r="G1198" t="s">
        <v>3031</v>
      </c>
      <c r="H1198">
        <v>13</v>
      </c>
      <c r="I1198" t="s">
        <v>5236</v>
      </c>
    </row>
    <row r="1199" spans="1:9" x14ac:dyDescent="0.3">
      <c r="A1199" t="s">
        <v>5210</v>
      </c>
      <c r="B1199" t="s">
        <v>498</v>
      </c>
      <c r="C1199" t="s">
        <v>5211</v>
      </c>
      <c r="D1199" t="s">
        <v>3029</v>
      </c>
      <c r="E1199" t="s">
        <v>5237</v>
      </c>
      <c r="F1199" t="s">
        <v>3027</v>
      </c>
      <c r="G1199" t="s">
        <v>3031</v>
      </c>
      <c r="H1199">
        <v>14</v>
      </c>
      <c r="I1199" t="s">
        <v>5238</v>
      </c>
    </row>
    <row r="1200" spans="1:9" x14ac:dyDescent="0.3">
      <c r="A1200" t="s">
        <v>5210</v>
      </c>
      <c r="B1200" t="s">
        <v>498</v>
      </c>
      <c r="C1200" t="s">
        <v>5211</v>
      </c>
      <c r="D1200" t="s">
        <v>3029</v>
      </c>
      <c r="E1200" t="s">
        <v>5239</v>
      </c>
      <c r="F1200" t="s">
        <v>3027</v>
      </c>
      <c r="G1200" t="s">
        <v>3031</v>
      </c>
      <c r="H1200">
        <v>15</v>
      </c>
      <c r="I1200" t="s">
        <v>5240</v>
      </c>
    </row>
    <row r="1201" spans="1:9" x14ac:dyDescent="0.3">
      <c r="A1201" t="s">
        <v>5210</v>
      </c>
      <c r="B1201" t="s">
        <v>498</v>
      </c>
      <c r="C1201" t="s">
        <v>5211</v>
      </c>
      <c r="D1201" t="s">
        <v>3029</v>
      </c>
      <c r="E1201" t="s">
        <v>5241</v>
      </c>
      <c r="F1201" t="s">
        <v>3027</v>
      </c>
      <c r="G1201" t="s">
        <v>3031</v>
      </c>
      <c r="H1201">
        <v>16</v>
      </c>
      <c r="I1201" t="s">
        <v>5242</v>
      </c>
    </row>
    <row r="1202" spans="1:9" x14ac:dyDescent="0.3">
      <c r="A1202" t="s">
        <v>5210</v>
      </c>
      <c r="B1202" t="s">
        <v>498</v>
      </c>
      <c r="C1202" t="s">
        <v>5211</v>
      </c>
      <c r="D1202" t="s">
        <v>3029</v>
      </c>
      <c r="E1202" t="s">
        <v>5243</v>
      </c>
      <c r="F1202" t="s">
        <v>3027</v>
      </c>
      <c r="G1202" t="s">
        <v>3031</v>
      </c>
      <c r="H1202">
        <v>17</v>
      </c>
      <c r="I1202" t="s">
        <v>5244</v>
      </c>
    </row>
    <row r="1203" spans="1:9" x14ac:dyDescent="0.3">
      <c r="A1203" t="s">
        <v>5210</v>
      </c>
      <c r="B1203" t="s">
        <v>498</v>
      </c>
      <c r="C1203" t="s">
        <v>5211</v>
      </c>
      <c r="D1203" t="s">
        <v>3029</v>
      </c>
      <c r="E1203" t="s">
        <v>5245</v>
      </c>
      <c r="F1203" t="s">
        <v>3027</v>
      </c>
      <c r="G1203" t="s">
        <v>3031</v>
      </c>
      <c r="H1203">
        <v>18</v>
      </c>
      <c r="I1203" t="s">
        <v>5246</v>
      </c>
    </row>
    <row r="1204" spans="1:9" x14ac:dyDescent="0.3">
      <c r="A1204" t="s">
        <v>5210</v>
      </c>
      <c r="B1204" t="s">
        <v>498</v>
      </c>
      <c r="C1204" t="s">
        <v>5211</v>
      </c>
      <c r="D1204" t="s">
        <v>3029</v>
      </c>
      <c r="E1204" t="s">
        <v>5247</v>
      </c>
      <c r="F1204" t="s">
        <v>3027</v>
      </c>
      <c r="G1204" t="s">
        <v>3031</v>
      </c>
      <c r="H1204">
        <v>19</v>
      </c>
      <c r="I1204" t="s">
        <v>5248</v>
      </c>
    </row>
    <row r="1205" spans="1:9" x14ac:dyDescent="0.3">
      <c r="A1205" t="s">
        <v>5210</v>
      </c>
      <c r="B1205" t="s">
        <v>498</v>
      </c>
      <c r="C1205" t="s">
        <v>5211</v>
      </c>
      <c r="D1205" t="s">
        <v>3029</v>
      </c>
      <c r="E1205" t="s">
        <v>5249</v>
      </c>
      <c r="F1205" t="s">
        <v>3027</v>
      </c>
      <c r="G1205" t="s">
        <v>3031</v>
      </c>
      <c r="H1205">
        <v>20</v>
      </c>
      <c r="I1205" t="s">
        <v>5250</v>
      </c>
    </row>
    <row r="1206" spans="1:9" x14ac:dyDescent="0.3">
      <c r="A1206" t="s">
        <v>5251</v>
      </c>
      <c r="B1206" t="s">
        <v>504</v>
      </c>
      <c r="C1206" t="s">
        <v>504</v>
      </c>
      <c r="D1206" t="s">
        <v>3025</v>
      </c>
      <c r="E1206" t="s">
        <v>5252</v>
      </c>
      <c r="F1206" t="s">
        <v>3027</v>
      </c>
      <c r="G1206" t="s">
        <v>3028</v>
      </c>
      <c r="H1206">
        <v>1</v>
      </c>
      <c r="I1206" t="s">
        <v>504</v>
      </c>
    </row>
    <row r="1207" spans="1:9" x14ac:dyDescent="0.3">
      <c r="A1207" t="s">
        <v>5251</v>
      </c>
      <c r="B1207" t="s">
        <v>504</v>
      </c>
      <c r="C1207" t="s">
        <v>504</v>
      </c>
      <c r="D1207" t="s">
        <v>3029</v>
      </c>
      <c r="E1207" t="s">
        <v>5123</v>
      </c>
      <c r="F1207" t="s">
        <v>3027</v>
      </c>
      <c r="G1207" t="s">
        <v>3031</v>
      </c>
      <c r="H1207">
        <v>2</v>
      </c>
      <c r="I1207" t="s">
        <v>2454</v>
      </c>
    </row>
    <row r="1208" spans="1:9" x14ac:dyDescent="0.3">
      <c r="A1208" t="s">
        <v>5251</v>
      </c>
      <c r="B1208" t="s">
        <v>504</v>
      </c>
      <c r="C1208" t="s">
        <v>504</v>
      </c>
      <c r="D1208" t="s">
        <v>3029</v>
      </c>
      <c r="E1208" t="s">
        <v>5253</v>
      </c>
      <c r="F1208" t="s">
        <v>3027</v>
      </c>
      <c r="G1208" t="s">
        <v>3031</v>
      </c>
      <c r="H1208">
        <v>3</v>
      </c>
      <c r="I1208" t="s">
        <v>5254</v>
      </c>
    </row>
    <row r="1209" spans="1:9" x14ac:dyDescent="0.3">
      <c r="A1209" t="s">
        <v>5251</v>
      </c>
      <c r="B1209" t="s">
        <v>504</v>
      </c>
      <c r="C1209" t="s">
        <v>504</v>
      </c>
      <c r="D1209" t="s">
        <v>3029</v>
      </c>
      <c r="E1209" t="s">
        <v>5255</v>
      </c>
      <c r="F1209" t="s">
        <v>3027</v>
      </c>
      <c r="G1209" t="s">
        <v>3031</v>
      </c>
      <c r="H1209">
        <v>4</v>
      </c>
      <c r="I1209" t="s">
        <v>5256</v>
      </c>
    </row>
    <row r="1210" spans="1:9" x14ac:dyDescent="0.3">
      <c r="A1210" t="s">
        <v>5251</v>
      </c>
      <c r="B1210" t="s">
        <v>504</v>
      </c>
      <c r="C1210" t="s">
        <v>504</v>
      </c>
      <c r="D1210" t="s">
        <v>3029</v>
      </c>
      <c r="E1210" t="s">
        <v>5257</v>
      </c>
      <c r="F1210" t="s">
        <v>3027</v>
      </c>
      <c r="G1210" t="s">
        <v>3031</v>
      </c>
      <c r="H1210">
        <v>5</v>
      </c>
      <c r="I1210" t="s">
        <v>5258</v>
      </c>
    </row>
    <row r="1211" spans="1:9" x14ac:dyDescent="0.3">
      <c r="A1211" t="s">
        <v>5251</v>
      </c>
      <c r="B1211" t="s">
        <v>504</v>
      </c>
      <c r="C1211" t="s">
        <v>504</v>
      </c>
      <c r="D1211" t="s">
        <v>3029</v>
      </c>
      <c r="E1211" t="s">
        <v>3117</v>
      </c>
      <c r="F1211" t="s">
        <v>3027</v>
      </c>
      <c r="G1211" t="s">
        <v>3031</v>
      </c>
      <c r="H1211">
        <v>6</v>
      </c>
      <c r="I1211" t="s">
        <v>5259</v>
      </c>
    </row>
    <row r="1212" spans="1:9" x14ac:dyDescent="0.3">
      <c r="A1212" t="s">
        <v>5251</v>
      </c>
      <c r="B1212" t="s">
        <v>504</v>
      </c>
      <c r="C1212" t="s">
        <v>504</v>
      </c>
      <c r="D1212" t="s">
        <v>3029</v>
      </c>
      <c r="E1212" t="s">
        <v>5260</v>
      </c>
      <c r="F1212" t="s">
        <v>3027</v>
      </c>
      <c r="G1212" t="s">
        <v>3031</v>
      </c>
      <c r="H1212">
        <v>7</v>
      </c>
      <c r="I1212" t="s">
        <v>5261</v>
      </c>
    </row>
    <row r="1213" spans="1:9" x14ac:dyDescent="0.3">
      <c r="A1213" t="s">
        <v>5251</v>
      </c>
      <c r="B1213" t="s">
        <v>504</v>
      </c>
      <c r="C1213" t="s">
        <v>504</v>
      </c>
      <c r="D1213" t="s">
        <v>3029</v>
      </c>
      <c r="E1213" t="s">
        <v>3242</v>
      </c>
      <c r="F1213" t="s">
        <v>3027</v>
      </c>
      <c r="G1213" t="s">
        <v>3031</v>
      </c>
      <c r="H1213">
        <v>8</v>
      </c>
      <c r="I1213" t="s">
        <v>3243</v>
      </c>
    </row>
    <row r="1214" spans="1:9" x14ac:dyDescent="0.3">
      <c r="A1214" t="s">
        <v>5251</v>
      </c>
      <c r="B1214" t="s">
        <v>504</v>
      </c>
      <c r="C1214" t="s">
        <v>504</v>
      </c>
      <c r="D1214" t="s">
        <v>3029</v>
      </c>
      <c r="E1214" t="s">
        <v>5262</v>
      </c>
      <c r="F1214" t="s">
        <v>3027</v>
      </c>
      <c r="G1214" t="s">
        <v>3031</v>
      </c>
      <c r="H1214">
        <v>9</v>
      </c>
      <c r="I1214" t="s">
        <v>5263</v>
      </c>
    </row>
    <row r="1215" spans="1:9" x14ac:dyDescent="0.3">
      <c r="A1215" t="s">
        <v>5251</v>
      </c>
      <c r="B1215" t="s">
        <v>504</v>
      </c>
      <c r="C1215" t="s">
        <v>504</v>
      </c>
      <c r="D1215" t="s">
        <v>3029</v>
      </c>
      <c r="E1215" t="s">
        <v>5264</v>
      </c>
      <c r="F1215" t="s">
        <v>3027</v>
      </c>
      <c r="G1215" t="s">
        <v>3031</v>
      </c>
      <c r="H1215">
        <v>10</v>
      </c>
      <c r="I1215" t="s">
        <v>5265</v>
      </c>
    </row>
    <row r="1216" spans="1:9" x14ac:dyDescent="0.3">
      <c r="A1216" t="s">
        <v>5251</v>
      </c>
      <c r="B1216" t="s">
        <v>504</v>
      </c>
      <c r="C1216" t="s">
        <v>504</v>
      </c>
      <c r="D1216" t="s">
        <v>3029</v>
      </c>
      <c r="E1216" t="s">
        <v>5266</v>
      </c>
      <c r="F1216" t="s">
        <v>3027</v>
      </c>
      <c r="G1216" t="s">
        <v>3031</v>
      </c>
      <c r="H1216">
        <v>11</v>
      </c>
      <c r="I1216" t="s">
        <v>5267</v>
      </c>
    </row>
    <row r="1217" spans="1:9" x14ac:dyDescent="0.3">
      <c r="A1217" t="s">
        <v>5251</v>
      </c>
      <c r="B1217" t="s">
        <v>504</v>
      </c>
      <c r="C1217" t="s">
        <v>504</v>
      </c>
      <c r="D1217" t="s">
        <v>3029</v>
      </c>
      <c r="E1217" t="s">
        <v>5268</v>
      </c>
      <c r="F1217" t="s">
        <v>3027</v>
      </c>
      <c r="G1217" t="s">
        <v>3031</v>
      </c>
      <c r="H1217">
        <v>12</v>
      </c>
      <c r="I1217" t="s">
        <v>5269</v>
      </c>
    </row>
    <row r="1218" spans="1:9" x14ac:dyDescent="0.3">
      <c r="A1218" t="s">
        <v>5251</v>
      </c>
      <c r="B1218" t="s">
        <v>504</v>
      </c>
      <c r="C1218" t="s">
        <v>504</v>
      </c>
      <c r="D1218" t="s">
        <v>3029</v>
      </c>
      <c r="E1218" t="s">
        <v>5270</v>
      </c>
      <c r="F1218" t="s">
        <v>3027</v>
      </c>
      <c r="G1218" t="s">
        <v>3031</v>
      </c>
      <c r="H1218">
        <v>13</v>
      </c>
      <c r="I1218" t="s">
        <v>5271</v>
      </c>
    </row>
    <row r="1219" spans="1:9" x14ac:dyDescent="0.3">
      <c r="A1219" t="s">
        <v>5251</v>
      </c>
      <c r="B1219" t="s">
        <v>504</v>
      </c>
      <c r="C1219" t="s">
        <v>504</v>
      </c>
      <c r="D1219" t="s">
        <v>3029</v>
      </c>
      <c r="E1219" t="s">
        <v>5272</v>
      </c>
      <c r="F1219" t="s">
        <v>3027</v>
      </c>
      <c r="G1219" t="s">
        <v>3031</v>
      </c>
      <c r="H1219">
        <v>14</v>
      </c>
      <c r="I1219" t="s">
        <v>5273</v>
      </c>
    </row>
    <row r="1220" spans="1:9" x14ac:dyDescent="0.3">
      <c r="A1220" t="s">
        <v>5251</v>
      </c>
      <c r="B1220" t="s">
        <v>504</v>
      </c>
      <c r="C1220" t="s">
        <v>504</v>
      </c>
      <c r="D1220" t="s">
        <v>3029</v>
      </c>
      <c r="E1220" t="s">
        <v>5274</v>
      </c>
      <c r="F1220" t="s">
        <v>3027</v>
      </c>
      <c r="G1220" t="s">
        <v>3031</v>
      </c>
      <c r="H1220">
        <v>15</v>
      </c>
      <c r="I1220" t="s">
        <v>5275</v>
      </c>
    </row>
    <row r="1221" spans="1:9" x14ac:dyDescent="0.3">
      <c r="A1221" t="s">
        <v>5251</v>
      </c>
      <c r="B1221" t="s">
        <v>504</v>
      </c>
      <c r="C1221" t="s">
        <v>504</v>
      </c>
      <c r="D1221" t="s">
        <v>3029</v>
      </c>
      <c r="E1221" t="s">
        <v>5276</v>
      </c>
      <c r="F1221" t="s">
        <v>3027</v>
      </c>
      <c r="G1221" t="s">
        <v>3031</v>
      </c>
      <c r="H1221">
        <v>16</v>
      </c>
      <c r="I1221" t="s">
        <v>5277</v>
      </c>
    </row>
    <row r="1222" spans="1:9" x14ac:dyDescent="0.3">
      <c r="A1222" t="s">
        <v>5251</v>
      </c>
      <c r="B1222" t="s">
        <v>504</v>
      </c>
      <c r="C1222" t="s">
        <v>504</v>
      </c>
      <c r="D1222" t="s">
        <v>3029</v>
      </c>
      <c r="E1222" t="s">
        <v>4234</v>
      </c>
      <c r="F1222" t="s">
        <v>3027</v>
      </c>
      <c r="G1222" t="s">
        <v>3031</v>
      </c>
      <c r="H1222">
        <v>17</v>
      </c>
      <c r="I1222" t="s">
        <v>3484</v>
      </c>
    </row>
    <row r="1223" spans="1:9" x14ac:dyDescent="0.3">
      <c r="A1223" t="s">
        <v>5251</v>
      </c>
      <c r="B1223" t="s">
        <v>504</v>
      </c>
      <c r="C1223" t="s">
        <v>504</v>
      </c>
      <c r="D1223" t="s">
        <v>3029</v>
      </c>
      <c r="E1223" t="s">
        <v>5278</v>
      </c>
      <c r="F1223" t="s">
        <v>3027</v>
      </c>
      <c r="G1223" t="s">
        <v>3031</v>
      </c>
      <c r="H1223">
        <v>18</v>
      </c>
      <c r="I1223" t="s">
        <v>5279</v>
      </c>
    </row>
    <row r="1224" spans="1:9" x14ac:dyDescent="0.3">
      <c r="A1224" t="s">
        <v>5251</v>
      </c>
      <c r="B1224" t="s">
        <v>504</v>
      </c>
      <c r="C1224" t="s">
        <v>504</v>
      </c>
      <c r="D1224" t="s">
        <v>3029</v>
      </c>
      <c r="E1224" t="s">
        <v>5280</v>
      </c>
      <c r="F1224" t="s">
        <v>3027</v>
      </c>
      <c r="G1224" t="s">
        <v>3031</v>
      </c>
      <c r="H1224">
        <v>19</v>
      </c>
      <c r="I1224" t="s">
        <v>5281</v>
      </c>
    </row>
    <row r="1225" spans="1:9" x14ac:dyDescent="0.3">
      <c r="A1225" t="s">
        <v>5251</v>
      </c>
      <c r="B1225" t="s">
        <v>504</v>
      </c>
      <c r="C1225" t="s">
        <v>504</v>
      </c>
      <c r="D1225" t="s">
        <v>3029</v>
      </c>
      <c r="E1225" t="s">
        <v>5282</v>
      </c>
      <c r="F1225" t="s">
        <v>3027</v>
      </c>
      <c r="G1225" t="s">
        <v>3031</v>
      </c>
      <c r="H1225">
        <v>20</v>
      </c>
      <c r="I1225" t="s">
        <v>5283</v>
      </c>
    </row>
    <row r="1226" spans="1:9" x14ac:dyDescent="0.3">
      <c r="A1226" t="s">
        <v>5284</v>
      </c>
      <c r="B1226" t="s">
        <v>510</v>
      </c>
      <c r="C1226" t="s">
        <v>5285</v>
      </c>
      <c r="D1226" t="s">
        <v>3025</v>
      </c>
      <c r="E1226" t="s">
        <v>5286</v>
      </c>
      <c r="F1226" t="s">
        <v>3027</v>
      </c>
      <c r="G1226" t="s">
        <v>3028</v>
      </c>
      <c r="H1226">
        <v>1</v>
      </c>
      <c r="I1226" t="s">
        <v>5285</v>
      </c>
    </row>
    <row r="1227" spans="1:9" x14ac:dyDescent="0.3">
      <c r="A1227" t="s">
        <v>5284</v>
      </c>
      <c r="B1227" t="s">
        <v>510</v>
      </c>
      <c r="C1227" t="s">
        <v>5285</v>
      </c>
      <c r="D1227" t="s">
        <v>3029</v>
      </c>
      <c r="E1227" t="s">
        <v>5287</v>
      </c>
      <c r="F1227" t="s">
        <v>3027</v>
      </c>
      <c r="G1227" t="s">
        <v>3031</v>
      </c>
      <c r="H1227">
        <v>2</v>
      </c>
      <c r="I1227" t="s">
        <v>5288</v>
      </c>
    </row>
    <row r="1228" spans="1:9" x14ac:dyDescent="0.3">
      <c r="A1228" t="s">
        <v>5284</v>
      </c>
      <c r="B1228" t="s">
        <v>510</v>
      </c>
      <c r="C1228" t="s">
        <v>5285</v>
      </c>
      <c r="D1228" t="s">
        <v>3029</v>
      </c>
      <c r="E1228" t="s">
        <v>5289</v>
      </c>
      <c r="F1228" t="s">
        <v>3027</v>
      </c>
      <c r="G1228" t="s">
        <v>3031</v>
      </c>
      <c r="H1228">
        <v>3</v>
      </c>
      <c r="I1228" t="s">
        <v>5290</v>
      </c>
    </row>
    <row r="1229" spans="1:9" x14ac:dyDescent="0.3">
      <c r="A1229" t="s">
        <v>5284</v>
      </c>
      <c r="B1229" t="s">
        <v>510</v>
      </c>
      <c r="C1229" t="s">
        <v>5285</v>
      </c>
      <c r="D1229" t="s">
        <v>3029</v>
      </c>
      <c r="E1229" t="s">
        <v>5291</v>
      </c>
      <c r="F1229" t="s">
        <v>3027</v>
      </c>
      <c r="G1229" t="s">
        <v>3031</v>
      </c>
      <c r="H1229">
        <v>4</v>
      </c>
      <c r="I1229" t="s">
        <v>5292</v>
      </c>
    </row>
    <row r="1230" spans="1:9" x14ac:dyDescent="0.3">
      <c r="A1230" t="s">
        <v>5284</v>
      </c>
      <c r="B1230" t="s">
        <v>510</v>
      </c>
      <c r="C1230" t="s">
        <v>5285</v>
      </c>
      <c r="D1230" t="s">
        <v>3029</v>
      </c>
      <c r="E1230" t="s">
        <v>5293</v>
      </c>
      <c r="F1230" t="s">
        <v>3027</v>
      </c>
      <c r="G1230" t="s">
        <v>3031</v>
      </c>
      <c r="H1230">
        <v>5</v>
      </c>
      <c r="I1230" t="s">
        <v>5294</v>
      </c>
    </row>
    <row r="1231" spans="1:9" x14ac:dyDescent="0.3">
      <c r="A1231" t="s">
        <v>5284</v>
      </c>
      <c r="B1231" t="s">
        <v>510</v>
      </c>
      <c r="C1231" t="s">
        <v>5285</v>
      </c>
      <c r="D1231" t="s">
        <v>3029</v>
      </c>
      <c r="E1231" t="s">
        <v>5295</v>
      </c>
      <c r="F1231" t="s">
        <v>3027</v>
      </c>
      <c r="G1231" t="s">
        <v>3031</v>
      </c>
      <c r="H1231">
        <v>6</v>
      </c>
      <c r="I1231" t="s">
        <v>5296</v>
      </c>
    </row>
    <row r="1232" spans="1:9" x14ac:dyDescent="0.3">
      <c r="A1232" t="s">
        <v>5284</v>
      </c>
      <c r="B1232" t="s">
        <v>510</v>
      </c>
      <c r="C1232" t="s">
        <v>5285</v>
      </c>
      <c r="D1232" t="s">
        <v>3029</v>
      </c>
      <c r="E1232" t="s">
        <v>5297</v>
      </c>
      <c r="F1232" t="s">
        <v>3027</v>
      </c>
      <c r="G1232" t="s">
        <v>3031</v>
      </c>
      <c r="H1232">
        <v>7</v>
      </c>
      <c r="I1232" t="s">
        <v>5298</v>
      </c>
    </row>
    <row r="1233" spans="1:9" x14ac:dyDescent="0.3">
      <c r="A1233" t="s">
        <v>5284</v>
      </c>
      <c r="B1233" t="s">
        <v>510</v>
      </c>
      <c r="C1233" t="s">
        <v>5285</v>
      </c>
      <c r="D1233" t="s">
        <v>3029</v>
      </c>
      <c r="E1233" t="s">
        <v>5299</v>
      </c>
      <c r="F1233" t="s">
        <v>3027</v>
      </c>
      <c r="G1233" t="s">
        <v>3031</v>
      </c>
      <c r="H1233">
        <v>8</v>
      </c>
      <c r="I1233" t="s">
        <v>5300</v>
      </c>
    </row>
    <row r="1234" spans="1:9" x14ac:dyDescent="0.3">
      <c r="A1234" t="s">
        <v>5284</v>
      </c>
      <c r="B1234" t="s">
        <v>510</v>
      </c>
      <c r="C1234" t="s">
        <v>5285</v>
      </c>
      <c r="D1234" t="s">
        <v>3029</v>
      </c>
      <c r="E1234" t="s">
        <v>5301</v>
      </c>
      <c r="F1234" t="s">
        <v>3027</v>
      </c>
      <c r="G1234" t="s">
        <v>3031</v>
      </c>
      <c r="H1234">
        <v>9</v>
      </c>
      <c r="I1234" t="s">
        <v>5302</v>
      </c>
    </row>
    <row r="1235" spans="1:9" x14ac:dyDescent="0.3">
      <c r="A1235" t="s">
        <v>5284</v>
      </c>
      <c r="B1235" t="s">
        <v>510</v>
      </c>
      <c r="C1235" t="s">
        <v>5285</v>
      </c>
      <c r="D1235" t="s">
        <v>3029</v>
      </c>
      <c r="E1235" t="s">
        <v>5303</v>
      </c>
      <c r="F1235" t="s">
        <v>3027</v>
      </c>
      <c r="G1235" t="s">
        <v>3031</v>
      </c>
      <c r="H1235">
        <v>10</v>
      </c>
      <c r="I1235" t="s">
        <v>880</v>
      </c>
    </row>
    <row r="1236" spans="1:9" x14ac:dyDescent="0.3">
      <c r="A1236" t="s">
        <v>5284</v>
      </c>
      <c r="B1236" t="s">
        <v>510</v>
      </c>
      <c r="C1236" t="s">
        <v>5285</v>
      </c>
      <c r="D1236" t="s">
        <v>3029</v>
      </c>
      <c r="E1236" t="s">
        <v>5304</v>
      </c>
      <c r="F1236" t="s">
        <v>3027</v>
      </c>
      <c r="G1236" t="s">
        <v>3031</v>
      </c>
      <c r="H1236">
        <v>11</v>
      </c>
      <c r="I1236" t="s">
        <v>5305</v>
      </c>
    </row>
    <row r="1237" spans="1:9" x14ac:dyDescent="0.3">
      <c r="A1237" t="s">
        <v>5284</v>
      </c>
      <c r="B1237" t="s">
        <v>510</v>
      </c>
      <c r="C1237" t="s">
        <v>5285</v>
      </c>
      <c r="D1237" t="s">
        <v>3029</v>
      </c>
      <c r="E1237" t="s">
        <v>5306</v>
      </c>
      <c r="F1237" t="s">
        <v>3027</v>
      </c>
      <c r="G1237" t="s">
        <v>3031</v>
      </c>
      <c r="H1237">
        <v>12</v>
      </c>
      <c r="I1237" t="s">
        <v>5307</v>
      </c>
    </row>
    <row r="1238" spans="1:9" x14ac:dyDescent="0.3">
      <c r="A1238" t="s">
        <v>5284</v>
      </c>
      <c r="B1238" t="s">
        <v>510</v>
      </c>
      <c r="C1238" t="s">
        <v>5285</v>
      </c>
      <c r="D1238" t="s">
        <v>3029</v>
      </c>
      <c r="E1238" t="s">
        <v>5308</v>
      </c>
      <c r="F1238" t="s">
        <v>3027</v>
      </c>
      <c r="G1238" t="s">
        <v>3031</v>
      </c>
      <c r="H1238">
        <v>13</v>
      </c>
      <c r="I1238" t="s">
        <v>5309</v>
      </c>
    </row>
    <row r="1239" spans="1:9" x14ac:dyDescent="0.3">
      <c r="A1239" t="s">
        <v>5284</v>
      </c>
      <c r="B1239" t="s">
        <v>510</v>
      </c>
      <c r="C1239" t="s">
        <v>5285</v>
      </c>
      <c r="D1239" t="s">
        <v>3029</v>
      </c>
      <c r="E1239" t="s">
        <v>5310</v>
      </c>
      <c r="F1239" t="s">
        <v>3027</v>
      </c>
      <c r="G1239" t="s">
        <v>3031</v>
      </c>
      <c r="H1239">
        <v>14</v>
      </c>
      <c r="I1239" t="s">
        <v>5311</v>
      </c>
    </row>
    <row r="1240" spans="1:9" x14ac:dyDescent="0.3">
      <c r="A1240" t="s">
        <v>5284</v>
      </c>
      <c r="B1240" t="s">
        <v>510</v>
      </c>
      <c r="C1240" t="s">
        <v>5285</v>
      </c>
      <c r="D1240" t="s">
        <v>3029</v>
      </c>
      <c r="E1240" t="s">
        <v>5312</v>
      </c>
      <c r="F1240" t="s">
        <v>3027</v>
      </c>
      <c r="G1240" t="s">
        <v>3031</v>
      </c>
      <c r="H1240">
        <v>15</v>
      </c>
      <c r="I1240" t="s">
        <v>5313</v>
      </c>
    </row>
    <row r="1241" spans="1:9" x14ac:dyDescent="0.3">
      <c r="A1241" t="s">
        <v>5284</v>
      </c>
      <c r="B1241" t="s">
        <v>510</v>
      </c>
      <c r="C1241" t="s">
        <v>5285</v>
      </c>
      <c r="D1241" t="s">
        <v>3029</v>
      </c>
      <c r="E1241" t="s">
        <v>5314</v>
      </c>
      <c r="F1241" t="s">
        <v>3027</v>
      </c>
      <c r="G1241" t="s">
        <v>3031</v>
      </c>
      <c r="H1241">
        <v>16</v>
      </c>
      <c r="I1241" t="s">
        <v>5315</v>
      </c>
    </row>
    <row r="1242" spans="1:9" x14ac:dyDescent="0.3">
      <c r="A1242" t="s">
        <v>5284</v>
      </c>
      <c r="B1242" t="s">
        <v>510</v>
      </c>
      <c r="C1242" t="s">
        <v>5285</v>
      </c>
      <c r="D1242" t="s">
        <v>3029</v>
      </c>
      <c r="E1242" t="s">
        <v>5316</v>
      </c>
      <c r="F1242" t="s">
        <v>3027</v>
      </c>
      <c r="G1242" t="s">
        <v>3031</v>
      </c>
      <c r="H1242">
        <v>17</v>
      </c>
      <c r="I1242" t="s">
        <v>5317</v>
      </c>
    </row>
    <row r="1243" spans="1:9" x14ac:dyDescent="0.3">
      <c r="A1243" t="s">
        <v>5284</v>
      </c>
      <c r="B1243" t="s">
        <v>510</v>
      </c>
      <c r="C1243" t="s">
        <v>5285</v>
      </c>
      <c r="D1243" t="s">
        <v>3029</v>
      </c>
      <c r="E1243" t="s">
        <v>5318</v>
      </c>
      <c r="F1243" t="s">
        <v>3027</v>
      </c>
      <c r="G1243" t="s">
        <v>3031</v>
      </c>
      <c r="H1243">
        <v>18</v>
      </c>
      <c r="I1243" t="s">
        <v>5319</v>
      </c>
    </row>
    <row r="1244" spans="1:9" x14ac:dyDescent="0.3">
      <c r="A1244" t="s">
        <v>5284</v>
      </c>
      <c r="B1244" t="s">
        <v>510</v>
      </c>
      <c r="C1244" t="s">
        <v>5285</v>
      </c>
      <c r="D1244" t="s">
        <v>3029</v>
      </c>
      <c r="E1244" t="s">
        <v>5320</v>
      </c>
      <c r="F1244" t="s">
        <v>3027</v>
      </c>
      <c r="G1244" t="s">
        <v>3031</v>
      </c>
      <c r="H1244">
        <v>19</v>
      </c>
      <c r="I1244" t="s">
        <v>5321</v>
      </c>
    </row>
    <row r="1245" spans="1:9" x14ac:dyDescent="0.3">
      <c r="A1245" t="s">
        <v>5284</v>
      </c>
      <c r="B1245" t="s">
        <v>510</v>
      </c>
      <c r="C1245" t="s">
        <v>5285</v>
      </c>
      <c r="D1245" t="s">
        <v>3029</v>
      </c>
      <c r="E1245" t="s">
        <v>5322</v>
      </c>
      <c r="F1245" t="s">
        <v>3027</v>
      </c>
      <c r="G1245" t="s">
        <v>3031</v>
      </c>
      <c r="H1245">
        <v>20</v>
      </c>
      <c r="I1245" t="s">
        <v>5323</v>
      </c>
    </row>
    <row r="1246" spans="1:9" x14ac:dyDescent="0.3">
      <c r="A1246" t="s">
        <v>5324</v>
      </c>
      <c r="B1246" t="s">
        <v>516</v>
      </c>
      <c r="C1246" t="s">
        <v>5325</v>
      </c>
      <c r="D1246" t="s">
        <v>3025</v>
      </c>
      <c r="E1246" t="s">
        <v>5326</v>
      </c>
      <c r="F1246" t="s">
        <v>3027</v>
      </c>
      <c r="G1246" t="s">
        <v>3028</v>
      </c>
      <c r="H1246">
        <v>1</v>
      </c>
      <c r="I1246" t="s">
        <v>5325</v>
      </c>
    </row>
    <row r="1247" spans="1:9" x14ac:dyDescent="0.3">
      <c r="A1247" t="s">
        <v>5324</v>
      </c>
      <c r="B1247" t="s">
        <v>516</v>
      </c>
      <c r="C1247" t="s">
        <v>5325</v>
      </c>
      <c r="D1247" t="s">
        <v>3029</v>
      </c>
      <c r="E1247" t="s">
        <v>5327</v>
      </c>
      <c r="F1247" t="s">
        <v>3027</v>
      </c>
      <c r="G1247" t="s">
        <v>3031</v>
      </c>
      <c r="H1247">
        <v>2</v>
      </c>
      <c r="I1247" t="s">
        <v>5328</v>
      </c>
    </row>
    <row r="1248" spans="1:9" x14ac:dyDescent="0.3">
      <c r="A1248" t="s">
        <v>5324</v>
      </c>
      <c r="B1248" t="s">
        <v>516</v>
      </c>
      <c r="C1248" t="s">
        <v>5325</v>
      </c>
      <c r="D1248" t="s">
        <v>3029</v>
      </c>
      <c r="E1248" t="s">
        <v>5329</v>
      </c>
      <c r="F1248" t="s">
        <v>3027</v>
      </c>
      <c r="G1248" t="s">
        <v>3031</v>
      </c>
      <c r="H1248">
        <v>3</v>
      </c>
      <c r="I1248" t="s">
        <v>5330</v>
      </c>
    </row>
    <row r="1249" spans="1:9" x14ac:dyDescent="0.3">
      <c r="A1249" t="s">
        <v>5324</v>
      </c>
      <c r="B1249" t="s">
        <v>516</v>
      </c>
      <c r="C1249" t="s">
        <v>5325</v>
      </c>
      <c r="D1249" t="s">
        <v>3029</v>
      </c>
      <c r="E1249" t="s">
        <v>5331</v>
      </c>
      <c r="F1249" t="s">
        <v>3027</v>
      </c>
      <c r="G1249" t="s">
        <v>3031</v>
      </c>
      <c r="H1249">
        <v>4</v>
      </c>
      <c r="I1249" t="s">
        <v>5332</v>
      </c>
    </row>
    <row r="1250" spans="1:9" x14ac:dyDescent="0.3">
      <c r="A1250" t="s">
        <v>5324</v>
      </c>
      <c r="B1250" t="s">
        <v>516</v>
      </c>
      <c r="C1250" t="s">
        <v>5325</v>
      </c>
      <c r="D1250" t="s">
        <v>3029</v>
      </c>
      <c r="E1250" t="s">
        <v>5333</v>
      </c>
      <c r="F1250" t="s">
        <v>3027</v>
      </c>
      <c r="G1250" t="s">
        <v>3031</v>
      </c>
      <c r="H1250">
        <v>5</v>
      </c>
      <c r="I1250" t="s">
        <v>5334</v>
      </c>
    </row>
    <row r="1251" spans="1:9" x14ac:dyDescent="0.3">
      <c r="A1251" t="s">
        <v>5324</v>
      </c>
      <c r="B1251" t="s">
        <v>516</v>
      </c>
      <c r="C1251" t="s">
        <v>5325</v>
      </c>
      <c r="D1251" t="s">
        <v>3029</v>
      </c>
      <c r="E1251" t="s">
        <v>5335</v>
      </c>
      <c r="F1251" t="s">
        <v>3027</v>
      </c>
      <c r="G1251" t="s">
        <v>3031</v>
      </c>
      <c r="H1251">
        <v>6</v>
      </c>
      <c r="I1251" t="s">
        <v>5336</v>
      </c>
    </row>
    <row r="1252" spans="1:9" x14ac:dyDescent="0.3">
      <c r="A1252" t="s">
        <v>5324</v>
      </c>
      <c r="B1252" t="s">
        <v>516</v>
      </c>
      <c r="C1252" t="s">
        <v>5325</v>
      </c>
      <c r="D1252" t="s">
        <v>3029</v>
      </c>
      <c r="E1252" t="s">
        <v>5337</v>
      </c>
      <c r="F1252" t="s">
        <v>3027</v>
      </c>
      <c r="G1252" t="s">
        <v>3031</v>
      </c>
      <c r="H1252">
        <v>7</v>
      </c>
      <c r="I1252" t="s">
        <v>5338</v>
      </c>
    </row>
    <row r="1253" spans="1:9" x14ac:dyDescent="0.3">
      <c r="A1253" t="s">
        <v>5324</v>
      </c>
      <c r="B1253" t="s">
        <v>516</v>
      </c>
      <c r="C1253" t="s">
        <v>5325</v>
      </c>
      <c r="D1253" t="s">
        <v>3029</v>
      </c>
      <c r="E1253" t="s">
        <v>3318</v>
      </c>
      <c r="F1253" t="s">
        <v>3027</v>
      </c>
      <c r="G1253" t="s">
        <v>3031</v>
      </c>
      <c r="H1253">
        <v>8</v>
      </c>
      <c r="I1253" t="s">
        <v>158</v>
      </c>
    </row>
    <row r="1254" spans="1:9" x14ac:dyDescent="0.3">
      <c r="A1254" t="s">
        <v>5324</v>
      </c>
      <c r="B1254" t="s">
        <v>516</v>
      </c>
      <c r="C1254" t="s">
        <v>5325</v>
      </c>
      <c r="D1254" t="s">
        <v>3029</v>
      </c>
      <c r="E1254" t="s">
        <v>5339</v>
      </c>
      <c r="F1254" t="s">
        <v>3027</v>
      </c>
      <c r="G1254" t="s">
        <v>3031</v>
      </c>
      <c r="H1254">
        <v>9</v>
      </c>
      <c r="I1254" t="s">
        <v>5340</v>
      </c>
    </row>
    <row r="1255" spans="1:9" x14ac:dyDescent="0.3">
      <c r="A1255" t="s">
        <v>5324</v>
      </c>
      <c r="B1255" t="s">
        <v>516</v>
      </c>
      <c r="C1255" t="s">
        <v>5325</v>
      </c>
      <c r="D1255" t="s">
        <v>3029</v>
      </c>
      <c r="E1255" t="s">
        <v>5341</v>
      </c>
      <c r="F1255" t="s">
        <v>3027</v>
      </c>
      <c r="G1255" t="s">
        <v>3031</v>
      </c>
      <c r="H1255">
        <v>10</v>
      </c>
      <c r="I1255" t="s">
        <v>5342</v>
      </c>
    </row>
    <row r="1256" spans="1:9" x14ac:dyDescent="0.3">
      <c r="A1256" t="s">
        <v>5324</v>
      </c>
      <c r="B1256" t="s">
        <v>516</v>
      </c>
      <c r="C1256" t="s">
        <v>5325</v>
      </c>
      <c r="D1256" t="s">
        <v>3029</v>
      </c>
      <c r="E1256" t="s">
        <v>5343</v>
      </c>
      <c r="F1256" t="s">
        <v>3027</v>
      </c>
      <c r="G1256" t="s">
        <v>3031</v>
      </c>
      <c r="H1256">
        <v>11</v>
      </c>
      <c r="I1256" t="s">
        <v>5344</v>
      </c>
    </row>
    <row r="1257" spans="1:9" x14ac:dyDescent="0.3">
      <c r="A1257" t="s">
        <v>5324</v>
      </c>
      <c r="B1257" t="s">
        <v>516</v>
      </c>
      <c r="C1257" t="s">
        <v>5325</v>
      </c>
      <c r="D1257" t="s">
        <v>3029</v>
      </c>
      <c r="E1257" t="s">
        <v>5345</v>
      </c>
      <c r="F1257" t="s">
        <v>3027</v>
      </c>
      <c r="G1257" t="s">
        <v>3031</v>
      </c>
      <c r="H1257">
        <v>12</v>
      </c>
      <c r="I1257" t="s">
        <v>5346</v>
      </c>
    </row>
    <row r="1258" spans="1:9" x14ac:dyDescent="0.3">
      <c r="A1258" t="s">
        <v>5324</v>
      </c>
      <c r="B1258" t="s">
        <v>516</v>
      </c>
      <c r="C1258" t="s">
        <v>5325</v>
      </c>
      <c r="D1258" t="s">
        <v>3029</v>
      </c>
      <c r="E1258" t="s">
        <v>5347</v>
      </c>
      <c r="F1258" t="s">
        <v>3027</v>
      </c>
      <c r="G1258" t="s">
        <v>3031</v>
      </c>
      <c r="H1258">
        <v>13</v>
      </c>
      <c r="I1258" t="s">
        <v>5348</v>
      </c>
    </row>
    <row r="1259" spans="1:9" x14ac:dyDescent="0.3">
      <c r="A1259" t="s">
        <v>5324</v>
      </c>
      <c r="B1259" t="s">
        <v>516</v>
      </c>
      <c r="C1259" t="s">
        <v>5325</v>
      </c>
      <c r="D1259" t="s">
        <v>3029</v>
      </c>
      <c r="E1259" t="s">
        <v>5349</v>
      </c>
      <c r="F1259" t="s">
        <v>3027</v>
      </c>
      <c r="G1259" t="s">
        <v>3031</v>
      </c>
      <c r="H1259">
        <v>14</v>
      </c>
      <c r="I1259" t="s">
        <v>3282</v>
      </c>
    </row>
    <row r="1260" spans="1:9" x14ac:dyDescent="0.3">
      <c r="A1260" t="s">
        <v>5324</v>
      </c>
      <c r="B1260" t="s">
        <v>516</v>
      </c>
      <c r="C1260" t="s">
        <v>5325</v>
      </c>
      <c r="D1260" t="s">
        <v>3029</v>
      </c>
      <c r="E1260" t="s">
        <v>5350</v>
      </c>
      <c r="F1260" t="s">
        <v>3027</v>
      </c>
      <c r="G1260" t="s">
        <v>3031</v>
      </c>
      <c r="H1260">
        <v>15</v>
      </c>
      <c r="I1260" t="s">
        <v>5351</v>
      </c>
    </row>
    <row r="1261" spans="1:9" x14ac:dyDescent="0.3">
      <c r="A1261" t="s">
        <v>5324</v>
      </c>
      <c r="B1261" t="s">
        <v>516</v>
      </c>
      <c r="C1261" t="s">
        <v>5325</v>
      </c>
      <c r="D1261" t="s">
        <v>3029</v>
      </c>
      <c r="E1261" t="s">
        <v>5352</v>
      </c>
      <c r="F1261" t="s">
        <v>3027</v>
      </c>
      <c r="G1261" t="s">
        <v>3031</v>
      </c>
      <c r="H1261">
        <v>16</v>
      </c>
      <c r="I1261" t="s">
        <v>5353</v>
      </c>
    </row>
    <row r="1262" spans="1:9" x14ac:dyDescent="0.3">
      <c r="A1262" t="s">
        <v>5324</v>
      </c>
      <c r="B1262" t="s">
        <v>516</v>
      </c>
      <c r="C1262" t="s">
        <v>5325</v>
      </c>
      <c r="D1262" t="s">
        <v>3029</v>
      </c>
      <c r="E1262" t="s">
        <v>5354</v>
      </c>
      <c r="F1262" t="s">
        <v>3027</v>
      </c>
      <c r="G1262" t="s">
        <v>3031</v>
      </c>
      <c r="H1262">
        <v>17</v>
      </c>
      <c r="I1262" t="s">
        <v>5355</v>
      </c>
    </row>
    <row r="1263" spans="1:9" x14ac:dyDescent="0.3">
      <c r="A1263" t="s">
        <v>5324</v>
      </c>
      <c r="B1263" t="s">
        <v>516</v>
      </c>
      <c r="C1263" t="s">
        <v>5325</v>
      </c>
      <c r="D1263" t="s">
        <v>3029</v>
      </c>
      <c r="E1263" t="s">
        <v>5356</v>
      </c>
      <c r="F1263" t="s">
        <v>3027</v>
      </c>
      <c r="G1263" t="s">
        <v>3031</v>
      </c>
      <c r="H1263">
        <v>18</v>
      </c>
      <c r="I1263" t="s">
        <v>5357</v>
      </c>
    </row>
    <row r="1264" spans="1:9" x14ac:dyDescent="0.3">
      <c r="A1264" t="s">
        <v>5324</v>
      </c>
      <c r="B1264" t="s">
        <v>516</v>
      </c>
      <c r="C1264" t="s">
        <v>5325</v>
      </c>
      <c r="D1264" t="s">
        <v>3029</v>
      </c>
      <c r="E1264" t="s">
        <v>5358</v>
      </c>
      <c r="F1264" t="s">
        <v>3027</v>
      </c>
      <c r="G1264" t="s">
        <v>3031</v>
      </c>
      <c r="H1264">
        <v>19</v>
      </c>
      <c r="I1264" t="s">
        <v>5359</v>
      </c>
    </row>
    <row r="1265" spans="1:9" x14ac:dyDescent="0.3">
      <c r="A1265" t="s">
        <v>5324</v>
      </c>
      <c r="B1265" t="s">
        <v>516</v>
      </c>
      <c r="C1265" t="s">
        <v>5325</v>
      </c>
      <c r="D1265" t="s">
        <v>3029</v>
      </c>
      <c r="E1265" t="s">
        <v>5360</v>
      </c>
      <c r="F1265" t="s">
        <v>3027</v>
      </c>
      <c r="G1265" t="s">
        <v>3031</v>
      </c>
      <c r="H1265">
        <v>20</v>
      </c>
      <c r="I1265" t="s">
        <v>5361</v>
      </c>
    </row>
    <row r="1266" spans="1:9" x14ac:dyDescent="0.3">
      <c r="A1266" t="s">
        <v>5362</v>
      </c>
      <c r="B1266" t="s">
        <v>522</v>
      </c>
      <c r="C1266" t="s">
        <v>5363</v>
      </c>
      <c r="D1266" t="s">
        <v>3025</v>
      </c>
      <c r="E1266" t="s">
        <v>5364</v>
      </c>
      <c r="F1266" t="s">
        <v>3027</v>
      </c>
      <c r="G1266" t="s">
        <v>3028</v>
      </c>
      <c r="H1266">
        <v>1</v>
      </c>
      <c r="I1266" t="s">
        <v>5363</v>
      </c>
    </row>
    <row r="1267" spans="1:9" x14ac:dyDescent="0.3">
      <c r="A1267" t="s">
        <v>5362</v>
      </c>
      <c r="B1267" t="s">
        <v>522</v>
      </c>
      <c r="C1267" t="s">
        <v>5363</v>
      </c>
      <c r="D1267" t="s">
        <v>3029</v>
      </c>
      <c r="E1267" t="s">
        <v>5365</v>
      </c>
      <c r="F1267" t="s">
        <v>3027</v>
      </c>
      <c r="G1267" t="s">
        <v>3031</v>
      </c>
      <c r="H1267">
        <v>2</v>
      </c>
      <c r="I1267" t="s">
        <v>5366</v>
      </c>
    </row>
    <row r="1268" spans="1:9" x14ac:dyDescent="0.3">
      <c r="A1268" t="s">
        <v>5362</v>
      </c>
      <c r="B1268" t="s">
        <v>522</v>
      </c>
      <c r="C1268" t="s">
        <v>5363</v>
      </c>
      <c r="D1268" t="s">
        <v>3029</v>
      </c>
      <c r="E1268" t="s">
        <v>5367</v>
      </c>
      <c r="F1268" t="s">
        <v>3027</v>
      </c>
      <c r="G1268" t="s">
        <v>3031</v>
      </c>
      <c r="H1268">
        <v>3</v>
      </c>
      <c r="I1268" t="s">
        <v>5368</v>
      </c>
    </row>
    <row r="1269" spans="1:9" x14ac:dyDescent="0.3">
      <c r="A1269" t="s">
        <v>5362</v>
      </c>
      <c r="B1269" t="s">
        <v>522</v>
      </c>
      <c r="C1269" t="s">
        <v>5363</v>
      </c>
      <c r="D1269" t="s">
        <v>3029</v>
      </c>
      <c r="E1269" t="s">
        <v>3439</v>
      </c>
      <c r="F1269" t="s">
        <v>3027</v>
      </c>
      <c r="G1269" t="s">
        <v>3031</v>
      </c>
      <c r="H1269">
        <v>4</v>
      </c>
      <c r="I1269" t="s">
        <v>3440</v>
      </c>
    </row>
    <row r="1270" spans="1:9" x14ac:dyDescent="0.3">
      <c r="A1270" t="s">
        <v>5362</v>
      </c>
      <c r="B1270" t="s">
        <v>522</v>
      </c>
      <c r="C1270" t="s">
        <v>5363</v>
      </c>
      <c r="D1270" t="s">
        <v>3029</v>
      </c>
      <c r="E1270" t="s">
        <v>5369</v>
      </c>
      <c r="F1270" t="s">
        <v>3027</v>
      </c>
      <c r="G1270" t="s">
        <v>3031</v>
      </c>
      <c r="H1270">
        <v>5</v>
      </c>
      <c r="I1270" t="s">
        <v>5370</v>
      </c>
    </row>
    <row r="1271" spans="1:9" x14ac:dyDescent="0.3">
      <c r="A1271" t="s">
        <v>5362</v>
      </c>
      <c r="B1271" t="s">
        <v>522</v>
      </c>
      <c r="C1271" t="s">
        <v>5363</v>
      </c>
      <c r="D1271" t="s">
        <v>3029</v>
      </c>
      <c r="E1271" t="s">
        <v>4561</v>
      </c>
      <c r="F1271" t="s">
        <v>3027</v>
      </c>
      <c r="G1271" t="s">
        <v>3031</v>
      </c>
      <c r="H1271">
        <v>6</v>
      </c>
      <c r="I1271" t="s">
        <v>5371</v>
      </c>
    </row>
    <row r="1272" spans="1:9" x14ac:dyDescent="0.3">
      <c r="A1272" t="s">
        <v>5362</v>
      </c>
      <c r="B1272" t="s">
        <v>522</v>
      </c>
      <c r="C1272" t="s">
        <v>5363</v>
      </c>
      <c r="D1272" t="s">
        <v>3029</v>
      </c>
      <c r="E1272" t="s">
        <v>3118</v>
      </c>
      <c r="F1272" t="s">
        <v>3027</v>
      </c>
      <c r="G1272" t="s">
        <v>3031</v>
      </c>
      <c r="H1272">
        <v>7</v>
      </c>
      <c r="I1272" t="s">
        <v>5372</v>
      </c>
    </row>
    <row r="1273" spans="1:9" x14ac:dyDescent="0.3">
      <c r="A1273" t="s">
        <v>5362</v>
      </c>
      <c r="B1273" t="s">
        <v>522</v>
      </c>
      <c r="C1273" t="s">
        <v>5363</v>
      </c>
      <c r="D1273" t="s">
        <v>3029</v>
      </c>
      <c r="E1273" t="s">
        <v>5373</v>
      </c>
      <c r="F1273" t="s">
        <v>3027</v>
      </c>
      <c r="G1273" t="s">
        <v>3031</v>
      </c>
      <c r="H1273">
        <v>8</v>
      </c>
      <c r="I1273" t="s">
        <v>5374</v>
      </c>
    </row>
    <row r="1274" spans="1:9" x14ac:dyDescent="0.3">
      <c r="A1274" t="s">
        <v>5362</v>
      </c>
      <c r="B1274" t="s">
        <v>522</v>
      </c>
      <c r="C1274" t="s">
        <v>5363</v>
      </c>
      <c r="D1274" t="s">
        <v>3029</v>
      </c>
      <c r="E1274" t="s">
        <v>5375</v>
      </c>
      <c r="F1274" t="s">
        <v>3027</v>
      </c>
      <c r="G1274" t="s">
        <v>3031</v>
      </c>
      <c r="H1274">
        <v>9</v>
      </c>
      <c r="I1274" t="s">
        <v>5376</v>
      </c>
    </row>
    <row r="1275" spans="1:9" x14ac:dyDescent="0.3">
      <c r="A1275" t="s">
        <v>5362</v>
      </c>
      <c r="B1275" t="s">
        <v>522</v>
      </c>
      <c r="C1275" t="s">
        <v>5363</v>
      </c>
      <c r="D1275" t="s">
        <v>3029</v>
      </c>
      <c r="E1275" t="s">
        <v>5377</v>
      </c>
      <c r="F1275" t="s">
        <v>3027</v>
      </c>
      <c r="G1275" t="s">
        <v>3031</v>
      </c>
      <c r="H1275">
        <v>10</v>
      </c>
      <c r="I1275" t="s">
        <v>5378</v>
      </c>
    </row>
    <row r="1276" spans="1:9" x14ac:dyDescent="0.3">
      <c r="A1276" t="s">
        <v>5362</v>
      </c>
      <c r="B1276" t="s">
        <v>522</v>
      </c>
      <c r="C1276" t="s">
        <v>5363</v>
      </c>
      <c r="D1276" t="s">
        <v>3029</v>
      </c>
      <c r="E1276" t="s">
        <v>5379</v>
      </c>
      <c r="F1276" t="s">
        <v>3027</v>
      </c>
      <c r="G1276" t="s">
        <v>3031</v>
      </c>
      <c r="H1276">
        <v>11</v>
      </c>
      <c r="I1276" t="s">
        <v>5380</v>
      </c>
    </row>
    <row r="1277" spans="1:9" x14ac:dyDescent="0.3">
      <c r="A1277" t="s">
        <v>5362</v>
      </c>
      <c r="B1277" t="s">
        <v>522</v>
      </c>
      <c r="C1277" t="s">
        <v>5363</v>
      </c>
      <c r="D1277" t="s">
        <v>3029</v>
      </c>
      <c r="E1277" t="s">
        <v>5381</v>
      </c>
      <c r="F1277" t="s">
        <v>3027</v>
      </c>
      <c r="G1277" t="s">
        <v>3031</v>
      </c>
      <c r="H1277">
        <v>12</v>
      </c>
      <c r="I1277" t="s">
        <v>5382</v>
      </c>
    </row>
    <row r="1278" spans="1:9" x14ac:dyDescent="0.3">
      <c r="A1278" t="s">
        <v>5362</v>
      </c>
      <c r="B1278" t="s">
        <v>522</v>
      </c>
      <c r="C1278" t="s">
        <v>5363</v>
      </c>
      <c r="D1278" t="s">
        <v>3029</v>
      </c>
      <c r="E1278" t="s">
        <v>5383</v>
      </c>
      <c r="F1278" t="s">
        <v>3027</v>
      </c>
      <c r="G1278" t="s">
        <v>3031</v>
      </c>
      <c r="H1278">
        <v>13</v>
      </c>
      <c r="I1278" t="s">
        <v>5384</v>
      </c>
    </row>
    <row r="1279" spans="1:9" x14ac:dyDescent="0.3">
      <c r="A1279" t="s">
        <v>5362</v>
      </c>
      <c r="B1279" t="s">
        <v>522</v>
      </c>
      <c r="C1279" t="s">
        <v>5363</v>
      </c>
      <c r="D1279" t="s">
        <v>3029</v>
      </c>
      <c r="E1279" t="s">
        <v>5385</v>
      </c>
      <c r="F1279" t="s">
        <v>3027</v>
      </c>
      <c r="G1279" t="s">
        <v>3031</v>
      </c>
      <c r="H1279">
        <v>14</v>
      </c>
      <c r="I1279" t="s">
        <v>5386</v>
      </c>
    </row>
    <row r="1280" spans="1:9" x14ac:dyDescent="0.3">
      <c r="A1280" t="s">
        <v>5362</v>
      </c>
      <c r="B1280" t="s">
        <v>522</v>
      </c>
      <c r="C1280" t="s">
        <v>5363</v>
      </c>
      <c r="D1280" t="s">
        <v>3029</v>
      </c>
      <c r="E1280" t="s">
        <v>5387</v>
      </c>
      <c r="F1280" t="s">
        <v>3027</v>
      </c>
      <c r="G1280" t="s">
        <v>3031</v>
      </c>
      <c r="H1280">
        <v>15</v>
      </c>
      <c r="I1280" t="s">
        <v>5388</v>
      </c>
    </row>
    <row r="1281" spans="1:9" x14ac:dyDescent="0.3">
      <c r="A1281" t="s">
        <v>5362</v>
      </c>
      <c r="B1281" t="s">
        <v>522</v>
      </c>
      <c r="C1281" t="s">
        <v>5363</v>
      </c>
      <c r="D1281" t="s">
        <v>3029</v>
      </c>
      <c r="E1281" t="s">
        <v>5389</v>
      </c>
      <c r="F1281" t="s">
        <v>3027</v>
      </c>
      <c r="G1281" t="s">
        <v>3031</v>
      </c>
      <c r="H1281">
        <v>16</v>
      </c>
      <c r="I1281" t="s">
        <v>5390</v>
      </c>
    </row>
    <row r="1282" spans="1:9" x14ac:dyDescent="0.3">
      <c r="A1282" t="s">
        <v>5362</v>
      </c>
      <c r="B1282" t="s">
        <v>522</v>
      </c>
      <c r="C1282" t="s">
        <v>5363</v>
      </c>
      <c r="D1282" t="s">
        <v>3029</v>
      </c>
      <c r="E1282" t="s">
        <v>5391</v>
      </c>
      <c r="F1282" t="s">
        <v>3027</v>
      </c>
      <c r="G1282" t="s">
        <v>3031</v>
      </c>
      <c r="H1282">
        <v>17</v>
      </c>
      <c r="I1282" t="s">
        <v>5392</v>
      </c>
    </row>
    <row r="1283" spans="1:9" x14ac:dyDescent="0.3">
      <c r="A1283" t="s">
        <v>5362</v>
      </c>
      <c r="B1283" t="s">
        <v>522</v>
      </c>
      <c r="C1283" t="s">
        <v>5363</v>
      </c>
      <c r="D1283" t="s">
        <v>3029</v>
      </c>
      <c r="E1283" t="s">
        <v>5393</v>
      </c>
      <c r="F1283" t="s">
        <v>3027</v>
      </c>
      <c r="G1283" t="s">
        <v>3031</v>
      </c>
      <c r="H1283">
        <v>18</v>
      </c>
      <c r="I1283" t="s">
        <v>5394</v>
      </c>
    </row>
    <row r="1284" spans="1:9" x14ac:dyDescent="0.3">
      <c r="A1284" t="s">
        <v>5362</v>
      </c>
      <c r="B1284" t="s">
        <v>522</v>
      </c>
      <c r="C1284" t="s">
        <v>5363</v>
      </c>
      <c r="D1284" t="s">
        <v>3029</v>
      </c>
      <c r="E1284" t="s">
        <v>3043</v>
      </c>
      <c r="F1284" t="s">
        <v>3027</v>
      </c>
      <c r="G1284" t="s">
        <v>3031</v>
      </c>
      <c r="H1284">
        <v>19</v>
      </c>
      <c r="I1284" t="s">
        <v>24</v>
      </c>
    </row>
    <row r="1285" spans="1:9" x14ac:dyDescent="0.3">
      <c r="A1285" t="s">
        <v>5362</v>
      </c>
      <c r="B1285" t="s">
        <v>522</v>
      </c>
      <c r="C1285" t="s">
        <v>5363</v>
      </c>
      <c r="D1285" t="s">
        <v>3029</v>
      </c>
      <c r="E1285" t="s">
        <v>5395</v>
      </c>
      <c r="F1285" t="s">
        <v>3027</v>
      </c>
      <c r="G1285" t="s">
        <v>3031</v>
      </c>
      <c r="H1285">
        <v>20</v>
      </c>
      <c r="I1285" t="s">
        <v>3432</v>
      </c>
    </row>
    <row r="1286" spans="1:9" x14ac:dyDescent="0.3">
      <c r="A1286" t="s">
        <v>5396</v>
      </c>
      <c r="B1286" t="s">
        <v>528</v>
      </c>
      <c r="C1286" t="s">
        <v>5397</v>
      </c>
      <c r="D1286" t="s">
        <v>3025</v>
      </c>
      <c r="E1286" t="s">
        <v>5398</v>
      </c>
      <c r="F1286" t="s">
        <v>3027</v>
      </c>
      <c r="G1286" t="s">
        <v>3028</v>
      </c>
      <c r="H1286">
        <v>1</v>
      </c>
      <c r="I1286" t="s">
        <v>5397</v>
      </c>
    </row>
    <row r="1287" spans="1:9" x14ac:dyDescent="0.3">
      <c r="A1287" t="s">
        <v>5396</v>
      </c>
      <c r="B1287" t="s">
        <v>528</v>
      </c>
      <c r="C1287" t="s">
        <v>5397</v>
      </c>
      <c r="D1287" t="s">
        <v>3029</v>
      </c>
      <c r="E1287" t="s">
        <v>4256</v>
      </c>
      <c r="F1287" t="s">
        <v>3027</v>
      </c>
      <c r="G1287" t="s">
        <v>3031</v>
      </c>
      <c r="H1287">
        <v>2</v>
      </c>
      <c r="I1287" t="s">
        <v>4255</v>
      </c>
    </row>
    <row r="1288" spans="1:9" x14ac:dyDescent="0.3">
      <c r="A1288" t="s">
        <v>5396</v>
      </c>
      <c r="B1288" t="s">
        <v>528</v>
      </c>
      <c r="C1288" t="s">
        <v>5397</v>
      </c>
      <c r="D1288" t="s">
        <v>3029</v>
      </c>
      <c r="E1288" t="s">
        <v>5399</v>
      </c>
      <c r="F1288" t="s">
        <v>3027</v>
      </c>
      <c r="G1288" t="s">
        <v>3031</v>
      </c>
      <c r="H1288">
        <v>3</v>
      </c>
      <c r="I1288" t="s">
        <v>5400</v>
      </c>
    </row>
    <row r="1289" spans="1:9" x14ac:dyDescent="0.3">
      <c r="A1289" t="s">
        <v>5396</v>
      </c>
      <c r="B1289" t="s">
        <v>528</v>
      </c>
      <c r="C1289" t="s">
        <v>5397</v>
      </c>
      <c r="D1289" t="s">
        <v>3029</v>
      </c>
      <c r="E1289" t="s">
        <v>5401</v>
      </c>
      <c r="F1289" t="s">
        <v>3027</v>
      </c>
      <c r="G1289" t="s">
        <v>3031</v>
      </c>
      <c r="H1289">
        <v>4</v>
      </c>
      <c r="I1289" t="s">
        <v>5402</v>
      </c>
    </row>
    <row r="1290" spans="1:9" x14ac:dyDescent="0.3">
      <c r="A1290" t="s">
        <v>5396</v>
      </c>
      <c r="B1290" t="s">
        <v>528</v>
      </c>
      <c r="C1290" t="s">
        <v>5397</v>
      </c>
      <c r="D1290" t="s">
        <v>3029</v>
      </c>
      <c r="E1290" t="s">
        <v>5403</v>
      </c>
      <c r="F1290" t="s">
        <v>3027</v>
      </c>
      <c r="G1290" t="s">
        <v>3031</v>
      </c>
      <c r="H1290">
        <v>5</v>
      </c>
      <c r="I1290" t="s">
        <v>5404</v>
      </c>
    </row>
    <row r="1291" spans="1:9" x14ac:dyDescent="0.3">
      <c r="A1291" t="s">
        <v>5396</v>
      </c>
      <c r="B1291" t="s">
        <v>528</v>
      </c>
      <c r="C1291" t="s">
        <v>5397</v>
      </c>
      <c r="D1291" t="s">
        <v>3029</v>
      </c>
      <c r="E1291" t="s">
        <v>5405</v>
      </c>
      <c r="F1291" t="s">
        <v>3027</v>
      </c>
      <c r="G1291" t="s">
        <v>3031</v>
      </c>
      <c r="H1291">
        <v>6</v>
      </c>
      <c r="I1291" t="s">
        <v>5406</v>
      </c>
    </row>
    <row r="1292" spans="1:9" x14ac:dyDescent="0.3">
      <c r="A1292" t="s">
        <v>5396</v>
      </c>
      <c r="B1292" t="s">
        <v>528</v>
      </c>
      <c r="C1292" t="s">
        <v>5397</v>
      </c>
      <c r="D1292" t="s">
        <v>3029</v>
      </c>
      <c r="E1292" t="s">
        <v>5407</v>
      </c>
      <c r="F1292" t="s">
        <v>3027</v>
      </c>
      <c r="G1292" t="s">
        <v>3031</v>
      </c>
      <c r="H1292">
        <v>7</v>
      </c>
      <c r="I1292" t="s">
        <v>5408</v>
      </c>
    </row>
    <row r="1293" spans="1:9" x14ac:dyDescent="0.3">
      <c r="A1293" t="s">
        <v>5396</v>
      </c>
      <c r="B1293" t="s">
        <v>528</v>
      </c>
      <c r="C1293" t="s">
        <v>5397</v>
      </c>
      <c r="D1293" t="s">
        <v>3029</v>
      </c>
      <c r="E1293" t="s">
        <v>5409</v>
      </c>
      <c r="F1293" t="s">
        <v>3027</v>
      </c>
      <c r="G1293" t="s">
        <v>3031</v>
      </c>
      <c r="H1293">
        <v>8</v>
      </c>
      <c r="I1293" t="s">
        <v>5410</v>
      </c>
    </row>
    <row r="1294" spans="1:9" x14ac:dyDescent="0.3">
      <c r="A1294" t="s">
        <v>5396</v>
      </c>
      <c r="B1294" t="s">
        <v>528</v>
      </c>
      <c r="C1294" t="s">
        <v>5397</v>
      </c>
      <c r="D1294" t="s">
        <v>3029</v>
      </c>
      <c r="E1294" t="s">
        <v>5411</v>
      </c>
      <c r="F1294" t="s">
        <v>3027</v>
      </c>
      <c r="G1294" t="s">
        <v>3031</v>
      </c>
      <c r="H1294">
        <v>9</v>
      </c>
      <c r="I1294" t="s">
        <v>5412</v>
      </c>
    </row>
    <row r="1295" spans="1:9" x14ac:dyDescent="0.3">
      <c r="A1295" t="s">
        <v>5396</v>
      </c>
      <c r="B1295" t="s">
        <v>528</v>
      </c>
      <c r="C1295" t="s">
        <v>5397</v>
      </c>
      <c r="D1295" t="s">
        <v>3029</v>
      </c>
      <c r="E1295" t="s">
        <v>5413</v>
      </c>
      <c r="F1295" t="s">
        <v>3027</v>
      </c>
      <c r="G1295" t="s">
        <v>3031</v>
      </c>
      <c r="H1295">
        <v>10</v>
      </c>
      <c r="I1295" t="s">
        <v>5414</v>
      </c>
    </row>
    <row r="1296" spans="1:9" x14ac:dyDescent="0.3">
      <c r="A1296" t="s">
        <v>5396</v>
      </c>
      <c r="B1296" t="s">
        <v>528</v>
      </c>
      <c r="C1296" t="s">
        <v>5397</v>
      </c>
      <c r="D1296" t="s">
        <v>3029</v>
      </c>
      <c r="E1296" t="s">
        <v>5415</v>
      </c>
      <c r="F1296" t="s">
        <v>3027</v>
      </c>
      <c r="G1296" t="s">
        <v>3031</v>
      </c>
      <c r="H1296">
        <v>11</v>
      </c>
      <c r="I1296" t="s">
        <v>5416</v>
      </c>
    </row>
    <row r="1297" spans="1:9" x14ac:dyDescent="0.3">
      <c r="A1297" t="s">
        <v>5396</v>
      </c>
      <c r="B1297" t="s">
        <v>528</v>
      </c>
      <c r="C1297" t="s">
        <v>5397</v>
      </c>
      <c r="D1297" t="s">
        <v>3029</v>
      </c>
      <c r="E1297" t="s">
        <v>5417</v>
      </c>
      <c r="F1297" t="s">
        <v>3027</v>
      </c>
      <c r="G1297" t="s">
        <v>3031</v>
      </c>
      <c r="H1297">
        <v>12</v>
      </c>
      <c r="I1297" t="s">
        <v>5418</v>
      </c>
    </row>
    <row r="1298" spans="1:9" x14ac:dyDescent="0.3">
      <c r="A1298" t="s">
        <v>5396</v>
      </c>
      <c r="B1298" t="s">
        <v>528</v>
      </c>
      <c r="C1298" t="s">
        <v>5397</v>
      </c>
      <c r="D1298" t="s">
        <v>3029</v>
      </c>
      <c r="E1298" t="s">
        <v>5419</v>
      </c>
      <c r="F1298" t="s">
        <v>3027</v>
      </c>
      <c r="G1298" t="s">
        <v>3031</v>
      </c>
      <c r="H1298">
        <v>13</v>
      </c>
      <c r="I1298" t="s">
        <v>5420</v>
      </c>
    </row>
    <row r="1299" spans="1:9" x14ac:dyDescent="0.3">
      <c r="A1299" t="s">
        <v>5396</v>
      </c>
      <c r="B1299" t="s">
        <v>528</v>
      </c>
      <c r="C1299" t="s">
        <v>5397</v>
      </c>
      <c r="D1299" t="s">
        <v>3029</v>
      </c>
      <c r="E1299" t="s">
        <v>5421</v>
      </c>
      <c r="F1299" t="s">
        <v>3027</v>
      </c>
      <c r="G1299" t="s">
        <v>3031</v>
      </c>
      <c r="H1299">
        <v>14</v>
      </c>
      <c r="I1299" t="s">
        <v>5422</v>
      </c>
    </row>
    <row r="1300" spans="1:9" x14ac:dyDescent="0.3">
      <c r="A1300" t="s">
        <v>5396</v>
      </c>
      <c r="B1300" t="s">
        <v>528</v>
      </c>
      <c r="C1300" t="s">
        <v>5397</v>
      </c>
      <c r="D1300" t="s">
        <v>3029</v>
      </c>
      <c r="E1300" t="s">
        <v>5423</v>
      </c>
      <c r="F1300" t="s">
        <v>3027</v>
      </c>
      <c r="G1300" t="s">
        <v>3031</v>
      </c>
      <c r="H1300">
        <v>15</v>
      </c>
      <c r="I1300" t="s">
        <v>5424</v>
      </c>
    </row>
    <row r="1301" spans="1:9" x14ac:dyDescent="0.3">
      <c r="A1301" t="s">
        <v>5396</v>
      </c>
      <c r="B1301" t="s">
        <v>528</v>
      </c>
      <c r="C1301" t="s">
        <v>5397</v>
      </c>
      <c r="D1301" t="s">
        <v>3029</v>
      </c>
      <c r="E1301" t="s">
        <v>5425</v>
      </c>
      <c r="F1301" t="s">
        <v>3027</v>
      </c>
      <c r="G1301" t="s">
        <v>3031</v>
      </c>
      <c r="H1301">
        <v>16</v>
      </c>
      <c r="I1301" t="s">
        <v>5426</v>
      </c>
    </row>
    <row r="1302" spans="1:9" x14ac:dyDescent="0.3">
      <c r="A1302" t="s">
        <v>5396</v>
      </c>
      <c r="B1302" t="s">
        <v>528</v>
      </c>
      <c r="C1302" t="s">
        <v>5397</v>
      </c>
      <c r="D1302" t="s">
        <v>3029</v>
      </c>
      <c r="E1302" t="s">
        <v>5427</v>
      </c>
      <c r="F1302" t="s">
        <v>3027</v>
      </c>
      <c r="G1302" t="s">
        <v>3031</v>
      </c>
      <c r="H1302">
        <v>17</v>
      </c>
      <c r="I1302" t="s">
        <v>5428</v>
      </c>
    </row>
    <row r="1303" spans="1:9" x14ac:dyDescent="0.3">
      <c r="A1303" t="s">
        <v>5396</v>
      </c>
      <c r="B1303" t="s">
        <v>528</v>
      </c>
      <c r="C1303" t="s">
        <v>5397</v>
      </c>
      <c r="D1303" t="s">
        <v>3029</v>
      </c>
      <c r="E1303" t="s">
        <v>5429</v>
      </c>
      <c r="F1303" t="s">
        <v>3027</v>
      </c>
      <c r="G1303" t="s">
        <v>3031</v>
      </c>
      <c r="H1303">
        <v>18</v>
      </c>
      <c r="I1303" t="s">
        <v>5430</v>
      </c>
    </row>
    <row r="1304" spans="1:9" x14ac:dyDescent="0.3">
      <c r="A1304" t="s">
        <v>5396</v>
      </c>
      <c r="B1304" t="s">
        <v>528</v>
      </c>
      <c r="C1304" t="s">
        <v>5397</v>
      </c>
      <c r="D1304" t="s">
        <v>3029</v>
      </c>
      <c r="E1304" t="s">
        <v>5349</v>
      </c>
      <c r="F1304" t="s">
        <v>3027</v>
      </c>
      <c r="G1304" t="s">
        <v>3031</v>
      </c>
      <c r="H1304">
        <v>19</v>
      </c>
      <c r="I1304" t="s">
        <v>3282</v>
      </c>
    </row>
    <row r="1305" spans="1:9" x14ac:dyDescent="0.3">
      <c r="A1305" t="s">
        <v>5396</v>
      </c>
      <c r="B1305" t="s">
        <v>528</v>
      </c>
      <c r="C1305" t="s">
        <v>5397</v>
      </c>
      <c r="D1305" t="s">
        <v>3029</v>
      </c>
      <c r="E1305" t="s">
        <v>5431</v>
      </c>
      <c r="F1305" t="s">
        <v>3027</v>
      </c>
      <c r="G1305" t="s">
        <v>3031</v>
      </c>
      <c r="H1305">
        <v>20</v>
      </c>
      <c r="I1305" t="s">
        <v>5432</v>
      </c>
    </row>
    <row r="1306" spans="1:9" x14ac:dyDescent="0.3">
      <c r="A1306" t="s">
        <v>5433</v>
      </c>
      <c r="B1306" t="s">
        <v>535</v>
      </c>
      <c r="C1306" t="s">
        <v>5434</v>
      </c>
      <c r="D1306" t="s">
        <v>3025</v>
      </c>
      <c r="E1306" t="s">
        <v>5435</v>
      </c>
      <c r="F1306" t="s">
        <v>3027</v>
      </c>
      <c r="G1306" t="s">
        <v>3028</v>
      </c>
      <c r="H1306">
        <v>1</v>
      </c>
      <c r="I1306" t="s">
        <v>5434</v>
      </c>
    </row>
    <row r="1307" spans="1:9" x14ac:dyDescent="0.3">
      <c r="A1307" t="s">
        <v>5433</v>
      </c>
      <c r="B1307" t="s">
        <v>535</v>
      </c>
      <c r="C1307" t="s">
        <v>5434</v>
      </c>
      <c r="D1307" t="s">
        <v>3029</v>
      </c>
      <c r="E1307" t="s">
        <v>5436</v>
      </c>
      <c r="F1307" t="s">
        <v>3027</v>
      </c>
      <c r="G1307" t="s">
        <v>3031</v>
      </c>
      <c r="H1307">
        <v>2</v>
      </c>
      <c r="I1307" t="s">
        <v>5437</v>
      </c>
    </row>
    <row r="1308" spans="1:9" x14ac:dyDescent="0.3">
      <c r="A1308" t="s">
        <v>5433</v>
      </c>
      <c r="B1308" t="s">
        <v>535</v>
      </c>
      <c r="C1308" t="s">
        <v>5434</v>
      </c>
      <c r="D1308" t="s">
        <v>3029</v>
      </c>
      <c r="E1308" t="s">
        <v>5438</v>
      </c>
      <c r="F1308" t="s">
        <v>3027</v>
      </c>
      <c r="G1308" t="s">
        <v>3031</v>
      </c>
      <c r="H1308">
        <v>3</v>
      </c>
      <c r="I1308" t="s">
        <v>5439</v>
      </c>
    </row>
    <row r="1309" spans="1:9" x14ac:dyDescent="0.3">
      <c r="A1309" t="s">
        <v>5433</v>
      </c>
      <c r="B1309" t="s">
        <v>535</v>
      </c>
      <c r="C1309" t="s">
        <v>5434</v>
      </c>
      <c r="D1309" t="s">
        <v>3029</v>
      </c>
      <c r="E1309" t="s">
        <v>5440</v>
      </c>
      <c r="F1309" t="s">
        <v>3027</v>
      </c>
      <c r="G1309" t="s">
        <v>3031</v>
      </c>
      <c r="H1309">
        <v>4</v>
      </c>
      <c r="I1309" t="s">
        <v>5441</v>
      </c>
    </row>
    <row r="1310" spans="1:9" x14ac:dyDescent="0.3">
      <c r="A1310" t="s">
        <v>5433</v>
      </c>
      <c r="B1310" t="s">
        <v>535</v>
      </c>
      <c r="C1310" t="s">
        <v>5434</v>
      </c>
      <c r="D1310" t="s">
        <v>3029</v>
      </c>
      <c r="E1310" t="s">
        <v>5442</v>
      </c>
      <c r="F1310" t="s">
        <v>3027</v>
      </c>
      <c r="G1310" t="s">
        <v>3031</v>
      </c>
      <c r="H1310">
        <v>5</v>
      </c>
      <c r="I1310" t="s">
        <v>5443</v>
      </c>
    </row>
    <row r="1311" spans="1:9" x14ac:dyDescent="0.3">
      <c r="A1311" t="s">
        <v>5433</v>
      </c>
      <c r="B1311" t="s">
        <v>535</v>
      </c>
      <c r="C1311" t="s">
        <v>5434</v>
      </c>
      <c r="D1311" t="s">
        <v>3029</v>
      </c>
      <c r="E1311" t="s">
        <v>5444</v>
      </c>
      <c r="F1311" t="s">
        <v>3027</v>
      </c>
      <c r="G1311" t="s">
        <v>3031</v>
      </c>
      <c r="H1311">
        <v>6</v>
      </c>
      <c r="I1311" t="s">
        <v>5445</v>
      </c>
    </row>
    <row r="1312" spans="1:9" x14ac:dyDescent="0.3">
      <c r="A1312" t="s">
        <v>5433</v>
      </c>
      <c r="B1312" t="s">
        <v>535</v>
      </c>
      <c r="C1312" t="s">
        <v>5434</v>
      </c>
      <c r="D1312" t="s">
        <v>3029</v>
      </c>
      <c r="E1312" t="s">
        <v>5446</v>
      </c>
      <c r="F1312" t="s">
        <v>3027</v>
      </c>
      <c r="G1312" t="s">
        <v>3031</v>
      </c>
      <c r="H1312">
        <v>7</v>
      </c>
      <c r="I1312" t="s">
        <v>5447</v>
      </c>
    </row>
    <row r="1313" spans="1:9" x14ac:dyDescent="0.3">
      <c r="A1313" t="s">
        <v>5433</v>
      </c>
      <c r="B1313" t="s">
        <v>535</v>
      </c>
      <c r="C1313" t="s">
        <v>5434</v>
      </c>
      <c r="D1313" t="s">
        <v>3029</v>
      </c>
      <c r="E1313" t="s">
        <v>5448</v>
      </c>
      <c r="F1313" t="s">
        <v>3027</v>
      </c>
      <c r="G1313" t="s">
        <v>3031</v>
      </c>
      <c r="H1313">
        <v>8</v>
      </c>
      <c r="I1313" t="s">
        <v>5449</v>
      </c>
    </row>
    <row r="1314" spans="1:9" x14ac:dyDescent="0.3">
      <c r="A1314" t="s">
        <v>5433</v>
      </c>
      <c r="B1314" t="s">
        <v>535</v>
      </c>
      <c r="C1314" t="s">
        <v>5434</v>
      </c>
      <c r="D1314" t="s">
        <v>3029</v>
      </c>
      <c r="E1314" t="s">
        <v>5450</v>
      </c>
      <c r="F1314" t="s">
        <v>3027</v>
      </c>
      <c r="G1314" t="s">
        <v>3031</v>
      </c>
      <c r="H1314">
        <v>9</v>
      </c>
      <c r="I1314" t="s">
        <v>5451</v>
      </c>
    </row>
    <row r="1315" spans="1:9" x14ac:dyDescent="0.3">
      <c r="A1315" t="s">
        <v>5433</v>
      </c>
      <c r="B1315" t="s">
        <v>535</v>
      </c>
      <c r="C1315" t="s">
        <v>5434</v>
      </c>
      <c r="D1315" t="s">
        <v>3029</v>
      </c>
      <c r="E1315" t="s">
        <v>5452</v>
      </c>
      <c r="F1315" t="s">
        <v>3027</v>
      </c>
      <c r="G1315" t="s">
        <v>3031</v>
      </c>
      <c r="H1315">
        <v>10</v>
      </c>
      <c r="I1315" t="s">
        <v>5453</v>
      </c>
    </row>
    <row r="1316" spans="1:9" x14ac:dyDescent="0.3">
      <c r="A1316" t="s">
        <v>5433</v>
      </c>
      <c r="B1316" t="s">
        <v>535</v>
      </c>
      <c r="C1316" t="s">
        <v>5434</v>
      </c>
      <c r="D1316" t="s">
        <v>3029</v>
      </c>
      <c r="E1316" t="s">
        <v>5454</v>
      </c>
      <c r="F1316" t="s">
        <v>3027</v>
      </c>
      <c r="G1316" t="s">
        <v>3031</v>
      </c>
      <c r="H1316">
        <v>11</v>
      </c>
      <c r="I1316" t="s">
        <v>5455</v>
      </c>
    </row>
    <row r="1317" spans="1:9" x14ac:dyDescent="0.3">
      <c r="A1317" t="s">
        <v>5433</v>
      </c>
      <c r="B1317" t="s">
        <v>535</v>
      </c>
      <c r="C1317" t="s">
        <v>5434</v>
      </c>
      <c r="D1317" t="s">
        <v>3029</v>
      </c>
      <c r="E1317" t="s">
        <v>5456</v>
      </c>
      <c r="F1317" t="s">
        <v>3027</v>
      </c>
      <c r="G1317" t="s">
        <v>3031</v>
      </c>
      <c r="H1317">
        <v>12</v>
      </c>
      <c r="I1317" t="s">
        <v>5457</v>
      </c>
    </row>
    <row r="1318" spans="1:9" x14ac:dyDescent="0.3">
      <c r="A1318" t="s">
        <v>5433</v>
      </c>
      <c r="B1318" t="s">
        <v>535</v>
      </c>
      <c r="C1318" t="s">
        <v>5434</v>
      </c>
      <c r="D1318" t="s">
        <v>3029</v>
      </c>
      <c r="E1318" t="s">
        <v>5458</v>
      </c>
      <c r="F1318" t="s">
        <v>3027</v>
      </c>
      <c r="G1318" t="s">
        <v>3031</v>
      </c>
      <c r="H1318">
        <v>13</v>
      </c>
      <c r="I1318" t="s">
        <v>5459</v>
      </c>
    </row>
    <row r="1319" spans="1:9" x14ac:dyDescent="0.3">
      <c r="A1319" t="s">
        <v>5433</v>
      </c>
      <c r="B1319" t="s">
        <v>535</v>
      </c>
      <c r="C1319" t="s">
        <v>5434</v>
      </c>
      <c r="D1319" t="s">
        <v>3029</v>
      </c>
      <c r="E1319" t="s">
        <v>3118</v>
      </c>
      <c r="F1319" t="s">
        <v>3027</v>
      </c>
      <c r="G1319" t="s">
        <v>3031</v>
      </c>
      <c r="H1319">
        <v>14</v>
      </c>
      <c r="I1319" t="s">
        <v>5460</v>
      </c>
    </row>
    <row r="1320" spans="1:9" x14ac:dyDescent="0.3">
      <c r="A1320" t="s">
        <v>5433</v>
      </c>
      <c r="B1320" t="s">
        <v>535</v>
      </c>
      <c r="C1320" t="s">
        <v>5434</v>
      </c>
      <c r="D1320" t="s">
        <v>3029</v>
      </c>
      <c r="E1320" t="s">
        <v>5461</v>
      </c>
      <c r="F1320" t="s">
        <v>3027</v>
      </c>
      <c r="G1320" t="s">
        <v>3031</v>
      </c>
      <c r="H1320">
        <v>15</v>
      </c>
      <c r="I1320" t="s">
        <v>5462</v>
      </c>
    </row>
    <row r="1321" spans="1:9" x14ac:dyDescent="0.3">
      <c r="A1321" t="s">
        <v>5433</v>
      </c>
      <c r="B1321" t="s">
        <v>535</v>
      </c>
      <c r="C1321" t="s">
        <v>5434</v>
      </c>
      <c r="D1321" t="s">
        <v>3029</v>
      </c>
      <c r="E1321" t="s">
        <v>5463</v>
      </c>
      <c r="F1321" t="s">
        <v>3027</v>
      </c>
      <c r="G1321" t="s">
        <v>3031</v>
      </c>
      <c r="H1321">
        <v>16</v>
      </c>
      <c r="I1321" t="s">
        <v>5464</v>
      </c>
    </row>
    <row r="1322" spans="1:9" x14ac:dyDescent="0.3">
      <c r="A1322" t="s">
        <v>5433</v>
      </c>
      <c r="B1322" t="s">
        <v>535</v>
      </c>
      <c r="C1322" t="s">
        <v>5434</v>
      </c>
      <c r="D1322" t="s">
        <v>3029</v>
      </c>
      <c r="E1322" t="s">
        <v>5465</v>
      </c>
      <c r="F1322" t="s">
        <v>3027</v>
      </c>
      <c r="G1322" t="s">
        <v>3031</v>
      </c>
      <c r="H1322">
        <v>17</v>
      </c>
      <c r="I1322" t="s">
        <v>5466</v>
      </c>
    </row>
    <row r="1323" spans="1:9" x14ac:dyDescent="0.3">
      <c r="A1323" t="s">
        <v>5433</v>
      </c>
      <c r="B1323" t="s">
        <v>535</v>
      </c>
      <c r="C1323" t="s">
        <v>5434</v>
      </c>
      <c r="D1323" t="s">
        <v>3029</v>
      </c>
      <c r="E1323" t="s">
        <v>5467</v>
      </c>
      <c r="F1323" t="s">
        <v>3027</v>
      </c>
      <c r="G1323" t="s">
        <v>3031</v>
      </c>
      <c r="H1323">
        <v>18</v>
      </c>
      <c r="I1323" t="s">
        <v>5468</v>
      </c>
    </row>
    <row r="1324" spans="1:9" x14ac:dyDescent="0.3">
      <c r="A1324" t="s">
        <v>5433</v>
      </c>
      <c r="B1324" t="s">
        <v>535</v>
      </c>
      <c r="C1324" t="s">
        <v>5434</v>
      </c>
      <c r="D1324" t="s">
        <v>3029</v>
      </c>
      <c r="E1324" t="s">
        <v>3119</v>
      </c>
      <c r="F1324" t="s">
        <v>3027</v>
      </c>
      <c r="G1324" t="s">
        <v>3031</v>
      </c>
      <c r="H1324">
        <v>19</v>
      </c>
      <c r="I1324" t="s">
        <v>3079</v>
      </c>
    </row>
    <row r="1325" spans="1:9" x14ac:dyDescent="0.3">
      <c r="A1325" t="s">
        <v>5433</v>
      </c>
      <c r="B1325" t="s">
        <v>535</v>
      </c>
      <c r="C1325" t="s">
        <v>5434</v>
      </c>
      <c r="D1325" t="s">
        <v>3029</v>
      </c>
      <c r="E1325" t="s">
        <v>5469</v>
      </c>
      <c r="F1325" t="s">
        <v>3027</v>
      </c>
      <c r="G1325" t="s">
        <v>3031</v>
      </c>
      <c r="H1325">
        <v>20</v>
      </c>
      <c r="I1325" t="s">
        <v>5470</v>
      </c>
    </row>
    <row r="1326" spans="1:9" x14ac:dyDescent="0.3">
      <c r="A1326" t="s">
        <v>5471</v>
      </c>
      <c r="B1326" t="s">
        <v>541</v>
      </c>
      <c r="C1326" t="s">
        <v>123</v>
      </c>
      <c r="D1326" t="s">
        <v>3025</v>
      </c>
      <c r="E1326" t="s">
        <v>3147</v>
      </c>
      <c r="F1326" t="s">
        <v>3027</v>
      </c>
      <c r="G1326" t="s">
        <v>3028</v>
      </c>
      <c r="H1326">
        <v>1</v>
      </c>
      <c r="I1326" t="s">
        <v>123</v>
      </c>
    </row>
    <row r="1327" spans="1:9" x14ac:dyDescent="0.3">
      <c r="A1327" t="s">
        <v>5471</v>
      </c>
      <c r="B1327" t="s">
        <v>541</v>
      </c>
      <c r="C1327" t="s">
        <v>123</v>
      </c>
      <c r="D1327" t="s">
        <v>3029</v>
      </c>
      <c r="E1327" t="s">
        <v>3148</v>
      </c>
      <c r="F1327" t="s">
        <v>3027</v>
      </c>
      <c r="G1327" t="s">
        <v>3031</v>
      </c>
      <c r="H1327">
        <v>2</v>
      </c>
      <c r="I1327" t="s">
        <v>3149</v>
      </c>
    </row>
    <row r="1328" spans="1:9" x14ac:dyDescent="0.3">
      <c r="A1328" t="s">
        <v>5471</v>
      </c>
      <c r="B1328" t="s">
        <v>541</v>
      </c>
      <c r="C1328" t="s">
        <v>123</v>
      </c>
      <c r="D1328" t="s">
        <v>3029</v>
      </c>
      <c r="E1328" t="s">
        <v>3150</v>
      </c>
      <c r="F1328" t="s">
        <v>3027</v>
      </c>
      <c r="G1328" t="s">
        <v>3031</v>
      </c>
      <c r="H1328">
        <v>3</v>
      </c>
      <c r="I1328" t="s">
        <v>3151</v>
      </c>
    </row>
    <row r="1329" spans="1:9" x14ac:dyDescent="0.3">
      <c r="A1329" t="s">
        <v>5471</v>
      </c>
      <c r="B1329" t="s">
        <v>541</v>
      </c>
      <c r="C1329" t="s">
        <v>123</v>
      </c>
      <c r="D1329" t="s">
        <v>3029</v>
      </c>
      <c r="E1329" t="s">
        <v>3152</v>
      </c>
      <c r="F1329" t="s">
        <v>3027</v>
      </c>
      <c r="G1329" t="s">
        <v>3031</v>
      </c>
      <c r="H1329">
        <v>4</v>
      </c>
      <c r="I1329" t="s">
        <v>3153</v>
      </c>
    </row>
    <row r="1330" spans="1:9" x14ac:dyDescent="0.3">
      <c r="A1330" t="s">
        <v>5471</v>
      </c>
      <c r="B1330" t="s">
        <v>541</v>
      </c>
      <c r="C1330" t="s">
        <v>123</v>
      </c>
      <c r="D1330" t="s">
        <v>3029</v>
      </c>
      <c r="E1330" t="s">
        <v>3154</v>
      </c>
      <c r="F1330" t="s">
        <v>3027</v>
      </c>
      <c r="G1330" t="s">
        <v>3031</v>
      </c>
      <c r="H1330">
        <v>5</v>
      </c>
      <c r="I1330" t="s">
        <v>3155</v>
      </c>
    </row>
    <row r="1331" spans="1:9" x14ac:dyDescent="0.3">
      <c r="A1331" t="s">
        <v>5471</v>
      </c>
      <c r="B1331" t="s">
        <v>541</v>
      </c>
      <c r="C1331" t="s">
        <v>123</v>
      </c>
      <c r="D1331" t="s">
        <v>3029</v>
      </c>
      <c r="E1331" t="s">
        <v>3156</v>
      </c>
      <c r="F1331" t="s">
        <v>3027</v>
      </c>
      <c r="G1331" t="s">
        <v>3031</v>
      </c>
      <c r="H1331">
        <v>6</v>
      </c>
      <c r="I1331" t="s">
        <v>3157</v>
      </c>
    </row>
    <row r="1332" spans="1:9" x14ac:dyDescent="0.3">
      <c r="A1332" t="s">
        <v>5471</v>
      </c>
      <c r="B1332" t="s">
        <v>541</v>
      </c>
      <c r="C1332" t="s">
        <v>123</v>
      </c>
      <c r="D1332" t="s">
        <v>3029</v>
      </c>
      <c r="E1332" t="s">
        <v>3158</v>
      </c>
      <c r="F1332" t="s">
        <v>3027</v>
      </c>
      <c r="G1332" t="s">
        <v>3031</v>
      </c>
      <c r="H1332">
        <v>7</v>
      </c>
      <c r="I1332" t="s">
        <v>3159</v>
      </c>
    </row>
    <row r="1333" spans="1:9" x14ac:dyDescent="0.3">
      <c r="A1333" t="s">
        <v>5471</v>
      </c>
      <c r="B1333" t="s">
        <v>541</v>
      </c>
      <c r="C1333" t="s">
        <v>123</v>
      </c>
      <c r="D1333" t="s">
        <v>3029</v>
      </c>
      <c r="E1333" t="s">
        <v>3160</v>
      </c>
      <c r="F1333" t="s">
        <v>3027</v>
      </c>
      <c r="G1333" t="s">
        <v>3031</v>
      </c>
      <c r="H1333">
        <v>8</v>
      </c>
      <c r="I1333" t="s">
        <v>3161</v>
      </c>
    </row>
    <row r="1334" spans="1:9" x14ac:dyDescent="0.3">
      <c r="A1334" t="s">
        <v>5471</v>
      </c>
      <c r="B1334" t="s">
        <v>541</v>
      </c>
      <c r="C1334" t="s">
        <v>123</v>
      </c>
      <c r="D1334" t="s">
        <v>3029</v>
      </c>
      <c r="E1334" t="s">
        <v>3162</v>
      </c>
      <c r="F1334" t="s">
        <v>3027</v>
      </c>
      <c r="G1334" t="s">
        <v>3031</v>
      </c>
      <c r="H1334">
        <v>9</v>
      </c>
      <c r="I1334" t="s">
        <v>3163</v>
      </c>
    </row>
    <row r="1335" spans="1:9" x14ac:dyDescent="0.3">
      <c r="A1335" t="s">
        <v>5471</v>
      </c>
      <c r="B1335" t="s">
        <v>541</v>
      </c>
      <c r="C1335" t="s">
        <v>123</v>
      </c>
      <c r="D1335" t="s">
        <v>3029</v>
      </c>
      <c r="E1335" t="s">
        <v>3164</v>
      </c>
      <c r="F1335" t="s">
        <v>3027</v>
      </c>
      <c r="G1335" t="s">
        <v>3031</v>
      </c>
      <c r="H1335">
        <v>10</v>
      </c>
      <c r="I1335" t="s">
        <v>3165</v>
      </c>
    </row>
    <row r="1336" spans="1:9" x14ac:dyDescent="0.3">
      <c r="A1336" t="s">
        <v>5471</v>
      </c>
      <c r="B1336" t="s">
        <v>541</v>
      </c>
      <c r="C1336" t="s">
        <v>123</v>
      </c>
      <c r="D1336" t="s">
        <v>3029</v>
      </c>
      <c r="E1336" t="s">
        <v>3166</v>
      </c>
      <c r="F1336" t="s">
        <v>3027</v>
      </c>
      <c r="G1336" t="s">
        <v>3031</v>
      </c>
      <c r="H1336">
        <v>11</v>
      </c>
      <c r="I1336" t="s">
        <v>3167</v>
      </c>
    </row>
    <row r="1337" spans="1:9" x14ac:dyDescent="0.3">
      <c r="A1337" t="s">
        <v>5471</v>
      </c>
      <c r="B1337" t="s">
        <v>541</v>
      </c>
      <c r="C1337" t="s">
        <v>123</v>
      </c>
      <c r="D1337" t="s">
        <v>3029</v>
      </c>
      <c r="E1337" t="s">
        <v>3168</v>
      </c>
      <c r="F1337" t="s">
        <v>3027</v>
      </c>
      <c r="G1337" t="s">
        <v>3031</v>
      </c>
      <c r="H1337">
        <v>12</v>
      </c>
      <c r="I1337" t="s">
        <v>3169</v>
      </c>
    </row>
    <row r="1338" spans="1:9" x14ac:dyDescent="0.3">
      <c r="A1338" t="s">
        <v>5471</v>
      </c>
      <c r="B1338" t="s">
        <v>541</v>
      </c>
      <c r="C1338" t="s">
        <v>123</v>
      </c>
      <c r="D1338" t="s">
        <v>3029</v>
      </c>
      <c r="E1338" t="s">
        <v>3170</v>
      </c>
      <c r="F1338" t="s">
        <v>3027</v>
      </c>
      <c r="G1338" t="s">
        <v>3031</v>
      </c>
      <c r="H1338">
        <v>13</v>
      </c>
      <c r="I1338" t="s">
        <v>3171</v>
      </c>
    </row>
    <row r="1339" spans="1:9" x14ac:dyDescent="0.3">
      <c r="A1339" t="s">
        <v>5471</v>
      </c>
      <c r="B1339" t="s">
        <v>541</v>
      </c>
      <c r="C1339" t="s">
        <v>123</v>
      </c>
      <c r="D1339" t="s">
        <v>3029</v>
      </c>
      <c r="E1339" t="s">
        <v>3172</v>
      </c>
      <c r="F1339" t="s">
        <v>3027</v>
      </c>
      <c r="G1339" t="s">
        <v>3031</v>
      </c>
      <c r="H1339">
        <v>14</v>
      </c>
      <c r="I1339" t="s">
        <v>3173</v>
      </c>
    </row>
    <row r="1340" spans="1:9" x14ac:dyDescent="0.3">
      <c r="A1340" t="s">
        <v>5471</v>
      </c>
      <c r="B1340" t="s">
        <v>541</v>
      </c>
      <c r="C1340" t="s">
        <v>123</v>
      </c>
      <c r="D1340" t="s">
        <v>3029</v>
      </c>
      <c r="E1340" t="s">
        <v>3174</v>
      </c>
      <c r="F1340" t="s">
        <v>3027</v>
      </c>
      <c r="G1340" t="s">
        <v>3031</v>
      </c>
      <c r="H1340">
        <v>15</v>
      </c>
      <c r="I1340" t="s">
        <v>3175</v>
      </c>
    </row>
    <row r="1341" spans="1:9" x14ac:dyDescent="0.3">
      <c r="A1341" t="s">
        <v>5471</v>
      </c>
      <c r="B1341" t="s">
        <v>541</v>
      </c>
      <c r="C1341" t="s">
        <v>123</v>
      </c>
      <c r="D1341" t="s">
        <v>3029</v>
      </c>
      <c r="E1341" t="s">
        <v>3176</v>
      </c>
      <c r="F1341" t="s">
        <v>3027</v>
      </c>
      <c r="G1341" t="s">
        <v>3031</v>
      </c>
      <c r="H1341">
        <v>16</v>
      </c>
      <c r="I1341" t="s">
        <v>3177</v>
      </c>
    </row>
    <row r="1342" spans="1:9" x14ac:dyDescent="0.3">
      <c r="A1342" t="s">
        <v>5471</v>
      </c>
      <c r="B1342" t="s">
        <v>541</v>
      </c>
      <c r="C1342" t="s">
        <v>123</v>
      </c>
      <c r="D1342" t="s">
        <v>3029</v>
      </c>
      <c r="E1342" t="s">
        <v>3178</v>
      </c>
      <c r="F1342" t="s">
        <v>3027</v>
      </c>
      <c r="G1342" t="s">
        <v>3031</v>
      </c>
      <c r="H1342">
        <v>17</v>
      </c>
      <c r="I1342" t="s">
        <v>3179</v>
      </c>
    </row>
    <row r="1343" spans="1:9" x14ac:dyDescent="0.3">
      <c r="A1343" t="s">
        <v>5471</v>
      </c>
      <c r="B1343" t="s">
        <v>541</v>
      </c>
      <c r="C1343" t="s">
        <v>123</v>
      </c>
      <c r="D1343" t="s">
        <v>3029</v>
      </c>
      <c r="E1343" t="s">
        <v>3180</v>
      </c>
      <c r="F1343" t="s">
        <v>3027</v>
      </c>
      <c r="G1343" t="s">
        <v>3031</v>
      </c>
      <c r="H1343">
        <v>18</v>
      </c>
      <c r="I1343" t="s">
        <v>3181</v>
      </c>
    </row>
    <row r="1344" spans="1:9" x14ac:dyDescent="0.3">
      <c r="A1344" t="s">
        <v>5471</v>
      </c>
      <c r="B1344" t="s">
        <v>541</v>
      </c>
      <c r="C1344" t="s">
        <v>123</v>
      </c>
      <c r="D1344" t="s">
        <v>3029</v>
      </c>
      <c r="E1344" t="s">
        <v>3182</v>
      </c>
      <c r="F1344" t="s">
        <v>3027</v>
      </c>
      <c r="G1344" t="s">
        <v>3031</v>
      </c>
      <c r="H1344">
        <v>19</v>
      </c>
      <c r="I1344" t="s">
        <v>3183</v>
      </c>
    </row>
    <row r="1345" spans="1:9" x14ac:dyDescent="0.3">
      <c r="A1345" t="s">
        <v>5471</v>
      </c>
      <c r="B1345" t="s">
        <v>541</v>
      </c>
      <c r="C1345" t="s">
        <v>123</v>
      </c>
      <c r="D1345" t="s">
        <v>3029</v>
      </c>
      <c r="E1345" t="s">
        <v>3184</v>
      </c>
      <c r="F1345" t="s">
        <v>3027</v>
      </c>
      <c r="G1345" t="s">
        <v>3031</v>
      </c>
      <c r="H1345">
        <v>20</v>
      </c>
      <c r="I1345" t="s">
        <v>3185</v>
      </c>
    </row>
    <row r="1346" spans="1:9" x14ac:dyDescent="0.3">
      <c r="A1346" t="s">
        <v>5472</v>
      </c>
      <c r="B1346" t="s">
        <v>547</v>
      </c>
      <c r="C1346" t="s">
        <v>5473</v>
      </c>
      <c r="D1346" t="s">
        <v>3025</v>
      </c>
      <c r="E1346" t="s">
        <v>5474</v>
      </c>
      <c r="F1346" t="s">
        <v>3027</v>
      </c>
      <c r="G1346" t="s">
        <v>3028</v>
      </c>
      <c r="H1346">
        <v>1</v>
      </c>
      <c r="I1346" t="s">
        <v>5473</v>
      </c>
    </row>
    <row r="1347" spans="1:9" x14ac:dyDescent="0.3">
      <c r="A1347" t="s">
        <v>5472</v>
      </c>
      <c r="B1347" t="s">
        <v>547</v>
      </c>
      <c r="C1347" t="s">
        <v>5473</v>
      </c>
      <c r="D1347" t="s">
        <v>3029</v>
      </c>
      <c r="E1347" t="s">
        <v>5475</v>
      </c>
      <c r="F1347" t="s">
        <v>3027</v>
      </c>
      <c r="G1347" t="s">
        <v>3031</v>
      </c>
      <c r="H1347">
        <v>2</v>
      </c>
      <c r="I1347" t="s">
        <v>5476</v>
      </c>
    </row>
    <row r="1348" spans="1:9" x14ac:dyDescent="0.3">
      <c r="A1348" t="s">
        <v>5472</v>
      </c>
      <c r="B1348" t="s">
        <v>547</v>
      </c>
      <c r="C1348" t="s">
        <v>5473</v>
      </c>
      <c r="D1348" t="s">
        <v>3029</v>
      </c>
      <c r="E1348" t="s">
        <v>5477</v>
      </c>
      <c r="F1348" t="s">
        <v>3027</v>
      </c>
      <c r="G1348" t="s">
        <v>3031</v>
      </c>
      <c r="H1348">
        <v>3</v>
      </c>
      <c r="I1348" t="s">
        <v>5478</v>
      </c>
    </row>
    <row r="1349" spans="1:9" x14ac:dyDescent="0.3">
      <c r="A1349" t="s">
        <v>5472</v>
      </c>
      <c r="B1349" t="s">
        <v>547</v>
      </c>
      <c r="C1349" t="s">
        <v>5473</v>
      </c>
      <c r="D1349" t="s">
        <v>3029</v>
      </c>
      <c r="E1349" t="s">
        <v>5479</v>
      </c>
      <c r="F1349" t="s">
        <v>3027</v>
      </c>
      <c r="G1349" t="s">
        <v>3031</v>
      </c>
      <c r="H1349">
        <v>4</v>
      </c>
      <c r="I1349" t="s">
        <v>5480</v>
      </c>
    </row>
    <row r="1350" spans="1:9" x14ac:dyDescent="0.3">
      <c r="A1350" t="s">
        <v>5472</v>
      </c>
      <c r="B1350" t="s">
        <v>547</v>
      </c>
      <c r="C1350" t="s">
        <v>5473</v>
      </c>
      <c r="D1350" t="s">
        <v>3029</v>
      </c>
      <c r="E1350" t="s">
        <v>5481</v>
      </c>
      <c r="F1350" t="s">
        <v>3027</v>
      </c>
      <c r="G1350" t="s">
        <v>3031</v>
      </c>
      <c r="H1350">
        <v>5</v>
      </c>
      <c r="I1350" t="s">
        <v>5482</v>
      </c>
    </row>
    <row r="1351" spans="1:9" x14ac:dyDescent="0.3">
      <c r="A1351" t="s">
        <v>5472</v>
      </c>
      <c r="B1351" t="s">
        <v>547</v>
      </c>
      <c r="C1351" t="s">
        <v>5473</v>
      </c>
      <c r="D1351" t="s">
        <v>3029</v>
      </c>
      <c r="E1351" t="s">
        <v>5483</v>
      </c>
      <c r="F1351" t="s">
        <v>3027</v>
      </c>
      <c r="G1351" t="s">
        <v>3031</v>
      </c>
      <c r="H1351">
        <v>6</v>
      </c>
      <c r="I1351" t="s">
        <v>5484</v>
      </c>
    </row>
    <row r="1352" spans="1:9" x14ac:dyDescent="0.3">
      <c r="A1352" t="s">
        <v>5472</v>
      </c>
      <c r="B1352" t="s">
        <v>547</v>
      </c>
      <c r="C1352" t="s">
        <v>5473</v>
      </c>
      <c r="D1352" t="s">
        <v>3029</v>
      </c>
      <c r="E1352" t="s">
        <v>5485</v>
      </c>
      <c r="F1352" t="s">
        <v>3027</v>
      </c>
      <c r="G1352" t="s">
        <v>3031</v>
      </c>
      <c r="H1352">
        <v>7</v>
      </c>
      <c r="I1352" t="s">
        <v>5486</v>
      </c>
    </row>
    <row r="1353" spans="1:9" x14ac:dyDescent="0.3">
      <c r="A1353" t="s">
        <v>5472</v>
      </c>
      <c r="B1353" t="s">
        <v>547</v>
      </c>
      <c r="C1353" t="s">
        <v>5473</v>
      </c>
      <c r="D1353" t="s">
        <v>3029</v>
      </c>
      <c r="E1353" t="s">
        <v>5487</v>
      </c>
      <c r="F1353" t="s">
        <v>3027</v>
      </c>
      <c r="G1353" t="s">
        <v>3031</v>
      </c>
      <c r="H1353">
        <v>8</v>
      </c>
      <c r="I1353" t="s">
        <v>5488</v>
      </c>
    </row>
    <row r="1354" spans="1:9" x14ac:dyDescent="0.3">
      <c r="A1354" t="s">
        <v>5472</v>
      </c>
      <c r="B1354" t="s">
        <v>547</v>
      </c>
      <c r="C1354" t="s">
        <v>5473</v>
      </c>
      <c r="D1354" t="s">
        <v>3029</v>
      </c>
      <c r="E1354" t="s">
        <v>5489</v>
      </c>
      <c r="F1354" t="s">
        <v>3027</v>
      </c>
      <c r="G1354" t="s">
        <v>3031</v>
      </c>
      <c r="H1354">
        <v>9</v>
      </c>
      <c r="I1354" t="s">
        <v>5490</v>
      </c>
    </row>
    <row r="1355" spans="1:9" x14ac:dyDescent="0.3">
      <c r="A1355" t="s">
        <v>5472</v>
      </c>
      <c r="B1355" t="s">
        <v>547</v>
      </c>
      <c r="C1355" t="s">
        <v>5473</v>
      </c>
      <c r="D1355" t="s">
        <v>3029</v>
      </c>
      <c r="E1355" t="s">
        <v>5491</v>
      </c>
      <c r="F1355" t="s">
        <v>3027</v>
      </c>
      <c r="G1355" t="s">
        <v>3031</v>
      </c>
      <c r="H1355">
        <v>10</v>
      </c>
      <c r="I1355" t="s">
        <v>5492</v>
      </c>
    </row>
    <row r="1356" spans="1:9" x14ac:dyDescent="0.3">
      <c r="A1356" t="s">
        <v>5472</v>
      </c>
      <c r="B1356" t="s">
        <v>547</v>
      </c>
      <c r="C1356" t="s">
        <v>5473</v>
      </c>
      <c r="D1356" t="s">
        <v>3029</v>
      </c>
      <c r="E1356" t="s">
        <v>5493</v>
      </c>
      <c r="F1356" t="s">
        <v>3027</v>
      </c>
      <c r="G1356" t="s">
        <v>3031</v>
      </c>
      <c r="H1356">
        <v>11</v>
      </c>
      <c r="I1356" t="s">
        <v>5494</v>
      </c>
    </row>
    <row r="1357" spans="1:9" x14ac:dyDescent="0.3">
      <c r="A1357" t="s">
        <v>5472</v>
      </c>
      <c r="B1357" t="s">
        <v>547</v>
      </c>
      <c r="C1357" t="s">
        <v>5473</v>
      </c>
      <c r="D1357" t="s">
        <v>3029</v>
      </c>
      <c r="E1357" t="s">
        <v>5495</v>
      </c>
      <c r="F1357" t="s">
        <v>3027</v>
      </c>
      <c r="G1357" t="s">
        <v>3031</v>
      </c>
      <c r="H1357">
        <v>12</v>
      </c>
      <c r="I1357" t="s">
        <v>5496</v>
      </c>
    </row>
    <row r="1358" spans="1:9" x14ac:dyDescent="0.3">
      <c r="A1358" t="s">
        <v>5472</v>
      </c>
      <c r="B1358" t="s">
        <v>547</v>
      </c>
      <c r="C1358" t="s">
        <v>5473</v>
      </c>
      <c r="D1358" t="s">
        <v>3029</v>
      </c>
      <c r="E1358" t="s">
        <v>3678</v>
      </c>
      <c r="F1358" t="s">
        <v>3027</v>
      </c>
      <c r="G1358" t="s">
        <v>3031</v>
      </c>
      <c r="H1358">
        <v>13</v>
      </c>
      <c r="I1358" t="s">
        <v>3679</v>
      </c>
    </row>
    <row r="1359" spans="1:9" x14ac:dyDescent="0.3">
      <c r="A1359" t="s">
        <v>5472</v>
      </c>
      <c r="B1359" t="s">
        <v>547</v>
      </c>
      <c r="C1359" t="s">
        <v>5473</v>
      </c>
      <c r="D1359" t="s">
        <v>3029</v>
      </c>
      <c r="E1359" t="s">
        <v>3812</v>
      </c>
      <c r="F1359" t="s">
        <v>3027</v>
      </c>
      <c r="G1359" t="s">
        <v>3031</v>
      </c>
      <c r="H1359">
        <v>14</v>
      </c>
      <c r="I1359" t="s">
        <v>5490</v>
      </c>
    </row>
    <row r="1360" spans="1:9" x14ac:dyDescent="0.3">
      <c r="A1360" t="s">
        <v>5472</v>
      </c>
      <c r="B1360" t="s">
        <v>547</v>
      </c>
      <c r="C1360" t="s">
        <v>5473</v>
      </c>
      <c r="D1360" t="s">
        <v>3029</v>
      </c>
      <c r="E1360" t="s">
        <v>5497</v>
      </c>
      <c r="F1360" t="s">
        <v>3027</v>
      </c>
      <c r="G1360" t="s">
        <v>3031</v>
      </c>
      <c r="H1360">
        <v>15</v>
      </c>
    </row>
    <row r="1361" spans="1:9" x14ac:dyDescent="0.3">
      <c r="A1361" t="s">
        <v>5472</v>
      </c>
      <c r="B1361" t="s">
        <v>547</v>
      </c>
      <c r="C1361" t="s">
        <v>5473</v>
      </c>
      <c r="D1361" t="s">
        <v>3029</v>
      </c>
      <c r="E1361" t="s">
        <v>5498</v>
      </c>
      <c r="F1361" t="s">
        <v>3027</v>
      </c>
      <c r="G1361" t="s">
        <v>3031</v>
      </c>
      <c r="H1361">
        <v>16</v>
      </c>
      <c r="I1361" t="s">
        <v>5499</v>
      </c>
    </row>
    <row r="1362" spans="1:9" x14ac:dyDescent="0.3">
      <c r="A1362" t="s">
        <v>5472</v>
      </c>
      <c r="B1362" t="s">
        <v>547</v>
      </c>
      <c r="C1362" t="s">
        <v>5473</v>
      </c>
      <c r="D1362" t="s">
        <v>3029</v>
      </c>
      <c r="E1362" t="s">
        <v>5500</v>
      </c>
      <c r="F1362" t="s">
        <v>3027</v>
      </c>
      <c r="G1362" t="s">
        <v>3031</v>
      </c>
      <c r="H1362">
        <v>17</v>
      </c>
      <c r="I1362" t="s">
        <v>5501</v>
      </c>
    </row>
    <row r="1363" spans="1:9" x14ac:dyDescent="0.3">
      <c r="A1363" t="s">
        <v>5472</v>
      </c>
      <c r="B1363" t="s">
        <v>547</v>
      </c>
      <c r="C1363" t="s">
        <v>5473</v>
      </c>
      <c r="D1363" t="s">
        <v>3029</v>
      </c>
      <c r="E1363" t="s">
        <v>5502</v>
      </c>
      <c r="F1363" t="s">
        <v>3027</v>
      </c>
      <c r="G1363" t="s">
        <v>3031</v>
      </c>
      <c r="H1363">
        <v>18</v>
      </c>
      <c r="I1363" t="s">
        <v>3432</v>
      </c>
    </row>
    <row r="1364" spans="1:9" x14ac:dyDescent="0.3">
      <c r="A1364" t="s">
        <v>5472</v>
      </c>
      <c r="B1364" t="s">
        <v>547</v>
      </c>
      <c r="C1364" t="s">
        <v>5473</v>
      </c>
      <c r="D1364" t="s">
        <v>3029</v>
      </c>
      <c r="E1364" t="s">
        <v>5503</v>
      </c>
      <c r="F1364" t="s">
        <v>3027</v>
      </c>
      <c r="G1364" t="s">
        <v>3031</v>
      </c>
      <c r="H1364">
        <v>19</v>
      </c>
      <c r="I1364" t="s">
        <v>2185</v>
      </c>
    </row>
    <row r="1365" spans="1:9" x14ac:dyDescent="0.3">
      <c r="A1365" t="s">
        <v>5472</v>
      </c>
      <c r="B1365" t="s">
        <v>547</v>
      </c>
      <c r="C1365" t="s">
        <v>5473</v>
      </c>
      <c r="D1365" t="s">
        <v>3029</v>
      </c>
      <c r="E1365" t="s">
        <v>5504</v>
      </c>
      <c r="F1365" t="s">
        <v>3027</v>
      </c>
      <c r="G1365" t="s">
        <v>3031</v>
      </c>
      <c r="H1365">
        <v>20</v>
      </c>
      <c r="I1365" t="s">
        <v>2081</v>
      </c>
    </row>
    <row r="1366" spans="1:9" x14ac:dyDescent="0.3">
      <c r="A1366" t="s">
        <v>5505</v>
      </c>
      <c r="B1366" t="s">
        <v>554</v>
      </c>
      <c r="C1366" t="s">
        <v>5506</v>
      </c>
      <c r="D1366" t="s">
        <v>3025</v>
      </c>
      <c r="E1366" t="s">
        <v>5507</v>
      </c>
      <c r="F1366" t="s">
        <v>3027</v>
      </c>
      <c r="G1366" t="s">
        <v>3028</v>
      </c>
      <c r="H1366">
        <v>1</v>
      </c>
      <c r="I1366" t="s">
        <v>5506</v>
      </c>
    </row>
    <row r="1367" spans="1:9" x14ac:dyDescent="0.3">
      <c r="A1367" t="s">
        <v>5505</v>
      </c>
      <c r="B1367" t="s">
        <v>554</v>
      </c>
      <c r="C1367" t="s">
        <v>5506</v>
      </c>
      <c r="D1367" t="s">
        <v>3029</v>
      </c>
      <c r="E1367" t="s">
        <v>5508</v>
      </c>
      <c r="F1367" t="s">
        <v>3027</v>
      </c>
      <c r="G1367" t="s">
        <v>3031</v>
      </c>
      <c r="H1367">
        <v>2</v>
      </c>
      <c r="I1367" t="s">
        <v>5509</v>
      </c>
    </row>
    <row r="1368" spans="1:9" x14ac:dyDescent="0.3">
      <c r="A1368" t="s">
        <v>5505</v>
      </c>
      <c r="B1368" t="s">
        <v>554</v>
      </c>
      <c r="C1368" t="s">
        <v>5506</v>
      </c>
      <c r="D1368" t="s">
        <v>3029</v>
      </c>
      <c r="E1368" t="s">
        <v>5510</v>
      </c>
      <c r="F1368" t="s">
        <v>3027</v>
      </c>
      <c r="G1368" t="s">
        <v>3031</v>
      </c>
      <c r="H1368">
        <v>3</v>
      </c>
      <c r="I1368" t="s">
        <v>5511</v>
      </c>
    </row>
    <row r="1369" spans="1:9" x14ac:dyDescent="0.3">
      <c r="A1369" t="s">
        <v>5505</v>
      </c>
      <c r="B1369" t="s">
        <v>554</v>
      </c>
      <c r="C1369" t="s">
        <v>5506</v>
      </c>
      <c r="D1369" t="s">
        <v>3029</v>
      </c>
      <c r="E1369" t="s">
        <v>5512</v>
      </c>
      <c r="F1369" t="s">
        <v>3027</v>
      </c>
      <c r="G1369" t="s">
        <v>3031</v>
      </c>
      <c r="H1369">
        <v>4</v>
      </c>
      <c r="I1369" t="s">
        <v>5513</v>
      </c>
    </row>
    <row r="1370" spans="1:9" x14ac:dyDescent="0.3">
      <c r="A1370" t="s">
        <v>5505</v>
      </c>
      <c r="B1370" t="s">
        <v>554</v>
      </c>
      <c r="C1370" t="s">
        <v>5506</v>
      </c>
      <c r="D1370" t="s">
        <v>3029</v>
      </c>
      <c r="E1370" t="s">
        <v>5514</v>
      </c>
      <c r="F1370" t="s">
        <v>3027</v>
      </c>
      <c r="G1370" t="s">
        <v>3031</v>
      </c>
      <c r="H1370">
        <v>5</v>
      </c>
      <c r="I1370" t="s">
        <v>5515</v>
      </c>
    </row>
    <row r="1371" spans="1:9" x14ac:dyDescent="0.3">
      <c r="A1371" t="s">
        <v>5505</v>
      </c>
      <c r="B1371" t="s">
        <v>554</v>
      </c>
      <c r="C1371" t="s">
        <v>5506</v>
      </c>
      <c r="D1371" t="s">
        <v>3029</v>
      </c>
      <c r="E1371" t="s">
        <v>5516</v>
      </c>
      <c r="F1371" t="s">
        <v>3027</v>
      </c>
      <c r="G1371" t="s">
        <v>3031</v>
      </c>
      <c r="H1371">
        <v>6</v>
      </c>
      <c r="I1371" t="s">
        <v>5517</v>
      </c>
    </row>
    <row r="1372" spans="1:9" x14ac:dyDescent="0.3">
      <c r="A1372" t="s">
        <v>5505</v>
      </c>
      <c r="B1372" t="s">
        <v>554</v>
      </c>
      <c r="C1372" t="s">
        <v>5506</v>
      </c>
      <c r="D1372" t="s">
        <v>3029</v>
      </c>
      <c r="E1372" t="s">
        <v>5518</v>
      </c>
      <c r="F1372" t="s">
        <v>3027</v>
      </c>
      <c r="G1372" t="s">
        <v>3031</v>
      </c>
      <c r="H1372">
        <v>7</v>
      </c>
      <c r="I1372" t="s">
        <v>5519</v>
      </c>
    </row>
    <row r="1373" spans="1:9" x14ac:dyDescent="0.3">
      <c r="A1373" t="s">
        <v>5505</v>
      </c>
      <c r="B1373" t="s">
        <v>554</v>
      </c>
      <c r="C1373" t="s">
        <v>5506</v>
      </c>
      <c r="D1373" t="s">
        <v>3029</v>
      </c>
      <c r="E1373" t="s">
        <v>5520</v>
      </c>
      <c r="F1373" t="s">
        <v>3027</v>
      </c>
      <c r="G1373" t="s">
        <v>3031</v>
      </c>
      <c r="H1373">
        <v>8</v>
      </c>
      <c r="I1373" t="s">
        <v>5521</v>
      </c>
    </row>
    <row r="1374" spans="1:9" x14ac:dyDescent="0.3">
      <c r="A1374" t="s">
        <v>5505</v>
      </c>
      <c r="B1374" t="s">
        <v>554</v>
      </c>
      <c r="C1374" t="s">
        <v>5506</v>
      </c>
      <c r="D1374" t="s">
        <v>3029</v>
      </c>
      <c r="E1374" t="s">
        <v>5522</v>
      </c>
      <c r="F1374" t="s">
        <v>3027</v>
      </c>
      <c r="G1374" t="s">
        <v>3031</v>
      </c>
      <c r="H1374">
        <v>9</v>
      </c>
      <c r="I1374" t="s">
        <v>5523</v>
      </c>
    </row>
    <row r="1375" spans="1:9" x14ac:dyDescent="0.3">
      <c r="A1375" t="s">
        <v>5505</v>
      </c>
      <c r="B1375" t="s">
        <v>554</v>
      </c>
      <c r="C1375" t="s">
        <v>5506</v>
      </c>
      <c r="D1375" t="s">
        <v>3029</v>
      </c>
      <c r="E1375" t="s">
        <v>5524</v>
      </c>
      <c r="F1375" t="s">
        <v>3027</v>
      </c>
      <c r="G1375" t="s">
        <v>3031</v>
      </c>
      <c r="H1375">
        <v>10</v>
      </c>
      <c r="I1375" t="s">
        <v>5525</v>
      </c>
    </row>
    <row r="1376" spans="1:9" x14ac:dyDescent="0.3">
      <c r="A1376" t="s">
        <v>5505</v>
      </c>
      <c r="B1376" t="s">
        <v>554</v>
      </c>
      <c r="C1376" t="s">
        <v>5506</v>
      </c>
      <c r="D1376" t="s">
        <v>3029</v>
      </c>
      <c r="E1376" t="s">
        <v>5526</v>
      </c>
      <c r="F1376" t="s">
        <v>3027</v>
      </c>
      <c r="G1376" t="s">
        <v>3031</v>
      </c>
      <c r="H1376">
        <v>11</v>
      </c>
      <c r="I1376" t="s">
        <v>5527</v>
      </c>
    </row>
    <row r="1377" spans="1:9" x14ac:dyDescent="0.3">
      <c r="A1377" t="s">
        <v>5505</v>
      </c>
      <c r="B1377" t="s">
        <v>554</v>
      </c>
      <c r="C1377" t="s">
        <v>5506</v>
      </c>
      <c r="D1377" t="s">
        <v>3029</v>
      </c>
      <c r="E1377" t="s">
        <v>5528</v>
      </c>
      <c r="F1377" t="s">
        <v>3027</v>
      </c>
      <c r="G1377" t="s">
        <v>3031</v>
      </c>
      <c r="H1377">
        <v>12</v>
      </c>
      <c r="I1377" t="s">
        <v>5529</v>
      </c>
    </row>
    <row r="1378" spans="1:9" x14ac:dyDescent="0.3">
      <c r="A1378" t="s">
        <v>5505</v>
      </c>
      <c r="B1378" t="s">
        <v>554</v>
      </c>
      <c r="C1378" t="s">
        <v>5506</v>
      </c>
      <c r="D1378" t="s">
        <v>3029</v>
      </c>
      <c r="E1378" t="s">
        <v>5530</v>
      </c>
      <c r="F1378" t="s">
        <v>3027</v>
      </c>
      <c r="G1378" t="s">
        <v>3031</v>
      </c>
      <c r="H1378">
        <v>13</v>
      </c>
      <c r="I1378" t="s">
        <v>5531</v>
      </c>
    </row>
    <row r="1379" spans="1:9" x14ac:dyDescent="0.3">
      <c r="A1379" t="s">
        <v>5505</v>
      </c>
      <c r="B1379" t="s">
        <v>554</v>
      </c>
      <c r="C1379" t="s">
        <v>5506</v>
      </c>
      <c r="D1379" t="s">
        <v>3029</v>
      </c>
      <c r="E1379" t="s">
        <v>4594</v>
      </c>
      <c r="F1379" t="s">
        <v>3027</v>
      </c>
      <c r="G1379" t="s">
        <v>3031</v>
      </c>
      <c r="H1379">
        <v>14</v>
      </c>
      <c r="I1379" t="s">
        <v>4595</v>
      </c>
    </row>
    <row r="1380" spans="1:9" x14ac:dyDescent="0.3">
      <c r="A1380" t="s">
        <v>5505</v>
      </c>
      <c r="B1380" t="s">
        <v>554</v>
      </c>
      <c r="C1380" t="s">
        <v>5506</v>
      </c>
      <c r="D1380" t="s">
        <v>3029</v>
      </c>
      <c r="E1380" t="s">
        <v>5532</v>
      </c>
      <c r="F1380" t="s">
        <v>3027</v>
      </c>
      <c r="G1380" t="s">
        <v>3031</v>
      </c>
      <c r="H1380">
        <v>15</v>
      </c>
      <c r="I1380" t="s">
        <v>5533</v>
      </c>
    </row>
    <row r="1381" spans="1:9" x14ac:dyDescent="0.3">
      <c r="A1381" t="s">
        <v>5505</v>
      </c>
      <c r="B1381" t="s">
        <v>554</v>
      </c>
      <c r="C1381" t="s">
        <v>5506</v>
      </c>
      <c r="D1381" t="s">
        <v>3029</v>
      </c>
      <c r="E1381" t="s">
        <v>5534</v>
      </c>
      <c r="F1381" t="s">
        <v>3027</v>
      </c>
      <c r="G1381" t="s">
        <v>3031</v>
      </c>
      <c r="H1381">
        <v>16</v>
      </c>
      <c r="I1381" t="s">
        <v>5535</v>
      </c>
    </row>
    <row r="1382" spans="1:9" x14ac:dyDescent="0.3">
      <c r="A1382" t="s">
        <v>5505</v>
      </c>
      <c r="B1382" t="s">
        <v>554</v>
      </c>
      <c r="C1382" t="s">
        <v>5506</v>
      </c>
      <c r="D1382" t="s">
        <v>3029</v>
      </c>
      <c r="E1382" t="s">
        <v>5536</v>
      </c>
      <c r="F1382" t="s">
        <v>3027</v>
      </c>
      <c r="G1382" t="s">
        <v>3031</v>
      </c>
      <c r="H1382">
        <v>17</v>
      </c>
      <c r="I1382" t="s">
        <v>5537</v>
      </c>
    </row>
    <row r="1383" spans="1:9" x14ac:dyDescent="0.3">
      <c r="A1383" t="s">
        <v>5505</v>
      </c>
      <c r="B1383" t="s">
        <v>554</v>
      </c>
      <c r="C1383" t="s">
        <v>5506</v>
      </c>
      <c r="D1383" t="s">
        <v>3029</v>
      </c>
      <c r="E1383" t="s">
        <v>5538</v>
      </c>
      <c r="F1383" t="s">
        <v>3027</v>
      </c>
      <c r="G1383" t="s">
        <v>3031</v>
      </c>
      <c r="H1383">
        <v>18</v>
      </c>
      <c r="I1383" t="s">
        <v>5539</v>
      </c>
    </row>
    <row r="1384" spans="1:9" x14ac:dyDescent="0.3">
      <c r="A1384" t="s">
        <v>5505</v>
      </c>
      <c r="B1384" t="s">
        <v>554</v>
      </c>
      <c r="C1384" t="s">
        <v>5506</v>
      </c>
      <c r="D1384" t="s">
        <v>3029</v>
      </c>
      <c r="E1384" t="s">
        <v>5540</v>
      </c>
      <c r="F1384" t="s">
        <v>3027</v>
      </c>
      <c r="G1384" t="s">
        <v>3031</v>
      </c>
      <c r="H1384">
        <v>19</v>
      </c>
      <c r="I1384" t="s">
        <v>5541</v>
      </c>
    </row>
    <row r="1385" spans="1:9" x14ac:dyDescent="0.3">
      <c r="A1385" t="s">
        <v>5505</v>
      </c>
      <c r="B1385" t="s">
        <v>554</v>
      </c>
      <c r="C1385" t="s">
        <v>5506</v>
      </c>
      <c r="D1385" t="s">
        <v>3029</v>
      </c>
      <c r="E1385" t="s">
        <v>5542</v>
      </c>
      <c r="F1385" t="s">
        <v>3027</v>
      </c>
      <c r="G1385" t="s">
        <v>3031</v>
      </c>
      <c r="H1385">
        <v>20</v>
      </c>
      <c r="I1385" t="s">
        <v>5543</v>
      </c>
    </row>
    <row r="1386" spans="1:9" x14ac:dyDescent="0.3">
      <c r="A1386" t="s">
        <v>5544</v>
      </c>
      <c r="B1386" t="s">
        <v>560</v>
      </c>
      <c r="C1386" t="s">
        <v>560</v>
      </c>
      <c r="D1386" t="s">
        <v>3025</v>
      </c>
      <c r="E1386" t="s">
        <v>5545</v>
      </c>
      <c r="F1386" t="s">
        <v>3027</v>
      </c>
      <c r="G1386" t="s">
        <v>3028</v>
      </c>
      <c r="H1386">
        <v>1</v>
      </c>
      <c r="I1386" t="s">
        <v>560</v>
      </c>
    </row>
    <row r="1387" spans="1:9" x14ac:dyDescent="0.3">
      <c r="A1387" t="s">
        <v>5544</v>
      </c>
      <c r="B1387" t="s">
        <v>560</v>
      </c>
      <c r="C1387" t="s">
        <v>560</v>
      </c>
      <c r="D1387" t="s">
        <v>3029</v>
      </c>
      <c r="E1387" t="s">
        <v>4563</v>
      </c>
      <c r="F1387" t="s">
        <v>3027</v>
      </c>
      <c r="G1387" t="s">
        <v>3031</v>
      </c>
      <c r="H1387">
        <v>2</v>
      </c>
      <c r="I1387" t="s">
        <v>3707</v>
      </c>
    </row>
    <row r="1388" spans="1:9" x14ac:dyDescent="0.3">
      <c r="A1388" t="s">
        <v>5544</v>
      </c>
      <c r="B1388" t="s">
        <v>560</v>
      </c>
      <c r="C1388" t="s">
        <v>560</v>
      </c>
      <c r="D1388" t="s">
        <v>3029</v>
      </c>
      <c r="E1388" t="s">
        <v>4577</v>
      </c>
      <c r="F1388" t="s">
        <v>3027</v>
      </c>
      <c r="G1388" t="s">
        <v>3031</v>
      </c>
      <c r="H1388">
        <v>3</v>
      </c>
      <c r="I1388" t="s">
        <v>5546</v>
      </c>
    </row>
    <row r="1389" spans="1:9" x14ac:dyDescent="0.3">
      <c r="A1389" t="s">
        <v>5544</v>
      </c>
      <c r="B1389" t="s">
        <v>560</v>
      </c>
      <c r="C1389" t="s">
        <v>560</v>
      </c>
      <c r="D1389" t="s">
        <v>3029</v>
      </c>
      <c r="E1389" t="s">
        <v>5547</v>
      </c>
      <c r="F1389" t="s">
        <v>3027</v>
      </c>
      <c r="G1389" t="s">
        <v>3031</v>
      </c>
      <c r="H1389">
        <v>4</v>
      </c>
      <c r="I1389" t="s">
        <v>5548</v>
      </c>
    </row>
    <row r="1390" spans="1:9" x14ac:dyDescent="0.3">
      <c r="A1390" t="s">
        <v>5544</v>
      </c>
      <c r="B1390" t="s">
        <v>560</v>
      </c>
      <c r="C1390" t="s">
        <v>560</v>
      </c>
      <c r="D1390" t="s">
        <v>3029</v>
      </c>
      <c r="E1390" t="s">
        <v>5549</v>
      </c>
      <c r="F1390" t="s">
        <v>3027</v>
      </c>
      <c r="G1390" t="s">
        <v>3031</v>
      </c>
      <c r="H1390">
        <v>5</v>
      </c>
      <c r="I1390" t="s">
        <v>5550</v>
      </c>
    </row>
    <row r="1391" spans="1:9" x14ac:dyDescent="0.3">
      <c r="A1391" t="s">
        <v>5544</v>
      </c>
      <c r="B1391" t="s">
        <v>560</v>
      </c>
      <c r="C1391" t="s">
        <v>560</v>
      </c>
      <c r="D1391" t="s">
        <v>3029</v>
      </c>
      <c r="E1391" t="s">
        <v>5551</v>
      </c>
      <c r="F1391" t="s">
        <v>3027</v>
      </c>
      <c r="G1391" t="s">
        <v>3031</v>
      </c>
      <c r="H1391">
        <v>6</v>
      </c>
      <c r="I1391" t="s">
        <v>5552</v>
      </c>
    </row>
    <row r="1392" spans="1:9" x14ac:dyDescent="0.3">
      <c r="A1392" t="s">
        <v>5544</v>
      </c>
      <c r="B1392" t="s">
        <v>560</v>
      </c>
      <c r="C1392" t="s">
        <v>560</v>
      </c>
      <c r="D1392" t="s">
        <v>3029</v>
      </c>
      <c r="E1392" t="s">
        <v>3119</v>
      </c>
      <c r="F1392" t="s">
        <v>3027</v>
      </c>
      <c r="G1392" t="s">
        <v>3031</v>
      </c>
      <c r="H1392">
        <v>7</v>
      </c>
      <c r="I1392" t="s">
        <v>3079</v>
      </c>
    </row>
    <row r="1393" spans="1:9" x14ac:dyDescent="0.3">
      <c r="A1393" t="s">
        <v>5544</v>
      </c>
      <c r="B1393" t="s">
        <v>560</v>
      </c>
      <c r="C1393" t="s">
        <v>560</v>
      </c>
      <c r="D1393" t="s">
        <v>3029</v>
      </c>
      <c r="E1393" t="s">
        <v>5553</v>
      </c>
      <c r="F1393" t="s">
        <v>3027</v>
      </c>
      <c r="G1393" t="s">
        <v>3031</v>
      </c>
      <c r="H1393">
        <v>8</v>
      </c>
      <c r="I1393" t="s">
        <v>5554</v>
      </c>
    </row>
    <row r="1394" spans="1:9" x14ac:dyDescent="0.3">
      <c r="A1394" t="s">
        <v>5544</v>
      </c>
      <c r="B1394" t="s">
        <v>560</v>
      </c>
      <c r="C1394" t="s">
        <v>560</v>
      </c>
      <c r="D1394" t="s">
        <v>3029</v>
      </c>
      <c r="E1394" t="s">
        <v>5555</v>
      </c>
      <c r="F1394" t="s">
        <v>3027</v>
      </c>
      <c r="G1394" t="s">
        <v>3031</v>
      </c>
      <c r="H1394">
        <v>9</v>
      </c>
      <c r="I1394" t="s">
        <v>5556</v>
      </c>
    </row>
    <row r="1395" spans="1:9" x14ac:dyDescent="0.3">
      <c r="A1395" t="s">
        <v>5544</v>
      </c>
      <c r="B1395" t="s">
        <v>560</v>
      </c>
      <c r="C1395" t="s">
        <v>560</v>
      </c>
      <c r="D1395" t="s">
        <v>3029</v>
      </c>
      <c r="E1395" t="s">
        <v>5557</v>
      </c>
      <c r="F1395" t="s">
        <v>3027</v>
      </c>
      <c r="G1395" t="s">
        <v>3031</v>
      </c>
      <c r="H1395">
        <v>10</v>
      </c>
      <c r="I1395" t="s">
        <v>5558</v>
      </c>
    </row>
    <row r="1396" spans="1:9" x14ac:dyDescent="0.3">
      <c r="A1396" t="s">
        <v>5544</v>
      </c>
      <c r="B1396" t="s">
        <v>560</v>
      </c>
      <c r="C1396" t="s">
        <v>560</v>
      </c>
      <c r="D1396" t="s">
        <v>3029</v>
      </c>
      <c r="E1396" t="s">
        <v>4561</v>
      </c>
      <c r="F1396" t="s">
        <v>3027</v>
      </c>
      <c r="G1396" t="s">
        <v>3031</v>
      </c>
      <c r="H1396">
        <v>11</v>
      </c>
      <c r="I1396" t="s">
        <v>5559</v>
      </c>
    </row>
    <row r="1397" spans="1:9" x14ac:dyDescent="0.3">
      <c r="A1397" t="s">
        <v>5544</v>
      </c>
      <c r="B1397" t="s">
        <v>560</v>
      </c>
      <c r="C1397" t="s">
        <v>560</v>
      </c>
      <c r="D1397" t="s">
        <v>3029</v>
      </c>
      <c r="E1397" t="s">
        <v>5560</v>
      </c>
      <c r="F1397" t="s">
        <v>3027</v>
      </c>
      <c r="G1397" t="s">
        <v>3031</v>
      </c>
      <c r="H1397">
        <v>12</v>
      </c>
      <c r="I1397" t="s">
        <v>5561</v>
      </c>
    </row>
    <row r="1398" spans="1:9" x14ac:dyDescent="0.3">
      <c r="A1398" t="s">
        <v>5544</v>
      </c>
      <c r="B1398" t="s">
        <v>560</v>
      </c>
      <c r="C1398" t="s">
        <v>560</v>
      </c>
      <c r="D1398" t="s">
        <v>3029</v>
      </c>
      <c r="E1398" t="s">
        <v>5562</v>
      </c>
      <c r="F1398" t="s">
        <v>3027</v>
      </c>
      <c r="G1398" t="s">
        <v>3031</v>
      </c>
      <c r="H1398">
        <v>13</v>
      </c>
      <c r="I1398" t="s">
        <v>5563</v>
      </c>
    </row>
    <row r="1399" spans="1:9" x14ac:dyDescent="0.3">
      <c r="A1399" t="s">
        <v>5544</v>
      </c>
      <c r="B1399" t="s">
        <v>560</v>
      </c>
      <c r="C1399" t="s">
        <v>560</v>
      </c>
      <c r="D1399" t="s">
        <v>3029</v>
      </c>
      <c r="E1399" t="s">
        <v>5564</v>
      </c>
      <c r="F1399" t="s">
        <v>3027</v>
      </c>
      <c r="G1399" t="s">
        <v>3031</v>
      </c>
      <c r="H1399">
        <v>14</v>
      </c>
      <c r="I1399" t="s">
        <v>5565</v>
      </c>
    </row>
    <row r="1400" spans="1:9" x14ac:dyDescent="0.3">
      <c r="A1400" t="s">
        <v>5544</v>
      </c>
      <c r="B1400" t="s">
        <v>560</v>
      </c>
      <c r="C1400" t="s">
        <v>560</v>
      </c>
      <c r="D1400" t="s">
        <v>3029</v>
      </c>
      <c r="E1400" t="s">
        <v>5566</v>
      </c>
      <c r="F1400" t="s">
        <v>3027</v>
      </c>
      <c r="G1400" t="s">
        <v>3031</v>
      </c>
      <c r="H1400">
        <v>15</v>
      </c>
      <c r="I1400" t="s">
        <v>5567</v>
      </c>
    </row>
    <row r="1401" spans="1:9" x14ac:dyDescent="0.3">
      <c r="A1401" t="s">
        <v>5544</v>
      </c>
      <c r="B1401" t="s">
        <v>560</v>
      </c>
      <c r="C1401" t="s">
        <v>560</v>
      </c>
      <c r="D1401" t="s">
        <v>3029</v>
      </c>
      <c r="E1401" t="s">
        <v>5568</v>
      </c>
      <c r="F1401" t="s">
        <v>3027</v>
      </c>
      <c r="G1401" t="s">
        <v>3031</v>
      </c>
      <c r="H1401">
        <v>16</v>
      </c>
      <c r="I1401" t="s">
        <v>5569</v>
      </c>
    </row>
    <row r="1402" spans="1:9" x14ac:dyDescent="0.3">
      <c r="A1402" t="s">
        <v>5544</v>
      </c>
      <c r="B1402" t="s">
        <v>560</v>
      </c>
      <c r="C1402" t="s">
        <v>560</v>
      </c>
      <c r="D1402" t="s">
        <v>3029</v>
      </c>
      <c r="E1402" t="s">
        <v>5570</v>
      </c>
      <c r="F1402" t="s">
        <v>3027</v>
      </c>
      <c r="G1402" t="s">
        <v>3031</v>
      </c>
      <c r="H1402">
        <v>17</v>
      </c>
      <c r="I1402" t="s">
        <v>5571</v>
      </c>
    </row>
    <row r="1403" spans="1:9" x14ac:dyDescent="0.3">
      <c r="A1403" t="s">
        <v>5544</v>
      </c>
      <c r="B1403" t="s">
        <v>560</v>
      </c>
      <c r="C1403" t="s">
        <v>560</v>
      </c>
      <c r="D1403" t="s">
        <v>3029</v>
      </c>
      <c r="E1403" t="s">
        <v>5148</v>
      </c>
      <c r="F1403" t="s">
        <v>3027</v>
      </c>
      <c r="G1403" t="s">
        <v>3031</v>
      </c>
      <c r="H1403">
        <v>18</v>
      </c>
      <c r="I1403" t="s">
        <v>5149</v>
      </c>
    </row>
    <row r="1404" spans="1:9" x14ac:dyDescent="0.3">
      <c r="A1404" t="s">
        <v>5544</v>
      </c>
      <c r="B1404" t="s">
        <v>560</v>
      </c>
      <c r="C1404" t="s">
        <v>560</v>
      </c>
      <c r="D1404" t="s">
        <v>3029</v>
      </c>
      <c r="E1404" t="s">
        <v>3084</v>
      </c>
      <c r="F1404" t="s">
        <v>3027</v>
      </c>
      <c r="G1404" t="s">
        <v>3031</v>
      </c>
      <c r="H1404">
        <v>19</v>
      </c>
      <c r="I1404" t="s">
        <v>3085</v>
      </c>
    </row>
    <row r="1405" spans="1:9" x14ac:dyDescent="0.3">
      <c r="A1405" t="s">
        <v>5544</v>
      </c>
      <c r="B1405" t="s">
        <v>560</v>
      </c>
      <c r="C1405" t="s">
        <v>560</v>
      </c>
      <c r="D1405" t="s">
        <v>3029</v>
      </c>
      <c r="E1405" t="s">
        <v>5572</v>
      </c>
      <c r="F1405" t="s">
        <v>3027</v>
      </c>
      <c r="G1405" t="s">
        <v>3031</v>
      </c>
      <c r="H1405">
        <v>20</v>
      </c>
      <c r="I1405" t="s">
        <v>5573</v>
      </c>
    </row>
    <row r="1406" spans="1:9" x14ac:dyDescent="0.3">
      <c r="A1406" t="s">
        <v>5574</v>
      </c>
      <c r="B1406" t="s">
        <v>567</v>
      </c>
      <c r="C1406" t="s">
        <v>5575</v>
      </c>
      <c r="D1406" t="s">
        <v>3025</v>
      </c>
      <c r="E1406" t="s">
        <v>5576</v>
      </c>
      <c r="F1406" t="s">
        <v>3027</v>
      </c>
      <c r="G1406" t="s">
        <v>3028</v>
      </c>
      <c r="H1406">
        <v>1</v>
      </c>
      <c r="I1406" t="s">
        <v>5575</v>
      </c>
    </row>
    <row r="1407" spans="1:9" x14ac:dyDescent="0.3">
      <c r="A1407" t="s">
        <v>5574</v>
      </c>
      <c r="B1407" t="s">
        <v>567</v>
      </c>
      <c r="C1407" t="s">
        <v>5575</v>
      </c>
      <c r="D1407" t="s">
        <v>3029</v>
      </c>
      <c r="E1407" t="s">
        <v>3174</v>
      </c>
      <c r="F1407" t="s">
        <v>3027</v>
      </c>
      <c r="G1407" t="s">
        <v>3031</v>
      </c>
      <c r="H1407">
        <v>2</v>
      </c>
      <c r="I1407" t="s">
        <v>3175</v>
      </c>
    </row>
    <row r="1408" spans="1:9" x14ac:dyDescent="0.3">
      <c r="A1408" t="s">
        <v>5574</v>
      </c>
      <c r="B1408" t="s">
        <v>567</v>
      </c>
      <c r="C1408" t="s">
        <v>5575</v>
      </c>
      <c r="D1408" t="s">
        <v>3029</v>
      </c>
      <c r="E1408" t="s">
        <v>5577</v>
      </c>
      <c r="F1408" t="s">
        <v>3027</v>
      </c>
      <c r="G1408" t="s">
        <v>3031</v>
      </c>
      <c r="H1408">
        <v>3</v>
      </c>
      <c r="I1408" t="s">
        <v>5578</v>
      </c>
    </row>
    <row r="1409" spans="1:9" x14ac:dyDescent="0.3">
      <c r="A1409" t="s">
        <v>5574</v>
      </c>
      <c r="B1409" t="s">
        <v>567</v>
      </c>
      <c r="C1409" t="s">
        <v>5575</v>
      </c>
      <c r="D1409" t="s">
        <v>3029</v>
      </c>
      <c r="E1409" t="s">
        <v>5579</v>
      </c>
      <c r="F1409" t="s">
        <v>3027</v>
      </c>
      <c r="G1409" t="s">
        <v>3031</v>
      </c>
      <c r="H1409">
        <v>4</v>
      </c>
      <c r="I1409" t="s">
        <v>5580</v>
      </c>
    </row>
    <row r="1410" spans="1:9" x14ac:dyDescent="0.3">
      <c r="A1410" t="s">
        <v>5574</v>
      </c>
      <c r="B1410" t="s">
        <v>567</v>
      </c>
      <c r="C1410" t="s">
        <v>5575</v>
      </c>
      <c r="D1410" t="s">
        <v>3029</v>
      </c>
      <c r="E1410" t="s">
        <v>5581</v>
      </c>
      <c r="F1410" t="s">
        <v>3027</v>
      </c>
      <c r="G1410" t="s">
        <v>3031</v>
      </c>
      <c r="H1410">
        <v>5</v>
      </c>
      <c r="I1410" t="s">
        <v>5582</v>
      </c>
    </row>
    <row r="1411" spans="1:9" x14ac:dyDescent="0.3">
      <c r="A1411" t="s">
        <v>5574</v>
      </c>
      <c r="B1411" t="s">
        <v>567</v>
      </c>
      <c r="C1411" t="s">
        <v>5575</v>
      </c>
      <c r="D1411" t="s">
        <v>3029</v>
      </c>
      <c r="E1411" t="s">
        <v>5583</v>
      </c>
      <c r="F1411" t="s">
        <v>3027</v>
      </c>
      <c r="G1411" t="s">
        <v>3031</v>
      </c>
      <c r="H1411">
        <v>6</v>
      </c>
      <c r="I1411" t="s">
        <v>5584</v>
      </c>
    </row>
    <row r="1412" spans="1:9" x14ac:dyDescent="0.3">
      <c r="A1412" t="s">
        <v>5574</v>
      </c>
      <c r="B1412" t="s">
        <v>567</v>
      </c>
      <c r="C1412" t="s">
        <v>5575</v>
      </c>
      <c r="D1412" t="s">
        <v>3029</v>
      </c>
      <c r="E1412" t="s">
        <v>5585</v>
      </c>
      <c r="F1412" t="s">
        <v>3027</v>
      </c>
      <c r="G1412" t="s">
        <v>3031</v>
      </c>
      <c r="H1412">
        <v>7</v>
      </c>
      <c r="I1412" t="s">
        <v>5586</v>
      </c>
    </row>
    <row r="1413" spans="1:9" x14ac:dyDescent="0.3">
      <c r="A1413" t="s">
        <v>5574</v>
      </c>
      <c r="B1413" t="s">
        <v>567</v>
      </c>
      <c r="C1413" t="s">
        <v>5575</v>
      </c>
      <c r="D1413" t="s">
        <v>3029</v>
      </c>
      <c r="E1413" t="s">
        <v>5587</v>
      </c>
      <c r="F1413" t="s">
        <v>3027</v>
      </c>
      <c r="G1413" t="s">
        <v>3031</v>
      </c>
      <c r="H1413">
        <v>8</v>
      </c>
      <c r="I1413" t="s">
        <v>5588</v>
      </c>
    </row>
    <row r="1414" spans="1:9" x14ac:dyDescent="0.3">
      <c r="A1414" t="s">
        <v>5574</v>
      </c>
      <c r="B1414" t="s">
        <v>567</v>
      </c>
      <c r="C1414" t="s">
        <v>5575</v>
      </c>
      <c r="D1414" t="s">
        <v>3029</v>
      </c>
      <c r="E1414" t="s">
        <v>5589</v>
      </c>
      <c r="F1414" t="s">
        <v>3027</v>
      </c>
      <c r="G1414" t="s">
        <v>3031</v>
      </c>
      <c r="H1414">
        <v>9</v>
      </c>
      <c r="I1414" t="s">
        <v>5590</v>
      </c>
    </row>
    <row r="1415" spans="1:9" x14ac:dyDescent="0.3">
      <c r="A1415" t="s">
        <v>5574</v>
      </c>
      <c r="B1415" t="s">
        <v>567</v>
      </c>
      <c r="C1415" t="s">
        <v>5575</v>
      </c>
      <c r="D1415" t="s">
        <v>3029</v>
      </c>
      <c r="E1415" t="s">
        <v>5591</v>
      </c>
      <c r="F1415" t="s">
        <v>3027</v>
      </c>
      <c r="G1415" t="s">
        <v>3031</v>
      </c>
      <c r="H1415">
        <v>10</v>
      </c>
      <c r="I1415" t="s">
        <v>5592</v>
      </c>
    </row>
    <row r="1416" spans="1:9" x14ac:dyDescent="0.3">
      <c r="A1416" t="s">
        <v>5574</v>
      </c>
      <c r="B1416" t="s">
        <v>567</v>
      </c>
      <c r="C1416" t="s">
        <v>5575</v>
      </c>
      <c r="D1416" t="s">
        <v>3029</v>
      </c>
      <c r="E1416" t="s">
        <v>5593</v>
      </c>
      <c r="F1416" t="s">
        <v>3027</v>
      </c>
      <c r="G1416" t="s">
        <v>3031</v>
      </c>
      <c r="H1416">
        <v>11</v>
      </c>
      <c r="I1416" t="s">
        <v>5594</v>
      </c>
    </row>
    <row r="1417" spans="1:9" x14ac:dyDescent="0.3">
      <c r="A1417" t="s">
        <v>5574</v>
      </c>
      <c r="B1417" t="s">
        <v>567</v>
      </c>
      <c r="C1417" t="s">
        <v>5575</v>
      </c>
      <c r="D1417" t="s">
        <v>3029</v>
      </c>
      <c r="E1417" t="s">
        <v>5595</v>
      </c>
      <c r="F1417" t="s">
        <v>3027</v>
      </c>
      <c r="G1417" t="s">
        <v>3031</v>
      </c>
      <c r="H1417">
        <v>12</v>
      </c>
      <c r="I1417" t="s">
        <v>5596</v>
      </c>
    </row>
    <row r="1418" spans="1:9" x14ac:dyDescent="0.3">
      <c r="A1418" t="s">
        <v>5574</v>
      </c>
      <c r="B1418" t="s">
        <v>567</v>
      </c>
      <c r="C1418" t="s">
        <v>5575</v>
      </c>
      <c r="D1418" t="s">
        <v>3029</v>
      </c>
      <c r="E1418" t="s">
        <v>5597</v>
      </c>
      <c r="F1418" t="s">
        <v>3027</v>
      </c>
      <c r="G1418" t="s">
        <v>3031</v>
      </c>
      <c r="H1418">
        <v>13</v>
      </c>
      <c r="I1418" t="s">
        <v>5598</v>
      </c>
    </row>
    <row r="1419" spans="1:9" x14ac:dyDescent="0.3">
      <c r="A1419" t="s">
        <v>5574</v>
      </c>
      <c r="B1419" t="s">
        <v>567</v>
      </c>
      <c r="C1419" t="s">
        <v>5575</v>
      </c>
      <c r="D1419" t="s">
        <v>3029</v>
      </c>
      <c r="E1419" t="s">
        <v>5599</v>
      </c>
      <c r="F1419" t="s">
        <v>3027</v>
      </c>
      <c r="G1419" t="s">
        <v>3031</v>
      </c>
      <c r="H1419">
        <v>14</v>
      </c>
      <c r="I1419" t="s">
        <v>5600</v>
      </c>
    </row>
    <row r="1420" spans="1:9" x14ac:dyDescent="0.3">
      <c r="A1420" t="s">
        <v>5574</v>
      </c>
      <c r="B1420" t="s">
        <v>567</v>
      </c>
      <c r="C1420" t="s">
        <v>5575</v>
      </c>
      <c r="D1420" t="s">
        <v>3029</v>
      </c>
      <c r="E1420" t="s">
        <v>5601</v>
      </c>
      <c r="F1420" t="s">
        <v>3027</v>
      </c>
      <c r="G1420" t="s">
        <v>3031</v>
      </c>
      <c r="H1420">
        <v>15</v>
      </c>
      <c r="I1420" t="s">
        <v>3175</v>
      </c>
    </row>
    <row r="1421" spans="1:9" x14ac:dyDescent="0.3">
      <c r="A1421" t="s">
        <v>5574</v>
      </c>
      <c r="B1421" t="s">
        <v>567</v>
      </c>
      <c r="C1421" t="s">
        <v>5575</v>
      </c>
      <c r="D1421" t="s">
        <v>3029</v>
      </c>
      <c r="E1421" t="s">
        <v>5602</v>
      </c>
      <c r="F1421" t="s">
        <v>3027</v>
      </c>
      <c r="G1421" t="s">
        <v>3031</v>
      </c>
      <c r="H1421">
        <v>16</v>
      </c>
      <c r="I1421" t="s">
        <v>5603</v>
      </c>
    </row>
    <row r="1422" spans="1:9" x14ac:dyDescent="0.3">
      <c r="A1422" t="s">
        <v>5574</v>
      </c>
      <c r="B1422" t="s">
        <v>567</v>
      </c>
      <c r="C1422" t="s">
        <v>5575</v>
      </c>
      <c r="D1422" t="s">
        <v>3029</v>
      </c>
      <c r="E1422" t="s">
        <v>5604</v>
      </c>
      <c r="F1422" t="s">
        <v>3027</v>
      </c>
      <c r="G1422" t="s">
        <v>3031</v>
      </c>
      <c r="H1422">
        <v>17</v>
      </c>
      <c r="I1422" t="s">
        <v>5605</v>
      </c>
    </row>
    <row r="1423" spans="1:9" x14ac:dyDescent="0.3">
      <c r="A1423" t="s">
        <v>5574</v>
      </c>
      <c r="B1423" t="s">
        <v>567</v>
      </c>
      <c r="C1423" t="s">
        <v>5575</v>
      </c>
      <c r="D1423" t="s">
        <v>3029</v>
      </c>
      <c r="E1423" t="s">
        <v>5606</v>
      </c>
      <c r="F1423" t="s">
        <v>3027</v>
      </c>
      <c r="G1423" t="s">
        <v>3031</v>
      </c>
      <c r="H1423">
        <v>18</v>
      </c>
      <c r="I1423" t="s">
        <v>5607</v>
      </c>
    </row>
    <row r="1424" spans="1:9" x14ac:dyDescent="0.3">
      <c r="A1424" t="s">
        <v>5574</v>
      </c>
      <c r="B1424" t="s">
        <v>567</v>
      </c>
      <c r="C1424" t="s">
        <v>5575</v>
      </c>
      <c r="D1424" t="s">
        <v>3029</v>
      </c>
      <c r="E1424" t="s">
        <v>5608</v>
      </c>
      <c r="F1424" t="s">
        <v>3027</v>
      </c>
      <c r="G1424" t="s">
        <v>3031</v>
      </c>
      <c r="H1424">
        <v>19</v>
      </c>
      <c r="I1424" t="s">
        <v>5609</v>
      </c>
    </row>
    <row r="1425" spans="1:9" x14ac:dyDescent="0.3">
      <c r="A1425" t="s">
        <v>5574</v>
      </c>
      <c r="B1425" t="s">
        <v>567</v>
      </c>
      <c r="C1425" t="s">
        <v>5575</v>
      </c>
      <c r="D1425" t="s">
        <v>3029</v>
      </c>
      <c r="E1425" t="s">
        <v>5610</v>
      </c>
      <c r="F1425" t="s">
        <v>3027</v>
      </c>
      <c r="G1425" t="s">
        <v>3031</v>
      </c>
      <c r="H1425">
        <v>20</v>
      </c>
      <c r="I1425" t="s">
        <v>5611</v>
      </c>
    </row>
    <row r="1426" spans="1:9" x14ac:dyDescent="0.3">
      <c r="A1426" t="s">
        <v>5612</v>
      </c>
      <c r="B1426" t="s">
        <v>573</v>
      </c>
      <c r="C1426" t="s">
        <v>5613</v>
      </c>
      <c r="D1426" t="s">
        <v>3025</v>
      </c>
      <c r="E1426" t="s">
        <v>5614</v>
      </c>
      <c r="F1426" t="s">
        <v>3027</v>
      </c>
      <c r="G1426" t="s">
        <v>3028</v>
      </c>
      <c r="H1426">
        <v>1</v>
      </c>
      <c r="I1426" t="s">
        <v>5613</v>
      </c>
    </row>
    <row r="1427" spans="1:9" x14ac:dyDescent="0.3">
      <c r="A1427" t="s">
        <v>5612</v>
      </c>
      <c r="B1427" t="s">
        <v>573</v>
      </c>
      <c r="C1427" t="s">
        <v>5613</v>
      </c>
      <c r="D1427" t="s">
        <v>3029</v>
      </c>
      <c r="E1427" t="s">
        <v>5615</v>
      </c>
      <c r="F1427" t="s">
        <v>3027</v>
      </c>
      <c r="G1427" t="s">
        <v>3031</v>
      </c>
      <c r="H1427">
        <v>2</v>
      </c>
      <c r="I1427" t="s">
        <v>5616</v>
      </c>
    </row>
    <row r="1428" spans="1:9" x14ac:dyDescent="0.3">
      <c r="A1428" t="s">
        <v>5612</v>
      </c>
      <c r="B1428" t="s">
        <v>573</v>
      </c>
      <c r="C1428" t="s">
        <v>5613</v>
      </c>
      <c r="D1428" t="s">
        <v>3029</v>
      </c>
      <c r="E1428" t="s">
        <v>5617</v>
      </c>
      <c r="F1428" t="s">
        <v>3027</v>
      </c>
      <c r="G1428" t="s">
        <v>3031</v>
      </c>
      <c r="H1428">
        <v>3</v>
      </c>
      <c r="I1428" t="s">
        <v>5618</v>
      </c>
    </row>
    <row r="1429" spans="1:9" x14ac:dyDescent="0.3">
      <c r="A1429" t="s">
        <v>5612</v>
      </c>
      <c r="B1429" t="s">
        <v>573</v>
      </c>
      <c r="C1429" t="s">
        <v>5613</v>
      </c>
      <c r="D1429" t="s">
        <v>3029</v>
      </c>
      <c r="E1429" t="s">
        <v>4017</v>
      </c>
      <c r="F1429" t="s">
        <v>3027</v>
      </c>
      <c r="G1429" t="s">
        <v>3031</v>
      </c>
      <c r="H1429">
        <v>4</v>
      </c>
      <c r="I1429" t="s">
        <v>4018</v>
      </c>
    </row>
    <row r="1430" spans="1:9" x14ac:dyDescent="0.3">
      <c r="A1430" t="s">
        <v>5612</v>
      </c>
      <c r="B1430" t="s">
        <v>573</v>
      </c>
      <c r="C1430" t="s">
        <v>5613</v>
      </c>
      <c r="D1430" t="s">
        <v>3029</v>
      </c>
      <c r="E1430" t="s">
        <v>5619</v>
      </c>
      <c r="F1430" t="s">
        <v>3027</v>
      </c>
      <c r="G1430" t="s">
        <v>3031</v>
      </c>
      <c r="H1430">
        <v>5</v>
      </c>
      <c r="I1430" t="s">
        <v>5620</v>
      </c>
    </row>
    <row r="1431" spans="1:9" x14ac:dyDescent="0.3">
      <c r="A1431" t="s">
        <v>5612</v>
      </c>
      <c r="B1431" t="s">
        <v>573</v>
      </c>
      <c r="C1431" t="s">
        <v>5613</v>
      </c>
      <c r="D1431" t="s">
        <v>3029</v>
      </c>
      <c r="E1431" t="s">
        <v>5621</v>
      </c>
      <c r="F1431" t="s">
        <v>3027</v>
      </c>
      <c r="G1431" t="s">
        <v>3031</v>
      </c>
      <c r="H1431">
        <v>6</v>
      </c>
      <c r="I1431" t="s">
        <v>5622</v>
      </c>
    </row>
    <row r="1432" spans="1:9" x14ac:dyDescent="0.3">
      <c r="A1432" t="s">
        <v>5612</v>
      </c>
      <c r="B1432" t="s">
        <v>573</v>
      </c>
      <c r="C1432" t="s">
        <v>5613</v>
      </c>
      <c r="D1432" t="s">
        <v>3029</v>
      </c>
      <c r="E1432" t="s">
        <v>5623</v>
      </c>
      <c r="F1432" t="s">
        <v>3027</v>
      </c>
      <c r="G1432" t="s">
        <v>3031</v>
      </c>
      <c r="H1432">
        <v>7</v>
      </c>
      <c r="I1432" t="s">
        <v>5624</v>
      </c>
    </row>
    <row r="1433" spans="1:9" x14ac:dyDescent="0.3">
      <c r="A1433" t="s">
        <v>5612</v>
      </c>
      <c r="B1433" t="s">
        <v>573</v>
      </c>
      <c r="C1433" t="s">
        <v>5613</v>
      </c>
      <c r="D1433" t="s">
        <v>3029</v>
      </c>
      <c r="E1433" t="s">
        <v>5625</v>
      </c>
      <c r="F1433" t="s">
        <v>3027</v>
      </c>
      <c r="G1433" t="s">
        <v>3031</v>
      </c>
      <c r="H1433">
        <v>8</v>
      </c>
      <c r="I1433" t="s">
        <v>5626</v>
      </c>
    </row>
    <row r="1434" spans="1:9" x14ac:dyDescent="0.3">
      <c r="A1434" t="s">
        <v>5612</v>
      </c>
      <c r="B1434" t="s">
        <v>573</v>
      </c>
      <c r="C1434" t="s">
        <v>5613</v>
      </c>
      <c r="D1434" t="s">
        <v>3029</v>
      </c>
      <c r="E1434" t="s">
        <v>5627</v>
      </c>
      <c r="F1434" t="s">
        <v>3027</v>
      </c>
      <c r="G1434" t="s">
        <v>3031</v>
      </c>
      <c r="H1434">
        <v>9</v>
      </c>
      <c r="I1434" t="s">
        <v>5628</v>
      </c>
    </row>
    <row r="1435" spans="1:9" x14ac:dyDescent="0.3">
      <c r="A1435" t="s">
        <v>5612</v>
      </c>
      <c r="B1435" t="s">
        <v>573</v>
      </c>
      <c r="C1435" t="s">
        <v>5613</v>
      </c>
      <c r="D1435" t="s">
        <v>3029</v>
      </c>
      <c r="E1435" t="s">
        <v>5629</v>
      </c>
      <c r="F1435" t="s">
        <v>3027</v>
      </c>
      <c r="G1435" t="s">
        <v>3031</v>
      </c>
      <c r="H1435">
        <v>10</v>
      </c>
      <c r="I1435" t="s">
        <v>5630</v>
      </c>
    </row>
    <row r="1436" spans="1:9" x14ac:dyDescent="0.3">
      <c r="A1436" t="s">
        <v>5612</v>
      </c>
      <c r="B1436" t="s">
        <v>573</v>
      </c>
      <c r="C1436" t="s">
        <v>5613</v>
      </c>
      <c r="D1436" t="s">
        <v>3029</v>
      </c>
      <c r="E1436" t="s">
        <v>5631</v>
      </c>
      <c r="F1436" t="s">
        <v>3027</v>
      </c>
      <c r="G1436" t="s">
        <v>3031</v>
      </c>
      <c r="H1436">
        <v>11</v>
      </c>
      <c r="I1436" t="s">
        <v>5632</v>
      </c>
    </row>
    <row r="1437" spans="1:9" x14ac:dyDescent="0.3">
      <c r="A1437" t="s">
        <v>5612</v>
      </c>
      <c r="B1437" t="s">
        <v>573</v>
      </c>
      <c r="C1437" t="s">
        <v>5613</v>
      </c>
      <c r="D1437" t="s">
        <v>3029</v>
      </c>
      <c r="E1437" t="s">
        <v>5633</v>
      </c>
      <c r="F1437" t="s">
        <v>3027</v>
      </c>
      <c r="G1437" t="s">
        <v>3031</v>
      </c>
      <c r="H1437">
        <v>12</v>
      </c>
      <c r="I1437" t="s">
        <v>5634</v>
      </c>
    </row>
    <row r="1438" spans="1:9" x14ac:dyDescent="0.3">
      <c r="A1438" t="s">
        <v>5612</v>
      </c>
      <c r="B1438" t="s">
        <v>573</v>
      </c>
      <c r="C1438" t="s">
        <v>5613</v>
      </c>
      <c r="D1438" t="s">
        <v>3029</v>
      </c>
      <c r="E1438" t="s">
        <v>5635</v>
      </c>
      <c r="F1438" t="s">
        <v>3027</v>
      </c>
      <c r="G1438" t="s">
        <v>3031</v>
      </c>
      <c r="H1438">
        <v>13</v>
      </c>
      <c r="I1438" t="s">
        <v>5636</v>
      </c>
    </row>
    <row r="1439" spans="1:9" x14ac:dyDescent="0.3">
      <c r="A1439" t="s">
        <v>5612</v>
      </c>
      <c r="B1439" t="s">
        <v>573</v>
      </c>
      <c r="C1439" t="s">
        <v>5613</v>
      </c>
      <c r="D1439" t="s">
        <v>3029</v>
      </c>
      <c r="E1439" t="s">
        <v>5637</v>
      </c>
      <c r="F1439" t="s">
        <v>3027</v>
      </c>
      <c r="G1439" t="s">
        <v>3031</v>
      </c>
      <c r="H1439">
        <v>14</v>
      </c>
      <c r="I1439" t="s">
        <v>5638</v>
      </c>
    </row>
    <row r="1440" spans="1:9" x14ac:dyDescent="0.3">
      <c r="A1440" t="s">
        <v>5612</v>
      </c>
      <c r="B1440" t="s">
        <v>573</v>
      </c>
      <c r="C1440" t="s">
        <v>5613</v>
      </c>
      <c r="D1440" t="s">
        <v>3029</v>
      </c>
      <c r="E1440" t="s">
        <v>5639</v>
      </c>
      <c r="F1440" t="s">
        <v>3027</v>
      </c>
      <c r="G1440" t="s">
        <v>3031</v>
      </c>
      <c r="H1440">
        <v>15</v>
      </c>
      <c r="I1440" t="s">
        <v>5640</v>
      </c>
    </row>
    <row r="1441" spans="1:9" x14ac:dyDescent="0.3">
      <c r="A1441" t="s">
        <v>5612</v>
      </c>
      <c r="B1441" t="s">
        <v>573</v>
      </c>
      <c r="C1441" t="s">
        <v>5613</v>
      </c>
      <c r="D1441" t="s">
        <v>3029</v>
      </c>
      <c r="E1441" t="s">
        <v>5641</v>
      </c>
      <c r="F1441" t="s">
        <v>3027</v>
      </c>
      <c r="G1441" t="s">
        <v>3031</v>
      </c>
      <c r="H1441">
        <v>16</v>
      </c>
      <c r="I1441" t="s">
        <v>5642</v>
      </c>
    </row>
    <row r="1442" spans="1:9" x14ac:dyDescent="0.3">
      <c r="A1442" t="s">
        <v>5612</v>
      </c>
      <c r="B1442" t="s">
        <v>573</v>
      </c>
      <c r="C1442" t="s">
        <v>5613</v>
      </c>
      <c r="D1442" t="s">
        <v>3029</v>
      </c>
      <c r="E1442" t="s">
        <v>5643</v>
      </c>
      <c r="F1442" t="s">
        <v>3027</v>
      </c>
      <c r="G1442" t="s">
        <v>3031</v>
      </c>
      <c r="H1442">
        <v>17</v>
      </c>
      <c r="I1442" t="s">
        <v>5644</v>
      </c>
    </row>
    <row r="1443" spans="1:9" x14ac:dyDescent="0.3">
      <c r="A1443" t="s">
        <v>5612</v>
      </c>
      <c r="B1443" t="s">
        <v>573</v>
      </c>
      <c r="C1443" t="s">
        <v>5613</v>
      </c>
      <c r="D1443" t="s">
        <v>3029</v>
      </c>
      <c r="E1443" t="s">
        <v>5645</v>
      </c>
      <c r="F1443" t="s">
        <v>3027</v>
      </c>
      <c r="G1443" t="s">
        <v>3031</v>
      </c>
      <c r="H1443">
        <v>18</v>
      </c>
      <c r="I1443" t="s">
        <v>5646</v>
      </c>
    </row>
    <row r="1444" spans="1:9" x14ac:dyDescent="0.3">
      <c r="A1444" t="s">
        <v>5612</v>
      </c>
      <c r="B1444" t="s">
        <v>573</v>
      </c>
      <c r="C1444" t="s">
        <v>5613</v>
      </c>
      <c r="D1444" t="s">
        <v>3029</v>
      </c>
      <c r="E1444" t="s">
        <v>5647</v>
      </c>
      <c r="F1444" t="s">
        <v>3027</v>
      </c>
      <c r="G1444" t="s">
        <v>3031</v>
      </c>
      <c r="H1444">
        <v>19</v>
      </c>
      <c r="I1444" t="s">
        <v>5648</v>
      </c>
    </row>
    <row r="1445" spans="1:9" x14ac:dyDescent="0.3">
      <c r="A1445" t="s">
        <v>5612</v>
      </c>
      <c r="B1445" t="s">
        <v>573</v>
      </c>
      <c r="C1445" t="s">
        <v>5613</v>
      </c>
      <c r="D1445" t="s">
        <v>3029</v>
      </c>
      <c r="E1445" t="s">
        <v>5649</v>
      </c>
      <c r="F1445" t="s">
        <v>3027</v>
      </c>
      <c r="G1445" t="s">
        <v>3031</v>
      </c>
      <c r="H1445">
        <v>20</v>
      </c>
      <c r="I1445" t="s">
        <v>5650</v>
      </c>
    </row>
    <row r="1446" spans="1:9" x14ac:dyDescent="0.3">
      <c r="A1446" t="s">
        <v>5651</v>
      </c>
      <c r="B1446" t="s">
        <v>579</v>
      </c>
      <c r="C1446" t="s">
        <v>5652</v>
      </c>
      <c r="D1446" t="s">
        <v>3025</v>
      </c>
      <c r="E1446" t="s">
        <v>5653</v>
      </c>
      <c r="F1446" t="s">
        <v>3027</v>
      </c>
      <c r="G1446" t="s">
        <v>3028</v>
      </c>
      <c r="H1446">
        <v>1</v>
      </c>
      <c r="I1446" t="s">
        <v>5652</v>
      </c>
    </row>
    <row r="1447" spans="1:9" x14ac:dyDescent="0.3">
      <c r="A1447" t="s">
        <v>5651</v>
      </c>
      <c r="B1447" t="s">
        <v>579</v>
      </c>
      <c r="C1447" t="s">
        <v>5652</v>
      </c>
      <c r="D1447" t="s">
        <v>3029</v>
      </c>
      <c r="E1447" t="s">
        <v>5654</v>
      </c>
      <c r="F1447" t="s">
        <v>3027</v>
      </c>
      <c r="G1447" t="s">
        <v>3031</v>
      </c>
      <c r="H1447">
        <v>2</v>
      </c>
      <c r="I1447" t="s">
        <v>78</v>
      </c>
    </row>
    <row r="1448" spans="1:9" x14ac:dyDescent="0.3">
      <c r="A1448" t="s">
        <v>5651</v>
      </c>
      <c r="B1448" t="s">
        <v>579</v>
      </c>
      <c r="C1448" t="s">
        <v>5652</v>
      </c>
      <c r="D1448" t="s">
        <v>3029</v>
      </c>
      <c r="E1448" t="s">
        <v>5655</v>
      </c>
      <c r="F1448" t="s">
        <v>3027</v>
      </c>
      <c r="G1448" t="s">
        <v>3031</v>
      </c>
      <c r="H1448">
        <v>3</v>
      </c>
      <c r="I1448" t="s">
        <v>5656</v>
      </c>
    </row>
    <row r="1449" spans="1:9" x14ac:dyDescent="0.3">
      <c r="A1449" t="s">
        <v>5651</v>
      </c>
      <c r="B1449" t="s">
        <v>579</v>
      </c>
      <c r="C1449" t="s">
        <v>5652</v>
      </c>
      <c r="D1449" t="s">
        <v>3029</v>
      </c>
      <c r="E1449" t="s">
        <v>5657</v>
      </c>
      <c r="F1449" t="s">
        <v>3027</v>
      </c>
      <c r="G1449" t="s">
        <v>3031</v>
      </c>
      <c r="H1449">
        <v>4</v>
      </c>
      <c r="I1449" t="s">
        <v>5658</v>
      </c>
    </row>
    <row r="1450" spans="1:9" x14ac:dyDescent="0.3">
      <c r="A1450" t="s">
        <v>5651</v>
      </c>
      <c r="B1450" t="s">
        <v>579</v>
      </c>
      <c r="C1450" t="s">
        <v>5652</v>
      </c>
      <c r="D1450" t="s">
        <v>3029</v>
      </c>
      <c r="E1450" t="s">
        <v>5659</v>
      </c>
      <c r="F1450" t="s">
        <v>3027</v>
      </c>
      <c r="G1450" t="s">
        <v>3031</v>
      </c>
      <c r="H1450">
        <v>5</v>
      </c>
      <c r="I1450" t="s">
        <v>5660</v>
      </c>
    </row>
    <row r="1451" spans="1:9" x14ac:dyDescent="0.3">
      <c r="A1451" t="s">
        <v>5651</v>
      </c>
      <c r="B1451" t="s">
        <v>579</v>
      </c>
      <c r="C1451" t="s">
        <v>5652</v>
      </c>
      <c r="D1451" t="s">
        <v>3029</v>
      </c>
      <c r="E1451" t="s">
        <v>5661</v>
      </c>
      <c r="F1451" t="s">
        <v>3027</v>
      </c>
      <c r="G1451" t="s">
        <v>3031</v>
      </c>
      <c r="H1451">
        <v>6</v>
      </c>
      <c r="I1451" t="s">
        <v>5662</v>
      </c>
    </row>
    <row r="1452" spans="1:9" x14ac:dyDescent="0.3">
      <c r="A1452" t="s">
        <v>5651</v>
      </c>
      <c r="B1452" t="s">
        <v>579</v>
      </c>
      <c r="C1452" t="s">
        <v>5652</v>
      </c>
      <c r="D1452" t="s">
        <v>3029</v>
      </c>
      <c r="E1452" t="s">
        <v>5663</v>
      </c>
      <c r="F1452" t="s">
        <v>3027</v>
      </c>
      <c r="G1452" t="s">
        <v>3031</v>
      </c>
      <c r="H1452">
        <v>7</v>
      </c>
      <c r="I1452" t="s">
        <v>5664</v>
      </c>
    </row>
    <row r="1453" spans="1:9" x14ac:dyDescent="0.3">
      <c r="A1453" t="s">
        <v>5651</v>
      </c>
      <c r="B1453" t="s">
        <v>579</v>
      </c>
      <c r="C1453" t="s">
        <v>5652</v>
      </c>
      <c r="D1453" t="s">
        <v>3029</v>
      </c>
      <c r="E1453" t="s">
        <v>5665</v>
      </c>
      <c r="F1453" t="s">
        <v>3027</v>
      </c>
      <c r="G1453" t="s">
        <v>3031</v>
      </c>
      <c r="H1453">
        <v>8</v>
      </c>
      <c r="I1453" t="s">
        <v>5666</v>
      </c>
    </row>
    <row r="1454" spans="1:9" x14ac:dyDescent="0.3">
      <c r="A1454" t="s">
        <v>5651</v>
      </c>
      <c r="B1454" t="s">
        <v>579</v>
      </c>
      <c r="C1454" t="s">
        <v>5652</v>
      </c>
      <c r="D1454" t="s">
        <v>3029</v>
      </c>
      <c r="E1454" t="s">
        <v>5667</v>
      </c>
      <c r="F1454" t="s">
        <v>3027</v>
      </c>
      <c r="G1454" t="s">
        <v>3031</v>
      </c>
      <c r="H1454">
        <v>9</v>
      </c>
      <c r="I1454" t="s">
        <v>5668</v>
      </c>
    </row>
    <row r="1455" spans="1:9" x14ac:dyDescent="0.3">
      <c r="A1455" t="s">
        <v>5651</v>
      </c>
      <c r="B1455" t="s">
        <v>579</v>
      </c>
      <c r="C1455" t="s">
        <v>5652</v>
      </c>
      <c r="D1455" t="s">
        <v>3029</v>
      </c>
      <c r="E1455" t="s">
        <v>5669</v>
      </c>
      <c r="F1455" t="s">
        <v>3027</v>
      </c>
      <c r="G1455" t="s">
        <v>3031</v>
      </c>
      <c r="H1455">
        <v>10</v>
      </c>
      <c r="I1455" t="s">
        <v>5670</v>
      </c>
    </row>
    <row r="1456" spans="1:9" x14ac:dyDescent="0.3">
      <c r="A1456" t="s">
        <v>5651</v>
      </c>
      <c r="B1456" t="s">
        <v>579</v>
      </c>
      <c r="C1456" t="s">
        <v>5652</v>
      </c>
      <c r="D1456" t="s">
        <v>3029</v>
      </c>
      <c r="E1456" t="s">
        <v>5671</v>
      </c>
      <c r="F1456" t="s">
        <v>3027</v>
      </c>
      <c r="G1456" t="s">
        <v>3031</v>
      </c>
      <c r="H1456">
        <v>11</v>
      </c>
      <c r="I1456" t="s">
        <v>5672</v>
      </c>
    </row>
    <row r="1457" spans="1:9" x14ac:dyDescent="0.3">
      <c r="A1457" t="s">
        <v>5651</v>
      </c>
      <c r="B1457" t="s">
        <v>579</v>
      </c>
      <c r="C1457" t="s">
        <v>5652</v>
      </c>
      <c r="D1457" t="s">
        <v>3029</v>
      </c>
      <c r="E1457" t="s">
        <v>5673</v>
      </c>
      <c r="F1457" t="s">
        <v>3027</v>
      </c>
      <c r="G1457" t="s">
        <v>3031</v>
      </c>
      <c r="H1457">
        <v>12</v>
      </c>
      <c r="I1457" t="s">
        <v>5674</v>
      </c>
    </row>
    <row r="1458" spans="1:9" x14ac:dyDescent="0.3">
      <c r="A1458" t="s">
        <v>5651</v>
      </c>
      <c r="B1458" t="s">
        <v>579</v>
      </c>
      <c r="C1458" t="s">
        <v>5652</v>
      </c>
      <c r="D1458" t="s">
        <v>3029</v>
      </c>
      <c r="E1458" t="s">
        <v>5675</v>
      </c>
      <c r="F1458" t="s">
        <v>3027</v>
      </c>
      <c r="G1458" t="s">
        <v>3031</v>
      </c>
      <c r="H1458">
        <v>13</v>
      </c>
      <c r="I1458" t="s">
        <v>5676</v>
      </c>
    </row>
    <row r="1459" spans="1:9" x14ac:dyDescent="0.3">
      <c r="A1459" t="s">
        <v>5651</v>
      </c>
      <c r="B1459" t="s">
        <v>579</v>
      </c>
      <c r="C1459" t="s">
        <v>5652</v>
      </c>
      <c r="D1459" t="s">
        <v>3029</v>
      </c>
      <c r="E1459" t="s">
        <v>5677</v>
      </c>
      <c r="F1459" t="s">
        <v>3027</v>
      </c>
      <c r="G1459" t="s">
        <v>3031</v>
      </c>
      <c r="H1459">
        <v>14</v>
      </c>
      <c r="I1459" t="s">
        <v>5678</v>
      </c>
    </row>
    <row r="1460" spans="1:9" x14ac:dyDescent="0.3">
      <c r="A1460" t="s">
        <v>5651</v>
      </c>
      <c r="B1460" t="s">
        <v>579</v>
      </c>
      <c r="C1460" t="s">
        <v>5652</v>
      </c>
      <c r="D1460" t="s">
        <v>3029</v>
      </c>
      <c r="E1460" t="s">
        <v>5679</v>
      </c>
      <c r="F1460" t="s">
        <v>3027</v>
      </c>
      <c r="G1460" t="s">
        <v>3031</v>
      </c>
      <c r="H1460">
        <v>15</v>
      </c>
      <c r="I1460" t="s">
        <v>5680</v>
      </c>
    </row>
    <row r="1461" spans="1:9" x14ac:dyDescent="0.3">
      <c r="A1461" t="s">
        <v>5651</v>
      </c>
      <c r="B1461" t="s">
        <v>579</v>
      </c>
      <c r="C1461" t="s">
        <v>5652</v>
      </c>
      <c r="D1461" t="s">
        <v>3029</v>
      </c>
      <c r="E1461" t="s">
        <v>5681</v>
      </c>
      <c r="F1461" t="s">
        <v>3027</v>
      </c>
      <c r="G1461" t="s">
        <v>3031</v>
      </c>
      <c r="H1461">
        <v>16</v>
      </c>
      <c r="I1461" t="s">
        <v>5682</v>
      </c>
    </row>
    <row r="1462" spans="1:9" x14ac:dyDescent="0.3">
      <c r="A1462" t="s">
        <v>5651</v>
      </c>
      <c r="B1462" t="s">
        <v>579</v>
      </c>
      <c r="C1462" t="s">
        <v>5652</v>
      </c>
      <c r="D1462" t="s">
        <v>3029</v>
      </c>
      <c r="E1462" t="s">
        <v>5683</v>
      </c>
      <c r="F1462" t="s">
        <v>3027</v>
      </c>
      <c r="G1462" t="s">
        <v>3031</v>
      </c>
      <c r="H1462">
        <v>17</v>
      </c>
      <c r="I1462" t="s">
        <v>5684</v>
      </c>
    </row>
    <row r="1463" spans="1:9" x14ac:dyDescent="0.3">
      <c r="A1463" t="s">
        <v>5651</v>
      </c>
      <c r="B1463" t="s">
        <v>579</v>
      </c>
      <c r="C1463" t="s">
        <v>5652</v>
      </c>
      <c r="D1463" t="s">
        <v>3029</v>
      </c>
      <c r="E1463" t="s">
        <v>5685</v>
      </c>
      <c r="F1463" t="s">
        <v>3027</v>
      </c>
      <c r="G1463" t="s">
        <v>3031</v>
      </c>
      <c r="H1463">
        <v>18</v>
      </c>
      <c r="I1463" t="s">
        <v>5686</v>
      </c>
    </row>
    <row r="1464" spans="1:9" x14ac:dyDescent="0.3">
      <c r="A1464" t="s">
        <v>5651</v>
      </c>
      <c r="B1464" t="s">
        <v>579</v>
      </c>
      <c r="C1464" t="s">
        <v>5652</v>
      </c>
      <c r="D1464" t="s">
        <v>3029</v>
      </c>
      <c r="E1464" t="s">
        <v>5687</v>
      </c>
      <c r="F1464" t="s">
        <v>3027</v>
      </c>
      <c r="G1464" t="s">
        <v>3031</v>
      </c>
      <c r="H1464">
        <v>19</v>
      </c>
      <c r="I1464" t="s">
        <v>5688</v>
      </c>
    </row>
    <row r="1465" spans="1:9" x14ac:dyDescent="0.3">
      <c r="A1465" t="s">
        <v>5651</v>
      </c>
      <c r="B1465" t="s">
        <v>579</v>
      </c>
      <c r="C1465" t="s">
        <v>5652</v>
      </c>
      <c r="D1465" t="s">
        <v>3029</v>
      </c>
      <c r="E1465" t="s">
        <v>5689</v>
      </c>
      <c r="F1465" t="s">
        <v>3027</v>
      </c>
      <c r="G1465" t="s">
        <v>3031</v>
      </c>
      <c r="H1465">
        <v>20</v>
      </c>
      <c r="I1465" t="s">
        <v>5690</v>
      </c>
    </row>
    <row r="1466" spans="1:9" x14ac:dyDescent="0.3">
      <c r="A1466" t="s">
        <v>5691</v>
      </c>
      <c r="B1466" t="s">
        <v>585</v>
      </c>
      <c r="C1466" t="s">
        <v>5692</v>
      </c>
      <c r="D1466" t="s">
        <v>3025</v>
      </c>
      <c r="E1466" t="s">
        <v>5693</v>
      </c>
      <c r="F1466" t="s">
        <v>3027</v>
      </c>
      <c r="G1466" t="s">
        <v>3028</v>
      </c>
      <c r="H1466">
        <v>1</v>
      </c>
      <c r="I1466" t="s">
        <v>5692</v>
      </c>
    </row>
    <row r="1467" spans="1:9" x14ac:dyDescent="0.3">
      <c r="A1467" t="s">
        <v>5691</v>
      </c>
      <c r="B1467" t="s">
        <v>585</v>
      </c>
      <c r="C1467" t="s">
        <v>5692</v>
      </c>
      <c r="D1467" t="s">
        <v>3029</v>
      </c>
      <c r="E1467" t="s">
        <v>5694</v>
      </c>
      <c r="F1467" t="s">
        <v>3027</v>
      </c>
      <c r="G1467" t="s">
        <v>3031</v>
      </c>
      <c r="H1467">
        <v>2</v>
      </c>
      <c r="I1467" t="s">
        <v>5695</v>
      </c>
    </row>
    <row r="1468" spans="1:9" x14ac:dyDescent="0.3">
      <c r="A1468" t="s">
        <v>5691</v>
      </c>
      <c r="B1468" t="s">
        <v>585</v>
      </c>
      <c r="C1468" t="s">
        <v>5692</v>
      </c>
      <c r="D1468" t="s">
        <v>3029</v>
      </c>
      <c r="E1468" t="s">
        <v>5696</v>
      </c>
      <c r="F1468" t="s">
        <v>3027</v>
      </c>
      <c r="G1468" t="s">
        <v>3031</v>
      </c>
      <c r="H1468">
        <v>3</v>
      </c>
      <c r="I1468" t="s">
        <v>5697</v>
      </c>
    </row>
    <row r="1469" spans="1:9" x14ac:dyDescent="0.3">
      <c r="A1469" t="s">
        <v>5691</v>
      </c>
      <c r="B1469" t="s">
        <v>585</v>
      </c>
      <c r="C1469" t="s">
        <v>5692</v>
      </c>
      <c r="D1469" t="s">
        <v>3029</v>
      </c>
      <c r="E1469" t="s">
        <v>5698</v>
      </c>
      <c r="F1469" t="s">
        <v>3027</v>
      </c>
      <c r="G1469" t="s">
        <v>3031</v>
      </c>
      <c r="H1469">
        <v>4</v>
      </c>
      <c r="I1469" t="s">
        <v>5699</v>
      </c>
    </row>
    <row r="1470" spans="1:9" x14ac:dyDescent="0.3">
      <c r="A1470" t="s">
        <v>5691</v>
      </c>
      <c r="B1470" t="s">
        <v>585</v>
      </c>
      <c r="C1470" t="s">
        <v>5692</v>
      </c>
      <c r="D1470" t="s">
        <v>3029</v>
      </c>
      <c r="E1470" t="s">
        <v>5700</v>
      </c>
      <c r="F1470" t="s">
        <v>3027</v>
      </c>
      <c r="G1470" t="s">
        <v>3031</v>
      </c>
      <c r="H1470">
        <v>5</v>
      </c>
      <c r="I1470" t="s">
        <v>5701</v>
      </c>
    </row>
    <row r="1471" spans="1:9" x14ac:dyDescent="0.3">
      <c r="A1471" t="s">
        <v>5691</v>
      </c>
      <c r="B1471" t="s">
        <v>585</v>
      </c>
      <c r="C1471" t="s">
        <v>5692</v>
      </c>
      <c r="D1471" t="s">
        <v>3029</v>
      </c>
      <c r="E1471" t="s">
        <v>5702</v>
      </c>
      <c r="F1471" t="s">
        <v>3027</v>
      </c>
      <c r="G1471" t="s">
        <v>3031</v>
      </c>
      <c r="H1471">
        <v>6</v>
      </c>
      <c r="I1471" t="s">
        <v>5703</v>
      </c>
    </row>
    <row r="1472" spans="1:9" x14ac:dyDescent="0.3">
      <c r="A1472" t="s">
        <v>5691</v>
      </c>
      <c r="B1472" t="s">
        <v>585</v>
      </c>
      <c r="C1472" t="s">
        <v>5692</v>
      </c>
      <c r="D1472" t="s">
        <v>3029</v>
      </c>
      <c r="E1472" t="s">
        <v>5704</v>
      </c>
      <c r="F1472" t="s">
        <v>3027</v>
      </c>
      <c r="G1472" t="s">
        <v>3031</v>
      </c>
      <c r="H1472">
        <v>7</v>
      </c>
      <c r="I1472" t="s">
        <v>5705</v>
      </c>
    </row>
    <row r="1473" spans="1:9" x14ac:dyDescent="0.3">
      <c r="A1473" t="s">
        <v>5691</v>
      </c>
      <c r="B1473" t="s">
        <v>585</v>
      </c>
      <c r="C1473" t="s">
        <v>5692</v>
      </c>
      <c r="D1473" t="s">
        <v>3029</v>
      </c>
      <c r="E1473" t="s">
        <v>5706</v>
      </c>
      <c r="F1473" t="s">
        <v>3027</v>
      </c>
      <c r="G1473" t="s">
        <v>3031</v>
      </c>
      <c r="H1473">
        <v>8</v>
      </c>
      <c r="I1473" t="s">
        <v>5707</v>
      </c>
    </row>
    <row r="1474" spans="1:9" x14ac:dyDescent="0.3">
      <c r="A1474" t="s">
        <v>5691</v>
      </c>
      <c r="B1474" t="s">
        <v>585</v>
      </c>
      <c r="C1474" t="s">
        <v>5692</v>
      </c>
      <c r="D1474" t="s">
        <v>3029</v>
      </c>
      <c r="E1474" t="s">
        <v>5708</v>
      </c>
      <c r="F1474" t="s">
        <v>3027</v>
      </c>
      <c r="G1474" t="s">
        <v>3031</v>
      </c>
      <c r="H1474">
        <v>9</v>
      </c>
      <c r="I1474" t="s">
        <v>5709</v>
      </c>
    </row>
    <row r="1475" spans="1:9" x14ac:dyDescent="0.3">
      <c r="A1475" t="s">
        <v>5691</v>
      </c>
      <c r="B1475" t="s">
        <v>585</v>
      </c>
      <c r="C1475" t="s">
        <v>5692</v>
      </c>
      <c r="D1475" t="s">
        <v>3029</v>
      </c>
      <c r="E1475" t="s">
        <v>5710</v>
      </c>
      <c r="F1475" t="s">
        <v>3027</v>
      </c>
      <c r="G1475" t="s">
        <v>3031</v>
      </c>
      <c r="H1475">
        <v>10</v>
      </c>
      <c r="I1475" t="s">
        <v>5711</v>
      </c>
    </row>
    <row r="1476" spans="1:9" x14ac:dyDescent="0.3">
      <c r="A1476" t="s">
        <v>5691</v>
      </c>
      <c r="B1476" t="s">
        <v>585</v>
      </c>
      <c r="C1476" t="s">
        <v>5692</v>
      </c>
      <c r="D1476" t="s">
        <v>3029</v>
      </c>
      <c r="E1476" t="s">
        <v>5712</v>
      </c>
      <c r="F1476" t="s">
        <v>3027</v>
      </c>
      <c r="G1476" t="s">
        <v>3031</v>
      </c>
      <c r="H1476">
        <v>11</v>
      </c>
      <c r="I1476" t="s">
        <v>5713</v>
      </c>
    </row>
    <row r="1477" spans="1:9" x14ac:dyDescent="0.3">
      <c r="A1477" t="s">
        <v>5691</v>
      </c>
      <c r="B1477" t="s">
        <v>585</v>
      </c>
      <c r="C1477" t="s">
        <v>5692</v>
      </c>
      <c r="D1477" t="s">
        <v>3029</v>
      </c>
      <c r="E1477" t="s">
        <v>5714</v>
      </c>
      <c r="F1477" t="s">
        <v>3027</v>
      </c>
      <c r="G1477" t="s">
        <v>3031</v>
      </c>
      <c r="H1477">
        <v>12</v>
      </c>
      <c r="I1477" t="s">
        <v>5715</v>
      </c>
    </row>
    <row r="1478" spans="1:9" x14ac:dyDescent="0.3">
      <c r="A1478" t="s">
        <v>5691</v>
      </c>
      <c r="B1478" t="s">
        <v>585</v>
      </c>
      <c r="C1478" t="s">
        <v>5692</v>
      </c>
      <c r="D1478" t="s">
        <v>3029</v>
      </c>
      <c r="E1478" t="s">
        <v>5716</v>
      </c>
      <c r="F1478" t="s">
        <v>3027</v>
      </c>
      <c r="G1478" t="s">
        <v>3031</v>
      </c>
      <c r="H1478">
        <v>13</v>
      </c>
      <c r="I1478" t="s">
        <v>5717</v>
      </c>
    </row>
    <row r="1479" spans="1:9" x14ac:dyDescent="0.3">
      <c r="A1479" t="s">
        <v>5691</v>
      </c>
      <c r="B1479" t="s">
        <v>585</v>
      </c>
      <c r="C1479" t="s">
        <v>5692</v>
      </c>
      <c r="D1479" t="s">
        <v>3029</v>
      </c>
      <c r="E1479" t="s">
        <v>5718</v>
      </c>
      <c r="F1479" t="s">
        <v>3027</v>
      </c>
      <c r="G1479" t="s">
        <v>3031</v>
      </c>
      <c r="H1479">
        <v>14</v>
      </c>
      <c r="I1479" t="s">
        <v>5719</v>
      </c>
    </row>
    <row r="1480" spans="1:9" x14ac:dyDescent="0.3">
      <c r="A1480" t="s">
        <v>5691</v>
      </c>
      <c r="B1480" t="s">
        <v>585</v>
      </c>
      <c r="C1480" t="s">
        <v>5692</v>
      </c>
      <c r="D1480" t="s">
        <v>3029</v>
      </c>
      <c r="E1480" t="s">
        <v>5720</v>
      </c>
      <c r="F1480" t="s">
        <v>3027</v>
      </c>
      <c r="G1480" t="s">
        <v>3031</v>
      </c>
      <c r="H1480">
        <v>15</v>
      </c>
      <c r="I1480" t="s">
        <v>5721</v>
      </c>
    </row>
    <row r="1481" spans="1:9" x14ac:dyDescent="0.3">
      <c r="A1481" t="s">
        <v>5691</v>
      </c>
      <c r="B1481" t="s">
        <v>585</v>
      </c>
      <c r="C1481" t="s">
        <v>5692</v>
      </c>
      <c r="D1481" t="s">
        <v>3029</v>
      </c>
      <c r="E1481" t="s">
        <v>5722</v>
      </c>
      <c r="F1481" t="s">
        <v>3027</v>
      </c>
      <c r="G1481" t="s">
        <v>3031</v>
      </c>
      <c r="H1481">
        <v>16</v>
      </c>
      <c r="I1481" t="s">
        <v>5723</v>
      </c>
    </row>
    <row r="1482" spans="1:9" x14ac:dyDescent="0.3">
      <c r="A1482" t="s">
        <v>5691</v>
      </c>
      <c r="B1482" t="s">
        <v>585</v>
      </c>
      <c r="C1482" t="s">
        <v>5692</v>
      </c>
      <c r="D1482" t="s">
        <v>3029</v>
      </c>
      <c r="E1482" t="s">
        <v>5724</v>
      </c>
      <c r="F1482" t="s">
        <v>3027</v>
      </c>
      <c r="G1482" t="s">
        <v>3031</v>
      </c>
      <c r="H1482">
        <v>17</v>
      </c>
      <c r="I1482" t="s">
        <v>5725</v>
      </c>
    </row>
    <row r="1483" spans="1:9" x14ac:dyDescent="0.3">
      <c r="A1483" t="s">
        <v>5691</v>
      </c>
      <c r="B1483" t="s">
        <v>585</v>
      </c>
      <c r="C1483" t="s">
        <v>5692</v>
      </c>
      <c r="D1483" t="s">
        <v>3029</v>
      </c>
      <c r="E1483" t="s">
        <v>5726</v>
      </c>
      <c r="F1483" t="s">
        <v>3027</v>
      </c>
      <c r="G1483" t="s">
        <v>3031</v>
      </c>
      <c r="H1483">
        <v>18</v>
      </c>
      <c r="I1483" t="s">
        <v>5727</v>
      </c>
    </row>
    <row r="1484" spans="1:9" x14ac:dyDescent="0.3">
      <c r="A1484" t="s">
        <v>5691</v>
      </c>
      <c r="B1484" t="s">
        <v>585</v>
      </c>
      <c r="C1484" t="s">
        <v>5692</v>
      </c>
      <c r="D1484" t="s">
        <v>3029</v>
      </c>
      <c r="E1484" t="s">
        <v>5728</v>
      </c>
      <c r="F1484" t="s">
        <v>3027</v>
      </c>
      <c r="G1484" t="s">
        <v>3031</v>
      </c>
      <c r="H1484">
        <v>19</v>
      </c>
      <c r="I1484" t="s">
        <v>5729</v>
      </c>
    </row>
    <row r="1485" spans="1:9" x14ac:dyDescent="0.3">
      <c r="A1485" t="s">
        <v>5691</v>
      </c>
      <c r="B1485" t="s">
        <v>585</v>
      </c>
      <c r="C1485" t="s">
        <v>5692</v>
      </c>
      <c r="D1485" t="s">
        <v>3029</v>
      </c>
      <c r="E1485" t="s">
        <v>5730</v>
      </c>
      <c r="F1485" t="s">
        <v>3027</v>
      </c>
      <c r="G1485" t="s">
        <v>3031</v>
      </c>
      <c r="H1485">
        <v>20</v>
      </c>
      <c r="I1485" t="s">
        <v>5731</v>
      </c>
    </row>
    <row r="1486" spans="1:9" x14ac:dyDescent="0.3">
      <c r="A1486" t="s">
        <v>5732</v>
      </c>
      <c r="B1486" t="s">
        <v>591</v>
      </c>
      <c r="C1486" t="s">
        <v>591</v>
      </c>
      <c r="D1486" t="s">
        <v>3025</v>
      </c>
      <c r="E1486" t="s">
        <v>4587</v>
      </c>
      <c r="F1486" t="s">
        <v>3027</v>
      </c>
      <c r="G1486" t="s">
        <v>3028</v>
      </c>
      <c r="H1486">
        <v>1</v>
      </c>
      <c r="I1486" t="s">
        <v>591</v>
      </c>
    </row>
    <row r="1487" spans="1:9" x14ac:dyDescent="0.3">
      <c r="A1487" t="s">
        <v>5732</v>
      </c>
      <c r="B1487" t="s">
        <v>591</v>
      </c>
      <c r="C1487" t="s">
        <v>591</v>
      </c>
      <c r="D1487" t="s">
        <v>3029</v>
      </c>
      <c r="E1487" t="s">
        <v>5733</v>
      </c>
      <c r="F1487" t="s">
        <v>3027</v>
      </c>
      <c r="G1487" t="s">
        <v>3031</v>
      </c>
      <c r="H1487">
        <v>2</v>
      </c>
      <c r="I1487" t="s">
        <v>5734</v>
      </c>
    </row>
    <row r="1488" spans="1:9" x14ac:dyDescent="0.3">
      <c r="A1488" t="s">
        <v>5732</v>
      </c>
      <c r="B1488" t="s">
        <v>591</v>
      </c>
      <c r="C1488" t="s">
        <v>591</v>
      </c>
      <c r="D1488" t="s">
        <v>3029</v>
      </c>
      <c r="E1488" t="s">
        <v>5735</v>
      </c>
      <c r="F1488" t="s">
        <v>3027</v>
      </c>
      <c r="G1488" t="s">
        <v>3031</v>
      </c>
      <c r="H1488">
        <v>3</v>
      </c>
      <c r="I1488" t="s">
        <v>5736</v>
      </c>
    </row>
    <row r="1489" spans="1:9" x14ac:dyDescent="0.3">
      <c r="A1489" t="s">
        <v>5732</v>
      </c>
      <c r="B1489" t="s">
        <v>591</v>
      </c>
      <c r="C1489" t="s">
        <v>591</v>
      </c>
      <c r="D1489" t="s">
        <v>3029</v>
      </c>
      <c r="E1489" t="s">
        <v>4303</v>
      </c>
      <c r="F1489" t="s">
        <v>3027</v>
      </c>
      <c r="G1489" t="s">
        <v>3031</v>
      </c>
      <c r="H1489">
        <v>4</v>
      </c>
      <c r="I1489" t="s">
        <v>4304</v>
      </c>
    </row>
    <row r="1490" spans="1:9" x14ac:dyDescent="0.3">
      <c r="A1490" t="s">
        <v>5732</v>
      </c>
      <c r="B1490" t="s">
        <v>591</v>
      </c>
      <c r="C1490" t="s">
        <v>591</v>
      </c>
      <c r="D1490" t="s">
        <v>3029</v>
      </c>
      <c r="E1490" t="s">
        <v>5737</v>
      </c>
      <c r="F1490" t="s">
        <v>3027</v>
      </c>
      <c r="G1490" t="s">
        <v>3031</v>
      </c>
      <c r="H1490">
        <v>5</v>
      </c>
      <c r="I1490" t="s">
        <v>5738</v>
      </c>
    </row>
    <row r="1491" spans="1:9" x14ac:dyDescent="0.3">
      <c r="A1491" t="s">
        <v>5732</v>
      </c>
      <c r="B1491" t="s">
        <v>591</v>
      </c>
      <c r="C1491" t="s">
        <v>591</v>
      </c>
      <c r="D1491" t="s">
        <v>3029</v>
      </c>
      <c r="E1491" t="s">
        <v>5739</v>
      </c>
      <c r="F1491" t="s">
        <v>3027</v>
      </c>
      <c r="G1491" t="s">
        <v>3031</v>
      </c>
      <c r="H1491">
        <v>6</v>
      </c>
      <c r="I1491" t="s">
        <v>5740</v>
      </c>
    </row>
    <row r="1492" spans="1:9" x14ac:dyDescent="0.3">
      <c r="A1492" t="s">
        <v>5732</v>
      </c>
      <c r="B1492" t="s">
        <v>591</v>
      </c>
      <c r="C1492" t="s">
        <v>591</v>
      </c>
      <c r="D1492" t="s">
        <v>3029</v>
      </c>
      <c r="E1492" t="s">
        <v>5741</v>
      </c>
      <c r="F1492" t="s">
        <v>3027</v>
      </c>
      <c r="G1492" t="s">
        <v>3031</v>
      </c>
      <c r="H1492">
        <v>7</v>
      </c>
      <c r="I1492" t="s">
        <v>5742</v>
      </c>
    </row>
    <row r="1493" spans="1:9" x14ac:dyDescent="0.3">
      <c r="A1493" t="s">
        <v>5732</v>
      </c>
      <c r="B1493" t="s">
        <v>591</v>
      </c>
      <c r="C1493" t="s">
        <v>591</v>
      </c>
      <c r="D1493" t="s">
        <v>3029</v>
      </c>
      <c r="E1493" t="s">
        <v>5743</v>
      </c>
      <c r="F1493" t="s">
        <v>3027</v>
      </c>
      <c r="G1493" t="s">
        <v>3031</v>
      </c>
      <c r="H1493">
        <v>8</v>
      </c>
      <c r="I1493" t="s">
        <v>5744</v>
      </c>
    </row>
    <row r="1494" spans="1:9" x14ac:dyDescent="0.3">
      <c r="A1494" t="s">
        <v>5732</v>
      </c>
      <c r="B1494" t="s">
        <v>591</v>
      </c>
      <c r="C1494" t="s">
        <v>591</v>
      </c>
      <c r="D1494" t="s">
        <v>3029</v>
      </c>
      <c r="E1494" t="s">
        <v>5745</v>
      </c>
      <c r="F1494" t="s">
        <v>3027</v>
      </c>
      <c r="G1494" t="s">
        <v>3031</v>
      </c>
      <c r="H1494">
        <v>9</v>
      </c>
      <c r="I1494" t="s">
        <v>5746</v>
      </c>
    </row>
    <row r="1495" spans="1:9" x14ac:dyDescent="0.3">
      <c r="A1495" t="s">
        <v>5732</v>
      </c>
      <c r="B1495" t="s">
        <v>591</v>
      </c>
      <c r="C1495" t="s">
        <v>591</v>
      </c>
      <c r="D1495" t="s">
        <v>3029</v>
      </c>
      <c r="E1495" t="s">
        <v>5747</v>
      </c>
      <c r="F1495" t="s">
        <v>3027</v>
      </c>
      <c r="G1495" t="s">
        <v>3031</v>
      </c>
      <c r="H1495">
        <v>10</v>
      </c>
      <c r="I1495" t="s">
        <v>5748</v>
      </c>
    </row>
    <row r="1496" spans="1:9" x14ac:dyDescent="0.3">
      <c r="A1496" t="s">
        <v>5732</v>
      </c>
      <c r="B1496" t="s">
        <v>591</v>
      </c>
      <c r="C1496" t="s">
        <v>591</v>
      </c>
      <c r="D1496" t="s">
        <v>3029</v>
      </c>
      <c r="E1496" t="s">
        <v>5749</v>
      </c>
      <c r="F1496" t="s">
        <v>3027</v>
      </c>
      <c r="G1496" t="s">
        <v>3031</v>
      </c>
      <c r="H1496">
        <v>11</v>
      </c>
      <c r="I1496" t="s">
        <v>5750</v>
      </c>
    </row>
    <row r="1497" spans="1:9" x14ac:dyDescent="0.3">
      <c r="A1497" t="s">
        <v>5732</v>
      </c>
      <c r="B1497" t="s">
        <v>591</v>
      </c>
      <c r="C1497" t="s">
        <v>591</v>
      </c>
      <c r="D1497" t="s">
        <v>3029</v>
      </c>
      <c r="E1497" t="s">
        <v>4575</v>
      </c>
      <c r="F1497" t="s">
        <v>3027</v>
      </c>
      <c r="G1497" t="s">
        <v>3031</v>
      </c>
      <c r="H1497">
        <v>12</v>
      </c>
      <c r="I1497" t="s">
        <v>4576</v>
      </c>
    </row>
    <row r="1498" spans="1:9" x14ac:dyDescent="0.3">
      <c r="A1498" t="s">
        <v>5732</v>
      </c>
      <c r="B1498" t="s">
        <v>591</v>
      </c>
      <c r="C1498" t="s">
        <v>591</v>
      </c>
      <c r="D1498" t="s">
        <v>3029</v>
      </c>
      <c r="E1498" t="s">
        <v>4563</v>
      </c>
      <c r="F1498" t="s">
        <v>3027</v>
      </c>
      <c r="G1498" t="s">
        <v>3031</v>
      </c>
      <c r="H1498">
        <v>13</v>
      </c>
      <c r="I1498" t="s">
        <v>4564</v>
      </c>
    </row>
    <row r="1499" spans="1:9" x14ac:dyDescent="0.3">
      <c r="A1499" t="s">
        <v>5732</v>
      </c>
      <c r="B1499" t="s">
        <v>591</v>
      </c>
      <c r="C1499" t="s">
        <v>591</v>
      </c>
      <c r="D1499" t="s">
        <v>3029</v>
      </c>
      <c r="E1499" t="s">
        <v>5751</v>
      </c>
      <c r="F1499" t="s">
        <v>3027</v>
      </c>
      <c r="G1499" t="s">
        <v>3031</v>
      </c>
      <c r="H1499">
        <v>14</v>
      </c>
      <c r="I1499" t="s">
        <v>5752</v>
      </c>
    </row>
    <row r="1500" spans="1:9" x14ac:dyDescent="0.3">
      <c r="A1500" t="s">
        <v>5732</v>
      </c>
      <c r="B1500" t="s">
        <v>591</v>
      </c>
      <c r="C1500" t="s">
        <v>591</v>
      </c>
      <c r="D1500" t="s">
        <v>3029</v>
      </c>
      <c r="E1500" t="s">
        <v>5753</v>
      </c>
      <c r="F1500" t="s">
        <v>3027</v>
      </c>
      <c r="G1500" t="s">
        <v>3031</v>
      </c>
      <c r="H1500">
        <v>15</v>
      </c>
      <c r="I1500" t="s">
        <v>5754</v>
      </c>
    </row>
    <row r="1501" spans="1:9" x14ac:dyDescent="0.3">
      <c r="A1501" t="s">
        <v>5732</v>
      </c>
      <c r="B1501" t="s">
        <v>591</v>
      </c>
      <c r="C1501" t="s">
        <v>591</v>
      </c>
      <c r="D1501" t="s">
        <v>3029</v>
      </c>
      <c r="E1501" t="s">
        <v>4570</v>
      </c>
      <c r="F1501" t="s">
        <v>3027</v>
      </c>
      <c r="G1501" t="s">
        <v>3031</v>
      </c>
      <c r="H1501">
        <v>16</v>
      </c>
      <c r="I1501" t="s">
        <v>5755</v>
      </c>
    </row>
    <row r="1502" spans="1:9" x14ac:dyDescent="0.3">
      <c r="A1502" t="s">
        <v>5732</v>
      </c>
      <c r="B1502" t="s">
        <v>591</v>
      </c>
      <c r="C1502" t="s">
        <v>591</v>
      </c>
      <c r="D1502" t="s">
        <v>3029</v>
      </c>
      <c r="E1502" t="s">
        <v>5756</v>
      </c>
      <c r="F1502" t="s">
        <v>3027</v>
      </c>
      <c r="G1502" t="s">
        <v>3031</v>
      </c>
      <c r="H1502">
        <v>17</v>
      </c>
      <c r="I1502" t="s">
        <v>5757</v>
      </c>
    </row>
    <row r="1503" spans="1:9" x14ac:dyDescent="0.3">
      <c r="A1503" t="s">
        <v>5732</v>
      </c>
      <c r="B1503" t="s">
        <v>591</v>
      </c>
      <c r="C1503" t="s">
        <v>591</v>
      </c>
      <c r="D1503" t="s">
        <v>3029</v>
      </c>
      <c r="E1503" t="s">
        <v>5758</v>
      </c>
      <c r="F1503" t="s">
        <v>3027</v>
      </c>
      <c r="G1503" t="s">
        <v>3031</v>
      </c>
      <c r="H1503">
        <v>18</v>
      </c>
      <c r="I1503" t="s">
        <v>5759</v>
      </c>
    </row>
    <row r="1504" spans="1:9" x14ac:dyDescent="0.3">
      <c r="A1504" t="s">
        <v>5732</v>
      </c>
      <c r="B1504" t="s">
        <v>591</v>
      </c>
      <c r="C1504" t="s">
        <v>591</v>
      </c>
      <c r="D1504" t="s">
        <v>3029</v>
      </c>
      <c r="E1504" t="s">
        <v>5760</v>
      </c>
      <c r="F1504" t="s">
        <v>3027</v>
      </c>
      <c r="G1504" t="s">
        <v>3031</v>
      </c>
      <c r="H1504">
        <v>19</v>
      </c>
      <c r="I1504" t="s">
        <v>5761</v>
      </c>
    </row>
    <row r="1505" spans="1:9" x14ac:dyDescent="0.3">
      <c r="A1505" t="s">
        <v>5732</v>
      </c>
      <c r="B1505" t="s">
        <v>591</v>
      </c>
      <c r="C1505" t="s">
        <v>591</v>
      </c>
      <c r="D1505" t="s">
        <v>3029</v>
      </c>
      <c r="E1505" t="s">
        <v>5762</v>
      </c>
      <c r="F1505" t="s">
        <v>3027</v>
      </c>
      <c r="G1505" t="s">
        <v>3031</v>
      </c>
      <c r="H1505">
        <v>20</v>
      </c>
      <c r="I1505" t="s">
        <v>5763</v>
      </c>
    </row>
    <row r="1506" spans="1:9" x14ac:dyDescent="0.3">
      <c r="A1506" t="s">
        <v>5764</v>
      </c>
      <c r="B1506" t="s">
        <v>598</v>
      </c>
      <c r="C1506" t="s">
        <v>598</v>
      </c>
      <c r="D1506" t="s">
        <v>3025</v>
      </c>
      <c r="E1506" t="s">
        <v>5765</v>
      </c>
      <c r="F1506" t="s">
        <v>3027</v>
      </c>
      <c r="G1506" t="s">
        <v>3028</v>
      </c>
      <c r="H1506">
        <v>1</v>
      </c>
      <c r="I1506" t="s">
        <v>598</v>
      </c>
    </row>
    <row r="1507" spans="1:9" x14ac:dyDescent="0.3">
      <c r="A1507" t="s">
        <v>5764</v>
      </c>
      <c r="B1507" t="s">
        <v>598</v>
      </c>
      <c r="C1507" t="s">
        <v>598</v>
      </c>
      <c r="D1507" t="s">
        <v>3029</v>
      </c>
      <c r="E1507" t="s">
        <v>5766</v>
      </c>
      <c r="F1507" t="s">
        <v>3027</v>
      </c>
      <c r="G1507" t="s">
        <v>3031</v>
      </c>
      <c r="H1507">
        <v>2</v>
      </c>
      <c r="I1507" t="s">
        <v>5767</v>
      </c>
    </row>
    <row r="1508" spans="1:9" x14ac:dyDescent="0.3">
      <c r="A1508" t="s">
        <v>5764</v>
      </c>
      <c r="B1508" t="s">
        <v>598</v>
      </c>
      <c r="C1508" t="s">
        <v>598</v>
      </c>
      <c r="D1508" t="s">
        <v>3029</v>
      </c>
      <c r="E1508" t="s">
        <v>5768</v>
      </c>
      <c r="F1508" t="s">
        <v>3027</v>
      </c>
      <c r="G1508" t="s">
        <v>3031</v>
      </c>
      <c r="H1508">
        <v>3</v>
      </c>
      <c r="I1508" t="s">
        <v>5769</v>
      </c>
    </row>
    <row r="1509" spans="1:9" x14ac:dyDescent="0.3">
      <c r="A1509" t="s">
        <v>5764</v>
      </c>
      <c r="B1509" t="s">
        <v>598</v>
      </c>
      <c r="C1509" t="s">
        <v>598</v>
      </c>
      <c r="D1509" t="s">
        <v>3029</v>
      </c>
      <c r="E1509" t="s">
        <v>5770</v>
      </c>
      <c r="F1509" t="s">
        <v>3027</v>
      </c>
      <c r="G1509" t="s">
        <v>3031</v>
      </c>
      <c r="H1509">
        <v>4</v>
      </c>
      <c r="I1509" t="s">
        <v>5771</v>
      </c>
    </row>
    <row r="1510" spans="1:9" x14ac:dyDescent="0.3">
      <c r="A1510" t="s">
        <v>5764</v>
      </c>
      <c r="B1510" t="s">
        <v>598</v>
      </c>
      <c r="C1510" t="s">
        <v>598</v>
      </c>
      <c r="D1510" t="s">
        <v>3029</v>
      </c>
      <c r="E1510" t="s">
        <v>5772</v>
      </c>
      <c r="F1510" t="s">
        <v>3027</v>
      </c>
      <c r="G1510" t="s">
        <v>3031</v>
      </c>
      <c r="H1510">
        <v>5</v>
      </c>
      <c r="I1510" t="s">
        <v>5773</v>
      </c>
    </row>
    <row r="1511" spans="1:9" x14ac:dyDescent="0.3">
      <c r="A1511" t="s">
        <v>5764</v>
      </c>
      <c r="B1511" t="s">
        <v>598</v>
      </c>
      <c r="C1511" t="s">
        <v>598</v>
      </c>
      <c r="D1511" t="s">
        <v>3029</v>
      </c>
      <c r="E1511" t="s">
        <v>5774</v>
      </c>
      <c r="F1511" t="s">
        <v>3027</v>
      </c>
      <c r="G1511" t="s">
        <v>3031</v>
      </c>
      <c r="H1511">
        <v>6</v>
      </c>
      <c r="I1511" t="s">
        <v>5775</v>
      </c>
    </row>
    <row r="1512" spans="1:9" x14ac:dyDescent="0.3">
      <c r="A1512" t="s">
        <v>5764</v>
      </c>
      <c r="B1512" t="s">
        <v>598</v>
      </c>
      <c r="C1512" t="s">
        <v>598</v>
      </c>
      <c r="D1512" t="s">
        <v>3029</v>
      </c>
      <c r="E1512" t="s">
        <v>5776</v>
      </c>
      <c r="F1512" t="s">
        <v>3027</v>
      </c>
      <c r="G1512" t="s">
        <v>3031</v>
      </c>
      <c r="H1512">
        <v>7</v>
      </c>
      <c r="I1512" t="s">
        <v>5777</v>
      </c>
    </row>
    <row r="1513" spans="1:9" x14ac:dyDescent="0.3">
      <c r="A1513" t="s">
        <v>5764</v>
      </c>
      <c r="B1513" t="s">
        <v>598</v>
      </c>
      <c r="C1513" t="s">
        <v>598</v>
      </c>
      <c r="D1513" t="s">
        <v>3029</v>
      </c>
      <c r="E1513" t="s">
        <v>5778</v>
      </c>
      <c r="F1513" t="s">
        <v>3027</v>
      </c>
      <c r="G1513" t="s">
        <v>3031</v>
      </c>
      <c r="H1513">
        <v>8</v>
      </c>
      <c r="I1513" t="s">
        <v>5779</v>
      </c>
    </row>
    <row r="1514" spans="1:9" x14ac:dyDescent="0.3">
      <c r="A1514" t="s">
        <v>5764</v>
      </c>
      <c r="B1514" t="s">
        <v>598</v>
      </c>
      <c r="C1514" t="s">
        <v>598</v>
      </c>
      <c r="D1514" t="s">
        <v>3029</v>
      </c>
      <c r="E1514" t="s">
        <v>5780</v>
      </c>
      <c r="F1514" t="s">
        <v>3027</v>
      </c>
      <c r="G1514" t="s">
        <v>3031</v>
      </c>
      <c r="H1514">
        <v>9</v>
      </c>
      <c r="I1514" t="s">
        <v>5781</v>
      </c>
    </row>
    <row r="1515" spans="1:9" x14ac:dyDescent="0.3">
      <c r="A1515" t="s">
        <v>5764</v>
      </c>
      <c r="B1515" t="s">
        <v>598</v>
      </c>
      <c r="C1515" t="s">
        <v>598</v>
      </c>
      <c r="D1515" t="s">
        <v>3029</v>
      </c>
      <c r="E1515" t="s">
        <v>5782</v>
      </c>
      <c r="F1515" t="s">
        <v>3027</v>
      </c>
      <c r="G1515" t="s">
        <v>3031</v>
      </c>
      <c r="H1515">
        <v>10</v>
      </c>
      <c r="I1515" t="s">
        <v>5783</v>
      </c>
    </row>
    <row r="1516" spans="1:9" x14ac:dyDescent="0.3">
      <c r="A1516" t="s">
        <v>5764</v>
      </c>
      <c r="B1516" t="s">
        <v>598</v>
      </c>
      <c r="C1516" t="s">
        <v>598</v>
      </c>
      <c r="D1516" t="s">
        <v>3029</v>
      </c>
      <c r="E1516" t="s">
        <v>5784</v>
      </c>
      <c r="F1516" t="s">
        <v>3027</v>
      </c>
      <c r="G1516" t="s">
        <v>3031</v>
      </c>
      <c r="H1516">
        <v>11</v>
      </c>
      <c r="I1516" t="s">
        <v>5785</v>
      </c>
    </row>
    <row r="1517" spans="1:9" x14ac:dyDescent="0.3">
      <c r="A1517" t="s">
        <v>5764</v>
      </c>
      <c r="B1517" t="s">
        <v>598</v>
      </c>
      <c r="C1517" t="s">
        <v>598</v>
      </c>
      <c r="D1517" t="s">
        <v>3029</v>
      </c>
      <c r="E1517" t="s">
        <v>5786</v>
      </c>
      <c r="F1517" t="s">
        <v>3027</v>
      </c>
      <c r="G1517" t="s">
        <v>3031</v>
      </c>
      <c r="H1517">
        <v>12</v>
      </c>
      <c r="I1517" t="s">
        <v>5787</v>
      </c>
    </row>
    <row r="1518" spans="1:9" x14ac:dyDescent="0.3">
      <c r="A1518" t="s">
        <v>5764</v>
      </c>
      <c r="B1518" t="s">
        <v>598</v>
      </c>
      <c r="C1518" t="s">
        <v>598</v>
      </c>
      <c r="D1518" t="s">
        <v>3029</v>
      </c>
      <c r="E1518" t="s">
        <v>5788</v>
      </c>
      <c r="F1518" t="s">
        <v>3027</v>
      </c>
      <c r="G1518" t="s">
        <v>3031</v>
      </c>
      <c r="H1518">
        <v>13</v>
      </c>
      <c r="I1518" t="s">
        <v>5789</v>
      </c>
    </row>
    <row r="1519" spans="1:9" x14ac:dyDescent="0.3">
      <c r="A1519" t="s">
        <v>5764</v>
      </c>
      <c r="B1519" t="s">
        <v>598</v>
      </c>
      <c r="C1519" t="s">
        <v>598</v>
      </c>
      <c r="D1519" t="s">
        <v>3029</v>
      </c>
      <c r="E1519" t="s">
        <v>5790</v>
      </c>
      <c r="F1519" t="s">
        <v>3027</v>
      </c>
      <c r="G1519" t="s">
        <v>3031</v>
      </c>
      <c r="H1519">
        <v>14</v>
      </c>
      <c r="I1519" t="s">
        <v>5791</v>
      </c>
    </row>
    <row r="1520" spans="1:9" x14ac:dyDescent="0.3">
      <c r="A1520" t="s">
        <v>5764</v>
      </c>
      <c r="B1520" t="s">
        <v>598</v>
      </c>
      <c r="C1520" t="s">
        <v>598</v>
      </c>
      <c r="D1520" t="s">
        <v>3029</v>
      </c>
      <c r="E1520" t="s">
        <v>5792</v>
      </c>
      <c r="F1520" t="s">
        <v>3027</v>
      </c>
      <c r="G1520" t="s">
        <v>3031</v>
      </c>
      <c r="H1520">
        <v>15</v>
      </c>
      <c r="I1520" t="s">
        <v>5793</v>
      </c>
    </row>
    <row r="1521" spans="1:9" x14ac:dyDescent="0.3">
      <c r="A1521" t="s">
        <v>5764</v>
      </c>
      <c r="B1521" t="s">
        <v>598</v>
      </c>
      <c r="C1521" t="s">
        <v>598</v>
      </c>
      <c r="D1521" t="s">
        <v>3029</v>
      </c>
      <c r="E1521" t="s">
        <v>5794</v>
      </c>
      <c r="F1521" t="s">
        <v>3027</v>
      </c>
      <c r="G1521" t="s">
        <v>3031</v>
      </c>
      <c r="H1521">
        <v>16</v>
      </c>
      <c r="I1521" t="s">
        <v>5795</v>
      </c>
    </row>
    <row r="1522" spans="1:9" x14ac:dyDescent="0.3">
      <c r="A1522" t="s">
        <v>5764</v>
      </c>
      <c r="B1522" t="s">
        <v>598</v>
      </c>
      <c r="C1522" t="s">
        <v>598</v>
      </c>
      <c r="D1522" t="s">
        <v>3029</v>
      </c>
      <c r="E1522" t="s">
        <v>5796</v>
      </c>
      <c r="F1522" t="s">
        <v>3027</v>
      </c>
      <c r="G1522" t="s">
        <v>3031</v>
      </c>
      <c r="H1522">
        <v>17</v>
      </c>
      <c r="I1522" t="s">
        <v>5797</v>
      </c>
    </row>
    <row r="1523" spans="1:9" x14ac:dyDescent="0.3">
      <c r="A1523" t="s">
        <v>5764</v>
      </c>
      <c r="B1523" t="s">
        <v>598</v>
      </c>
      <c r="C1523" t="s">
        <v>598</v>
      </c>
      <c r="D1523" t="s">
        <v>3029</v>
      </c>
      <c r="E1523" t="s">
        <v>5798</v>
      </c>
      <c r="F1523" t="s">
        <v>3027</v>
      </c>
      <c r="G1523" t="s">
        <v>3031</v>
      </c>
      <c r="H1523">
        <v>18</v>
      </c>
      <c r="I1523" t="s">
        <v>5799</v>
      </c>
    </row>
    <row r="1524" spans="1:9" x14ac:dyDescent="0.3">
      <c r="A1524" t="s">
        <v>5764</v>
      </c>
      <c r="B1524" t="s">
        <v>598</v>
      </c>
      <c r="C1524" t="s">
        <v>598</v>
      </c>
      <c r="D1524" t="s">
        <v>3029</v>
      </c>
      <c r="E1524" t="s">
        <v>5800</v>
      </c>
      <c r="F1524" t="s">
        <v>3027</v>
      </c>
      <c r="G1524" t="s">
        <v>3031</v>
      </c>
      <c r="H1524">
        <v>19</v>
      </c>
      <c r="I1524" t="s">
        <v>5801</v>
      </c>
    </row>
    <row r="1525" spans="1:9" x14ac:dyDescent="0.3">
      <c r="A1525" t="s">
        <v>5764</v>
      </c>
      <c r="B1525" t="s">
        <v>598</v>
      </c>
      <c r="C1525" t="s">
        <v>598</v>
      </c>
      <c r="D1525" t="s">
        <v>3029</v>
      </c>
      <c r="E1525" t="s">
        <v>5075</v>
      </c>
      <c r="F1525" t="s">
        <v>3027</v>
      </c>
      <c r="G1525" t="s">
        <v>3031</v>
      </c>
      <c r="H1525">
        <v>20</v>
      </c>
      <c r="I1525" t="s">
        <v>5076</v>
      </c>
    </row>
    <row r="1526" spans="1:9" x14ac:dyDescent="0.3">
      <c r="A1526" t="s">
        <v>5802</v>
      </c>
      <c r="B1526" t="s">
        <v>604</v>
      </c>
      <c r="C1526" t="s">
        <v>5803</v>
      </c>
      <c r="D1526" t="s">
        <v>3025</v>
      </c>
      <c r="E1526" t="s">
        <v>5804</v>
      </c>
      <c r="F1526" t="s">
        <v>3027</v>
      </c>
      <c r="G1526" t="s">
        <v>3028</v>
      </c>
      <c r="H1526">
        <v>1</v>
      </c>
      <c r="I1526" t="s">
        <v>5803</v>
      </c>
    </row>
    <row r="1527" spans="1:9" x14ac:dyDescent="0.3">
      <c r="A1527" t="s">
        <v>5802</v>
      </c>
      <c r="B1527" t="s">
        <v>604</v>
      </c>
      <c r="C1527" t="s">
        <v>5803</v>
      </c>
      <c r="D1527" t="s">
        <v>3029</v>
      </c>
      <c r="E1527" t="s">
        <v>5805</v>
      </c>
      <c r="F1527" t="s">
        <v>3027</v>
      </c>
      <c r="G1527" t="s">
        <v>3031</v>
      </c>
      <c r="H1527">
        <v>2</v>
      </c>
      <c r="I1527" t="s">
        <v>5806</v>
      </c>
    </row>
    <row r="1528" spans="1:9" x14ac:dyDescent="0.3">
      <c r="A1528" t="s">
        <v>5802</v>
      </c>
      <c r="B1528" t="s">
        <v>604</v>
      </c>
      <c r="C1528" t="s">
        <v>5803</v>
      </c>
      <c r="D1528" t="s">
        <v>3029</v>
      </c>
      <c r="E1528" t="s">
        <v>3655</v>
      </c>
      <c r="F1528" t="s">
        <v>3027</v>
      </c>
      <c r="G1528" t="s">
        <v>3031</v>
      </c>
      <c r="H1528">
        <v>3</v>
      </c>
      <c r="I1528" t="s">
        <v>3656</v>
      </c>
    </row>
    <row r="1529" spans="1:9" x14ac:dyDescent="0.3">
      <c r="A1529" t="s">
        <v>5802</v>
      </c>
      <c r="B1529" t="s">
        <v>604</v>
      </c>
      <c r="C1529" t="s">
        <v>5803</v>
      </c>
      <c r="D1529" t="s">
        <v>3029</v>
      </c>
      <c r="E1529" t="s">
        <v>5807</v>
      </c>
      <c r="F1529" t="s">
        <v>3027</v>
      </c>
      <c r="G1529" t="s">
        <v>3031</v>
      </c>
      <c r="H1529">
        <v>4</v>
      </c>
      <c r="I1529" t="s">
        <v>5808</v>
      </c>
    </row>
    <row r="1530" spans="1:9" x14ac:dyDescent="0.3">
      <c r="A1530" t="s">
        <v>5802</v>
      </c>
      <c r="B1530" t="s">
        <v>604</v>
      </c>
      <c r="C1530" t="s">
        <v>5803</v>
      </c>
      <c r="D1530" t="s">
        <v>3029</v>
      </c>
      <c r="E1530" t="s">
        <v>5809</v>
      </c>
      <c r="F1530" t="s">
        <v>3027</v>
      </c>
      <c r="G1530" t="s">
        <v>3031</v>
      </c>
      <c r="H1530">
        <v>5</v>
      </c>
      <c r="I1530" t="s">
        <v>5810</v>
      </c>
    </row>
    <row r="1531" spans="1:9" x14ac:dyDescent="0.3">
      <c r="A1531" t="s">
        <v>5802</v>
      </c>
      <c r="B1531" t="s">
        <v>604</v>
      </c>
      <c r="C1531" t="s">
        <v>5803</v>
      </c>
      <c r="D1531" t="s">
        <v>3029</v>
      </c>
      <c r="E1531" t="s">
        <v>5811</v>
      </c>
      <c r="F1531" t="s">
        <v>3027</v>
      </c>
      <c r="G1531" t="s">
        <v>3031</v>
      </c>
      <c r="H1531">
        <v>6</v>
      </c>
      <c r="I1531" t="s">
        <v>5812</v>
      </c>
    </row>
    <row r="1532" spans="1:9" x14ac:dyDescent="0.3">
      <c r="A1532" t="s">
        <v>5802</v>
      </c>
      <c r="B1532" t="s">
        <v>604</v>
      </c>
      <c r="C1532" t="s">
        <v>5803</v>
      </c>
      <c r="D1532" t="s">
        <v>3029</v>
      </c>
      <c r="E1532" t="s">
        <v>5813</v>
      </c>
      <c r="F1532" t="s">
        <v>3027</v>
      </c>
      <c r="G1532" t="s">
        <v>3031</v>
      </c>
      <c r="H1532">
        <v>7</v>
      </c>
      <c r="I1532" t="s">
        <v>5814</v>
      </c>
    </row>
    <row r="1533" spans="1:9" x14ac:dyDescent="0.3">
      <c r="A1533" t="s">
        <v>5802</v>
      </c>
      <c r="B1533" t="s">
        <v>604</v>
      </c>
      <c r="C1533" t="s">
        <v>5803</v>
      </c>
      <c r="D1533" t="s">
        <v>3029</v>
      </c>
      <c r="E1533" t="s">
        <v>5815</v>
      </c>
      <c r="F1533" t="s">
        <v>3027</v>
      </c>
      <c r="G1533" t="s">
        <v>3031</v>
      </c>
      <c r="H1533">
        <v>8</v>
      </c>
      <c r="I1533" t="s">
        <v>5816</v>
      </c>
    </row>
    <row r="1534" spans="1:9" x14ac:dyDescent="0.3">
      <c r="A1534" t="s">
        <v>5802</v>
      </c>
      <c r="B1534" t="s">
        <v>604</v>
      </c>
      <c r="C1534" t="s">
        <v>5803</v>
      </c>
      <c r="D1534" t="s">
        <v>3029</v>
      </c>
      <c r="E1534" t="s">
        <v>5817</v>
      </c>
      <c r="F1534" t="s">
        <v>3027</v>
      </c>
      <c r="G1534" t="s">
        <v>3031</v>
      </c>
      <c r="H1534">
        <v>9</v>
      </c>
      <c r="I1534" t="s">
        <v>5818</v>
      </c>
    </row>
    <row r="1535" spans="1:9" x14ac:dyDescent="0.3">
      <c r="A1535" t="s">
        <v>5802</v>
      </c>
      <c r="B1535" t="s">
        <v>604</v>
      </c>
      <c r="C1535" t="s">
        <v>5803</v>
      </c>
      <c r="D1535" t="s">
        <v>3029</v>
      </c>
      <c r="E1535" t="s">
        <v>5819</v>
      </c>
      <c r="F1535" t="s">
        <v>3027</v>
      </c>
      <c r="G1535" t="s">
        <v>3031</v>
      </c>
      <c r="H1535">
        <v>10</v>
      </c>
      <c r="I1535" t="s">
        <v>5820</v>
      </c>
    </row>
    <row r="1536" spans="1:9" x14ac:dyDescent="0.3">
      <c r="A1536" t="s">
        <v>5802</v>
      </c>
      <c r="B1536" t="s">
        <v>604</v>
      </c>
      <c r="C1536" t="s">
        <v>5803</v>
      </c>
      <c r="D1536" t="s">
        <v>3029</v>
      </c>
      <c r="E1536" t="s">
        <v>5821</v>
      </c>
      <c r="F1536" t="s">
        <v>3027</v>
      </c>
      <c r="G1536" t="s">
        <v>3031</v>
      </c>
      <c r="H1536">
        <v>11</v>
      </c>
      <c r="I1536" t="s">
        <v>5822</v>
      </c>
    </row>
    <row r="1537" spans="1:9" x14ac:dyDescent="0.3">
      <c r="A1537" t="s">
        <v>5802</v>
      </c>
      <c r="B1537" t="s">
        <v>604</v>
      </c>
      <c r="C1537" t="s">
        <v>5803</v>
      </c>
      <c r="D1537" t="s">
        <v>3029</v>
      </c>
      <c r="E1537" t="s">
        <v>5823</v>
      </c>
      <c r="F1537" t="s">
        <v>3027</v>
      </c>
      <c r="G1537" t="s">
        <v>3031</v>
      </c>
      <c r="H1537">
        <v>12</v>
      </c>
      <c r="I1537" t="s">
        <v>5824</v>
      </c>
    </row>
    <row r="1538" spans="1:9" x14ac:dyDescent="0.3">
      <c r="A1538" t="s">
        <v>5802</v>
      </c>
      <c r="B1538" t="s">
        <v>604</v>
      </c>
      <c r="C1538" t="s">
        <v>5803</v>
      </c>
      <c r="D1538" t="s">
        <v>3029</v>
      </c>
      <c r="E1538" t="s">
        <v>5825</v>
      </c>
      <c r="F1538" t="s">
        <v>3027</v>
      </c>
      <c r="G1538" t="s">
        <v>3031</v>
      </c>
      <c r="H1538">
        <v>13</v>
      </c>
      <c r="I1538" t="s">
        <v>5826</v>
      </c>
    </row>
    <row r="1539" spans="1:9" x14ac:dyDescent="0.3">
      <c r="A1539" t="s">
        <v>5802</v>
      </c>
      <c r="B1539" t="s">
        <v>604</v>
      </c>
      <c r="C1539" t="s">
        <v>5803</v>
      </c>
      <c r="D1539" t="s">
        <v>3029</v>
      </c>
      <c r="E1539" t="s">
        <v>5827</v>
      </c>
      <c r="F1539" t="s">
        <v>3027</v>
      </c>
      <c r="G1539" t="s">
        <v>3031</v>
      </c>
      <c r="H1539">
        <v>14</v>
      </c>
      <c r="I1539" t="s">
        <v>5828</v>
      </c>
    </row>
    <row r="1540" spans="1:9" x14ac:dyDescent="0.3">
      <c r="A1540" t="s">
        <v>5802</v>
      </c>
      <c r="B1540" t="s">
        <v>604</v>
      </c>
      <c r="C1540" t="s">
        <v>5803</v>
      </c>
      <c r="D1540" t="s">
        <v>3029</v>
      </c>
      <c r="E1540" t="s">
        <v>5134</v>
      </c>
      <c r="F1540" t="s">
        <v>3027</v>
      </c>
      <c r="G1540" t="s">
        <v>3031</v>
      </c>
      <c r="H1540">
        <v>15</v>
      </c>
      <c r="I1540" t="s">
        <v>5135</v>
      </c>
    </row>
    <row r="1541" spans="1:9" x14ac:dyDescent="0.3">
      <c r="A1541" t="s">
        <v>5802</v>
      </c>
      <c r="B1541" t="s">
        <v>604</v>
      </c>
      <c r="C1541" t="s">
        <v>5803</v>
      </c>
      <c r="D1541" t="s">
        <v>3029</v>
      </c>
      <c r="E1541" t="s">
        <v>5829</v>
      </c>
      <c r="F1541" t="s">
        <v>3027</v>
      </c>
      <c r="G1541" t="s">
        <v>3031</v>
      </c>
      <c r="H1541">
        <v>16</v>
      </c>
      <c r="I1541" t="s">
        <v>5830</v>
      </c>
    </row>
    <row r="1542" spans="1:9" x14ac:dyDescent="0.3">
      <c r="A1542" t="s">
        <v>5802</v>
      </c>
      <c r="B1542" t="s">
        <v>604</v>
      </c>
      <c r="C1542" t="s">
        <v>5803</v>
      </c>
      <c r="D1542" t="s">
        <v>3029</v>
      </c>
      <c r="E1542" t="s">
        <v>5831</v>
      </c>
      <c r="F1542" t="s">
        <v>3027</v>
      </c>
      <c r="G1542" t="s">
        <v>3031</v>
      </c>
      <c r="H1542">
        <v>17</v>
      </c>
      <c r="I1542" t="s">
        <v>5832</v>
      </c>
    </row>
    <row r="1543" spans="1:9" x14ac:dyDescent="0.3">
      <c r="A1543" t="s">
        <v>5802</v>
      </c>
      <c r="B1543" t="s">
        <v>604</v>
      </c>
      <c r="C1543" t="s">
        <v>5803</v>
      </c>
      <c r="D1543" t="s">
        <v>3029</v>
      </c>
      <c r="E1543" t="s">
        <v>5833</v>
      </c>
      <c r="F1543" t="s">
        <v>3027</v>
      </c>
      <c r="G1543" t="s">
        <v>3031</v>
      </c>
      <c r="H1543">
        <v>18</v>
      </c>
      <c r="I1543" t="s">
        <v>5834</v>
      </c>
    </row>
    <row r="1544" spans="1:9" x14ac:dyDescent="0.3">
      <c r="A1544" t="s">
        <v>5802</v>
      </c>
      <c r="B1544" t="s">
        <v>604</v>
      </c>
      <c r="C1544" t="s">
        <v>5803</v>
      </c>
      <c r="D1544" t="s">
        <v>3029</v>
      </c>
      <c r="E1544" t="s">
        <v>5835</v>
      </c>
      <c r="F1544" t="s">
        <v>3027</v>
      </c>
      <c r="G1544" t="s">
        <v>3031</v>
      </c>
      <c r="H1544">
        <v>19</v>
      </c>
      <c r="I1544" t="s">
        <v>5836</v>
      </c>
    </row>
    <row r="1545" spans="1:9" x14ac:dyDescent="0.3">
      <c r="A1545" t="s">
        <v>5802</v>
      </c>
      <c r="B1545" t="s">
        <v>604</v>
      </c>
      <c r="C1545" t="s">
        <v>5803</v>
      </c>
      <c r="D1545" t="s">
        <v>3029</v>
      </c>
      <c r="E1545" t="s">
        <v>5837</v>
      </c>
      <c r="F1545" t="s">
        <v>3027</v>
      </c>
      <c r="G1545" t="s">
        <v>3031</v>
      </c>
      <c r="H1545">
        <v>20</v>
      </c>
      <c r="I1545" t="s">
        <v>5838</v>
      </c>
    </row>
    <row r="1546" spans="1:9" x14ac:dyDescent="0.3">
      <c r="A1546" t="s">
        <v>5839</v>
      </c>
      <c r="B1546" t="s">
        <v>610</v>
      </c>
      <c r="C1546" t="s">
        <v>610</v>
      </c>
      <c r="D1546" t="s">
        <v>3025</v>
      </c>
      <c r="E1546" t="s">
        <v>5840</v>
      </c>
      <c r="F1546" t="s">
        <v>3027</v>
      </c>
      <c r="G1546" t="s">
        <v>3028</v>
      </c>
      <c r="H1546">
        <v>1</v>
      </c>
      <c r="I1546" t="s">
        <v>610</v>
      </c>
    </row>
    <row r="1547" spans="1:9" x14ac:dyDescent="0.3">
      <c r="A1547" t="s">
        <v>5839</v>
      </c>
      <c r="B1547" t="s">
        <v>610</v>
      </c>
      <c r="C1547" t="s">
        <v>610</v>
      </c>
      <c r="D1547" t="s">
        <v>3029</v>
      </c>
      <c r="E1547" t="s">
        <v>5841</v>
      </c>
      <c r="F1547" t="s">
        <v>3027</v>
      </c>
      <c r="G1547" t="s">
        <v>3031</v>
      </c>
      <c r="H1547">
        <v>2</v>
      </c>
      <c r="I1547" t="s">
        <v>5842</v>
      </c>
    </row>
    <row r="1548" spans="1:9" x14ac:dyDescent="0.3">
      <c r="A1548" t="s">
        <v>5839</v>
      </c>
      <c r="B1548" t="s">
        <v>610</v>
      </c>
      <c r="C1548" t="s">
        <v>610</v>
      </c>
      <c r="D1548" t="s">
        <v>3029</v>
      </c>
      <c r="E1548" t="s">
        <v>5843</v>
      </c>
      <c r="F1548" t="s">
        <v>3027</v>
      </c>
      <c r="G1548" t="s">
        <v>3031</v>
      </c>
      <c r="H1548">
        <v>3</v>
      </c>
      <c r="I1548" t="s">
        <v>5844</v>
      </c>
    </row>
    <row r="1549" spans="1:9" x14ac:dyDescent="0.3">
      <c r="A1549" t="s">
        <v>5839</v>
      </c>
      <c r="B1549" t="s">
        <v>610</v>
      </c>
      <c r="C1549" t="s">
        <v>610</v>
      </c>
      <c r="D1549" t="s">
        <v>3029</v>
      </c>
      <c r="E1549" t="s">
        <v>5845</v>
      </c>
      <c r="F1549" t="s">
        <v>3027</v>
      </c>
      <c r="G1549" t="s">
        <v>3031</v>
      </c>
      <c r="H1549">
        <v>4</v>
      </c>
      <c r="I1549" t="s">
        <v>5002</v>
      </c>
    </row>
    <row r="1550" spans="1:9" x14ac:dyDescent="0.3">
      <c r="A1550" t="s">
        <v>5839</v>
      </c>
      <c r="B1550" t="s">
        <v>610</v>
      </c>
      <c r="C1550" t="s">
        <v>610</v>
      </c>
      <c r="D1550" t="s">
        <v>3029</v>
      </c>
      <c r="E1550" t="s">
        <v>4561</v>
      </c>
      <c r="F1550" t="s">
        <v>3027</v>
      </c>
      <c r="G1550" t="s">
        <v>3031</v>
      </c>
      <c r="H1550">
        <v>5</v>
      </c>
      <c r="I1550" t="s">
        <v>4593</v>
      </c>
    </row>
    <row r="1551" spans="1:9" x14ac:dyDescent="0.3">
      <c r="A1551" t="s">
        <v>5839</v>
      </c>
      <c r="B1551" t="s">
        <v>610</v>
      </c>
      <c r="C1551" t="s">
        <v>610</v>
      </c>
      <c r="D1551" t="s">
        <v>3029</v>
      </c>
      <c r="E1551" t="s">
        <v>5846</v>
      </c>
      <c r="F1551" t="s">
        <v>3027</v>
      </c>
      <c r="G1551" t="s">
        <v>3031</v>
      </c>
      <c r="H1551">
        <v>6</v>
      </c>
      <c r="I1551" t="s">
        <v>5847</v>
      </c>
    </row>
    <row r="1552" spans="1:9" x14ac:dyDescent="0.3">
      <c r="A1552" t="s">
        <v>5839</v>
      </c>
      <c r="B1552" t="s">
        <v>610</v>
      </c>
      <c r="C1552" t="s">
        <v>610</v>
      </c>
      <c r="D1552" t="s">
        <v>3029</v>
      </c>
      <c r="E1552" t="s">
        <v>5737</v>
      </c>
      <c r="F1552" t="s">
        <v>3027</v>
      </c>
      <c r="G1552" t="s">
        <v>3031</v>
      </c>
      <c r="H1552">
        <v>7</v>
      </c>
      <c r="I1552" t="s">
        <v>5848</v>
      </c>
    </row>
    <row r="1553" spans="1:9" x14ac:dyDescent="0.3">
      <c r="A1553" t="s">
        <v>5839</v>
      </c>
      <c r="B1553" t="s">
        <v>610</v>
      </c>
      <c r="C1553" t="s">
        <v>610</v>
      </c>
      <c r="D1553" t="s">
        <v>3029</v>
      </c>
      <c r="E1553" t="s">
        <v>5849</v>
      </c>
      <c r="F1553" t="s">
        <v>3027</v>
      </c>
      <c r="G1553" t="s">
        <v>3031</v>
      </c>
      <c r="H1553">
        <v>8</v>
      </c>
      <c r="I1553" t="s">
        <v>5850</v>
      </c>
    </row>
    <row r="1554" spans="1:9" x14ac:dyDescent="0.3">
      <c r="A1554" t="s">
        <v>5839</v>
      </c>
      <c r="B1554" t="s">
        <v>610</v>
      </c>
      <c r="C1554" t="s">
        <v>610</v>
      </c>
      <c r="D1554" t="s">
        <v>3029</v>
      </c>
      <c r="E1554" t="s">
        <v>5851</v>
      </c>
      <c r="F1554" t="s">
        <v>3027</v>
      </c>
      <c r="G1554" t="s">
        <v>3031</v>
      </c>
      <c r="H1554">
        <v>9</v>
      </c>
      <c r="I1554" t="s">
        <v>5852</v>
      </c>
    </row>
    <row r="1555" spans="1:9" x14ac:dyDescent="0.3">
      <c r="A1555" t="s">
        <v>5839</v>
      </c>
      <c r="B1555" t="s">
        <v>610</v>
      </c>
      <c r="C1555" t="s">
        <v>610</v>
      </c>
      <c r="D1555" t="s">
        <v>3029</v>
      </c>
      <c r="E1555" t="s">
        <v>5853</v>
      </c>
      <c r="F1555" t="s">
        <v>3027</v>
      </c>
      <c r="G1555" t="s">
        <v>3031</v>
      </c>
      <c r="H1555">
        <v>10</v>
      </c>
      <c r="I1555" t="s">
        <v>5854</v>
      </c>
    </row>
    <row r="1556" spans="1:9" x14ac:dyDescent="0.3">
      <c r="A1556" t="s">
        <v>5839</v>
      </c>
      <c r="B1556" t="s">
        <v>610</v>
      </c>
      <c r="C1556" t="s">
        <v>610</v>
      </c>
      <c r="D1556" t="s">
        <v>3029</v>
      </c>
      <c r="E1556" t="s">
        <v>5855</v>
      </c>
      <c r="F1556" t="s">
        <v>3027</v>
      </c>
      <c r="G1556" t="s">
        <v>3031</v>
      </c>
      <c r="H1556">
        <v>11</v>
      </c>
      <c r="I1556" t="s">
        <v>5856</v>
      </c>
    </row>
    <row r="1557" spans="1:9" x14ac:dyDescent="0.3">
      <c r="A1557" t="s">
        <v>5839</v>
      </c>
      <c r="B1557" t="s">
        <v>610</v>
      </c>
      <c r="C1557" t="s">
        <v>610</v>
      </c>
      <c r="D1557" t="s">
        <v>3029</v>
      </c>
      <c r="E1557" t="s">
        <v>5857</v>
      </c>
      <c r="F1557" t="s">
        <v>3027</v>
      </c>
      <c r="G1557" t="s">
        <v>3031</v>
      </c>
      <c r="H1557">
        <v>12</v>
      </c>
      <c r="I1557" t="s">
        <v>5858</v>
      </c>
    </row>
    <row r="1558" spans="1:9" x14ac:dyDescent="0.3">
      <c r="A1558" t="s">
        <v>5839</v>
      </c>
      <c r="B1558" t="s">
        <v>610</v>
      </c>
      <c r="C1558" t="s">
        <v>610</v>
      </c>
      <c r="D1558" t="s">
        <v>3029</v>
      </c>
      <c r="E1558" t="s">
        <v>5859</v>
      </c>
      <c r="F1558" t="s">
        <v>3027</v>
      </c>
      <c r="G1558" t="s">
        <v>3031</v>
      </c>
      <c r="H1558">
        <v>13</v>
      </c>
      <c r="I1558" t="s">
        <v>5860</v>
      </c>
    </row>
    <row r="1559" spans="1:9" x14ac:dyDescent="0.3">
      <c r="A1559" t="s">
        <v>5839</v>
      </c>
      <c r="B1559" t="s">
        <v>610</v>
      </c>
      <c r="C1559" t="s">
        <v>610</v>
      </c>
      <c r="D1559" t="s">
        <v>3029</v>
      </c>
      <c r="E1559" t="s">
        <v>5861</v>
      </c>
      <c r="F1559" t="s">
        <v>3027</v>
      </c>
      <c r="G1559" t="s">
        <v>3031</v>
      </c>
      <c r="H1559">
        <v>14</v>
      </c>
      <c r="I1559" t="s">
        <v>5862</v>
      </c>
    </row>
    <row r="1560" spans="1:9" x14ac:dyDescent="0.3">
      <c r="A1560" t="s">
        <v>5839</v>
      </c>
      <c r="B1560" t="s">
        <v>610</v>
      </c>
      <c r="C1560" t="s">
        <v>610</v>
      </c>
      <c r="D1560" t="s">
        <v>3029</v>
      </c>
      <c r="E1560" t="s">
        <v>5739</v>
      </c>
      <c r="F1560" t="s">
        <v>3027</v>
      </c>
      <c r="G1560" t="s">
        <v>3031</v>
      </c>
      <c r="H1560">
        <v>15</v>
      </c>
      <c r="I1560" t="s">
        <v>5863</v>
      </c>
    </row>
    <row r="1561" spans="1:9" x14ac:dyDescent="0.3">
      <c r="A1561" t="s">
        <v>5839</v>
      </c>
      <c r="B1561" t="s">
        <v>610</v>
      </c>
      <c r="C1561" t="s">
        <v>610</v>
      </c>
      <c r="D1561" t="s">
        <v>3029</v>
      </c>
      <c r="E1561" t="s">
        <v>5864</v>
      </c>
      <c r="F1561" t="s">
        <v>3027</v>
      </c>
      <c r="G1561" t="s">
        <v>3031</v>
      </c>
      <c r="H1561">
        <v>16</v>
      </c>
      <c r="I1561" t="s">
        <v>5865</v>
      </c>
    </row>
    <row r="1562" spans="1:9" x14ac:dyDescent="0.3">
      <c r="A1562" t="s">
        <v>5839</v>
      </c>
      <c r="B1562" t="s">
        <v>610</v>
      </c>
      <c r="C1562" t="s">
        <v>610</v>
      </c>
      <c r="D1562" t="s">
        <v>3029</v>
      </c>
      <c r="E1562" t="s">
        <v>5866</v>
      </c>
      <c r="F1562" t="s">
        <v>3027</v>
      </c>
      <c r="G1562" t="s">
        <v>3031</v>
      </c>
      <c r="H1562">
        <v>17</v>
      </c>
      <c r="I1562" t="s">
        <v>5867</v>
      </c>
    </row>
    <row r="1563" spans="1:9" x14ac:dyDescent="0.3">
      <c r="A1563" t="s">
        <v>5839</v>
      </c>
      <c r="B1563" t="s">
        <v>610</v>
      </c>
      <c r="C1563" t="s">
        <v>610</v>
      </c>
      <c r="D1563" t="s">
        <v>3029</v>
      </c>
      <c r="E1563" t="s">
        <v>5868</v>
      </c>
      <c r="F1563" t="s">
        <v>3027</v>
      </c>
      <c r="G1563" t="s">
        <v>3031</v>
      </c>
      <c r="H1563">
        <v>18</v>
      </c>
      <c r="I1563" t="s">
        <v>5869</v>
      </c>
    </row>
    <row r="1564" spans="1:9" x14ac:dyDescent="0.3">
      <c r="A1564" t="s">
        <v>5839</v>
      </c>
      <c r="B1564" t="s">
        <v>610</v>
      </c>
      <c r="C1564" t="s">
        <v>610</v>
      </c>
      <c r="D1564" t="s">
        <v>3029</v>
      </c>
      <c r="E1564" t="s">
        <v>5870</v>
      </c>
      <c r="F1564" t="s">
        <v>3027</v>
      </c>
      <c r="G1564" t="s">
        <v>3031</v>
      </c>
      <c r="H1564">
        <v>19</v>
      </c>
      <c r="I1564" t="s">
        <v>647</v>
      </c>
    </row>
    <row r="1565" spans="1:9" x14ac:dyDescent="0.3">
      <c r="A1565" t="s">
        <v>5839</v>
      </c>
      <c r="B1565" t="s">
        <v>610</v>
      </c>
      <c r="C1565" t="s">
        <v>610</v>
      </c>
      <c r="D1565" t="s">
        <v>3029</v>
      </c>
      <c r="E1565" t="s">
        <v>4587</v>
      </c>
      <c r="F1565" t="s">
        <v>3027</v>
      </c>
      <c r="G1565" t="s">
        <v>3031</v>
      </c>
      <c r="H1565">
        <v>20</v>
      </c>
      <c r="I1565" t="s">
        <v>4576</v>
      </c>
    </row>
    <row r="1566" spans="1:9" x14ac:dyDescent="0.3">
      <c r="A1566" t="s">
        <v>5871</v>
      </c>
      <c r="B1566" t="s">
        <v>616</v>
      </c>
      <c r="C1566" t="s">
        <v>616</v>
      </c>
      <c r="D1566" t="s">
        <v>3025</v>
      </c>
      <c r="E1566" t="s">
        <v>5872</v>
      </c>
      <c r="F1566" t="s">
        <v>3027</v>
      </c>
      <c r="G1566" t="s">
        <v>3028</v>
      </c>
      <c r="H1566">
        <v>1</v>
      </c>
      <c r="I1566" t="s">
        <v>616</v>
      </c>
    </row>
    <row r="1567" spans="1:9" x14ac:dyDescent="0.3">
      <c r="A1567" t="s">
        <v>5871</v>
      </c>
      <c r="B1567" t="s">
        <v>616</v>
      </c>
      <c r="C1567" t="s">
        <v>616</v>
      </c>
      <c r="D1567" t="s">
        <v>3029</v>
      </c>
      <c r="E1567" t="s">
        <v>5873</v>
      </c>
      <c r="F1567" t="s">
        <v>3027</v>
      </c>
      <c r="G1567" t="s">
        <v>3031</v>
      </c>
      <c r="H1567">
        <v>2</v>
      </c>
      <c r="I1567" t="s">
        <v>5874</v>
      </c>
    </row>
    <row r="1568" spans="1:9" x14ac:dyDescent="0.3">
      <c r="A1568" t="s">
        <v>5871</v>
      </c>
      <c r="B1568" t="s">
        <v>616</v>
      </c>
      <c r="C1568" t="s">
        <v>616</v>
      </c>
      <c r="D1568" t="s">
        <v>3029</v>
      </c>
      <c r="E1568" t="s">
        <v>5875</v>
      </c>
      <c r="F1568" t="s">
        <v>3027</v>
      </c>
      <c r="G1568" t="s">
        <v>3031</v>
      </c>
      <c r="H1568">
        <v>3</v>
      </c>
      <c r="I1568" t="s">
        <v>5876</v>
      </c>
    </row>
    <row r="1569" spans="1:9" x14ac:dyDescent="0.3">
      <c r="A1569" t="s">
        <v>5871</v>
      </c>
      <c r="B1569" t="s">
        <v>616</v>
      </c>
      <c r="C1569" t="s">
        <v>616</v>
      </c>
      <c r="D1569" t="s">
        <v>3029</v>
      </c>
      <c r="E1569" t="s">
        <v>5877</v>
      </c>
      <c r="F1569" t="s">
        <v>3027</v>
      </c>
      <c r="G1569" t="s">
        <v>3031</v>
      </c>
      <c r="H1569">
        <v>4</v>
      </c>
      <c r="I1569" t="s">
        <v>5878</v>
      </c>
    </row>
    <row r="1570" spans="1:9" x14ac:dyDescent="0.3">
      <c r="A1570" t="s">
        <v>5871</v>
      </c>
      <c r="B1570" t="s">
        <v>616</v>
      </c>
      <c r="C1570" t="s">
        <v>616</v>
      </c>
      <c r="D1570" t="s">
        <v>3029</v>
      </c>
      <c r="E1570" t="s">
        <v>5879</v>
      </c>
      <c r="F1570" t="s">
        <v>3027</v>
      </c>
      <c r="G1570" t="s">
        <v>3031</v>
      </c>
      <c r="H1570">
        <v>5</v>
      </c>
      <c r="I1570" t="s">
        <v>5880</v>
      </c>
    </row>
    <row r="1571" spans="1:9" x14ac:dyDescent="0.3">
      <c r="A1571" t="s">
        <v>5871</v>
      </c>
      <c r="B1571" t="s">
        <v>616</v>
      </c>
      <c r="C1571" t="s">
        <v>616</v>
      </c>
      <c r="D1571" t="s">
        <v>3029</v>
      </c>
      <c r="E1571" t="s">
        <v>5881</v>
      </c>
      <c r="F1571" t="s">
        <v>3027</v>
      </c>
      <c r="G1571" t="s">
        <v>3031</v>
      </c>
      <c r="H1571">
        <v>6</v>
      </c>
      <c r="I1571" t="s">
        <v>5882</v>
      </c>
    </row>
    <row r="1572" spans="1:9" x14ac:dyDescent="0.3">
      <c r="A1572" t="s">
        <v>5871</v>
      </c>
      <c r="B1572" t="s">
        <v>616</v>
      </c>
      <c r="C1572" t="s">
        <v>616</v>
      </c>
      <c r="D1572" t="s">
        <v>3029</v>
      </c>
      <c r="E1572" t="s">
        <v>5883</v>
      </c>
      <c r="F1572" t="s">
        <v>3027</v>
      </c>
      <c r="G1572" t="s">
        <v>3031</v>
      </c>
      <c r="H1572">
        <v>7</v>
      </c>
      <c r="I1572" t="s">
        <v>5884</v>
      </c>
    </row>
    <row r="1573" spans="1:9" x14ac:dyDescent="0.3">
      <c r="A1573" t="s">
        <v>5871</v>
      </c>
      <c r="B1573" t="s">
        <v>616</v>
      </c>
      <c r="C1573" t="s">
        <v>616</v>
      </c>
      <c r="D1573" t="s">
        <v>3029</v>
      </c>
      <c r="E1573" t="s">
        <v>5885</v>
      </c>
      <c r="F1573" t="s">
        <v>3027</v>
      </c>
      <c r="G1573" t="s">
        <v>3031</v>
      </c>
      <c r="H1573">
        <v>8</v>
      </c>
      <c r="I1573" t="s">
        <v>5886</v>
      </c>
    </row>
    <row r="1574" spans="1:9" x14ac:dyDescent="0.3">
      <c r="A1574" t="s">
        <v>5871</v>
      </c>
      <c r="B1574" t="s">
        <v>616</v>
      </c>
      <c r="C1574" t="s">
        <v>616</v>
      </c>
      <c r="D1574" t="s">
        <v>3029</v>
      </c>
      <c r="E1574" t="s">
        <v>5887</v>
      </c>
      <c r="F1574" t="s">
        <v>3027</v>
      </c>
      <c r="G1574" t="s">
        <v>3031</v>
      </c>
      <c r="H1574">
        <v>9</v>
      </c>
      <c r="I1574" t="s">
        <v>5888</v>
      </c>
    </row>
    <row r="1575" spans="1:9" x14ac:dyDescent="0.3">
      <c r="A1575" t="s">
        <v>5871</v>
      </c>
      <c r="B1575" t="s">
        <v>616</v>
      </c>
      <c r="C1575" t="s">
        <v>616</v>
      </c>
      <c r="D1575" t="s">
        <v>3029</v>
      </c>
      <c r="E1575" t="s">
        <v>5889</v>
      </c>
      <c r="F1575" t="s">
        <v>3027</v>
      </c>
      <c r="G1575" t="s">
        <v>3031</v>
      </c>
      <c r="H1575">
        <v>10</v>
      </c>
      <c r="I1575" t="s">
        <v>5890</v>
      </c>
    </row>
    <row r="1576" spans="1:9" x14ac:dyDescent="0.3">
      <c r="A1576" t="s">
        <v>5871</v>
      </c>
      <c r="B1576" t="s">
        <v>616</v>
      </c>
      <c r="C1576" t="s">
        <v>616</v>
      </c>
      <c r="D1576" t="s">
        <v>3029</v>
      </c>
      <c r="E1576" t="s">
        <v>5891</v>
      </c>
      <c r="F1576" t="s">
        <v>3027</v>
      </c>
      <c r="G1576" t="s">
        <v>3031</v>
      </c>
      <c r="H1576">
        <v>11</v>
      </c>
      <c r="I1576" t="s">
        <v>5892</v>
      </c>
    </row>
    <row r="1577" spans="1:9" x14ac:dyDescent="0.3">
      <c r="A1577" t="s">
        <v>5871</v>
      </c>
      <c r="B1577" t="s">
        <v>616</v>
      </c>
      <c r="C1577" t="s">
        <v>616</v>
      </c>
      <c r="D1577" t="s">
        <v>3029</v>
      </c>
      <c r="E1577" t="s">
        <v>5893</v>
      </c>
      <c r="F1577" t="s">
        <v>3027</v>
      </c>
      <c r="G1577" t="s">
        <v>3031</v>
      </c>
      <c r="H1577">
        <v>12</v>
      </c>
      <c r="I1577" t="s">
        <v>5894</v>
      </c>
    </row>
    <row r="1578" spans="1:9" x14ac:dyDescent="0.3">
      <c r="A1578" t="s">
        <v>5871</v>
      </c>
      <c r="B1578" t="s">
        <v>616</v>
      </c>
      <c r="C1578" t="s">
        <v>616</v>
      </c>
      <c r="D1578" t="s">
        <v>3029</v>
      </c>
      <c r="E1578" t="s">
        <v>5895</v>
      </c>
      <c r="F1578" t="s">
        <v>3027</v>
      </c>
      <c r="G1578" t="s">
        <v>3031</v>
      </c>
      <c r="H1578">
        <v>13</v>
      </c>
      <c r="I1578" t="s">
        <v>5896</v>
      </c>
    </row>
    <row r="1579" spans="1:9" x14ac:dyDescent="0.3">
      <c r="A1579" t="s">
        <v>5871</v>
      </c>
      <c r="B1579" t="s">
        <v>616</v>
      </c>
      <c r="C1579" t="s">
        <v>616</v>
      </c>
      <c r="D1579" t="s">
        <v>3029</v>
      </c>
      <c r="E1579" t="s">
        <v>5897</v>
      </c>
      <c r="F1579" t="s">
        <v>3027</v>
      </c>
      <c r="G1579" t="s">
        <v>3031</v>
      </c>
      <c r="H1579">
        <v>14</v>
      </c>
      <c r="I1579" t="s">
        <v>5898</v>
      </c>
    </row>
    <row r="1580" spans="1:9" x14ac:dyDescent="0.3">
      <c r="A1580" t="s">
        <v>5871</v>
      </c>
      <c r="B1580" t="s">
        <v>616</v>
      </c>
      <c r="C1580" t="s">
        <v>616</v>
      </c>
      <c r="D1580" t="s">
        <v>3029</v>
      </c>
      <c r="E1580" t="s">
        <v>5899</v>
      </c>
      <c r="F1580" t="s">
        <v>3027</v>
      </c>
      <c r="G1580" t="s">
        <v>3031</v>
      </c>
      <c r="H1580">
        <v>15</v>
      </c>
      <c r="I1580" t="s">
        <v>5900</v>
      </c>
    </row>
    <row r="1581" spans="1:9" x14ac:dyDescent="0.3">
      <c r="A1581" t="s">
        <v>5871</v>
      </c>
      <c r="B1581" t="s">
        <v>616</v>
      </c>
      <c r="C1581" t="s">
        <v>616</v>
      </c>
      <c r="D1581" t="s">
        <v>3029</v>
      </c>
      <c r="E1581" t="s">
        <v>5901</v>
      </c>
      <c r="F1581" t="s">
        <v>3027</v>
      </c>
      <c r="G1581" t="s">
        <v>3031</v>
      </c>
      <c r="H1581">
        <v>16</v>
      </c>
      <c r="I1581" t="s">
        <v>5902</v>
      </c>
    </row>
    <row r="1582" spans="1:9" x14ac:dyDescent="0.3">
      <c r="A1582" t="s">
        <v>5871</v>
      </c>
      <c r="B1582" t="s">
        <v>616</v>
      </c>
      <c r="C1582" t="s">
        <v>616</v>
      </c>
      <c r="D1582" t="s">
        <v>3029</v>
      </c>
      <c r="E1582" t="s">
        <v>5903</v>
      </c>
      <c r="F1582" t="s">
        <v>3027</v>
      </c>
      <c r="G1582" t="s">
        <v>3031</v>
      </c>
      <c r="H1582">
        <v>17</v>
      </c>
      <c r="I1582" t="s">
        <v>5904</v>
      </c>
    </row>
    <row r="1583" spans="1:9" x14ac:dyDescent="0.3">
      <c r="A1583" t="s">
        <v>5871</v>
      </c>
      <c r="B1583" t="s">
        <v>616</v>
      </c>
      <c r="C1583" t="s">
        <v>616</v>
      </c>
      <c r="D1583" t="s">
        <v>3029</v>
      </c>
      <c r="E1583" t="s">
        <v>5905</v>
      </c>
      <c r="F1583" t="s">
        <v>3027</v>
      </c>
      <c r="G1583" t="s">
        <v>3031</v>
      </c>
      <c r="H1583">
        <v>18</v>
      </c>
      <c r="I1583" t="s">
        <v>5906</v>
      </c>
    </row>
    <row r="1584" spans="1:9" x14ac:dyDescent="0.3">
      <c r="A1584" t="s">
        <v>5871</v>
      </c>
      <c r="B1584" t="s">
        <v>616</v>
      </c>
      <c r="C1584" t="s">
        <v>616</v>
      </c>
      <c r="D1584" t="s">
        <v>3029</v>
      </c>
      <c r="E1584" t="s">
        <v>5907</v>
      </c>
      <c r="F1584" t="s">
        <v>3027</v>
      </c>
      <c r="G1584" t="s">
        <v>3031</v>
      </c>
      <c r="H1584">
        <v>19</v>
      </c>
      <c r="I1584" t="s">
        <v>5908</v>
      </c>
    </row>
    <row r="1585" spans="1:9" x14ac:dyDescent="0.3">
      <c r="A1585" t="s">
        <v>5871</v>
      </c>
      <c r="B1585" t="s">
        <v>616</v>
      </c>
      <c r="C1585" t="s">
        <v>616</v>
      </c>
      <c r="D1585" t="s">
        <v>3029</v>
      </c>
      <c r="E1585" t="s">
        <v>5909</v>
      </c>
      <c r="F1585" t="s">
        <v>3027</v>
      </c>
      <c r="G1585" t="s">
        <v>3031</v>
      </c>
      <c r="H1585">
        <v>20</v>
      </c>
      <c r="I1585" t="s">
        <v>5910</v>
      </c>
    </row>
    <row r="1586" spans="1:9" x14ac:dyDescent="0.3">
      <c r="A1586" t="s">
        <v>5911</v>
      </c>
      <c r="B1586" t="s">
        <v>622</v>
      </c>
      <c r="C1586" t="s">
        <v>2401</v>
      </c>
      <c r="D1586" t="s">
        <v>3025</v>
      </c>
      <c r="E1586" t="s">
        <v>5912</v>
      </c>
      <c r="F1586" t="s">
        <v>3027</v>
      </c>
      <c r="G1586" t="s">
        <v>3028</v>
      </c>
      <c r="H1586">
        <v>1</v>
      </c>
      <c r="I1586" t="s">
        <v>2401</v>
      </c>
    </row>
    <row r="1587" spans="1:9" x14ac:dyDescent="0.3">
      <c r="A1587" t="s">
        <v>5911</v>
      </c>
      <c r="B1587" t="s">
        <v>622</v>
      </c>
      <c r="C1587" t="s">
        <v>2401</v>
      </c>
      <c r="D1587" t="s">
        <v>3029</v>
      </c>
      <c r="E1587" t="s">
        <v>5913</v>
      </c>
      <c r="F1587" t="s">
        <v>3027</v>
      </c>
      <c r="G1587" t="s">
        <v>3031</v>
      </c>
      <c r="H1587">
        <v>2</v>
      </c>
      <c r="I1587" t="s">
        <v>5914</v>
      </c>
    </row>
    <row r="1588" spans="1:9" x14ac:dyDescent="0.3">
      <c r="A1588" t="s">
        <v>5911</v>
      </c>
      <c r="B1588" t="s">
        <v>622</v>
      </c>
      <c r="C1588" t="s">
        <v>2401</v>
      </c>
      <c r="D1588" t="s">
        <v>3029</v>
      </c>
      <c r="E1588" t="s">
        <v>5915</v>
      </c>
      <c r="F1588" t="s">
        <v>3027</v>
      </c>
      <c r="G1588" t="s">
        <v>3031</v>
      </c>
      <c r="H1588">
        <v>3</v>
      </c>
      <c r="I1588" t="s">
        <v>5916</v>
      </c>
    </row>
    <row r="1589" spans="1:9" x14ac:dyDescent="0.3">
      <c r="A1589" t="s">
        <v>5911</v>
      </c>
      <c r="B1589" t="s">
        <v>622</v>
      </c>
      <c r="C1589" t="s">
        <v>2401</v>
      </c>
      <c r="D1589" t="s">
        <v>3029</v>
      </c>
      <c r="E1589" t="s">
        <v>5917</v>
      </c>
      <c r="F1589" t="s">
        <v>3027</v>
      </c>
      <c r="G1589" t="s">
        <v>3031</v>
      </c>
      <c r="H1589">
        <v>4</v>
      </c>
      <c r="I1589" t="s">
        <v>5918</v>
      </c>
    </row>
    <row r="1590" spans="1:9" x14ac:dyDescent="0.3">
      <c r="A1590" t="s">
        <v>5911</v>
      </c>
      <c r="B1590" t="s">
        <v>622</v>
      </c>
      <c r="C1590" t="s">
        <v>2401</v>
      </c>
      <c r="D1590" t="s">
        <v>3029</v>
      </c>
      <c r="E1590" t="s">
        <v>5919</v>
      </c>
      <c r="F1590" t="s">
        <v>3027</v>
      </c>
      <c r="G1590" t="s">
        <v>3031</v>
      </c>
      <c r="H1590">
        <v>5</v>
      </c>
      <c r="I1590" t="s">
        <v>5920</v>
      </c>
    </row>
    <row r="1591" spans="1:9" x14ac:dyDescent="0.3">
      <c r="A1591" t="s">
        <v>5911</v>
      </c>
      <c r="B1591" t="s">
        <v>622</v>
      </c>
      <c r="C1591" t="s">
        <v>2401</v>
      </c>
      <c r="D1591" t="s">
        <v>3029</v>
      </c>
      <c r="E1591" t="s">
        <v>5921</v>
      </c>
      <c r="F1591" t="s">
        <v>3027</v>
      </c>
      <c r="G1591" t="s">
        <v>3031</v>
      </c>
      <c r="H1591">
        <v>6</v>
      </c>
      <c r="I1591" t="s">
        <v>5922</v>
      </c>
    </row>
    <row r="1592" spans="1:9" x14ac:dyDescent="0.3">
      <c r="A1592" t="s">
        <v>5911</v>
      </c>
      <c r="B1592" t="s">
        <v>622</v>
      </c>
      <c r="C1592" t="s">
        <v>2401</v>
      </c>
      <c r="D1592" t="s">
        <v>3029</v>
      </c>
      <c r="E1592" t="s">
        <v>5923</v>
      </c>
      <c r="F1592" t="s">
        <v>3027</v>
      </c>
      <c r="G1592" t="s">
        <v>3031</v>
      </c>
      <c r="H1592">
        <v>7</v>
      </c>
      <c r="I1592" t="s">
        <v>5924</v>
      </c>
    </row>
    <row r="1593" spans="1:9" x14ac:dyDescent="0.3">
      <c r="A1593" t="s">
        <v>5911</v>
      </c>
      <c r="B1593" t="s">
        <v>622</v>
      </c>
      <c r="C1593" t="s">
        <v>2401</v>
      </c>
      <c r="D1593" t="s">
        <v>3029</v>
      </c>
      <c r="E1593" t="s">
        <v>5925</v>
      </c>
      <c r="F1593" t="s">
        <v>3027</v>
      </c>
      <c r="G1593" t="s">
        <v>3031</v>
      </c>
      <c r="H1593">
        <v>8</v>
      </c>
      <c r="I1593" t="s">
        <v>5926</v>
      </c>
    </row>
    <row r="1594" spans="1:9" x14ac:dyDescent="0.3">
      <c r="A1594" t="s">
        <v>5911</v>
      </c>
      <c r="B1594" t="s">
        <v>622</v>
      </c>
      <c r="C1594" t="s">
        <v>2401</v>
      </c>
      <c r="D1594" t="s">
        <v>3029</v>
      </c>
      <c r="E1594" t="s">
        <v>5927</v>
      </c>
      <c r="F1594" t="s">
        <v>3027</v>
      </c>
      <c r="G1594" t="s">
        <v>3031</v>
      </c>
      <c r="H1594">
        <v>9</v>
      </c>
      <c r="I1594" t="s">
        <v>5928</v>
      </c>
    </row>
    <row r="1595" spans="1:9" x14ac:dyDescent="0.3">
      <c r="A1595" t="s">
        <v>5911</v>
      </c>
      <c r="B1595" t="s">
        <v>622</v>
      </c>
      <c r="C1595" t="s">
        <v>2401</v>
      </c>
      <c r="D1595" t="s">
        <v>3029</v>
      </c>
      <c r="E1595" t="s">
        <v>5929</v>
      </c>
      <c r="F1595" t="s">
        <v>3027</v>
      </c>
      <c r="G1595" t="s">
        <v>3031</v>
      </c>
      <c r="H1595">
        <v>10</v>
      </c>
      <c r="I1595" t="s">
        <v>5930</v>
      </c>
    </row>
    <row r="1596" spans="1:9" x14ac:dyDescent="0.3">
      <c r="A1596" t="s">
        <v>5911</v>
      </c>
      <c r="B1596" t="s">
        <v>622</v>
      </c>
      <c r="C1596" t="s">
        <v>2401</v>
      </c>
      <c r="D1596" t="s">
        <v>3029</v>
      </c>
      <c r="E1596" t="s">
        <v>5931</v>
      </c>
      <c r="F1596" t="s">
        <v>3027</v>
      </c>
      <c r="G1596" t="s">
        <v>3031</v>
      </c>
      <c r="H1596">
        <v>11</v>
      </c>
      <c r="I1596" t="s">
        <v>5932</v>
      </c>
    </row>
    <row r="1597" spans="1:9" x14ac:dyDescent="0.3">
      <c r="A1597" t="s">
        <v>5911</v>
      </c>
      <c r="B1597" t="s">
        <v>622</v>
      </c>
      <c r="C1597" t="s">
        <v>2401</v>
      </c>
      <c r="D1597" t="s">
        <v>3029</v>
      </c>
      <c r="E1597" t="s">
        <v>5933</v>
      </c>
      <c r="F1597" t="s">
        <v>3027</v>
      </c>
      <c r="G1597" t="s">
        <v>3031</v>
      </c>
      <c r="H1597">
        <v>12</v>
      </c>
      <c r="I1597" t="s">
        <v>5934</v>
      </c>
    </row>
    <row r="1598" spans="1:9" x14ac:dyDescent="0.3">
      <c r="A1598" t="s">
        <v>5911</v>
      </c>
      <c r="B1598" t="s">
        <v>622</v>
      </c>
      <c r="C1598" t="s">
        <v>2401</v>
      </c>
      <c r="D1598" t="s">
        <v>3029</v>
      </c>
      <c r="E1598" t="s">
        <v>5935</v>
      </c>
      <c r="F1598" t="s">
        <v>3027</v>
      </c>
      <c r="G1598" t="s">
        <v>3031</v>
      </c>
      <c r="H1598">
        <v>13</v>
      </c>
      <c r="I1598" t="s">
        <v>5936</v>
      </c>
    </row>
    <row r="1599" spans="1:9" x14ac:dyDescent="0.3">
      <c r="A1599" t="s">
        <v>5911</v>
      </c>
      <c r="B1599" t="s">
        <v>622</v>
      </c>
      <c r="C1599" t="s">
        <v>2401</v>
      </c>
      <c r="D1599" t="s">
        <v>3029</v>
      </c>
      <c r="E1599" t="s">
        <v>5937</v>
      </c>
      <c r="F1599" t="s">
        <v>3027</v>
      </c>
      <c r="G1599" t="s">
        <v>3031</v>
      </c>
      <c r="H1599">
        <v>14</v>
      </c>
      <c r="I1599" t="s">
        <v>5938</v>
      </c>
    </row>
    <row r="1600" spans="1:9" x14ac:dyDescent="0.3">
      <c r="A1600" t="s">
        <v>5911</v>
      </c>
      <c r="B1600" t="s">
        <v>622</v>
      </c>
      <c r="C1600" t="s">
        <v>2401</v>
      </c>
      <c r="D1600" t="s">
        <v>3029</v>
      </c>
      <c r="E1600" t="s">
        <v>5939</v>
      </c>
      <c r="F1600" t="s">
        <v>3027</v>
      </c>
      <c r="G1600" t="s">
        <v>3031</v>
      </c>
      <c r="H1600">
        <v>15</v>
      </c>
      <c r="I1600" t="s">
        <v>5940</v>
      </c>
    </row>
    <row r="1601" spans="1:9" x14ac:dyDescent="0.3">
      <c r="A1601" t="s">
        <v>5911</v>
      </c>
      <c r="B1601" t="s">
        <v>622</v>
      </c>
      <c r="C1601" t="s">
        <v>2401</v>
      </c>
      <c r="D1601" t="s">
        <v>3029</v>
      </c>
      <c r="E1601" t="s">
        <v>5941</v>
      </c>
      <c r="F1601" t="s">
        <v>3027</v>
      </c>
      <c r="G1601" t="s">
        <v>3031</v>
      </c>
      <c r="H1601">
        <v>16</v>
      </c>
      <c r="I1601" t="s">
        <v>5942</v>
      </c>
    </row>
    <row r="1602" spans="1:9" x14ac:dyDescent="0.3">
      <c r="A1602" t="s">
        <v>5911</v>
      </c>
      <c r="B1602" t="s">
        <v>622</v>
      </c>
      <c r="C1602" t="s">
        <v>2401</v>
      </c>
      <c r="D1602" t="s">
        <v>3029</v>
      </c>
      <c r="E1602" t="s">
        <v>5943</v>
      </c>
      <c r="F1602" t="s">
        <v>3027</v>
      </c>
      <c r="G1602" t="s">
        <v>3031</v>
      </c>
      <c r="H1602">
        <v>17</v>
      </c>
      <c r="I1602" t="s">
        <v>5944</v>
      </c>
    </row>
    <row r="1603" spans="1:9" x14ac:dyDescent="0.3">
      <c r="A1603" t="s">
        <v>5911</v>
      </c>
      <c r="B1603" t="s">
        <v>622</v>
      </c>
      <c r="C1603" t="s">
        <v>2401</v>
      </c>
      <c r="D1603" t="s">
        <v>3029</v>
      </c>
      <c r="E1603" t="s">
        <v>5945</v>
      </c>
      <c r="F1603" t="s">
        <v>3027</v>
      </c>
      <c r="G1603" t="s">
        <v>3031</v>
      </c>
      <c r="H1603">
        <v>18</v>
      </c>
      <c r="I1603" t="s">
        <v>5946</v>
      </c>
    </row>
    <row r="1604" spans="1:9" x14ac:dyDescent="0.3">
      <c r="A1604" t="s">
        <v>5911</v>
      </c>
      <c r="B1604" t="s">
        <v>622</v>
      </c>
      <c r="C1604" t="s">
        <v>2401</v>
      </c>
      <c r="D1604" t="s">
        <v>3029</v>
      </c>
      <c r="E1604" t="s">
        <v>5947</v>
      </c>
      <c r="F1604" t="s">
        <v>3027</v>
      </c>
      <c r="G1604" t="s">
        <v>3031</v>
      </c>
      <c r="H1604">
        <v>19</v>
      </c>
      <c r="I1604" t="s">
        <v>5948</v>
      </c>
    </row>
    <row r="1605" spans="1:9" x14ac:dyDescent="0.3">
      <c r="A1605" t="s">
        <v>5911</v>
      </c>
      <c r="B1605" t="s">
        <v>622</v>
      </c>
      <c r="C1605" t="s">
        <v>2401</v>
      </c>
      <c r="D1605" t="s">
        <v>3029</v>
      </c>
      <c r="E1605" t="s">
        <v>5949</v>
      </c>
      <c r="F1605" t="s">
        <v>3027</v>
      </c>
      <c r="G1605" t="s">
        <v>3031</v>
      </c>
      <c r="H1605">
        <v>20</v>
      </c>
      <c r="I1605" t="s">
        <v>5950</v>
      </c>
    </row>
    <row r="1606" spans="1:9" x14ac:dyDescent="0.3">
      <c r="A1606" t="s">
        <v>5951</v>
      </c>
      <c r="B1606" t="s">
        <v>629</v>
      </c>
      <c r="C1606" t="s">
        <v>5952</v>
      </c>
      <c r="D1606" t="s">
        <v>3025</v>
      </c>
      <c r="E1606" t="s">
        <v>5953</v>
      </c>
      <c r="F1606" t="s">
        <v>3027</v>
      </c>
      <c r="G1606" t="s">
        <v>3028</v>
      </c>
      <c r="H1606">
        <v>1</v>
      </c>
      <c r="I1606" t="s">
        <v>5952</v>
      </c>
    </row>
    <row r="1607" spans="1:9" x14ac:dyDescent="0.3">
      <c r="A1607" t="s">
        <v>5951</v>
      </c>
      <c r="B1607" t="s">
        <v>629</v>
      </c>
      <c r="C1607" t="s">
        <v>5952</v>
      </c>
      <c r="D1607" t="s">
        <v>3029</v>
      </c>
      <c r="E1607" t="s">
        <v>3242</v>
      </c>
      <c r="F1607" t="s">
        <v>3027</v>
      </c>
      <c r="G1607" t="s">
        <v>3031</v>
      </c>
      <c r="H1607">
        <v>2</v>
      </c>
      <c r="I1607" t="s">
        <v>3243</v>
      </c>
    </row>
    <row r="1608" spans="1:9" x14ac:dyDescent="0.3">
      <c r="A1608" t="s">
        <v>5951</v>
      </c>
      <c r="B1608" t="s">
        <v>629</v>
      </c>
      <c r="C1608" t="s">
        <v>5952</v>
      </c>
      <c r="D1608" t="s">
        <v>3029</v>
      </c>
      <c r="E1608" t="s">
        <v>5954</v>
      </c>
      <c r="F1608" t="s">
        <v>3027</v>
      </c>
      <c r="G1608" t="s">
        <v>3031</v>
      </c>
      <c r="H1608">
        <v>3</v>
      </c>
      <c r="I1608" t="s">
        <v>5955</v>
      </c>
    </row>
    <row r="1609" spans="1:9" x14ac:dyDescent="0.3">
      <c r="A1609" t="s">
        <v>5951</v>
      </c>
      <c r="B1609" t="s">
        <v>629</v>
      </c>
      <c r="C1609" t="s">
        <v>5952</v>
      </c>
      <c r="D1609" t="s">
        <v>3029</v>
      </c>
      <c r="E1609" t="s">
        <v>5125</v>
      </c>
      <c r="F1609" t="s">
        <v>3027</v>
      </c>
      <c r="G1609" t="s">
        <v>3031</v>
      </c>
      <c r="H1609">
        <v>4</v>
      </c>
      <c r="I1609" t="s">
        <v>5126</v>
      </c>
    </row>
    <row r="1610" spans="1:9" x14ac:dyDescent="0.3">
      <c r="A1610" t="s">
        <v>5951</v>
      </c>
      <c r="B1610" t="s">
        <v>629</v>
      </c>
      <c r="C1610" t="s">
        <v>5952</v>
      </c>
      <c r="D1610" t="s">
        <v>3029</v>
      </c>
      <c r="E1610" t="s">
        <v>5956</v>
      </c>
      <c r="F1610" t="s">
        <v>3027</v>
      </c>
      <c r="G1610" t="s">
        <v>3031</v>
      </c>
      <c r="H1610">
        <v>5</v>
      </c>
      <c r="I1610" t="s">
        <v>5957</v>
      </c>
    </row>
    <row r="1611" spans="1:9" x14ac:dyDescent="0.3">
      <c r="A1611" t="s">
        <v>5951</v>
      </c>
      <c r="B1611" t="s">
        <v>629</v>
      </c>
      <c r="C1611" t="s">
        <v>5952</v>
      </c>
      <c r="D1611" t="s">
        <v>3029</v>
      </c>
      <c r="E1611" t="s">
        <v>5958</v>
      </c>
      <c r="F1611" t="s">
        <v>3027</v>
      </c>
      <c r="G1611" t="s">
        <v>3031</v>
      </c>
      <c r="H1611">
        <v>6</v>
      </c>
      <c r="I1611" t="s">
        <v>5959</v>
      </c>
    </row>
    <row r="1612" spans="1:9" x14ac:dyDescent="0.3">
      <c r="A1612" t="s">
        <v>5951</v>
      </c>
      <c r="B1612" t="s">
        <v>629</v>
      </c>
      <c r="C1612" t="s">
        <v>5952</v>
      </c>
      <c r="D1612" t="s">
        <v>3029</v>
      </c>
      <c r="E1612" t="s">
        <v>5960</v>
      </c>
      <c r="F1612" t="s">
        <v>3027</v>
      </c>
      <c r="G1612" t="s">
        <v>3031</v>
      </c>
      <c r="H1612">
        <v>7</v>
      </c>
      <c r="I1612" t="s">
        <v>5961</v>
      </c>
    </row>
    <row r="1613" spans="1:9" x14ac:dyDescent="0.3">
      <c r="A1613" t="s">
        <v>5951</v>
      </c>
      <c r="B1613" t="s">
        <v>629</v>
      </c>
      <c r="C1613" t="s">
        <v>5952</v>
      </c>
      <c r="D1613" t="s">
        <v>3029</v>
      </c>
      <c r="E1613" t="s">
        <v>5962</v>
      </c>
      <c r="F1613" t="s">
        <v>3027</v>
      </c>
      <c r="G1613" t="s">
        <v>3031</v>
      </c>
      <c r="H1613">
        <v>8</v>
      </c>
      <c r="I1613" t="s">
        <v>5963</v>
      </c>
    </row>
    <row r="1614" spans="1:9" x14ac:dyDescent="0.3">
      <c r="A1614" t="s">
        <v>5951</v>
      </c>
      <c r="B1614" t="s">
        <v>629</v>
      </c>
      <c r="C1614" t="s">
        <v>5952</v>
      </c>
      <c r="D1614" t="s">
        <v>3029</v>
      </c>
      <c r="E1614" t="s">
        <v>5964</v>
      </c>
      <c r="F1614" t="s">
        <v>3027</v>
      </c>
      <c r="G1614" t="s">
        <v>3031</v>
      </c>
      <c r="H1614">
        <v>9</v>
      </c>
      <c r="I1614" t="s">
        <v>5965</v>
      </c>
    </row>
    <row r="1615" spans="1:9" x14ac:dyDescent="0.3">
      <c r="A1615" t="s">
        <v>5951</v>
      </c>
      <c r="B1615" t="s">
        <v>629</v>
      </c>
      <c r="C1615" t="s">
        <v>5952</v>
      </c>
      <c r="D1615" t="s">
        <v>3029</v>
      </c>
      <c r="E1615" t="s">
        <v>5966</v>
      </c>
      <c r="F1615" t="s">
        <v>3027</v>
      </c>
      <c r="G1615" t="s">
        <v>3031</v>
      </c>
      <c r="H1615">
        <v>10</v>
      </c>
      <c r="I1615" t="s">
        <v>5967</v>
      </c>
    </row>
    <row r="1616" spans="1:9" x14ac:dyDescent="0.3">
      <c r="A1616" t="s">
        <v>5951</v>
      </c>
      <c r="B1616" t="s">
        <v>629</v>
      </c>
      <c r="C1616" t="s">
        <v>5952</v>
      </c>
      <c r="D1616" t="s">
        <v>3029</v>
      </c>
      <c r="E1616" t="s">
        <v>5121</v>
      </c>
      <c r="F1616" t="s">
        <v>3027</v>
      </c>
      <c r="G1616" t="s">
        <v>3031</v>
      </c>
      <c r="H1616">
        <v>11</v>
      </c>
      <c r="I1616" t="s">
        <v>5122</v>
      </c>
    </row>
    <row r="1617" spans="1:9" x14ac:dyDescent="0.3">
      <c r="A1617" t="s">
        <v>5951</v>
      </c>
      <c r="B1617" t="s">
        <v>629</v>
      </c>
      <c r="C1617" t="s">
        <v>5952</v>
      </c>
      <c r="D1617" t="s">
        <v>3029</v>
      </c>
      <c r="E1617" t="s">
        <v>3690</v>
      </c>
      <c r="F1617" t="s">
        <v>3027</v>
      </c>
      <c r="G1617" t="s">
        <v>3031</v>
      </c>
      <c r="H1617">
        <v>12</v>
      </c>
      <c r="I1617" t="s">
        <v>5968</v>
      </c>
    </row>
    <row r="1618" spans="1:9" x14ac:dyDescent="0.3">
      <c r="A1618" t="s">
        <v>5951</v>
      </c>
      <c r="B1618" t="s">
        <v>629</v>
      </c>
      <c r="C1618" t="s">
        <v>5952</v>
      </c>
      <c r="D1618" t="s">
        <v>3029</v>
      </c>
      <c r="E1618" t="s">
        <v>3303</v>
      </c>
      <c r="F1618" t="s">
        <v>3027</v>
      </c>
      <c r="G1618" t="s">
        <v>3031</v>
      </c>
      <c r="H1618">
        <v>13</v>
      </c>
      <c r="I1618" t="s">
        <v>5969</v>
      </c>
    </row>
    <row r="1619" spans="1:9" x14ac:dyDescent="0.3">
      <c r="A1619" t="s">
        <v>5951</v>
      </c>
      <c r="B1619" t="s">
        <v>629</v>
      </c>
      <c r="C1619" t="s">
        <v>5952</v>
      </c>
      <c r="D1619" t="s">
        <v>3029</v>
      </c>
      <c r="E1619" t="s">
        <v>5970</v>
      </c>
      <c r="F1619" t="s">
        <v>3027</v>
      </c>
      <c r="G1619" t="s">
        <v>3031</v>
      </c>
      <c r="H1619">
        <v>14</v>
      </c>
      <c r="I1619" t="s">
        <v>5971</v>
      </c>
    </row>
    <row r="1620" spans="1:9" x14ac:dyDescent="0.3">
      <c r="A1620" t="s">
        <v>5951</v>
      </c>
      <c r="B1620" t="s">
        <v>629</v>
      </c>
      <c r="C1620" t="s">
        <v>5952</v>
      </c>
      <c r="D1620" t="s">
        <v>3029</v>
      </c>
      <c r="E1620" t="s">
        <v>3254</v>
      </c>
      <c r="F1620" t="s">
        <v>3027</v>
      </c>
      <c r="G1620" t="s">
        <v>3031</v>
      </c>
      <c r="H1620">
        <v>15</v>
      </c>
      <c r="I1620" t="s">
        <v>3839</v>
      </c>
    </row>
    <row r="1621" spans="1:9" x14ac:dyDescent="0.3">
      <c r="A1621" t="s">
        <v>5951</v>
      </c>
      <c r="B1621" t="s">
        <v>629</v>
      </c>
      <c r="C1621" t="s">
        <v>5952</v>
      </c>
      <c r="D1621" t="s">
        <v>3029</v>
      </c>
      <c r="E1621" t="s">
        <v>5972</v>
      </c>
      <c r="F1621" t="s">
        <v>3027</v>
      </c>
      <c r="G1621" t="s">
        <v>3031</v>
      </c>
      <c r="H1621">
        <v>16</v>
      </c>
      <c r="I1621" t="s">
        <v>5973</v>
      </c>
    </row>
    <row r="1622" spans="1:9" x14ac:dyDescent="0.3">
      <c r="A1622" t="s">
        <v>5951</v>
      </c>
      <c r="B1622" t="s">
        <v>629</v>
      </c>
      <c r="C1622" t="s">
        <v>5952</v>
      </c>
      <c r="D1622" t="s">
        <v>3029</v>
      </c>
      <c r="E1622" t="s">
        <v>5974</v>
      </c>
      <c r="F1622" t="s">
        <v>3027</v>
      </c>
      <c r="G1622" t="s">
        <v>3031</v>
      </c>
      <c r="H1622">
        <v>17</v>
      </c>
      <c r="I1622" t="s">
        <v>5975</v>
      </c>
    </row>
    <row r="1623" spans="1:9" x14ac:dyDescent="0.3">
      <c r="A1623" t="s">
        <v>5951</v>
      </c>
      <c r="B1623" t="s">
        <v>629</v>
      </c>
      <c r="C1623" t="s">
        <v>5952</v>
      </c>
      <c r="D1623" t="s">
        <v>3029</v>
      </c>
      <c r="E1623" t="s">
        <v>5976</v>
      </c>
      <c r="F1623" t="s">
        <v>3027</v>
      </c>
      <c r="G1623" t="s">
        <v>3031</v>
      </c>
      <c r="H1623">
        <v>18</v>
      </c>
      <c r="I1623" t="s">
        <v>5977</v>
      </c>
    </row>
    <row r="1624" spans="1:9" x14ac:dyDescent="0.3">
      <c r="A1624" t="s">
        <v>5951</v>
      </c>
      <c r="B1624" t="s">
        <v>629</v>
      </c>
      <c r="C1624" t="s">
        <v>5952</v>
      </c>
      <c r="D1624" t="s">
        <v>3029</v>
      </c>
      <c r="E1624" t="s">
        <v>5978</v>
      </c>
      <c r="F1624" t="s">
        <v>3027</v>
      </c>
      <c r="G1624" t="s">
        <v>3031</v>
      </c>
      <c r="H1624">
        <v>19</v>
      </c>
      <c r="I1624" t="s">
        <v>5979</v>
      </c>
    </row>
    <row r="1625" spans="1:9" x14ac:dyDescent="0.3">
      <c r="A1625" t="s">
        <v>5951</v>
      </c>
      <c r="B1625" t="s">
        <v>629</v>
      </c>
      <c r="C1625" t="s">
        <v>5952</v>
      </c>
      <c r="D1625" t="s">
        <v>3029</v>
      </c>
      <c r="E1625" t="s">
        <v>5980</v>
      </c>
      <c r="F1625" t="s">
        <v>3027</v>
      </c>
      <c r="G1625" t="s">
        <v>3031</v>
      </c>
      <c r="H1625">
        <v>20</v>
      </c>
      <c r="I1625" t="s">
        <v>5981</v>
      </c>
    </row>
    <row r="1626" spans="1:9" x14ac:dyDescent="0.3">
      <c r="A1626" t="s">
        <v>5982</v>
      </c>
      <c r="B1626" t="s">
        <v>635</v>
      </c>
      <c r="C1626" t="s">
        <v>635</v>
      </c>
      <c r="D1626" t="s">
        <v>3025</v>
      </c>
      <c r="E1626" t="s">
        <v>5983</v>
      </c>
      <c r="F1626" t="s">
        <v>3027</v>
      </c>
      <c r="G1626" t="s">
        <v>3028</v>
      </c>
      <c r="H1626">
        <v>1</v>
      </c>
      <c r="I1626" t="s">
        <v>635</v>
      </c>
    </row>
    <row r="1627" spans="1:9" x14ac:dyDescent="0.3">
      <c r="A1627" t="s">
        <v>5982</v>
      </c>
      <c r="B1627" t="s">
        <v>635</v>
      </c>
      <c r="C1627" t="s">
        <v>635</v>
      </c>
      <c r="D1627" t="s">
        <v>3029</v>
      </c>
      <c r="E1627" t="s">
        <v>5984</v>
      </c>
      <c r="F1627" t="s">
        <v>3027</v>
      </c>
      <c r="G1627" t="s">
        <v>3031</v>
      </c>
      <c r="H1627">
        <v>2</v>
      </c>
      <c r="I1627" t="s">
        <v>5985</v>
      </c>
    </row>
    <row r="1628" spans="1:9" x14ac:dyDescent="0.3">
      <c r="A1628" t="s">
        <v>5982</v>
      </c>
      <c r="B1628" t="s">
        <v>635</v>
      </c>
      <c r="C1628" t="s">
        <v>635</v>
      </c>
      <c r="D1628" t="s">
        <v>3029</v>
      </c>
      <c r="E1628" t="s">
        <v>3475</v>
      </c>
      <c r="F1628" t="s">
        <v>3027</v>
      </c>
      <c r="G1628" t="s">
        <v>3031</v>
      </c>
      <c r="H1628">
        <v>3</v>
      </c>
      <c r="I1628" t="s">
        <v>5986</v>
      </c>
    </row>
    <row r="1629" spans="1:9" x14ac:dyDescent="0.3">
      <c r="A1629" t="s">
        <v>5982</v>
      </c>
      <c r="B1629" t="s">
        <v>635</v>
      </c>
      <c r="C1629" t="s">
        <v>635</v>
      </c>
      <c r="D1629" t="s">
        <v>3029</v>
      </c>
      <c r="E1629" t="s">
        <v>3852</v>
      </c>
      <c r="F1629" t="s">
        <v>3027</v>
      </c>
      <c r="G1629" t="s">
        <v>3031</v>
      </c>
      <c r="H1629">
        <v>4</v>
      </c>
      <c r="I1629" t="s">
        <v>5039</v>
      </c>
    </row>
    <row r="1630" spans="1:9" x14ac:dyDescent="0.3">
      <c r="A1630" t="s">
        <v>5982</v>
      </c>
      <c r="B1630" t="s">
        <v>635</v>
      </c>
      <c r="C1630" t="s">
        <v>635</v>
      </c>
      <c r="D1630" t="s">
        <v>3029</v>
      </c>
      <c r="E1630" t="s">
        <v>5987</v>
      </c>
      <c r="F1630" t="s">
        <v>3027</v>
      </c>
      <c r="G1630" t="s">
        <v>3031</v>
      </c>
      <c r="H1630">
        <v>5</v>
      </c>
      <c r="I1630" t="s">
        <v>5988</v>
      </c>
    </row>
    <row r="1631" spans="1:9" x14ac:dyDescent="0.3">
      <c r="A1631" t="s">
        <v>5982</v>
      </c>
      <c r="B1631" t="s">
        <v>635</v>
      </c>
      <c r="C1631" t="s">
        <v>635</v>
      </c>
      <c r="D1631" t="s">
        <v>3029</v>
      </c>
      <c r="E1631" t="s">
        <v>5989</v>
      </c>
      <c r="F1631" t="s">
        <v>3027</v>
      </c>
      <c r="G1631" t="s">
        <v>3031</v>
      </c>
      <c r="H1631">
        <v>6</v>
      </c>
      <c r="I1631" t="s">
        <v>5990</v>
      </c>
    </row>
    <row r="1632" spans="1:9" x14ac:dyDescent="0.3">
      <c r="A1632" t="s">
        <v>5982</v>
      </c>
      <c r="B1632" t="s">
        <v>635</v>
      </c>
      <c r="C1632" t="s">
        <v>635</v>
      </c>
      <c r="D1632" t="s">
        <v>3029</v>
      </c>
      <c r="E1632" t="s">
        <v>5991</v>
      </c>
      <c r="F1632" t="s">
        <v>3027</v>
      </c>
      <c r="G1632" t="s">
        <v>3031</v>
      </c>
      <c r="H1632">
        <v>7</v>
      </c>
      <c r="I1632" t="s">
        <v>5992</v>
      </c>
    </row>
    <row r="1633" spans="1:9" x14ac:dyDescent="0.3">
      <c r="A1633" t="s">
        <v>5982</v>
      </c>
      <c r="B1633" t="s">
        <v>635</v>
      </c>
      <c r="C1633" t="s">
        <v>635</v>
      </c>
      <c r="D1633" t="s">
        <v>3029</v>
      </c>
      <c r="E1633" t="s">
        <v>5993</v>
      </c>
      <c r="F1633" t="s">
        <v>3027</v>
      </c>
      <c r="G1633" t="s">
        <v>3031</v>
      </c>
      <c r="H1633">
        <v>8</v>
      </c>
      <c r="I1633" t="s">
        <v>5994</v>
      </c>
    </row>
    <row r="1634" spans="1:9" x14ac:dyDescent="0.3">
      <c r="A1634" t="s">
        <v>5982</v>
      </c>
      <c r="B1634" t="s">
        <v>635</v>
      </c>
      <c r="C1634" t="s">
        <v>635</v>
      </c>
      <c r="D1634" t="s">
        <v>3029</v>
      </c>
      <c r="E1634" t="s">
        <v>5995</v>
      </c>
      <c r="F1634" t="s">
        <v>3027</v>
      </c>
      <c r="G1634" t="s">
        <v>3031</v>
      </c>
      <c r="H1634">
        <v>9</v>
      </c>
      <c r="I1634" t="s">
        <v>5988</v>
      </c>
    </row>
    <row r="1635" spans="1:9" x14ac:dyDescent="0.3">
      <c r="A1635" t="s">
        <v>5982</v>
      </c>
      <c r="B1635" t="s">
        <v>635</v>
      </c>
      <c r="C1635" t="s">
        <v>635</v>
      </c>
      <c r="D1635" t="s">
        <v>3029</v>
      </c>
      <c r="E1635" t="s">
        <v>5996</v>
      </c>
      <c r="F1635" t="s">
        <v>3027</v>
      </c>
      <c r="G1635" t="s">
        <v>3031</v>
      </c>
      <c r="H1635">
        <v>10</v>
      </c>
      <c r="I1635" t="s">
        <v>5997</v>
      </c>
    </row>
    <row r="1636" spans="1:9" x14ac:dyDescent="0.3">
      <c r="A1636" t="s">
        <v>5982</v>
      </c>
      <c r="B1636" t="s">
        <v>635</v>
      </c>
      <c r="C1636" t="s">
        <v>635</v>
      </c>
      <c r="D1636" t="s">
        <v>3029</v>
      </c>
      <c r="E1636" t="s">
        <v>5998</v>
      </c>
      <c r="F1636" t="s">
        <v>3027</v>
      </c>
      <c r="G1636" t="s">
        <v>3031</v>
      </c>
      <c r="H1636">
        <v>11</v>
      </c>
      <c r="I1636" t="s">
        <v>5999</v>
      </c>
    </row>
    <row r="1637" spans="1:9" x14ac:dyDescent="0.3">
      <c r="A1637" t="s">
        <v>5982</v>
      </c>
      <c r="B1637" t="s">
        <v>635</v>
      </c>
      <c r="C1637" t="s">
        <v>635</v>
      </c>
      <c r="D1637" t="s">
        <v>3029</v>
      </c>
      <c r="E1637" t="s">
        <v>6000</v>
      </c>
      <c r="F1637" t="s">
        <v>3027</v>
      </c>
      <c r="G1637" t="s">
        <v>3031</v>
      </c>
      <c r="H1637">
        <v>12</v>
      </c>
      <c r="I1637" t="s">
        <v>6001</v>
      </c>
    </row>
    <row r="1638" spans="1:9" x14ac:dyDescent="0.3">
      <c r="A1638" t="s">
        <v>5982</v>
      </c>
      <c r="B1638" t="s">
        <v>635</v>
      </c>
      <c r="C1638" t="s">
        <v>635</v>
      </c>
      <c r="D1638" t="s">
        <v>3029</v>
      </c>
      <c r="E1638" t="s">
        <v>6002</v>
      </c>
      <c r="F1638" t="s">
        <v>3027</v>
      </c>
      <c r="G1638" t="s">
        <v>3031</v>
      </c>
      <c r="H1638">
        <v>13</v>
      </c>
      <c r="I1638" t="s">
        <v>6003</v>
      </c>
    </row>
    <row r="1639" spans="1:9" x14ac:dyDescent="0.3">
      <c r="A1639" t="s">
        <v>5982</v>
      </c>
      <c r="B1639" t="s">
        <v>635</v>
      </c>
      <c r="C1639" t="s">
        <v>635</v>
      </c>
      <c r="D1639" t="s">
        <v>3029</v>
      </c>
      <c r="E1639" t="s">
        <v>6004</v>
      </c>
      <c r="F1639" t="s">
        <v>3027</v>
      </c>
      <c r="G1639" t="s">
        <v>3031</v>
      </c>
      <c r="H1639">
        <v>14</v>
      </c>
      <c r="I1639" t="s">
        <v>6005</v>
      </c>
    </row>
    <row r="1640" spans="1:9" x14ac:dyDescent="0.3">
      <c r="A1640" t="s">
        <v>5982</v>
      </c>
      <c r="B1640" t="s">
        <v>635</v>
      </c>
      <c r="C1640" t="s">
        <v>635</v>
      </c>
      <c r="D1640" t="s">
        <v>3029</v>
      </c>
      <c r="E1640" t="s">
        <v>4853</v>
      </c>
      <c r="F1640" t="s">
        <v>3027</v>
      </c>
      <c r="G1640" t="s">
        <v>3031</v>
      </c>
      <c r="H1640">
        <v>15</v>
      </c>
      <c r="I1640" t="s">
        <v>4854</v>
      </c>
    </row>
    <row r="1641" spans="1:9" x14ac:dyDescent="0.3">
      <c r="A1641" t="s">
        <v>5982</v>
      </c>
      <c r="B1641" t="s">
        <v>635</v>
      </c>
      <c r="C1641" t="s">
        <v>635</v>
      </c>
      <c r="D1641" t="s">
        <v>3029</v>
      </c>
      <c r="E1641" t="s">
        <v>6006</v>
      </c>
      <c r="F1641" t="s">
        <v>3027</v>
      </c>
      <c r="G1641" t="s">
        <v>3031</v>
      </c>
      <c r="H1641">
        <v>16</v>
      </c>
      <c r="I1641" t="s">
        <v>6007</v>
      </c>
    </row>
    <row r="1642" spans="1:9" x14ac:dyDescent="0.3">
      <c r="A1642" t="s">
        <v>5982</v>
      </c>
      <c r="B1642" t="s">
        <v>635</v>
      </c>
      <c r="C1642" t="s">
        <v>635</v>
      </c>
      <c r="D1642" t="s">
        <v>3029</v>
      </c>
      <c r="E1642" t="s">
        <v>6008</v>
      </c>
      <c r="F1642" t="s">
        <v>3027</v>
      </c>
      <c r="G1642" t="s">
        <v>3031</v>
      </c>
      <c r="H1642">
        <v>17</v>
      </c>
      <c r="I1642" t="s">
        <v>6009</v>
      </c>
    </row>
    <row r="1643" spans="1:9" x14ac:dyDescent="0.3">
      <c r="A1643" t="s">
        <v>5982</v>
      </c>
      <c r="B1643" t="s">
        <v>635</v>
      </c>
      <c r="C1643" t="s">
        <v>635</v>
      </c>
      <c r="D1643" t="s">
        <v>3029</v>
      </c>
      <c r="E1643" t="s">
        <v>6010</v>
      </c>
      <c r="F1643" t="s">
        <v>3027</v>
      </c>
      <c r="G1643" t="s">
        <v>3031</v>
      </c>
      <c r="H1643">
        <v>18</v>
      </c>
      <c r="I1643" t="s">
        <v>6011</v>
      </c>
    </row>
    <row r="1644" spans="1:9" x14ac:dyDescent="0.3">
      <c r="A1644" t="s">
        <v>5982</v>
      </c>
      <c r="B1644" t="s">
        <v>635</v>
      </c>
      <c r="C1644" t="s">
        <v>635</v>
      </c>
      <c r="D1644" t="s">
        <v>3029</v>
      </c>
      <c r="E1644" t="s">
        <v>6012</v>
      </c>
      <c r="F1644" t="s">
        <v>3027</v>
      </c>
      <c r="G1644" t="s">
        <v>3031</v>
      </c>
      <c r="H1644">
        <v>19</v>
      </c>
      <c r="I1644" t="s">
        <v>6013</v>
      </c>
    </row>
    <row r="1645" spans="1:9" x14ac:dyDescent="0.3">
      <c r="A1645" t="s">
        <v>5982</v>
      </c>
      <c r="B1645" t="s">
        <v>635</v>
      </c>
      <c r="C1645" t="s">
        <v>635</v>
      </c>
      <c r="D1645" t="s">
        <v>3029</v>
      </c>
      <c r="E1645" t="s">
        <v>6014</v>
      </c>
      <c r="F1645" t="s">
        <v>3027</v>
      </c>
      <c r="G1645" t="s">
        <v>3031</v>
      </c>
      <c r="H1645">
        <v>20</v>
      </c>
      <c r="I1645" t="s">
        <v>6015</v>
      </c>
    </row>
    <row r="1646" spans="1:9" x14ac:dyDescent="0.3">
      <c r="A1646" t="s">
        <v>6016</v>
      </c>
      <c r="B1646" t="s">
        <v>641</v>
      </c>
      <c r="C1646" t="s">
        <v>6017</v>
      </c>
      <c r="D1646" t="s">
        <v>3025</v>
      </c>
      <c r="E1646" t="s">
        <v>6018</v>
      </c>
      <c r="F1646" t="s">
        <v>3027</v>
      </c>
      <c r="G1646" t="s">
        <v>3028</v>
      </c>
      <c r="H1646">
        <v>1</v>
      </c>
      <c r="I1646" t="s">
        <v>6017</v>
      </c>
    </row>
    <row r="1647" spans="1:9" x14ac:dyDescent="0.3">
      <c r="A1647" t="s">
        <v>6016</v>
      </c>
      <c r="B1647" t="s">
        <v>641</v>
      </c>
      <c r="C1647" t="s">
        <v>6017</v>
      </c>
      <c r="D1647" t="s">
        <v>3029</v>
      </c>
      <c r="E1647" t="s">
        <v>6019</v>
      </c>
      <c r="F1647" t="s">
        <v>3027</v>
      </c>
      <c r="G1647" t="s">
        <v>3031</v>
      </c>
      <c r="H1647">
        <v>2</v>
      </c>
      <c r="I1647" t="s">
        <v>6020</v>
      </c>
    </row>
    <row r="1648" spans="1:9" x14ac:dyDescent="0.3">
      <c r="A1648" t="s">
        <v>6016</v>
      </c>
      <c r="B1648" t="s">
        <v>641</v>
      </c>
      <c r="C1648" t="s">
        <v>6017</v>
      </c>
      <c r="D1648" t="s">
        <v>3029</v>
      </c>
      <c r="E1648" t="s">
        <v>6021</v>
      </c>
      <c r="F1648" t="s">
        <v>3027</v>
      </c>
      <c r="G1648" t="s">
        <v>3031</v>
      </c>
      <c r="H1648">
        <v>3</v>
      </c>
      <c r="I1648" t="s">
        <v>6022</v>
      </c>
    </row>
    <row r="1649" spans="1:9" x14ac:dyDescent="0.3">
      <c r="A1649" t="s">
        <v>6016</v>
      </c>
      <c r="B1649" t="s">
        <v>641</v>
      </c>
      <c r="C1649" t="s">
        <v>6017</v>
      </c>
      <c r="D1649" t="s">
        <v>3029</v>
      </c>
      <c r="E1649" t="s">
        <v>6023</v>
      </c>
      <c r="F1649" t="s">
        <v>3027</v>
      </c>
      <c r="G1649" t="s">
        <v>3031</v>
      </c>
      <c r="H1649">
        <v>4</v>
      </c>
      <c r="I1649" t="s">
        <v>6024</v>
      </c>
    </row>
    <row r="1650" spans="1:9" x14ac:dyDescent="0.3">
      <c r="A1650" t="s">
        <v>6016</v>
      </c>
      <c r="B1650" t="s">
        <v>641</v>
      </c>
      <c r="C1650" t="s">
        <v>6017</v>
      </c>
      <c r="D1650" t="s">
        <v>3029</v>
      </c>
      <c r="E1650" t="s">
        <v>6025</v>
      </c>
      <c r="F1650" t="s">
        <v>3027</v>
      </c>
      <c r="G1650" t="s">
        <v>3031</v>
      </c>
      <c r="H1650">
        <v>5</v>
      </c>
      <c r="I1650" t="s">
        <v>6026</v>
      </c>
    </row>
    <row r="1651" spans="1:9" x14ac:dyDescent="0.3">
      <c r="A1651" t="s">
        <v>6016</v>
      </c>
      <c r="B1651" t="s">
        <v>641</v>
      </c>
      <c r="C1651" t="s">
        <v>6017</v>
      </c>
      <c r="D1651" t="s">
        <v>3029</v>
      </c>
      <c r="E1651" t="s">
        <v>6027</v>
      </c>
      <c r="F1651" t="s">
        <v>3027</v>
      </c>
      <c r="G1651" t="s">
        <v>3031</v>
      </c>
      <c r="H1651">
        <v>6</v>
      </c>
      <c r="I1651" t="s">
        <v>6028</v>
      </c>
    </row>
    <row r="1652" spans="1:9" x14ac:dyDescent="0.3">
      <c r="A1652" t="s">
        <v>6016</v>
      </c>
      <c r="B1652" t="s">
        <v>641</v>
      </c>
      <c r="C1652" t="s">
        <v>6017</v>
      </c>
      <c r="D1652" t="s">
        <v>3029</v>
      </c>
      <c r="E1652" t="s">
        <v>6029</v>
      </c>
      <c r="F1652" t="s">
        <v>3027</v>
      </c>
      <c r="G1652" t="s">
        <v>3031</v>
      </c>
      <c r="H1652">
        <v>7</v>
      </c>
      <c r="I1652" t="s">
        <v>6030</v>
      </c>
    </row>
    <row r="1653" spans="1:9" x14ac:dyDescent="0.3">
      <c r="A1653" t="s">
        <v>6016</v>
      </c>
      <c r="B1653" t="s">
        <v>641</v>
      </c>
      <c r="C1653" t="s">
        <v>6017</v>
      </c>
      <c r="D1653" t="s">
        <v>3029</v>
      </c>
      <c r="E1653" t="s">
        <v>6031</v>
      </c>
      <c r="F1653" t="s">
        <v>3027</v>
      </c>
      <c r="G1653" t="s">
        <v>3031</v>
      </c>
      <c r="H1653">
        <v>8</v>
      </c>
      <c r="I1653" t="s">
        <v>6032</v>
      </c>
    </row>
    <row r="1654" spans="1:9" x14ac:dyDescent="0.3">
      <c r="A1654" t="s">
        <v>6016</v>
      </c>
      <c r="B1654" t="s">
        <v>641</v>
      </c>
      <c r="C1654" t="s">
        <v>6017</v>
      </c>
      <c r="D1654" t="s">
        <v>3029</v>
      </c>
      <c r="E1654" t="s">
        <v>6033</v>
      </c>
      <c r="F1654" t="s">
        <v>3027</v>
      </c>
      <c r="G1654" t="s">
        <v>3031</v>
      </c>
      <c r="H1654">
        <v>9</v>
      </c>
      <c r="I1654" t="s">
        <v>6034</v>
      </c>
    </row>
    <row r="1655" spans="1:9" x14ac:dyDescent="0.3">
      <c r="A1655" t="s">
        <v>6016</v>
      </c>
      <c r="B1655" t="s">
        <v>641</v>
      </c>
      <c r="C1655" t="s">
        <v>6017</v>
      </c>
      <c r="D1655" t="s">
        <v>3029</v>
      </c>
      <c r="E1655" t="s">
        <v>6035</v>
      </c>
      <c r="F1655" t="s">
        <v>3027</v>
      </c>
      <c r="G1655" t="s">
        <v>3031</v>
      </c>
      <c r="H1655">
        <v>10</v>
      </c>
      <c r="I1655" t="s">
        <v>6036</v>
      </c>
    </row>
    <row r="1656" spans="1:9" x14ac:dyDescent="0.3">
      <c r="A1656" t="s">
        <v>6016</v>
      </c>
      <c r="B1656" t="s">
        <v>641</v>
      </c>
      <c r="C1656" t="s">
        <v>6017</v>
      </c>
      <c r="D1656" t="s">
        <v>3029</v>
      </c>
      <c r="E1656" t="s">
        <v>6037</v>
      </c>
      <c r="F1656" t="s">
        <v>3027</v>
      </c>
      <c r="G1656" t="s">
        <v>3031</v>
      </c>
      <c r="H1656">
        <v>11</v>
      </c>
      <c r="I1656" t="s">
        <v>6038</v>
      </c>
    </row>
    <row r="1657" spans="1:9" x14ac:dyDescent="0.3">
      <c r="A1657" t="s">
        <v>6016</v>
      </c>
      <c r="B1657" t="s">
        <v>641</v>
      </c>
      <c r="C1657" t="s">
        <v>6017</v>
      </c>
      <c r="D1657" t="s">
        <v>3029</v>
      </c>
      <c r="E1657" t="s">
        <v>6039</v>
      </c>
      <c r="F1657" t="s">
        <v>3027</v>
      </c>
      <c r="G1657" t="s">
        <v>3031</v>
      </c>
      <c r="H1657">
        <v>12</v>
      </c>
      <c r="I1657" t="s">
        <v>6040</v>
      </c>
    </row>
    <row r="1658" spans="1:9" x14ac:dyDescent="0.3">
      <c r="A1658" t="s">
        <v>6016</v>
      </c>
      <c r="B1658" t="s">
        <v>641</v>
      </c>
      <c r="C1658" t="s">
        <v>6017</v>
      </c>
      <c r="D1658" t="s">
        <v>3029</v>
      </c>
      <c r="E1658" t="s">
        <v>6041</v>
      </c>
      <c r="F1658" t="s">
        <v>3027</v>
      </c>
      <c r="G1658" t="s">
        <v>3031</v>
      </c>
      <c r="H1658">
        <v>13</v>
      </c>
      <c r="I1658" t="s">
        <v>6042</v>
      </c>
    </row>
    <row r="1659" spans="1:9" x14ac:dyDescent="0.3">
      <c r="A1659" t="s">
        <v>6016</v>
      </c>
      <c r="B1659" t="s">
        <v>641</v>
      </c>
      <c r="C1659" t="s">
        <v>6017</v>
      </c>
      <c r="D1659" t="s">
        <v>3029</v>
      </c>
      <c r="E1659" t="s">
        <v>6043</v>
      </c>
      <c r="F1659" t="s">
        <v>3027</v>
      </c>
      <c r="G1659" t="s">
        <v>3031</v>
      </c>
      <c r="H1659">
        <v>14</v>
      </c>
      <c r="I1659" t="s">
        <v>6044</v>
      </c>
    </row>
    <row r="1660" spans="1:9" x14ac:dyDescent="0.3">
      <c r="A1660" t="s">
        <v>6016</v>
      </c>
      <c r="B1660" t="s">
        <v>641</v>
      </c>
      <c r="C1660" t="s">
        <v>6017</v>
      </c>
      <c r="D1660" t="s">
        <v>3029</v>
      </c>
      <c r="E1660" t="s">
        <v>6045</v>
      </c>
      <c r="F1660" t="s">
        <v>3027</v>
      </c>
      <c r="G1660" t="s">
        <v>3031</v>
      </c>
      <c r="H1660">
        <v>15</v>
      </c>
      <c r="I1660" t="s">
        <v>6046</v>
      </c>
    </row>
    <row r="1661" spans="1:9" x14ac:dyDescent="0.3">
      <c r="A1661" t="s">
        <v>6016</v>
      </c>
      <c r="B1661" t="s">
        <v>641</v>
      </c>
      <c r="C1661" t="s">
        <v>6017</v>
      </c>
      <c r="D1661" t="s">
        <v>3029</v>
      </c>
      <c r="E1661" t="s">
        <v>6047</v>
      </c>
      <c r="F1661" t="s">
        <v>3027</v>
      </c>
      <c r="G1661" t="s">
        <v>3031</v>
      </c>
      <c r="H1661">
        <v>16</v>
      </c>
      <c r="I1661" t="s">
        <v>6048</v>
      </c>
    </row>
    <row r="1662" spans="1:9" x14ac:dyDescent="0.3">
      <c r="A1662" t="s">
        <v>6016</v>
      </c>
      <c r="B1662" t="s">
        <v>641</v>
      </c>
      <c r="C1662" t="s">
        <v>6017</v>
      </c>
      <c r="D1662" t="s">
        <v>3029</v>
      </c>
      <c r="E1662" t="s">
        <v>6049</v>
      </c>
      <c r="F1662" t="s">
        <v>3027</v>
      </c>
      <c r="G1662" t="s">
        <v>3031</v>
      </c>
      <c r="H1662">
        <v>17</v>
      </c>
      <c r="I1662" t="s">
        <v>5189</v>
      </c>
    </row>
    <row r="1663" spans="1:9" x14ac:dyDescent="0.3">
      <c r="A1663" t="s">
        <v>6016</v>
      </c>
      <c r="B1663" t="s">
        <v>641</v>
      </c>
      <c r="C1663" t="s">
        <v>6017</v>
      </c>
      <c r="D1663" t="s">
        <v>3029</v>
      </c>
      <c r="E1663" t="s">
        <v>6050</v>
      </c>
      <c r="F1663" t="s">
        <v>3027</v>
      </c>
      <c r="G1663" t="s">
        <v>3031</v>
      </c>
      <c r="H1663">
        <v>18</v>
      </c>
      <c r="I1663" t="s">
        <v>6051</v>
      </c>
    </row>
    <row r="1664" spans="1:9" x14ac:dyDescent="0.3">
      <c r="A1664" t="s">
        <v>6016</v>
      </c>
      <c r="B1664" t="s">
        <v>641</v>
      </c>
      <c r="C1664" t="s">
        <v>6017</v>
      </c>
      <c r="D1664" t="s">
        <v>3029</v>
      </c>
      <c r="E1664" t="s">
        <v>6052</v>
      </c>
      <c r="F1664" t="s">
        <v>3027</v>
      </c>
      <c r="G1664" t="s">
        <v>3031</v>
      </c>
      <c r="H1664">
        <v>19</v>
      </c>
      <c r="I1664" t="s">
        <v>6053</v>
      </c>
    </row>
    <row r="1665" spans="1:9" x14ac:dyDescent="0.3">
      <c r="A1665" t="s">
        <v>6016</v>
      </c>
      <c r="B1665" t="s">
        <v>641</v>
      </c>
      <c r="C1665" t="s">
        <v>6017</v>
      </c>
      <c r="D1665" t="s">
        <v>3029</v>
      </c>
      <c r="E1665" t="s">
        <v>6054</v>
      </c>
      <c r="F1665" t="s">
        <v>3027</v>
      </c>
      <c r="G1665" t="s">
        <v>3031</v>
      </c>
      <c r="H1665">
        <v>20</v>
      </c>
      <c r="I1665" t="s">
        <v>6055</v>
      </c>
    </row>
    <row r="1666" spans="1:9" x14ac:dyDescent="0.3">
      <c r="A1666" t="s">
        <v>6056</v>
      </c>
      <c r="B1666" t="s">
        <v>647</v>
      </c>
      <c r="C1666" t="s">
        <v>648</v>
      </c>
      <c r="D1666" t="s">
        <v>3025</v>
      </c>
      <c r="E1666" t="s">
        <v>5870</v>
      </c>
      <c r="F1666" t="s">
        <v>3027</v>
      </c>
      <c r="G1666" t="s">
        <v>3028</v>
      </c>
      <c r="H1666">
        <v>1</v>
      </c>
      <c r="I1666" t="s">
        <v>648</v>
      </c>
    </row>
    <row r="1667" spans="1:9" x14ac:dyDescent="0.3">
      <c r="A1667" t="s">
        <v>6056</v>
      </c>
      <c r="B1667" t="s">
        <v>647</v>
      </c>
      <c r="C1667" t="s">
        <v>648</v>
      </c>
      <c r="D1667" t="s">
        <v>3029</v>
      </c>
      <c r="E1667" t="s">
        <v>6057</v>
      </c>
      <c r="F1667" t="s">
        <v>3027</v>
      </c>
      <c r="G1667" t="s">
        <v>3031</v>
      </c>
      <c r="H1667">
        <v>2</v>
      </c>
      <c r="I1667" t="s">
        <v>6058</v>
      </c>
    </row>
    <row r="1668" spans="1:9" x14ac:dyDescent="0.3">
      <c r="A1668" t="s">
        <v>6056</v>
      </c>
      <c r="B1668" t="s">
        <v>647</v>
      </c>
      <c r="C1668" t="s">
        <v>648</v>
      </c>
      <c r="D1668" t="s">
        <v>3029</v>
      </c>
      <c r="E1668" t="s">
        <v>4303</v>
      </c>
      <c r="F1668" t="s">
        <v>3027</v>
      </c>
      <c r="G1668" t="s">
        <v>3031</v>
      </c>
      <c r="H1668">
        <v>3</v>
      </c>
      <c r="I1668" t="s">
        <v>4304</v>
      </c>
    </row>
    <row r="1669" spans="1:9" x14ac:dyDescent="0.3">
      <c r="A1669" t="s">
        <v>6056</v>
      </c>
      <c r="B1669" t="s">
        <v>647</v>
      </c>
      <c r="C1669" t="s">
        <v>648</v>
      </c>
      <c r="D1669" t="s">
        <v>3029</v>
      </c>
      <c r="E1669" t="s">
        <v>6059</v>
      </c>
      <c r="F1669" t="s">
        <v>3027</v>
      </c>
      <c r="G1669" t="s">
        <v>3031</v>
      </c>
      <c r="H1669">
        <v>4</v>
      </c>
      <c r="I1669" t="s">
        <v>647</v>
      </c>
    </row>
    <row r="1670" spans="1:9" x14ac:dyDescent="0.3">
      <c r="A1670" t="s">
        <v>6056</v>
      </c>
      <c r="B1670" t="s">
        <v>647</v>
      </c>
      <c r="C1670" t="s">
        <v>648</v>
      </c>
      <c r="D1670" t="s">
        <v>3029</v>
      </c>
      <c r="E1670" t="s">
        <v>5845</v>
      </c>
      <c r="F1670" t="s">
        <v>3027</v>
      </c>
      <c r="G1670" t="s">
        <v>3031</v>
      </c>
      <c r="H1670">
        <v>5</v>
      </c>
      <c r="I1670" t="s">
        <v>44</v>
      </c>
    </row>
    <row r="1671" spans="1:9" x14ac:dyDescent="0.3">
      <c r="A1671" t="s">
        <v>6056</v>
      </c>
      <c r="B1671" t="s">
        <v>647</v>
      </c>
      <c r="C1671" t="s">
        <v>648</v>
      </c>
      <c r="D1671" t="s">
        <v>3029</v>
      </c>
      <c r="E1671" t="s">
        <v>6060</v>
      </c>
      <c r="F1671" t="s">
        <v>3027</v>
      </c>
      <c r="G1671" t="s">
        <v>3031</v>
      </c>
      <c r="H1671">
        <v>6</v>
      </c>
      <c r="I1671" t="s">
        <v>6061</v>
      </c>
    </row>
    <row r="1672" spans="1:9" x14ac:dyDescent="0.3">
      <c r="A1672" t="s">
        <v>6056</v>
      </c>
      <c r="B1672" t="s">
        <v>647</v>
      </c>
      <c r="C1672" t="s">
        <v>648</v>
      </c>
      <c r="D1672" t="s">
        <v>3029</v>
      </c>
      <c r="E1672" t="s">
        <v>5970</v>
      </c>
      <c r="F1672" t="s">
        <v>3027</v>
      </c>
      <c r="G1672" t="s">
        <v>3031</v>
      </c>
      <c r="H1672">
        <v>7</v>
      </c>
      <c r="I1672" t="s">
        <v>6062</v>
      </c>
    </row>
    <row r="1673" spans="1:9" x14ac:dyDescent="0.3">
      <c r="A1673" t="s">
        <v>6056</v>
      </c>
      <c r="B1673" t="s">
        <v>647</v>
      </c>
      <c r="C1673" t="s">
        <v>648</v>
      </c>
      <c r="D1673" t="s">
        <v>3029</v>
      </c>
      <c r="E1673" t="s">
        <v>6063</v>
      </c>
      <c r="F1673" t="s">
        <v>3027</v>
      </c>
      <c r="G1673" t="s">
        <v>3031</v>
      </c>
      <c r="H1673">
        <v>8</v>
      </c>
      <c r="I1673" t="s">
        <v>6064</v>
      </c>
    </row>
    <row r="1674" spans="1:9" x14ac:dyDescent="0.3">
      <c r="A1674" t="s">
        <v>6056</v>
      </c>
      <c r="B1674" t="s">
        <v>647</v>
      </c>
      <c r="C1674" t="s">
        <v>648</v>
      </c>
      <c r="D1674" t="s">
        <v>3029</v>
      </c>
      <c r="E1674" t="s">
        <v>6065</v>
      </c>
      <c r="F1674" t="s">
        <v>3027</v>
      </c>
      <c r="G1674" t="s">
        <v>3031</v>
      </c>
      <c r="H1674">
        <v>9</v>
      </c>
      <c r="I1674" t="s">
        <v>6066</v>
      </c>
    </row>
    <row r="1675" spans="1:9" x14ac:dyDescent="0.3">
      <c r="A1675" t="s">
        <v>6056</v>
      </c>
      <c r="B1675" t="s">
        <v>647</v>
      </c>
      <c r="C1675" t="s">
        <v>648</v>
      </c>
      <c r="D1675" t="s">
        <v>3029</v>
      </c>
      <c r="E1675" t="s">
        <v>6067</v>
      </c>
      <c r="F1675" t="s">
        <v>3027</v>
      </c>
      <c r="G1675" t="s">
        <v>3031</v>
      </c>
      <c r="H1675">
        <v>10</v>
      </c>
      <c r="I1675" t="s">
        <v>6068</v>
      </c>
    </row>
    <row r="1676" spans="1:9" x14ac:dyDescent="0.3">
      <c r="A1676" t="s">
        <v>6056</v>
      </c>
      <c r="B1676" t="s">
        <v>647</v>
      </c>
      <c r="C1676" t="s">
        <v>648</v>
      </c>
      <c r="D1676" t="s">
        <v>3029</v>
      </c>
      <c r="E1676" t="s">
        <v>6069</v>
      </c>
      <c r="F1676" t="s">
        <v>3027</v>
      </c>
      <c r="G1676" t="s">
        <v>3031</v>
      </c>
      <c r="H1676">
        <v>11</v>
      </c>
      <c r="I1676" t="s">
        <v>6070</v>
      </c>
    </row>
    <row r="1677" spans="1:9" x14ac:dyDescent="0.3">
      <c r="A1677" t="s">
        <v>6056</v>
      </c>
      <c r="B1677" t="s">
        <v>647</v>
      </c>
      <c r="C1677" t="s">
        <v>648</v>
      </c>
      <c r="D1677" t="s">
        <v>3029</v>
      </c>
      <c r="E1677" t="s">
        <v>6071</v>
      </c>
      <c r="F1677" t="s">
        <v>3027</v>
      </c>
      <c r="G1677" t="s">
        <v>3031</v>
      </c>
      <c r="H1677">
        <v>12</v>
      </c>
      <c r="I1677" t="s">
        <v>6072</v>
      </c>
    </row>
    <row r="1678" spans="1:9" x14ac:dyDescent="0.3">
      <c r="A1678" t="s">
        <v>6056</v>
      </c>
      <c r="B1678" t="s">
        <v>647</v>
      </c>
      <c r="C1678" t="s">
        <v>648</v>
      </c>
      <c r="D1678" t="s">
        <v>3029</v>
      </c>
      <c r="E1678" t="s">
        <v>6073</v>
      </c>
      <c r="F1678" t="s">
        <v>3027</v>
      </c>
      <c r="G1678" t="s">
        <v>3031</v>
      </c>
      <c r="H1678">
        <v>13</v>
      </c>
      <c r="I1678" t="s">
        <v>6074</v>
      </c>
    </row>
    <row r="1679" spans="1:9" x14ac:dyDescent="0.3">
      <c r="A1679" t="s">
        <v>6056</v>
      </c>
      <c r="B1679" t="s">
        <v>647</v>
      </c>
      <c r="C1679" t="s">
        <v>648</v>
      </c>
      <c r="D1679" t="s">
        <v>3029</v>
      </c>
      <c r="E1679" t="s">
        <v>6075</v>
      </c>
      <c r="F1679" t="s">
        <v>3027</v>
      </c>
      <c r="G1679" t="s">
        <v>3031</v>
      </c>
      <c r="H1679">
        <v>14</v>
      </c>
      <c r="I1679" t="s">
        <v>6076</v>
      </c>
    </row>
    <row r="1680" spans="1:9" x14ac:dyDescent="0.3">
      <c r="A1680" t="s">
        <v>6056</v>
      </c>
      <c r="B1680" t="s">
        <v>647</v>
      </c>
      <c r="C1680" t="s">
        <v>648</v>
      </c>
      <c r="D1680" t="s">
        <v>3029</v>
      </c>
      <c r="E1680" t="s">
        <v>6077</v>
      </c>
      <c r="F1680" t="s">
        <v>3027</v>
      </c>
      <c r="G1680" t="s">
        <v>3031</v>
      </c>
      <c r="H1680">
        <v>15</v>
      </c>
      <c r="I1680" t="s">
        <v>6078</v>
      </c>
    </row>
    <row r="1681" spans="1:9" x14ac:dyDescent="0.3">
      <c r="A1681" t="s">
        <v>6056</v>
      </c>
      <c r="B1681" t="s">
        <v>647</v>
      </c>
      <c r="C1681" t="s">
        <v>648</v>
      </c>
      <c r="D1681" t="s">
        <v>3029</v>
      </c>
      <c r="E1681" t="s">
        <v>6079</v>
      </c>
      <c r="F1681" t="s">
        <v>3027</v>
      </c>
      <c r="G1681" t="s">
        <v>3031</v>
      </c>
      <c r="H1681">
        <v>16</v>
      </c>
      <c r="I1681" t="s">
        <v>6080</v>
      </c>
    </row>
    <row r="1682" spans="1:9" x14ac:dyDescent="0.3">
      <c r="A1682" t="s">
        <v>6056</v>
      </c>
      <c r="B1682" t="s">
        <v>647</v>
      </c>
      <c r="C1682" t="s">
        <v>648</v>
      </c>
      <c r="D1682" t="s">
        <v>3029</v>
      </c>
      <c r="E1682" t="s">
        <v>6081</v>
      </c>
      <c r="F1682" t="s">
        <v>3027</v>
      </c>
      <c r="G1682" t="s">
        <v>3031</v>
      </c>
      <c r="H1682">
        <v>17</v>
      </c>
      <c r="I1682" t="s">
        <v>6082</v>
      </c>
    </row>
    <row r="1683" spans="1:9" x14ac:dyDescent="0.3">
      <c r="A1683" t="s">
        <v>6056</v>
      </c>
      <c r="B1683" t="s">
        <v>647</v>
      </c>
      <c r="C1683" t="s">
        <v>648</v>
      </c>
      <c r="D1683" t="s">
        <v>3029</v>
      </c>
      <c r="E1683" t="s">
        <v>6083</v>
      </c>
      <c r="F1683" t="s">
        <v>3027</v>
      </c>
      <c r="G1683" t="s">
        <v>3031</v>
      </c>
      <c r="H1683">
        <v>18</v>
      </c>
      <c r="I1683" t="s">
        <v>6084</v>
      </c>
    </row>
    <row r="1684" spans="1:9" x14ac:dyDescent="0.3">
      <c r="A1684" t="s">
        <v>6056</v>
      </c>
      <c r="B1684" t="s">
        <v>647</v>
      </c>
      <c r="C1684" t="s">
        <v>648</v>
      </c>
      <c r="D1684" t="s">
        <v>3029</v>
      </c>
      <c r="E1684" t="s">
        <v>6085</v>
      </c>
      <c r="F1684" t="s">
        <v>3027</v>
      </c>
      <c r="G1684" t="s">
        <v>3031</v>
      </c>
      <c r="H1684">
        <v>19</v>
      </c>
      <c r="I1684" t="s">
        <v>6086</v>
      </c>
    </row>
    <row r="1685" spans="1:9" x14ac:dyDescent="0.3">
      <c r="A1685" t="s">
        <v>6056</v>
      </c>
      <c r="B1685" t="s">
        <v>647</v>
      </c>
      <c r="C1685" t="s">
        <v>648</v>
      </c>
      <c r="D1685" t="s">
        <v>3029</v>
      </c>
      <c r="E1685" t="s">
        <v>6087</v>
      </c>
      <c r="F1685" t="s">
        <v>3027</v>
      </c>
      <c r="G1685" t="s">
        <v>3031</v>
      </c>
      <c r="H1685">
        <v>20</v>
      </c>
      <c r="I1685" t="s">
        <v>6088</v>
      </c>
    </row>
    <row r="1686" spans="1:9" x14ac:dyDescent="0.3">
      <c r="A1686" t="s">
        <v>6089</v>
      </c>
      <c r="B1686" t="s">
        <v>653</v>
      </c>
      <c r="C1686" t="s">
        <v>6090</v>
      </c>
      <c r="D1686" t="s">
        <v>3025</v>
      </c>
      <c r="E1686" t="s">
        <v>6091</v>
      </c>
      <c r="F1686" t="s">
        <v>3027</v>
      </c>
      <c r="G1686" t="s">
        <v>3028</v>
      </c>
      <c r="H1686">
        <v>1</v>
      </c>
      <c r="I1686" t="s">
        <v>6090</v>
      </c>
    </row>
    <row r="1687" spans="1:9" x14ac:dyDescent="0.3">
      <c r="A1687" t="s">
        <v>6089</v>
      </c>
      <c r="B1687" t="s">
        <v>653</v>
      </c>
      <c r="C1687" t="s">
        <v>6090</v>
      </c>
      <c r="D1687" t="s">
        <v>3029</v>
      </c>
      <c r="E1687" t="s">
        <v>6092</v>
      </c>
      <c r="F1687" t="s">
        <v>3027</v>
      </c>
      <c r="G1687" t="s">
        <v>3031</v>
      </c>
      <c r="H1687">
        <v>2</v>
      </c>
      <c r="I1687" t="s">
        <v>6093</v>
      </c>
    </row>
    <row r="1688" spans="1:9" x14ac:dyDescent="0.3">
      <c r="A1688" t="s">
        <v>6089</v>
      </c>
      <c r="B1688" t="s">
        <v>653</v>
      </c>
      <c r="C1688" t="s">
        <v>6090</v>
      </c>
      <c r="D1688" t="s">
        <v>3029</v>
      </c>
      <c r="E1688" t="s">
        <v>6094</v>
      </c>
      <c r="F1688" t="s">
        <v>3027</v>
      </c>
      <c r="G1688" t="s">
        <v>3031</v>
      </c>
      <c r="H1688">
        <v>3</v>
      </c>
      <c r="I1688" t="s">
        <v>6095</v>
      </c>
    </row>
    <row r="1689" spans="1:9" x14ac:dyDescent="0.3">
      <c r="A1689" t="s">
        <v>6089</v>
      </c>
      <c r="B1689" t="s">
        <v>653</v>
      </c>
      <c r="C1689" t="s">
        <v>6090</v>
      </c>
      <c r="D1689" t="s">
        <v>3029</v>
      </c>
      <c r="E1689" t="s">
        <v>6096</v>
      </c>
      <c r="F1689" t="s">
        <v>3027</v>
      </c>
      <c r="G1689" t="s">
        <v>3031</v>
      </c>
      <c r="H1689">
        <v>4</v>
      </c>
      <c r="I1689" t="s">
        <v>6097</v>
      </c>
    </row>
    <row r="1690" spans="1:9" x14ac:dyDescent="0.3">
      <c r="A1690" t="s">
        <v>6089</v>
      </c>
      <c r="B1690" t="s">
        <v>653</v>
      </c>
      <c r="C1690" t="s">
        <v>6090</v>
      </c>
      <c r="D1690" t="s">
        <v>3029</v>
      </c>
      <c r="E1690" t="s">
        <v>6098</v>
      </c>
      <c r="F1690" t="s">
        <v>3027</v>
      </c>
      <c r="G1690" t="s">
        <v>3031</v>
      </c>
      <c r="H1690">
        <v>5</v>
      </c>
      <c r="I1690" t="s">
        <v>5660</v>
      </c>
    </row>
    <row r="1691" spans="1:9" x14ac:dyDescent="0.3">
      <c r="A1691" t="s">
        <v>6089</v>
      </c>
      <c r="B1691" t="s">
        <v>653</v>
      </c>
      <c r="C1691" t="s">
        <v>6090</v>
      </c>
      <c r="D1691" t="s">
        <v>3029</v>
      </c>
      <c r="E1691" t="s">
        <v>4155</v>
      </c>
      <c r="F1691" t="s">
        <v>3027</v>
      </c>
      <c r="G1691" t="s">
        <v>3031</v>
      </c>
      <c r="H1691">
        <v>6</v>
      </c>
      <c r="I1691" t="s">
        <v>4156</v>
      </c>
    </row>
    <row r="1692" spans="1:9" x14ac:dyDescent="0.3">
      <c r="A1692" t="s">
        <v>6089</v>
      </c>
      <c r="B1692" t="s">
        <v>653</v>
      </c>
      <c r="C1692" t="s">
        <v>6090</v>
      </c>
      <c r="D1692" t="s">
        <v>3029</v>
      </c>
      <c r="E1692" t="s">
        <v>3358</v>
      </c>
      <c r="F1692" t="s">
        <v>3027</v>
      </c>
      <c r="G1692" t="s">
        <v>3031</v>
      </c>
      <c r="H1692">
        <v>7</v>
      </c>
      <c r="I1692" t="s">
        <v>6099</v>
      </c>
    </row>
    <row r="1693" spans="1:9" x14ac:dyDescent="0.3">
      <c r="A1693" t="s">
        <v>6089</v>
      </c>
      <c r="B1693" t="s">
        <v>653</v>
      </c>
      <c r="C1693" t="s">
        <v>6090</v>
      </c>
      <c r="D1693" t="s">
        <v>3029</v>
      </c>
      <c r="E1693" t="s">
        <v>6100</v>
      </c>
      <c r="F1693" t="s">
        <v>3027</v>
      </c>
      <c r="G1693" t="s">
        <v>3031</v>
      </c>
      <c r="H1693">
        <v>8</v>
      </c>
      <c r="I1693" t="s">
        <v>6101</v>
      </c>
    </row>
    <row r="1694" spans="1:9" x14ac:dyDescent="0.3">
      <c r="A1694" t="s">
        <v>6089</v>
      </c>
      <c r="B1694" t="s">
        <v>653</v>
      </c>
      <c r="C1694" t="s">
        <v>6090</v>
      </c>
      <c r="D1694" t="s">
        <v>3029</v>
      </c>
      <c r="E1694" t="s">
        <v>4416</v>
      </c>
      <c r="F1694" t="s">
        <v>3027</v>
      </c>
      <c r="G1694" t="s">
        <v>3031</v>
      </c>
      <c r="H1694">
        <v>9</v>
      </c>
      <c r="I1694" t="s">
        <v>6102</v>
      </c>
    </row>
    <row r="1695" spans="1:9" x14ac:dyDescent="0.3">
      <c r="A1695" t="s">
        <v>6089</v>
      </c>
      <c r="B1695" t="s">
        <v>653</v>
      </c>
      <c r="C1695" t="s">
        <v>6090</v>
      </c>
      <c r="D1695" t="s">
        <v>3029</v>
      </c>
      <c r="E1695" t="s">
        <v>6103</v>
      </c>
      <c r="F1695" t="s">
        <v>3027</v>
      </c>
      <c r="G1695" t="s">
        <v>3031</v>
      </c>
      <c r="H1695">
        <v>10</v>
      </c>
      <c r="I1695" t="s">
        <v>6104</v>
      </c>
    </row>
    <row r="1696" spans="1:9" x14ac:dyDescent="0.3">
      <c r="A1696" t="s">
        <v>6089</v>
      </c>
      <c r="B1696" t="s">
        <v>653</v>
      </c>
      <c r="C1696" t="s">
        <v>6090</v>
      </c>
      <c r="D1696" t="s">
        <v>3029</v>
      </c>
      <c r="E1696" t="s">
        <v>6105</v>
      </c>
      <c r="F1696" t="s">
        <v>3027</v>
      </c>
      <c r="G1696" t="s">
        <v>3031</v>
      </c>
      <c r="H1696">
        <v>11</v>
      </c>
      <c r="I1696" t="s">
        <v>6106</v>
      </c>
    </row>
    <row r="1697" spans="1:9" x14ac:dyDescent="0.3">
      <c r="A1697" t="s">
        <v>6089</v>
      </c>
      <c r="B1697" t="s">
        <v>653</v>
      </c>
      <c r="C1697" t="s">
        <v>6090</v>
      </c>
      <c r="D1697" t="s">
        <v>3029</v>
      </c>
      <c r="E1697" t="s">
        <v>6107</v>
      </c>
      <c r="F1697" t="s">
        <v>3027</v>
      </c>
      <c r="G1697" t="s">
        <v>3031</v>
      </c>
      <c r="H1697">
        <v>12</v>
      </c>
      <c r="I1697" t="s">
        <v>6108</v>
      </c>
    </row>
    <row r="1698" spans="1:9" x14ac:dyDescent="0.3">
      <c r="A1698" t="s">
        <v>6089</v>
      </c>
      <c r="B1698" t="s">
        <v>653</v>
      </c>
      <c r="C1698" t="s">
        <v>6090</v>
      </c>
      <c r="D1698" t="s">
        <v>3029</v>
      </c>
      <c r="E1698" t="s">
        <v>6109</v>
      </c>
      <c r="F1698" t="s">
        <v>3027</v>
      </c>
      <c r="G1698" t="s">
        <v>3031</v>
      </c>
      <c r="H1698">
        <v>13</v>
      </c>
      <c r="I1698" t="s">
        <v>6110</v>
      </c>
    </row>
    <row r="1699" spans="1:9" x14ac:dyDescent="0.3">
      <c r="A1699" t="s">
        <v>6089</v>
      </c>
      <c r="B1699" t="s">
        <v>653</v>
      </c>
      <c r="C1699" t="s">
        <v>6090</v>
      </c>
      <c r="D1699" t="s">
        <v>3029</v>
      </c>
      <c r="E1699" t="s">
        <v>3316</v>
      </c>
      <c r="F1699" t="s">
        <v>3027</v>
      </c>
      <c r="G1699" t="s">
        <v>3031</v>
      </c>
      <c r="H1699">
        <v>14</v>
      </c>
      <c r="I1699" t="s">
        <v>3317</v>
      </c>
    </row>
    <row r="1700" spans="1:9" x14ac:dyDescent="0.3">
      <c r="A1700" t="s">
        <v>6089</v>
      </c>
      <c r="B1700" t="s">
        <v>653</v>
      </c>
      <c r="C1700" t="s">
        <v>6090</v>
      </c>
      <c r="D1700" t="s">
        <v>3029</v>
      </c>
      <c r="E1700" t="s">
        <v>4177</v>
      </c>
      <c r="F1700" t="s">
        <v>3027</v>
      </c>
      <c r="G1700" t="s">
        <v>3031</v>
      </c>
      <c r="H1700">
        <v>15</v>
      </c>
      <c r="I1700" t="s">
        <v>4178</v>
      </c>
    </row>
    <row r="1701" spans="1:9" x14ac:dyDescent="0.3">
      <c r="A1701" t="s">
        <v>6089</v>
      </c>
      <c r="B1701" t="s">
        <v>653</v>
      </c>
      <c r="C1701" t="s">
        <v>6090</v>
      </c>
      <c r="D1701" t="s">
        <v>3029</v>
      </c>
      <c r="E1701" t="s">
        <v>4179</v>
      </c>
      <c r="F1701" t="s">
        <v>3027</v>
      </c>
      <c r="G1701" t="s">
        <v>3031</v>
      </c>
      <c r="H1701">
        <v>16</v>
      </c>
      <c r="I1701" t="s">
        <v>4180</v>
      </c>
    </row>
    <row r="1702" spans="1:9" x14ac:dyDescent="0.3">
      <c r="A1702" t="s">
        <v>6089</v>
      </c>
      <c r="B1702" t="s">
        <v>653</v>
      </c>
      <c r="C1702" t="s">
        <v>6090</v>
      </c>
      <c r="D1702" t="s">
        <v>3029</v>
      </c>
      <c r="E1702" t="s">
        <v>4192</v>
      </c>
      <c r="F1702" t="s">
        <v>3027</v>
      </c>
      <c r="G1702" t="s">
        <v>3031</v>
      </c>
      <c r="H1702">
        <v>17</v>
      </c>
      <c r="I1702" t="s">
        <v>4193</v>
      </c>
    </row>
    <row r="1703" spans="1:9" x14ac:dyDescent="0.3">
      <c r="A1703" t="s">
        <v>6089</v>
      </c>
      <c r="B1703" t="s">
        <v>653</v>
      </c>
      <c r="C1703" t="s">
        <v>6090</v>
      </c>
      <c r="D1703" t="s">
        <v>3029</v>
      </c>
      <c r="E1703" t="s">
        <v>4194</v>
      </c>
      <c r="F1703" t="s">
        <v>3027</v>
      </c>
      <c r="G1703" t="s">
        <v>3031</v>
      </c>
      <c r="H1703">
        <v>18</v>
      </c>
      <c r="I1703" t="s">
        <v>4195</v>
      </c>
    </row>
    <row r="1704" spans="1:9" x14ac:dyDescent="0.3">
      <c r="A1704" t="s">
        <v>6089</v>
      </c>
      <c r="B1704" t="s">
        <v>653</v>
      </c>
      <c r="C1704" t="s">
        <v>6090</v>
      </c>
      <c r="D1704" t="s">
        <v>3029</v>
      </c>
      <c r="E1704" t="s">
        <v>4196</v>
      </c>
      <c r="F1704" t="s">
        <v>3027</v>
      </c>
      <c r="G1704" t="s">
        <v>3031</v>
      </c>
      <c r="H1704">
        <v>19</v>
      </c>
      <c r="I1704" t="s">
        <v>4197</v>
      </c>
    </row>
    <row r="1705" spans="1:9" x14ac:dyDescent="0.3">
      <c r="A1705" t="s">
        <v>6089</v>
      </c>
      <c r="B1705" t="s">
        <v>653</v>
      </c>
      <c r="C1705" t="s">
        <v>6090</v>
      </c>
      <c r="D1705" t="s">
        <v>3029</v>
      </c>
      <c r="E1705" t="s">
        <v>4198</v>
      </c>
      <c r="F1705" t="s">
        <v>3027</v>
      </c>
      <c r="G1705" t="s">
        <v>3031</v>
      </c>
      <c r="H1705">
        <v>20</v>
      </c>
      <c r="I1705" t="s">
        <v>4199</v>
      </c>
    </row>
    <row r="1706" spans="1:9" x14ac:dyDescent="0.3">
      <c r="A1706" t="s">
        <v>6111</v>
      </c>
      <c r="B1706" t="s">
        <v>659</v>
      </c>
      <c r="C1706" t="s">
        <v>3359</v>
      </c>
      <c r="D1706" t="s">
        <v>3025</v>
      </c>
      <c r="E1706" t="s">
        <v>3358</v>
      </c>
      <c r="F1706" t="s">
        <v>3027</v>
      </c>
      <c r="G1706" t="s">
        <v>3028</v>
      </c>
      <c r="H1706">
        <v>1</v>
      </c>
      <c r="I1706" t="s">
        <v>3359</v>
      </c>
    </row>
    <row r="1707" spans="1:9" x14ac:dyDescent="0.3">
      <c r="A1707" t="s">
        <v>6111</v>
      </c>
      <c r="B1707" t="s">
        <v>659</v>
      </c>
      <c r="C1707" t="s">
        <v>3359</v>
      </c>
      <c r="D1707" t="s">
        <v>3029</v>
      </c>
      <c r="E1707" t="s">
        <v>6112</v>
      </c>
      <c r="F1707" t="s">
        <v>3027</v>
      </c>
      <c r="G1707" t="s">
        <v>3031</v>
      </c>
      <c r="H1707">
        <v>2</v>
      </c>
      <c r="I1707" t="s">
        <v>6113</v>
      </c>
    </row>
    <row r="1708" spans="1:9" x14ac:dyDescent="0.3">
      <c r="A1708" t="s">
        <v>6111</v>
      </c>
      <c r="B1708" t="s">
        <v>659</v>
      </c>
      <c r="C1708" t="s">
        <v>3359</v>
      </c>
      <c r="D1708" t="s">
        <v>3029</v>
      </c>
      <c r="E1708" t="s">
        <v>6114</v>
      </c>
      <c r="F1708" t="s">
        <v>3027</v>
      </c>
      <c r="G1708" t="s">
        <v>3031</v>
      </c>
      <c r="H1708">
        <v>3</v>
      </c>
      <c r="I1708" t="s">
        <v>6115</v>
      </c>
    </row>
    <row r="1709" spans="1:9" x14ac:dyDescent="0.3">
      <c r="A1709" t="s">
        <v>6111</v>
      </c>
      <c r="B1709" t="s">
        <v>659</v>
      </c>
      <c r="C1709" t="s">
        <v>3359</v>
      </c>
      <c r="D1709" t="s">
        <v>3029</v>
      </c>
      <c r="E1709" t="s">
        <v>6116</v>
      </c>
      <c r="F1709" t="s">
        <v>3027</v>
      </c>
      <c r="G1709" t="s">
        <v>3031</v>
      </c>
      <c r="H1709">
        <v>4</v>
      </c>
      <c r="I1709" t="s">
        <v>3359</v>
      </c>
    </row>
    <row r="1710" spans="1:9" x14ac:dyDescent="0.3">
      <c r="A1710" t="s">
        <v>6111</v>
      </c>
      <c r="B1710" t="s">
        <v>659</v>
      </c>
      <c r="C1710" t="s">
        <v>3359</v>
      </c>
      <c r="D1710" t="s">
        <v>3029</v>
      </c>
      <c r="E1710" t="s">
        <v>6117</v>
      </c>
      <c r="F1710" t="s">
        <v>3027</v>
      </c>
      <c r="G1710" t="s">
        <v>3031</v>
      </c>
      <c r="H1710">
        <v>5</v>
      </c>
      <c r="I1710" t="s">
        <v>6118</v>
      </c>
    </row>
    <row r="1711" spans="1:9" x14ac:dyDescent="0.3">
      <c r="A1711" t="s">
        <v>6111</v>
      </c>
      <c r="B1711" t="s">
        <v>659</v>
      </c>
      <c r="C1711" t="s">
        <v>3359</v>
      </c>
      <c r="D1711" t="s">
        <v>3029</v>
      </c>
      <c r="E1711" t="s">
        <v>6119</v>
      </c>
      <c r="F1711" t="s">
        <v>3027</v>
      </c>
      <c r="G1711" t="s">
        <v>3031</v>
      </c>
      <c r="H1711">
        <v>6</v>
      </c>
      <c r="I1711" t="s">
        <v>6120</v>
      </c>
    </row>
    <row r="1712" spans="1:9" x14ac:dyDescent="0.3">
      <c r="A1712" t="s">
        <v>6111</v>
      </c>
      <c r="B1712" t="s">
        <v>659</v>
      </c>
      <c r="C1712" t="s">
        <v>3359</v>
      </c>
      <c r="D1712" t="s">
        <v>3029</v>
      </c>
      <c r="E1712" t="s">
        <v>6121</v>
      </c>
      <c r="F1712" t="s">
        <v>3027</v>
      </c>
      <c r="G1712" t="s">
        <v>3031</v>
      </c>
      <c r="H1712">
        <v>7</v>
      </c>
      <c r="I1712" t="s">
        <v>6122</v>
      </c>
    </row>
    <row r="1713" spans="1:9" x14ac:dyDescent="0.3">
      <c r="A1713" t="s">
        <v>6111</v>
      </c>
      <c r="B1713" t="s">
        <v>659</v>
      </c>
      <c r="C1713" t="s">
        <v>3359</v>
      </c>
      <c r="D1713" t="s">
        <v>3029</v>
      </c>
      <c r="E1713" t="s">
        <v>4738</v>
      </c>
      <c r="F1713" t="s">
        <v>3027</v>
      </c>
      <c r="G1713" t="s">
        <v>3031</v>
      </c>
      <c r="H1713">
        <v>8</v>
      </c>
      <c r="I1713" t="s">
        <v>4739</v>
      </c>
    </row>
    <row r="1714" spans="1:9" x14ac:dyDescent="0.3">
      <c r="A1714" t="s">
        <v>6111</v>
      </c>
      <c r="B1714" t="s">
        <v>659</v>
      </c>
      <c r="C1714" t="s">
        <v>3359</v>
      </c>
      <c r="D1714" t="s">
        <v>3029</v>
      </c>
      <c r="E1714" t="s">
        <v>6123</v>
      </c>
      <c r="F1714" t="s">
        <v>3027</v>
      </c>
      <c r="G1714" t="s">
        <v>3031</v>
      </c>
      <c r="H1714">
        <v>9</v>
      </c>
      <c r="I1714" t="s">
        <v>6124</v>
      </c>
    </row>
    <row r="1715" spans="1:9" x14ac:dyDescent="0.3">
      <c r="A1715" t="s">
        <v>6111</v>
      </c>
      <c r="B1715" t="s">
        <v>659</v>
      </c>
      <c r="C1715" t="s">
        <v>3359</v>
      </c>
      <c r="D1715" t="s">
        <v>3029</v>
      </c>
      <c r="E1715" t="s">
        <v>6094</v>
      </c>
      <c r="F1715" t="s">
        <v>3027</v>
      </c>
      <c r="G1715" t="s">
        <v>3031</v>
      </c>
      <c r="H1715">
        <v>10</v>
      </c>
      <c r="I1715" t="s">
        <v>6095</v>
      </c>
    </row>
    <row r="1716" spans="1:9" x14ac:dyDescent="0.3">
      <c r="A1716" t="s">
        <v>6111</v>
      </c>
      <c r="B1716" t="s">
        <v>659</v>
      </c>
      <c r="C1716" t="s">
        <v>3359</v>
      </c>
      <c r="D1716" t="s">
        <v>3029</v>
      </c>
      <c r="E1716" t="s">
        <v>6125</v>
      </c>
      <c r="F1716" t="s">
        <v>3027</v>
      </c>
      <c r="G1716" t="s">
        <v>3031</v>
      </c>
      <c r="H1716">
        <v>11</v>
      </c>
      <c r="I1716" t="s">
        <v>6126</v>
      </c>
    </row>
    <row r="1717" spans="1:9" x14ac:dyDescent="0.3">
      <c r="A1717" t="s">
        <v>6111</v>
      </c>
      <c r="B1717" t="s">
        <v>659</v>
      </c>
      <c r="C1717" t="s">
        <v>3359</v>
      </c>
      <c r="D1717" t="s">
        <v>3029</v>
      </c>
      <c r="E1717" t="s">
        <v>3777</v>
      </c>
      <c r="F1717" t="s">
        <v>3027</v>
      </c>
      <c r="G1717" t="s">
        <v>3031</v>
      </c>
      <c r="H1717">
        <v>12</v>
      </c>
      <c r="I1717" t="s">
        <v>3778</v>
      </c>
    </row>
    <row r="1718" spans="1:9" x14ac:dyDescent="0.3">
      <c r="A1718" t="s">
        <v>6111</v>
      </c>
      <c r="B1718" t="s">
        <v>659</v>
      </c>
      <c r="C1718" t="s">
        <v>3359</v>
      </c>
      <c r="D1718" t="s">
        <v>3029</v>
      </c>
      <c r="E1718" t="s">
        <v>6127</v>
      </c>
      <c r="F1718" t="s">
        <v>3027</v>
      </c>
      <c r="G1718" t="s">
        <v>3031</v>
      </c>
      <c r="H1718">
        <v>13</v>
      </c>
    </row>
    <row r="1719" spans="1:9" x14ac:dyDescent="0.3">
      <c r="A1719" t="s">
        <v>6111</v>
      </c>
      <c r="B1719" t="s">
        <v>659</v>
      </c>
      <c r="C1719" t="s">
        <v>3359</v>
      </c>
      <c r="D1719" t="s">
        <v>3029</v>
      </c>
      <c r="E1719" t="s">
        <v>3322</v>
      </c>
      <c r="F1719" t="s">
        <v>3027</v>
      </c>
      <c r="G1719" t="s">
        <v>3031</v>
      </c>
      <c r="H1719">
        <v>14</v>
      </c>
      <c r="I1719" t="s">
        <v>6128</v>
      </c>
    </row>
    <row r="1720" spans="1:9" x14ac:dyDescent="0.3">
      <c r="A1720" t="s">
        <v>6111</v>
      </c>
      <c r="B1720" t="s">
        <v>659</v>
      </c>
      <c r="C1720" t="s">
        <v>3359</v>
      </c>
      <c r="D1720" t="s">
        <v>3029</v>
      </c>
      <c r="E1720" t="s">
        <v>3344</v>
      </c>
      <c r="F1720" t="s">
        <v>3027</v>
      </c>
      <c r="G1720" t="s">
        <v>3031</v>
      </c>
      <c r="H1720">
        <v>15</v>
      </c>
      <c r="I1720" t="s">
        <v>3345</v>
      </c>
    </row>
    <row r="1721" spans="1:9" x14ac:dyDescent="0.3">
      <c r="A1721" t="s">
        <v>6111</v>
      </c>
      <c r="B1721" t="s">
        <v>659</v>
      </c>
      <c r="C1721" t="s">
        <v>3359</v>
      </c>
      <c r="D1721" t="s">
        <v>3029</v>
      </c>
      <c r="E1721" t="s">
        <v>6129</v>
      </c>
      <c r="F1721" t="s">
        <v>3027</v>
      </c>
      <c r="G1721" t="s">
        <v>3031</v>
      </c>
      <c r="H1721">
        <v>16</v>
      </c>
      <c r="I1721" t="s">
        <v>6130</v>
      </c>
    </row>
    <row r="1722" spans="1:9" x14ac:dyDescent="0.3">
      <c r="A1722" t="s">
        <v>6111</v>
      </c>
      <c r="B1722" t="s">
        <v>659</v>
      </c>
      <c r="C1722" t="s">
        <v>3359</v>
      </c>
      <c r="D1722" t="s">
        <v>3029</v>
      </c>
      <c r="E1722" t="s">
        <v>6131</v>
      </c>
      <c r="F1722" t="s">
        <v>3027</v>
      </c>
      <c r="G1722" t="s">
        <v>3031</v>
      </c>
      <c r="H1722">
        <v>17</v>
      </c>
      <c r="I1722" t="s">
        <v>6132</v>
      </c>
    </row>
    <row r="1723" spans="1:9" x14ac:dyDescent="0.3">
      <c r="A1723" t="s">
        <v>6111</v>
      </c>
      <c r="B1723" t="s">
        <v>659</v>
      </c>
      <c r="C1723" t="s">
        <v>3359</v>
      </c>
      <c r="D1723" t="s">
        <v>3029</v>
      </c>
      <c r="E1723" t="s">
        <v>6133</v>
      </c>
      <c r="F1723" t="s">
        <v>3027</v>
      </c>
      <c r="G1723" t="s">
        <v>3031</v>
      </c>
      <c r="H1723">
        <v>18</v>
      </c>
      <c r="I1723" t="s">
        <v>6134</v>
      </c>
    </row>
    <row r="1724" spans="1:9" x14ac:dyDescent="0.3">
      <c r="A1724" t="s">
        <v>6111</v>
      </c>
      <c r="B1724" t="s">
        <v>659</v>
      </c>
      <c r="C1724" t="s">
        <v>3359</v>
      </c>
      <c r="D1724" t="s">
        <v>3029</v>
      </c>
      <c r="E1724" t="s">
        <v>6135</v>
      </c>
      <c r="F1724" t="s">
        <v>3027</v>
      </c>
      <c r="G1724" t="s">
        <v>3031</v>
      </c>
      <c r="H1724">
        <v>19</v>
      </c>
      <c r="I1724" t="s">
        <v>6136</v>
      </c>
    </row>
    <row r="1725" spans="1:9" x14ac:dyDescent="0.3">
      <c r="A1725" t="s">
        <v>6111</v>
      </c>
      <c r="B1725" t="s">
        <v>659</v>
      </c>
      <c r="C1725" t="s">
        <v>3359</v>
      </c>
      <c r="D1725" t="s">
        <v>3029</v>
      </c>
      <c r="E1725" t="s">
        <v>6137</v>
      </c>
      <c r="F1725" t="s">
        <v>3027</v>
      </c>
      <c r="G1725" t="s">
        <v>3031</v>
      </c>
      <c r="H1725">
        <v>20</v>
      </c>
      <c r="I1725" t="s">
        <v>6138</v>
      </c>
    </row>
    <row r="1726" spans="1:9" x14ac:dyDescent="0.3">
      <c r="A1726" t="s">
        <v>6139</v>
      </c>
      <c r="B1726" t="s">
        <v>665</v>
      </c>
      <c r="C1726" t="s">
        <v>6140</v>
      </c>
      <c r="D1726" t="s">
        <v>3025</v>
      </c>
      <c r="E1726" t="s">
        <v>6141</v>
      </c>
      <c r="F1726" t="s">
        <v>3027</v>
      </c>
      <c r="G1726" t="s">
        <v>3028</v>
      </c>
      <c r="H1726">
        <v>1</v>
      </c>
      <c r="I1726" t="s">
        <v>6140</v>
      </c>
    </row>
    <row r="1727" spans="1:9" x14ac:dyDescent="0.3">
      <c r="A1727" t="s">
        <v>6139</v>
      </c>
      <c r="B1727" t="s">
        <v>665</v>
      </c>
      <c r="C1727" t="s">
        <v>6140</v>
      </c>
      <c r="D1727" t="s">
        <v>3029</v>
      </c>
      <c r="E1727" t="s">
        <v>6142</v>
      </c>
      <c r="F1727" t="s">
        <v>3027</v>
      </c>
      <c r="G1727" t="s">
        <v>3031</v>
      </c>
      <c r="H1727">
        <v>2</v>
      </c>
      <c r="I1727" t="s">
        <v>6143</v>
      </c>
    </row>
    <row r="1728" spans="1:9" x14ac:dyDescent="0.3">
      <c r="A1728" t="s">
        <v>6139</v>
      </c>
      <c r="B1728" t="s">
        <v>665</v>
      </c>
      <c r="C1728" t="s">
        <v>6140</v>
      </c>
      <c r="D1728" t="s">
        <v>3029</v>
      </c>
      <c r="E1728" t="s">
        <v>6144</v>
      </c>
      <c r="F1728" t="s">
        <v>3027</v>
      </c>
      <c r="G1728" t="s">
        <v>3031</v>
      </c>
      <c r="H1728">
        <v>3</v>
      </c>
      <c r="I1728" t="s">
        <v>6145</v>
      </c>
    </row>
    <row r="1729" spans="1:9" x14ac:dyDescent="0.3">
      <c r="A1729" t="s">
        <v>6139</v>
      </c>
      <c r="B1729" t="s">
        <v>665</v>
      </c>
      <c r="C1729" t="s">
        <v>6140</v>
      </c>
      <c r="D1729" t="s">
        <v>3029</v>
      </c>
      <c r="E1729" t="s">
        <v>6146</v>
      </c>
      <c r="F1729" t="s">
        <v>3027</v>
      </c>
      <c r="G1729" t="s">
        <v>3031</v>
      </c>
      <c r="H1729">
        <v>4</v>
      </c>
      <c r="I1729" t="s">
        <v>6147</v>
      </c>
    </row>
    <row r="1730" spans="1:9" x14ac:dyDescent="0.3">
      <c r="A1730" t="s">
        <v>6139</v>
      </c>
      <c r="B1730" t="s">
        <v>665</v>
      </c>
      <c r="C1730" t="s">
        <v>6140</v>
      </c>
      <c r="D1730" t="s">
        <v>3029</v>
      </c>
      <c r="E1730" t="s">
        <v>3475</v>
      </c>
      <c r="F1730" t="s">
        <v>3027</v>
      </c>
      <c r="G1730" t="s">
        <v>3031</v>
      </c>
      <c r="H1730">
        <v>5</v>
      </c>
      <c r="I1730" t="s">
        <v>6148</v>
      </c>
    </row>
    <row r="1731" spans="1:9" x14ac:dyDescent="0.3">
      <c r="A1731" t="s">
        <v>6139</v>
      </c>
      <c r="B1731" t="s">
        <v>665</v>
      </c>
      <c r="C1731" t="s">
        <v>6140</v>
      </c>
      <c r="D1731" t="s">
        <v>3029</v>
      </c>
      <c r="E1731" t="s">
        <v>6149</v>
      </c>
      <c r="F1731" t="s">
        <v>3027</v>
      </c>
      <c r="G1731" t="s">
        <v>3031</v>
      </c>
      <c r="H1731">
        <v>6</v>
      </c>
      <c r="I1731" t="s">
        <v>6150</v>
      </c>
    </row>
    <row r="1732" spans="1:9" x14ac:dyDescent="0.3">
      <c r="A1732" t="s">
        <v>6139</v>
      </c>
      <c r="B1732" t="s">
        <v>665</v>
      </c>
      <c r="C1732" t="s">
        <v>6140</v>
      </c>
      <c r="D1732" t="s">
        <v>3029</v>
      </c>
      <c r="E1732" t="s">
        <v>6151</v>
      </c>
      <c r="F1732" t="s">
        <v>3027</v>
      </c>
      <c r="G1732" t="s">
        <v>3031</v>
      </c>
      <c r="H1732">
        <v>7</v>
      </c>
      <c r="I1732" t="s">
        <v>6152</v>
      </c>
    </row>
    <row r="1733" spans="1:9" x14ac:dyDescent="0.3">
      <c r="A1733" t="s">
        <v>6139</v>
      </c>
      <c r="B1733" t="s">
        <v>665</v>
      </c>
      <c r="C1733" t="s">
        <v>6140</v>
      </c>
      <c r="D1733" t="s">
        <v>3029</v>
      </c>
      <c r="E1733" t="s">
        <v>6153</v>
      </c>
      <c r="F1733" t="s">
        <v>3027</v>
      </c>
      <c r="G1733" t="s">
        <v>3031</v>
      </c>
      <c r="H1733">
        <v>8</v>
      </c>
      <c r="I1733" t="s">
        <v>6154</v>
      </c>
    </row>
    <row r="1734" spans="1:9" x14ac:dyDescent="0.3">
      <c r="A1734" t="s">
        <v>6139</v>
      </c>
      <c r="B1734" t="s">
        <v>665</v>
      </c>
      <c r="C1734" t="s">
        <v>6140</v>
      </c>
      <c r="D1734" t="s">
        <v>3029</v>
      </c>
      <c r="E1734" t="s">
        <v>6155</v>
      </c>
      <c r="F1734" t="s">
        <v>3027</v>
      </c>
      <c r="G1734" t="s">
        <v>3031</v>
      </c>
      <c r="H1734">
        <v>9</v>
      </c>
      <c r="I1734" t="s">
        <v>6156</v>
      </c>
    </row>
    <row r="1735" spans="1:9" x14ac:dyDescent="0.3">
      <c r="A1735" t="s">
        <v>6139</v>
      </c>
      <c r="B1735" t="s">
        <v>665</v>
      </c>
      <c r="C1735" t="s">
        <v>6140</v>
      </c>
      <c r="D1735" t="s">
        <v>3029</v>
      </c>
      <c r="E1735" t="s">
        <v>6157</v>
      </c>
      <c r="F1735" t="s">
        <v>3027</v>
      </c>
      <c r="G1735" t="s">
        <v>3031</v>
      </c>
      <c r="H1735">
        <v>10</v>
      </c>
      <c r="I1735" t="s">
        <v>6158</v>
      </c>
    </row>
    <row r="1736" spans="1:9" x14ac:dyDescent="0.3">
      <c r="A1736" t="s">
        <v>6139</v>
      </c>
      <c r="B1736" t="s">
        <v>665</v>
      </c>
      <c r="C1736" t="s">
        <v>6140</v>
      </c>
      <c r="D1736" t="s">
        <v>3029</v>
      </c>
      <c r="E1736" t="s">
        <v>6159</v>
      </c>
      <c r="F1736" t="s">
        <v>3027</v>
      </c>
      <c r="G1736" t="s">
        <v>3031</v>
      </c>
      <c r="H1736">
        <v>11</v>
      </c>
      <c r="I1736" t="s">
        <v>6160</v>
      </c>
    </row>
    <row r="1737" spans="1:9" x14ac:dyDescent="0.3">
      <c r="A1737" t="s">
        <v>6139</v>
      </c>
      <c r="B1737" t="s">
        <v>665</v>
      </c>
      <c r="C1737" t="s">
        <v>6140</v>
      </c>
      <c r="D1737" t="s">
        <v>3029</v>
      </c>
      <c r="E1737" t="s">
        <v>6161</v>
      </c>
      <c r="F1737" t="s">
        <v>3027</v>
      </c>
      <c r="G1737" t="s">
        <v>3031</v>
      </c>
      <c r="H1737">
        <v>12</v>
      </c>
      <c r="I1737" t="s">
        <v>6162</v>
      </c>
    </row>
    <row r="1738" spans="1:9" x14ac:dyDescent="0.3">
      <c r="A1738" t="s">
        <v>6139</v>
      </c>
      <c r="B1738" t="s">
        <v>665</v>
      </c>
      <c r="C1738" t="s">
        <v>6140</v>
      </c>
      <c r="D1738" t="s">
        <v>3029</v>
      </c>
      <c r="E1738" t="s">
        <v>6163</v>
      </c>
      <c r="F1738" t="s">
        <v>3027</v>
      </c>
      <c r="G1738" t="s">
        <v>3031</v>
      </c>
      <c r="H1738">
        <v>13</v>
      </c>
      <c r="I1738" t="s">
        <v>6164</v>
      </c>
    </row>
    <row r="1739" spans="1:9" x14ac:dyDescent="0.3">
      <c r="A1739" t="s">
        <v>6139</v>
      </c>
      <c r="B1739" t="s">
        <v>665</v>
      </c>
      <c r="C1739" t="s">
        <v>6140</v>
      </c>
      <c r="D1739" t="s">
        <v>3029</v>
      </c>
      <c r="E1739" t="s">
        <v>6165</v>
      </c>
      <c r="F1739" t="s">
        <v>3027</v>
      </c>
      <c r="G1739" t="s">
        <v>3031</v>
      </c>
      <c r="H1739">
        <v>14</v>
      </c>
      <c r="I1739" t="s">
        <v>6166</v>
      </c>
    </row>
    <row r="1740" spans="1:9" x14ac:dyDescent="0.3">
      <c r="A1740" t="s">
        <v>6139</v>
      </c>
      <c r="B1740" t="s">
        <v>665</v>
      </c>
      <c r="C1740" t="s">
        <v>6140</v>
      </c>
      <c r="D1740" t="s">
        <v>3029</v>
      </c>
      <c r="E1740" t="s">
        <v>6167</v>
      </c>
      <c r="F1740" t="s">
        <v>3027</v>
      </c>
      <c r="G1740" t="s">
        <v>3031</v>
      </c>
      <c r="H1740">
        <v>15</v>
      </c>
      <c r="I1740" t="s">
        <v>6166</v>
      </c>
    </row>
    <row r="1741" spans="1:9" x14ac:dyDescent="0.3">
      <c r="A1741" t="s">
        <v>6139</v>
      </c>
      <c r="B1741" t="s">
        <v>665</v>
      </c>
      <c r="C1741" t="s">
        <v>6140</v>
      </c>
      <c r="D1741" t="s">
        <v>3029</v>
      </c>
      <c r="E1741" t="s">
        <v>6168</v>
      </c>
      <c r="F1741" t="s">
        <v>3027</v>
      </c>
      <c r="G1741" t="s">
        <v>3031</v>
      </c>
      <c r="H1741">
        <v>16</v>
      </c>
      <c r="I1741" t="s">
        <v>6169</v>
      </c>
    </row>
    <row r="1742" spans="1:9" x14ac:dyDescent="0.3">
      <c r="A1742" t="s">
        <v>6139</v>
      </c>
      <c r="B1742" t="s">
        <v>665</v>
      </c>
      <c r="C1742" t="s">
        <v>6140</v>
      </c>
      <c r="D1742" t="s">
        <v>3029</v>
      </c>
      <c r="E1742" t="s">
        <v>6170</v>
      </c>
      <c r="F1742" t="s">
        <v>3027</v>
      </c>
      <c r="G1742" t="s">
        <v>3031</v>
      </c>
      <c r="H1742">
        <v>17</v>
      </c>
      <c r="I1742" t="s">
        <v>6171</v>
      </c>
    </row>
    <row r="1743" spans="1:9" x14ac:dyDescent="0.3">
      <c r="A1743" t="s">
        <v>6139</v>
      </c>
      <c r="B1743" t="s">
        <v>665</v>
      </c>
      <c r="C1743" t="s">
        <v>6140</v>
      </c>
      <c r="D1743" t="s">
        <v>3029</v>
      </c>
      <c r="E1743" t="s">
        <v>6172</v>
      </c>
      <c r="F1743" t="s">
        <v>3027</v>
      </c>
      <c r="G1743" t="s">
        <v>3031</v>
      </c>
      <c r="H1743">
        <v>18</v>
      </c>
      <c r="I1743" t="s">
        <v>6173</v>
      </c>
    </row>
    <row r="1744" spans="1:9" x14ac:dyDescent="0.3">
      <c r="A1744" t="s">
        <v>6139</v>
      </c>
      <c r="B1744" t="s">
        <v>665</v>
      </c>
      <c r="C1744" t="s">
        <v>6140</v>
      </c>
      <c r="D1744" t="s">
        <v>3029</v>
      </c>
      <c r="E1744" t="s">
        <v>6174</v>
      </c>
      <c r="F1744" t="s">
        <v>3027</v>
      </c>
      <c r="G1744" t="s">
        <v>3031</v>
      </c>
      <c r="H1744">
        <v>19</v>
      </c>
      <c r="I1744" t="s">
        <v>6175</v>
      </c>
    </row>
    <row r="1745" spans="1:9" x14ac:dyDescent="0.3">
      <c r="A1745" t="s">
        <v>6139</v>
      </c>
      <c r="B1745" t="s">
        <v>665</v>
      </c>
      <c r="C1745" t="s">
        <v>6140</v>
      </c>
      <c r="D1745" t="s">
        <v>3029</v>
      </c>
      <c r="E1745" t="s">
        <v>6176</v>
      </c>
      <c r="F1745" t="s">
        <v>3027</v>
      </c>
      <c r="G1745" t="s">
        <v>3031</v>
      </c>
      <c r="H1745">
        <v>20</v>
      </c>
      <c r="I1745" t="s">
        <v>6177</v>
      </c>
    </row>
    <row r="1746" spans="1:9" x14ac:dyDescent="0.3">
      <c r="A1746" t="s">
        <v>6178</v>
      </c>
      <c r="B1746" t="s">
        <v>672</v>
      </c>
      <c r="C1746" t="s">
        <v>672</v>
      </c>
      <c r="D1746" t="s">
        <v>3025</v>
      </c>
      <c r="E1746" t="s">
        <v>6179</v>
      </c>
      <c r="F1746" t="s">
        <v>3027</v>
      </c>
      <c r="G1746" t="s">
        <v>3028</v>
      </c>
      <c r="H1746">
        <v>1</v>
      </c>
      <c r="I1746" t="s">
        <v>672</v>
      </c>
    </row>
    <row r="1747" spans="1:9" x14ac:dyDescent="0.3">
      <c r="A1747" t="s">
        <v>6178</v>
      </c>
      <c r="B1747" t="s">
        <v>672</v>
      </c>
      <c r="C1747" t="s">
        <v>672</v>
      </c>
      <c r="D1747" t="s">
        <v>3029</v>
      </c>
      <c r="E1747" t="s">
        <v>6180</v>
      </c>
      <c r="F1747" t="s">
        <v>3027</v>
      </c>
      <c r="G1747" t="s">
        <v>3031</v>
      </c>
      <c r="H1747">
        <v>2</v>
      </c>
      <c r="I1747" t="s">
        <v>6181</v>
      </c>
    </row>
    <row r="1748" spans="1:9" x14ac:dyDescent="0.3">
      <c r="A1748" t="s">
        <v>6178</v>
      </c>
      <c r="B1748" t="s">
        <v>672</v>
      </c>
      <c r="C1748" t="s">
        <v>672</v>
      </c>
      <c r="D1748" t="s">
        <v>3029</v>
      </c>
      <c r="E1748" t="s">
        <v>6182</v>
      </c>
      <c r="F1748" t="s">
        <v>3027</v>
      </c>
      <c r="G1748" t="s">
        <v>3031</v>
      </c>
      <c r="H1748">
        <v>3</v>
      </c>
      <c r="I1748" t="s">
        <v>6183</v>
      </c>
    </row>
    <row r="1749" spans="1:9" x14ac:dyDescent="0.3">
      <c r="A1749" t="s">
        <v>6178</v>
      </c>
      <c r="B1749" t="s">
        <v>672</v>
      </c>
      <c r="C1749" t="s">
        <v>672</v>
      </c>
      <c r="D1749" t="s">
        <v>3029</v>
      </c>
      <c r="E1749" t="s">
        <v>5146</v>
      </c>
      <c r="F1749" t="s">
        <v>3027</v>
      </c>
      <c r="G1749" t="s">
        <v>3031</v>
      </c>
      <c r="H1749">
        <v>4</v>
      </c>
      <c r="I1749" t="s">
        <v>5147</v>
      </c>
    </row>
    <row r="1750" spans="1:9" x14ac:dyDescent="0.3">
      <c r="A1750" t="s">
        <v>6178</v>
      </c>
      <c r="B1750" t="s">
        <v>672</v>
      </c>
      <c r="C1750" t="s">
        <v>672</v>
      </c>
      <c r="D1750" t="s">
        <v>3029</v>
      </c>
      <c r="E1750" t="s">
        <v>6184</v>
      </c>
      <c r="F1750" t="s">
        <v>3027</v>
      </c>
      <c r="G1750" t="s">
        <v>3031</v>
      </c>
      <c r="H1750">
        <v>5</v>
      </c>
      <c r="I1750" t="s">
        <v>6185</v>
      </c>
    </row>
    <row r="1751" spans="1:9" x14ac:dyDescent="0.3">
      <c r="A1751" t="s">
        <v>6178</v>
      </c>
      <c r="B1751" t="s">
        <v>672</v>
      </c>
      <c r="C1751" t="s">
        <v>672</v>
      </c>
      <c r="D1751" t="s">
        <v>3029</v>
      </c>
      <c r="E1751" t="s">
        <v>6186</v>
      </c>
      <c r="F1751" t="s">
        <v>3027</v>
      </c>
      <c r="G1751" t="s">
        <v>3031</v>
      </c>
      <c r="H1751">
        <v>6</v>
      </c>
      <c r="I1751" t="s">
        <v>6187</v>
      </c>
    </row>
    <row r="1752" spans="1:9" x14ac:dyDescent="0.3">
      <c r="A1752" t="s">
        <v>6178</v>
      </c>
      <c r="B1752" t="s">
        <v>672</v>
      </c>
      <c r="C1752" t="s">
        <v>672</v>
      </c>
      <c r="D1752" t="s">
        <v>3029</v>
      </c>
      <c r="E1752" t="s">
        <v>6188</v>
      </c>
      <c r="F1752" t="s">
        <v>3027</v>
      </c>
      <c r="G1752" t="s">
        <v>3031</v>
      </c>
      <c r="H1752">
        <v>7</v>
      </c>
      <c r="I1752" t="s">
        <v>6189</v>
      </c>
    </row>
    <row r="1753" spans="1:9" x14ac:dyDescent="0.3">
      <c r="A1753" t="s">
        <v>6178</v>
      </c>
      <c r="B1753" t="s">
        <v>672</v>
      </c>
      <c r="C1753" t="s">
        <v>672</v>
      </c>
      <c r="D1753" t="s">
        <v>3029</v>
      </c>
      <c r="E1753" t="s">
        <v>6190</v>
      </c>
      <c r="F1753" t="s">
        <v>3027</v>
      </c>
      <c r="G1753" t="s">
        <v>3031</v>
      </c>
      <c r="H1753">
        <v>8</v>
      </c>
      <c r="I1753" t="s">
        <v>6191</v>
      </c>
    </row>
    <row r="1754" spans="1:9" x14ac:dyDescent="0.3">
      <c r="A1754" t="s">
        <v>6178</v>
      </c>
      <c r="B1754" t="s">
        <v>672</v>
      </c>
      <c r="C1754" t="s">
        <v>672</v>
      </c>
      <c r="D1754" t="s">
        <v>3029</v>
      </c>
      <c r="E1754" t="s">
        <v>6192</v>
      </c>
      <c r="F1754" t="s">
        <v>3027</v>
      </c>
      <c r="G1754" t="s">
        <v>3031</v>
      </c>
      <c r="H1754">
        <v>9</v>
      </c>
      <c r="I1754" t="s">
        <v>6193</v>
      </c>
    </row>
    <row r="1755" spans="1:9" x14ac:dyDescent="0.3">
      <c r="A1755" t="s">
        <v>6178</v>
      </c>
      <c r="B1755" t="s">
        <v>672</v>
      </c>
      <c r="C1755" t="s">
        <v>672</v>
      </c>
      <c r="D1755" t="s">
        <v>3029</v>
      </c>
      <c r="E1755" t="s">
        <v>6194</v>
      </c>
      <c r="F1755" t="s">
        <v>3027</v>
      </c>
      <c r="G1755" t="s">
        <v>3031</v>
      </c>
      <c r="H1755">
        <v>10</v>
      </c>
      <c r="I1755" t="s">
        <v>6195</v>
      </c>
    </row>
    <row r="1756" spans="1:9" x14ac:dyDescent="0.3">
      <c r="A1756" t="s">
        <v>6178</v>
      </c>
      <c r="B1756" t="s">
        <v>672</v>
      </c>
      <c r="C1756" t="s">
        <v>672</v>
      </c>
      <c r="D1756" t="s">
        <v>3029</v>
      </c>
      <c r="E1756" t="s">
        <v>3752</v>
      </c>
      <c r="F1756" t="s">
        <v>3027</v>
      </c>
      <c r="G1756" t="s">
        <v>3031</v>
      </c>
      <c r="H1756">
        <v>11</v>
      </c>
      <c r="I1756" t="s">
        <v>3753</v>
      </c>
    </row>
    <row r="1757" spans="1:9" x14ac:dyDescent="0.3">
      <c r="A1757" t="s">
        <v>6178</v>
      </c>
      <c r="B1757" t="s">
        <v>672</v>
      </c>
      <c r="C1757" t="s">
        <v>672</v>
      </c>
      <c r="D1757" t="s">
        <v>3029</v>
      </c>
      <c r="E1757" t="s">
        <v>4700</v>
      </c>
      <c r="F1757" t="s">
        <v>3027</v>
      </c>
      <c r="G1757" t="s">
        <v>3031</v>
      </c>
      <c r="H1757">
        <v>12</v>
      </c>
      <c r="I1757" t="s">
        <v>6196</v>
      </c>
    </row>
    <row r="1758" spans="1:9" x14ac:dyDescent="0.3">
      <c r="A1758" t="s">
        <v>6178</v>
      </c>
      <c r="B1758" t="s">
        <v>672</v>
      </c>
      <c r="C1758" t="s">
        <v>672</v>
      </c>
      <c r="D1758" t="s">
        <v>3029</v>
      </c>
      <c r="E1758" t="s">
        <v>6197</v>
      </c>
      <c r="F1758" t="s">
        <v>3027</v>
      </c>
      <c r="G1758" t="s">
        <v>3031</v>
      </c>
      <c r="H1758">
        <v>13</v>
      </c>
      <c r="I1758" t="s">
        <v>6198</v>
      </c>
    </row>
    <row r="1759" spans="1:9" x14ac:dyDescent="0.3">
      <c r="A1759" t="s">
        <v>6178</v>
      </c>
      <c r="B1759" t="s">
        <v>672</v>
      </c>
      <c r="C1759" t="s">
        <v>672</v>
      </c>
      <c r="D1759" t="s">
        <v>3029</v>
      </c>
      <c r="E1759" t="s">
        <v>6199</v>
      </c>
      <c r="F1759" t="s">
        <v>3027</v>
      </c>
      <c r="G1759" t="s">
        <v>3031</v>
      </c>
      <c r="H1759">
        <v>14</v>
      </c>
      <c r="I1759" t="s">
        <v>4786</v>
      </c>
    </row>
    <row r="1760" spans="1:9" x14ac:dyDescent="0.3">
      <c r="A1760" t="s">
        <v>6178</v>
      </c>
      <c r="B1760" t="s">
        <v>672</v>
      </c>
      <c r="C1760" t="s">
        <v>672</v>
      </c>
      <c r="D1760" t="s">
        <v>3029</v>
      </c>
      <c r="E1760" t="s">
        <v>6200</v>
      </c>
      <c r="F1760" t="s">
        <v>3027</v>
      </c>
      <c r="G1760" t="s">
        <v>3031</v>
      </c>
      <c r="H1760">
        <v>15</v>
      </c>
      <c r="I1760" t="s">
        <v>6201</v>
      </c>
    </row>
    <row r="1761" spans="1:9" x14ac:dyDescent="0.3">
      <c r="A1761" t="s">
        <v>6178</v>
      </c>
      <c r="B1761" t="s">
        <v>672</v>
      </c>
      <c r="C1761" t="s">
        <v>672</v>
      </c>
      <c r="D1761" t="s">
        <v>3029</v>
      </c>
      <c r="E1761" t="s">
        <v>6202</v>
      </c>
      <c r="F1761" t="s">
        <v>3027</v>
      </c>
      <c r="G1761" t="s">
        <v>3031</v>
      </c>
      <c r="H1761">
        <v>16</v>
      </c>
      <c r="I1761" t="s">
        <v>6203</v>
      </c>
    </row>
    <row r="1762" spans="1:9" x14ac:dyDescent="0.3">
      <c r="A1762" t="s">
        <v>6178</v>
      </c>
      <c r="B1762" t="s">
        <v>672</v>
      </c>
      <c r="C1762" t="s">
        <v>672</v>
      </c>
      <c r="D1762" t="s">
        <v>3029</v>
      </c>
      <c r="E1762" t="s">
        <v>6204</v>
      </c>
      <c r="F1762" t="s">
        <v>3027</v>
      </c>
      <c r="G1762" t="s">
        <v>3031</v>
      </c>
      <c r="H1762">
        <v>17</v>
      </c>
      <c r="I1762" t="s">
        <v>6205</v>
      </c>
    </row>
    <row r="1763" spans="1:9" x14ac:dyDescent="0.3">
      <c r="A1763" t="s">
        <v>6178</v>
      </c>
      <c r="B1763" t="s">
        <v>672</v>
      </c>
      <c r="C1763" t="s">
        <v>672</v>
      </c>
      <c r="D1763" t="s">
        <v>3029</v>
      </c>
      <c r="E1763" t="s">
        <v>6206</v>
      </c>
      <c r="F1763" t="s">
        <v>3027</v>
      </c>
      <c r="G1763" t="s">
        <v>3031</v>
      </c>
      <c r="H1763">
        <v>18</v>
      </c>
      <c r="I1763" t="s">
        <v>6207</v>
      </c>
    </row>
    <row r="1764" spans="1:9" x14ac:dyDescent="0.3">
      <c r="A1764" t="s">
        <v>6178</v>
      </c>
      <c r="B1764" t="s">
        <v>672</v>
      </c>
      <c r="C1764" t="s">
        <v>672</v>
      </c>
      <c r="D1764" t="s">
        <v>3029</v>
      </c>
      <c r="E1764" t="s">
        <v>5140</v>
      </c>
      <c r="F1764" t="s">
        <v>3027</v>
      </c>
      <c r="G1764" t="s">
        <v>3031</v>
      </c>
      <c r="H1764">
        <v>19</v>
      </c>
      <c r="I1764" t="s">
        <v>5141</v>
      </c>
    </row>
    <row r="1765" spans="1:9" x14ac:dyDescent="0.3">
      <c r="A1765" t="s">
        <v>6178</v>
      </c>
      <c r="B1765" t="s">
        <v>672</v>
      </c>
      <c r="C1765" t="s">
        <v>672</v>
      </c>
      <c r="D1765" t="s">
        <v>3029</v>
      </c>
      <c r="E1765" t="s">
        <v>3118</v>
      </c>
      <c r="F1765" t="s">
        <v>3027</v>
      </c>
      <c r="G1765" t="s">
        <v>3031</v>
      </c>
      <c r="H1765">
        <v>20</v>
      </c>
      <c r="I1765" t="s">
        <v>24</v>
      </c>
    </row>
    <row r="1766" spans="1:9" x14ac:dyDescent="0.3">
      <c r="A1766" t="s">
        <v>6208</v>
      </c>
      <c r="B1766" t="s">
        <v>678</v>
      </c>
      <c r="C1766" t="s">
        <v>6209</v>
      </c>
      <c r="D1766" t="s">
        <v>3025</v>
      </c>
      <c r="E1766" t="s">
        <v>6210</v>
      </c>
      <c r="F1766" t="s">
        <v>3027</v>
      </c>
      <c r="G1766" t="s">
        <v>3028</v>
      </c>
      <c r="H1766">
        <v>1</v>
      </c>
      <c r="I1766" t="s">
        <v>6209</v>
      </c>
    </row>
    <row r="1767" spans="1:9" x14ac:dyDescent="0.3">
      <c r="A1767" t="s">
        <v>6208</v>
      </c>
      <c r="B1767" t="s">
        <v>678</v>
      </c>
      <c r="C1767" t="s">
        <v>6209</v>
      </c>
      <c r="D1767" t="s">
        <v>3029</v>
      </c>
      <c r="E1767" t="s">
        <v>6211</v>
      </c>
      <c r="F1767" t="s">
        <v>3027</v>
      </c>
      <c r="G1767" t="s">
        <v>3031</v>
      </c>
      <c r="H1767">
        <v>2</v>
      </c>
      <c r="I1767" t="s">
        <v>6212</v>
      </c>
    </row>
    <row r="1768" spans="1:9" x14ac:dyDescent="0.3">
      <c r="A1768" t="s">
        <v>6208</v>
      </c>
      <c r="B1768" t="s">
        <v>678</v>
      </c>
      <c r="C1768" t="s">
        <v>6209</v>
      </c>
      <c r="D1768" t="s">
        <v>3029</v>
      </c>
      <c r="E1768" t="s">
        <v>6213</v>
      </c>
      <c r="F1768" t="s">
        <v>3027</v>
      </c>
      <c r="G1768" t="s">
        <v>3031</v>
      </c>
      <c r="H1768">
        <v>3</v>
      </c>
      <c r="I1768" t="s">
        <v>6214</v>
      </c>
    </row>
    <row r="1769" spans="1:9" x14ac:dyDescent="0.3">
      <c r="A1769" t="s">
        <v>6208</v>
      </c>
      <c r="B1769" t="s">
        <v>678</v>
      </c>
      <c r="C1769" t="s">
        <v>6209</v>
      </c>
      <c r="D1769" t="s">
        <v>3029</v>
      </c>
      <c r="E1769" t="s">
        <v>6215</v>
      </c>
      <c r="F1769" t="s">
        <v>3027</v>
      </c>
      <c r="G1769" t="s">
        <v>3031</v>
      </c>
      <c r="H1769">
        <v>4</v>
      </c>
      <c r="I1769" t="s">
        <v>6216</v>
      </c>
    </row>
    <row r="1770" spans="1:9" x14ac:dyDescent="0.3">
      <c r="A1770" t="s">
        <v>6208</v>
      </c>
      <c r="B1770" t="s">
        <v>678</v>
      </c>
      <c r="C1770" t="s">
        <v>6209</v>
      </c>
      <c r="D1770" t="s">
        <v>3029</v>
      </c>
      <c r="E1770" t="s">
        <v>6217</v>
      </c>
      <c r="F1770" t="s">
        <v>3027</v>
      </c>
      <c r="G1770" t="s">
        <v>3031</v>
      </c>
      <c r="H1770">
        <v>5</v>
      </c>
      <c r="I1770" t="s">
        <v>6218</v>
      </c>
    </row>
    <row r="1771" spans="1:9" x14ac:dyDescent="0.3">
      <c r="A1771" t="s">
        <v>6208</v>
      </c>
      <c r="B1771" t="s">
        <v>678</v>
      </c>
      <c r="C1771" t="s">
        <v>6209</v>
      </c>
      <c r="D1771" t="s">
        <v>3029</v>
      </c>
      <c r="E1771" t="s">
        <v>6219</v>
      </c>
      <c r="F1771" t="s">
        <v>3027</v>
      </c>
      <c r="G1771" t="s">
        <v>3031</v>
      </c>
      <c r="H1771">
        <v>6</v>
      </c>
      <c r="I1771" t="s">
        <v>131</v>
      </c>
    </row>
    <row r="1772" spans="1:9" x14ac:dyDescent="0.3">
      <c r="A1772" t="s">
        <v>6208</v>
      </c>
      <c r="B1772" t="s">
        <v>678</v>
      </c>
      <c r="C1772" t="s">
        <v>6209</v>
      </c>
      <c r="D1772" t="s">
        <v>3029</v>
      </c>
      <c r="E1772" t="s">
        <v>6220</v>
      </c>
      <c r="F1772" t="s">
        <v>3027</v>
      </c>
      <c r="G1772" t="s">
        <v>3031</v>
      </c>
      <c r="H1772">
        <v>7</v>
      </c>
      <c r="I1772">
        <v>1954</v>
      </c>
    </row>
    <row r="1773" spans="1:9" x14ac:dyDescent="0.3">
      <c r="A1773" t="s">
        <v>6208</v>
      </c>
      <c r="B1773" t="s">
        <v>678</v>
      </c>
      <c r="C1773" t="s">
        <v>6209</v>
      </c>
      <c r="D1773" t="s">
        <v>3029</v>
      </c>
      <c r="E1773" t="s">
        <v>3221</v>
      </c>
      <c r="F1773" t="s">
        <v>3027</v>
      </c>
      <c r="G1773" t="s">
        <v>3031</v>
      </c>
      <c r="H1773">
        <v>8</v>
      </c>
      <c r="I1773" t="s">
        <v>3222</v>
      </c>
    </row>
    <row r="1774" spans="1:9" x14ac:dyDescent="0.3">
      <c r="A1774" t="s">
        <v>6208</v>
      </c>
      <c r="B1774" t="s">
        <v>678</v>
      </c>
      <c r="C1774" t="s">
        <v>6209</v>
      </c>
      <c r="D1774" t="s">
        <v>3029</v>
      </c>
      <c r="E1774" t="s">
        <v>6197</v>
      </c>
      <c r="F1774" t="s">
        <v>3027</v>
      </c>
      <c r="G1774" t="s">
        <v>3031</v>
      </c>
      <c r="H1774">
        <v>9</v>
      </c>
      <c r="I1774" t="s">
        <v>6198</v>
      </c>
    </row>
    <row r="1775" spans="1:9" x14ac:dyDescent="0.3">
      <c r="A1775" t="s">
        <v>6208</v>
      </c>
      <c r="B1775" t="s">
        <v>678</v>
      </c>
      <c r="C1775" t="s">
        <v>6209</v>
      </c>
      <c r="D1775" t="s">
        <v>3029</v>
      </c>
      <c r="E1775" t="s">
        <v>6221</v>
      </c>
      <c r="F1775" t="s">
        <v>3027</v>
      </c>
      <c r="G1775" t="s">
        <v>3031</v>
      </c>
      <c r="H1775">
        <v>10</v>
      </c>
      <c r="I1775" t="s">
        <v>6222</v>
      </c>
    </row>
    <row r="1776" spans="1:9" x14ac:dyDescent="0.3">
      <c r="A1776" t="s">
        <v>6208</v>
      </c>
      <c r="B1776" t="s">
        <v>678</v>
      </c>
      <c r="C1776" t="s">
        <v>6209</v>
      </c>
      <c r="D1776" t="s">
        <v>3029</v>
      </c>
      <c r="E1776" t="s">
        <v>6223</v>
      </c>
      <c r="F1776" t="s">
        <v>3027</v>
      </c>
      <c r="G1776" t="s">
        <v>3031</v>
      </c>
      <c r="H1776">
        <v>11</v>
      </c>
      <c r="I1776" t="s">
        <v>6224</v>
      </c>
    </row>
    <row r="1777" spans="1:9" x14ac:dyDescent="0.3">
      <c r="A1777" t="s">
        <v>6208</v>
      </c>
      <c r="B1777" t="s">
        <v>678</v>
      </c>
      <c r="C1777" t="s">
        <v>6209</v>
      </c>
      <c r="D1777" t="s">
        <v>3029</v>
      </c>
      <c r="E1777" t="s">
        <v>6225</v>
      </c>
      <c r="F1777" t="s">
        <v>3027</v>
      </c>
      <c r="G1777" t="s">
        <v>3031</v>
      </c>
      <c r="H1777">
        <v>12</v>
      </c>
      <c r="I1777" t="s">
        <v>6226</v>
      </c>
    </row>
    <row r="1778" spans="1:9" x14ac:dyDescent="0.3">
      <c r="A1778" t="s">
        <v>6208</v>
      </c>
      <c r="B1778" t="s">
        <v>678</v>
      </c>
      <c r="C1778" t="s">
        <v>6209</v>
      </c>
      <c r="D1778" t="s">
        <v>3029</v>
      </c>
      <c r="E1778" t="s">
        <v>6227</v>
      </c>
      <c r="F1778" t="s">
        <v>3027</v>
      </c>
      <c r="G1778" t="s">
        <v>3031</v>
      </c>
      <c r="H1778">
        <v>13</v>
      </c>
      <c r="I1778" t="s">
        <v>6228</v>
      </c>
    </row>
    <row r="1779" spans="1:9" x14ac:dyDescent="0.3">
      <c r="A1779" t="s">
        <v>6208</v>
      </c>
      <c r="B1779" t="s">
        <v>678</v>
      </c>
      <c r="C1779" t="s">
        <v>6209</v>
      </c>
      <c r="D1779" t="s">
        <v>3029</v>
      </c>
      <c r="E1779" t="s">
        <v>3215</v>
      </c>
      <c r="F1779" t="s">
        <v>3027</v>
      </c>
      <c r="G1779" t="s">
        <v>3031</v>
      </c>
      <c r="H1779">
        <v>14</v>
      </c>
      <c r="I1779" t="s">
        <v>3216</v>
      </c>
    </row>
    <row r="1780" spans="1:9" x14ac:dyDescent="0.3">
      <c r="A1780" t="s">
        <v>6208</v>
      </c>
      <c r="B1780" t="s">
        <v>678</v>
      </c>
      <c r="C1780" t="s">
        <v>6209</v>
      </c>
      <c r="D1780" t="s">
        <v>3029</v>
      </c>
      <c r="E1780" t="s">
        <v>6229</v>
      </c>
      <c r="F1780" t="s">
        <v>3027</v>
      </c>
      <c r="G1780" t="s">
        <v>3031</v>
      </c>
      <c r="H1780">
        <v>15</v>
      </c>
      <c r="I1780" t="s">
        <v>6230</v>
      </c>
    </row>
    <row r="1781" spans="1:9" x14ac:dyDescent="0.3">
      <c r="A1781" t="s">
        <v>6208</v>
      </c>
      <c r="B1781" t="s">
        <v>678</v>
      </c>
      <c r="C1781" t="s">
        <v>6209</v>
      </c>
      <c r="D1781" t="s">
        <v>3029</v>
      </c>
      <c r="E1781" t="s">
        <v>6231</v>
      </c>
      <c r="F1781" t="s">
        <v>3027</v>
      </c>
      <c r="G1781" t="s">
        <v>3031</v>
      </c>
      <c r="H1781">
        <v>16</v>
      </c>
      <c r="I1781" t="s">
        <v>6232</v>
      </c>
    </row>
    <row r="1782" spans="1:9" x14ac:dyDescent="0.3">
      <c r="A1782" t="s">
        <v>6208</v>
      </c>
      <c r="B1782" t="s">
        <v>678</v>
      </c>
      <c r="C1782" t="s">
        <v>6209</v>
      </c>
      <c r="D1782" t="s">
        <v>3029</v>
      </c>
      <c r="E1782" t="s">
        <v>6233</v>
      </c>
      <c r="F1782" t="s">
        <v>3027</v>
      </c>
      <c r="G1782" t="s">
        <v>3031</v>
      </c>
      <c r="H1782">
        <v>17</v>
      </c>
      <c r="I1782" t="s">
        <v>6234</v>
      </c>
    </row>
    <row r="1783" spans="1:9" x14ac:dyDescent="0.3">
      <c r="A1783" t="s">
        <v>6208</v>
      </c>
      <c r="B1783" t="s">
        <v>678</v>
      </c>
      <c r="C1783" t="s">
        <v>6209</v>
      </c>
      <c r="D1783" t="s">
        <v>3029</v>
      </c>
      <c r="E1783" t="s">
        <v>6235</v>
      </c>
      <c r="F1783" t="s">
        <v>3027</v>
      </c>
      <c r="G1783" t="s">
        <v>3031</v>
      </c>
      <c r="H1783">
        <v>18</v>
      </c>
      <c r="I1783" t="s">
        <v>6236</v>
      </c>
    </row>
    <row r="1784" spans="1:9" x14ac:dyDescent="0.3">
      <c r="A1784" t="s">
        <v>6208</v>
      </c>
      <c r="B1784" t="s">
        <v>678</v>
      </c>
      <c r="C1784" t="s">
        <v>6209</v>
      </c>
      <c r="D1784" t="s">
        <v>3029</v>
      </c>
      <c r="E1784" t="s">
        <v>6237</v>
      </c>
      <c r="F1784" t="s">
        <v>3027</v>
      </c>
      <c r="G1784" t="s">
        <v>3031</v>
      </c>
      <c r="H1784">
        <v>19</v>
      </c>
      <c r="I1784" t="s">
        <v>6238</v>
      </c>
    </row>
    <row r="1785" spans="1:9" x14ac:dyDescent="0.3">
      <c r="A1785" t="s">
        <v>6208</v>
      </c>
      <c r="B1785" t="s">
        <v>678</v>
      </c>
      <c r="C1785" t="s">
        <v>6209</v>
      </c>
      <c r="D1785" t="s">
        <v>3029</v>
      </c>
      <c r="E1785" t="s">
        <v>6239</v>
      </c>
      <c r="F1785" t="s">
        <v>3027</v>
      </c>
      <c r="G1785" t="s">
        <v>3031</v>
      </c>
      <c r="H1785">
        <v>20</v>
      </c>
      <c r="I1785" t="s">
        <v>6240</v>
      </c>
    </row>
    <row r="1786" spans="1:9" x14ac:dyDescent="0.3">
      <c r="A1786" t="s">
        <v>6241</v>
      </c>
      <c r="B1786" t="s">
        <v>684</v>
      </c>
      <c r="C1786" t="s">
        <v>6242</v>
      </c>
      <c r="D1786" t="s">
        <v>3025</v>
      </c>
      <c r="E1786" t="s">
        <v>6243</v>
      </c>
      <c r="F1786" t="s">
        <v>3027</v>
      </c>
      <c r="G1786" t="s">
        <v>3028</v>
      </c>
      <c r="H1786">
        <v>1</v>
      </c>
      <c r="I1786" t="s">
        <v>6242</v>
      </c>
    </row>
    <row r="1787" spans="1:9" x14ac:dyDescent="0.3">
      <c r="A1787" t="s">
        <v>6241</v>
      </c>
      <c r="B1787" t="s">
        <v>684</v>
      </c>
      <c r="C1787" t="s">
        <v>6242</v>
      </c>
      <c r="D1787" t="s">
        <v>3029</v>
      </c>
      <c r="E1787" t="s">
        <v>6244</v>
      </c>
      <c r="F1787" t="s">
        <v>3027</v>
      </c>
      <c r="G1787" t="s">
        <v>3031</v>
      </c>
      <c r="H1787">
        <v>2</v>
      </c>
      <c r="I1787" t="s">
        <v>6245</v>
      </c>
    </row>
    <row r="1788" spans="1:9" x14ac:dyDescent="0.3">
      <c r="A1788" t="s">
        <v>6241</v>
      </c>
      <c r="B1788" t="s">
        <v>684</v>
      </c>
      <c r="C1788" t="s">
        <v>6242</v>
      </c>
      <c r="D1788" t="s">
        <v>3029</v>
      </c>
      <c r="E1788" t="s">
        <v>6246</v>
      </c>
      <c r="F1788" t="s">
        <v>3027</v>
      </c>
      <c r="G1788" t="s">
        <v>3031</v>
      </c>
      <c r="H1788">
        <v>3</v>
      </c>
      <c r="I1788" t="s">
        <v>6247</v>
      </c>
    </row>
    <row r="1789" spans="1:9" x14ac:dyDescent="0.3">
      <c r="A1789" t="s">
        <v>6241</v>
      </c>
      <c r="B1789" t="s">
        <v>684</v>
      </c>
      <c r="C1789" t="s">
        <v>6242</v>
      </c>
      <c r="D1789" t="s">
        <v>3029</v>
      </c>
      <c r="E1789" t="s">
        <v>6248</v>
      </c>
      <c r="F1789" t="s">
        <v>3027</v>
      </c>
      <c r="G1789" t="s">
        <v>3031</v>
      </c>
      <c r="H1789">
        <v>4</v>
      </c>
      <c r="I1789" t="s">
        <v>6249</v>
      </c>
    </row>
    <row r="1790" spans="1:9" x14ac:dyDescent="0.3">
      <c r="A1790" t="s">
        <v>6241</v>
      </c>
      <c r="B1790" t="s">
        <v>684</v>
      </c>
      <c r="C1790" t="s">
        <v>6242</v>
      </c>
      <c r="D1790" t="s">
        <v>3029</v>
      </c>
      <c r="E1790" t="s">
        <v>6250</v>
      </c>
      <c r="F1790" t="s">
        <v>3027</v>
      </c>
      <c r="G1790" t="s">
        <v>3031</v>
      </c>
      <c r="H1790">
        <v>5</v>
      </c>
      <c r="I1790" t="s">
        <v>6251</v>
      </c>
    </row>
    <row r="1791" spans="1:9" x14ac:dyDescent="0.3">
      <c r="A1791" t="s">
        <v>6241</v>
      </c>
      <c r="B1791" t="s">
        <v>684</v>
      </c>
      <c r="C1791" t="s">
        <v>6242</v>
      </c>
      <c r="D1791" t="s">
        <v>3029</v>
      </c>
      <c r="E1791" t="s">
        <v>3118</v>
      </c>
      <c r="F1791" t="s">
        <v>3027</v>
      </c>
      <c r="G1791" t="s">
        <v>3031</v>
      </c>
      <c r="H1791">
        <v>6</v>
      </c>
      <c r="I1791" t="s">
        <v>24</v>
      </c>
    </row>
    <row r="1792" spans="1:9" x14ac:dyDescent="0.3">
      <c r="A1792" t="s">
        <v>6241</v>
      </c>
      <c r="B1792" t="s">
        <v>684</v>
      </c>
      <c r="C1792" t="s">
        <v>6242</v>
      </c>
      <c r="D1792" t="s">
        <v>3029</v>
      </c>
      <c r="E1792" t="s">
        <v>6252</v>
      </c>
      <c r="F1792" t="s">
        <v>3027</v>
      </c>
      <c r="G1792" t="s">
        <v>3031</v>
      </c>
      <c r="H1792">
        <v>7</v>
      </c>
      <c r="I1792" t="s">
        <v>6253</v>
      </c>
    </row>
    <row r="1793" spans="1:9" x14ac:dyDescent="0.3">
      <c r="A1793" t="s">
        <v>6241</v>
      </c>
      <c r="B1793" t="s">
        <v>684</v>
      </c>
      <c r="C1793" t="s">
        <v>6242</v>
      </c>
      <c r="D1793" t="s">
        <v>3029</v>
      </c>
      <c r="E1793" t="s">
        <v>4009</v>
      </c>
      <c r="F1793" t="s">
        <v>3027</v>
      </c>
      <c r="G1793" t="s">
        <v>3031</v>
      </c>
      <c r="H1793">
        <v>8</v>
      </c>
      <c r="I1793" t="s">
        <v>492</v>
      </c>
    </row>
    <row r="1794" spans="1:9" x14ac:dyDescent="0.3">
      <c r="A1794" t="s">
        <v>6241</v>
      </c>
      <c r="B1794" t="s">
        <v>684</v>
      </c>
      <c r="C1794" t="s">
        <v>6242</v>
      </c>
      <c r="D1794" t="s">
        <v>3029</v>
      </c>
      <c r="E1794" t="s">
        <v>6254</v>
      </c>
      <c r="F1794" t="s">
        <v>3027</v>
      </c>
      <c r="G1794" t="s">
        <v>3031</v>
      </c>
      <c r="H1794">
        <v>9</v>
      </c>
      <c r="I1794" t="s">
        <v>6255</v>
      </c>
    </row>
    <row r="1795" spans="1:9" x14ac:dyDescent="0.3">
      <c r="A1795" t="s">
        <v>6241</v>
      </c>
      <c r="B1795" t="s">
        <v>684</v>
      </c>
      <c r="C1795" t="s">
        <v>6242</v>
      </c>
      <c r="D1795" t="s">
        <v>3029</v>
      </c>
      <c r="E1795" t="s">
        <v>6197</v>
      </c>
      <c r="F1795" t="s">
        <v>3027</v>
      </c>
      <c r="G1795" t="s">
        <v>3031</v>
      </c>
      <c r="H1795">
        <v>10</v>
      </c>
      <c r="I1795" t="s">
        <v>6198</v>
      </c>
    </row>
    <row r="1796" spans="1:9" x14ac:dyDescent="0.3">
      <c r="A1796" t="s">
        <v>6241</v>
      </c>
      <c r="B1796" t="s">
        <v>684</v>
      </c>
      <c r="C1796" t="s">
        <v>6242</v>
      </c>
      <c r="D1796" t="s">
        <v>3029</v>
      </c>
      <c r="E1796" t="s">
        <v>6256</v>
      </c>
      <c r="F1796" t="s">
        <v>3027</v>
      </c>
      <c r="G1796" t="s">
        <v>3031</v>
      </c>
      <c r="H1796">
        <v>11</v>
      </c>
      <c r="I1796" t="s">
        <v>6257</v>
      </c>
    </row>
    <row r="1797" spans="1:9" x14ac:dyDescent="0.3">
      <c r="A1797" t="s">
        <v>6241</v>
      </c>
      <c r="B1797" t="s">
        <v>684</v>
      </c>
      <c r="C1797" t="s">
        <v>6242</v>
      </c>
      <c r="D1797" t="s">
        <v>3029</v>
      </c>
      <c r="E1797" t="s">
        <v>6258</v>
      </c>
      <c r="F1797" t="s">
        <v>3027</v>
      </c>
      <c r="G1797" t="s">
        <v>3031</v>
      </c>
      <c r="H1797">
        <v>12</v>
      </c>
      <c r="I1797" t="s">
        <v>6259</v>
      </c>
    </row>
    <row r="1798" spans="1:9" x14ac:dyDescent="0.3">
      <c r="A1798" t="s">
        <v>6241</v>
      </c>
      <c r="B1798" t="s">
        <v>684</v>
      </c>
      <c r="C1798" t="s">
        <v>6242</v>
      </c>
      <c r="D1798" t="s">
        <v>3029</v>
      </c>
      <c r="E1798" t="s">
        <v>6260</v>
      </c>
      <c r="F1798" t="s">
        <v>3027</v>
      </c>
      <c r="G1798" t="s">
        <v>3031</v>
      </c>
      <c r="H1798">
        <v>13</v>
      </c>
      <c r="I1798" t="s">
        <v>6261</v>
      </c>
    </row>
    <row r="1799" spans="1:9" x14ac:dyDescent="0.3">
      <c r="A1799" t="s">
        <v>6241</v>
      </c>
      <c r="B1799" t="s">
        <v>684</v>
      </c>
      <c r="C1799" t="s">
        <v>6242</v>
      </c>
      <c r="D1799" t="s">
        <v>3029</v>
      </c>
      <c r="E1799" t="s">
        <v>6262</v>
      </c>
      <c r="F1799" t="s">
        <v>3027</v>
      </c>
      <c r="G1799" t="s">
        <v>3031</v>
      </c>
      <c r="H1799">
        <v>14</v>
      </c>
      <c r="I1799" t="s">
        <v>6263</v>
      </c>
    </row>
    <row r="1800" spans="1:9" x14ac:dyDescent="0.3">
      <c r="A1800" t="s">
        <v>6241</v>
      </c>
      <c r="B1800" t="s">
        <v>684</v>
      </c>
      <c r="C1800" t="s">
        <v>6242</v>
      </c>
      <c r="D1800" t="s">
        <v>3029</v>
      </c>
      <c r="E1800" t="s">
        <v>6264</v>
      </c>
      <c r="F1800" t="s">
        <v>3027</v>
      </c>
      <c r="G1800" t="s">
        <v>3031</v>
      </c>
      <c r="H1800">
        <v>15</v>
      </c>
      <c r="I1800" t="s">
        <v>6265</v>
      </c>
    </row>
    <row r="1801" spans="1:9" x14ac:dyDescent="0.3">
      <c r="A1801" t="s">
        <v>6241</v>
      </c>
      <c r="B1801" t="s">
        <v>684</v>
      </c>
      <c r="C1801" t="s">
        <v>6242</v>
      </c>
      <c r="D1801" t="s">
        <v>3029</v>
      </c>
      <c r="E1801" t="s">
        <v>3750</v>
      </c>
      <c r="F1801" t="s">
        <v>3027</v>
      </c>
      <c r="G1801" t="s">
        <v>3031</v>
      </c>
      <c r="H1801">
        <v>16</v>
      </c>
      <c r="I1801" t="s">
        <v>3751</v>
      </c>
    </row>
    <row r="1802" spans="1:9" x14ac:dyDescent="0.3">
      <c r="A1802" t="s">
        <v>6241</v>
      </c>
      <c r="B1802" t="s">
        <v>684</v>
      </c>
      <c r="C1802" t="s">
        <v>6242</v>
      </c>
      <c r="D1802" t="s">
        <v>3029</v>
      </c>
      <c r="E1802" t="s">
        <v>6266</v>
      </c>
      <c r="F1802" t="s">
        <v>3027</v>
      </c>
      <c r="G1802" t="s">
        <v>3031</v>
      </c>
      <c r="H1802">
        <v>17</v>
      </c>
      <c r="I1802" t="s">
        <v>6267</v>
      </c>
    </row>
    <row r="1803" spans="1:9" x14ac:dyDescent="0.3">
      <c r="A1803" t="s">
        <v>6241</v>
      </c>
      <c r="B1803" t="s">
        <v>684</v>
      </c>
      <c r="C1803" t="s">
        <v>6242</v>
      </c>
      <c r="D1803" t="s">
        <v>3029</v>
      </c>
      <c r="E1803" t="s">
        <v>6268</v>
      </c>
      <c r="F1803" t="s">
        <v>3027</v>
      </c>
      <c r="G1803" t="s">
        <v>3031</v>
      </c>
      <c r="H1803">
        <v>18</v>
      </c>
      <c r="I1803" t="s">
        <v>6269</v>
      </c>
    </row>
    <row r="1804" spans="1:9" x14ac:dyDescent="0.3">
      <c r="A1804" t="s">
        <v>6241</v>
      </c>
      <c r="B1804" t="s">
        <v>684</v>
      </c>
      <c r="C1804" t="s">
        <v>6242</v>
      </c>
      <c r="D1804" t="s">
        <v>3029</v>
      </c>
      <c r="E1804" t="s">
        <v>6270</v>
      </c>
      <c r="F1804" t="s">
        <v>3027</v>
      </c>
      <c r="G1804" t="s">
        <v>3031</v>
      </c>
      <c r="H1804">
        <v>19</v>
      </c>
      <c r="I1804" t="s">
        <v>6271</v>
      </c>
    </row>
    <row r="1805" spans="1:9" x14ac:dyDescent="0.3">
      <c r="A1805" t="s">
        <v>6241</v>
      </c>
      <c r="B1805" t="s">
        <v>684</v>
      </c>
      <c r="C1805" t="s">
        <v>6242</v>
      </c>
      <c r="D1805" t="s">
        <v>3029</v>
      </c>
      <c r="E1805" t="s">
        <v>6272</v>
      </c>
      <c r="F1805" t="s">
        <v>3027</v>
      </c>
      <c r="G1805" t="s">
        <v>3031</v>
      </c>
      <c r="H1805">
        <v>20</v>
      </c>
      <c r="I1805" t="s">
        <v>6273</v>
      </c>
    </row>
    <row r="1806" spans="1:9" x14ac:dyDescent="0.3">
      <c r="A1806" t="s">
        <v>6274</v>
      </c>
      <c r="B1806" t="s">
        <v>691</v>
      </c>
      <c r="C1806" t="s">
        <v>6275</v>
      </c>
      <c r="D1806" t="s">
        <v>3025</v>
      </c>
      <c r="E1806" t="s">
        <v>6276</v>
      </c>
      <c r="F1806" t="s">
        <v>3027</v>
      </c>
      <c r="G1806" t="s">
        <v>3028</v>
      </c>
      <c r="H1806">
        <v>1</v>
      </c>
      <c r="I1806" t="s">
        <v>6275</v>
      </c>
    </row>
    <row r="1807" spans="1:9" x14ac:dyDescent="0.3">
      <c r="A1807" t="s">
        <v>6274</v>
      </c>
      <c r="B1807" t="s">
        <v>691</v>
      </c>
      <c r="C1807" t="s">
        <v>6275</v>
      </c>
      <c r="D1807" t="s">
        <v>3029</v>
      </c>
      <c r="E1807" t="s">
        <v>6277</v>
      </c>
      <c r="F1807" t="s">
        <v>3027</v>
      </c>
      <c r="G1807" t="s">
        <v>3031</v>
      </c>
      <c r="H1807">
        <v>2</v>
      </c>
      <c r="I1807" t="s">
        <v>6278</v>
      </c>
    </row>
    <row r="1808" spans="1:9" x14ac:dyDescent="0.3">
      <c r="A1808" t="s">
        <v>6274</v>
      </c>
      <c r="B1808" t="s">
        <v>691</v>
      </c>
      <c r="C1808" t="s">
        <v>6275</v>
      </c>
      <c r="D1808" t="s">
        <v>3029</v>
      </c>
      <c r="E1808" t="s">
        <v>3647</v>
      </c>
      <c r="F1808" t="s">
        <v>3027</v>
      </c>
      <c r="G1808" t="s">
        <v>3031</v>
      </c>
      <c r="H1808">
        <v>3</v>
      </c>
      <c r="I1808" t="s">
        <v>693</v>
      </c>
    </row>
    <row r="1809" spans="1:9" x14ac:dyDescent="0.3">
      <c r="A1809" t="s">
        <v>6274</v>
      </c>
      <c r="B1809" t="s">
        <v>691</v>
      </c>
      <c r="C1809" t="s">
        <v>6275</v>
      </c>
      <c r="D1809" t="s">
        <v>3029</v>
      </c>
      <c r="E1809" t="s">
        <v>6279</v>
      </c>
      <c r="F1809" t="s">
        <v>3027</v>
      </c>
      <c r="G1809" t="s">
        <v>3031</v>
      </c>
      <c r="H1809">
        <v>4</v>
      </c>
      <c r="I1809" t="s">
        <v>6280</v>
      </c>
    </row>
    <row r="1810" spans="1:9" x14ac:dyDescent="0.3">
      <c r="A1810" t="s">
        <v>6274</v>
      </c>
      <c r="B1810" t="s">
        <v>691</v>
      </c>
      <c r="C1810" t="s">
        <v>6275</v>
      </c>
      <c r="D1810" t="s">
        <v>3029</v>
      </c>
      <c r="E1810" t="s">
        <v>6281</v>
      </c>
      <c r="F1810" t="s">
        <v>3027</v>
      </c>
      <c r="G1810" t="s">
        <v>3031</v>
      </c>
      <c r="H1810">
        <v>5</v>
      </c>
      <c r="I1810" t="s">
        <v>6282</v>
      </c>
    </row>
    <row r="1811" spans="1:9" x14ac:dyDescent="0.3">
      <c r="A1811" t="s">
        <v>6274</v>
      </c>
      <c r="B1811" t="s">
        <v>691</v>
      </c>
      <c r="C1811" t="s">
        <v>6275</v>
      </c>
      <c r="D1811" t="s">
        <v>3029</v>
      </c>
      <c r="E1811" t="s">
        <v>6283</v>
      </c>
      <c r="F1811" t="s">
        <v>3027</v>
      </c>
      <c r="G1811" t="s">
        <v>3031</v>
      </c>
      <c r="H1811">
        <v>6</v>
      </c>
      <c r="I1811" t="s">
        <v>6284</v>
      </c>
    </row>
    <row r="1812" spans="1:9" x14ac:dyDescent="0.3">
      <c r="A1812" t="s">
        <v>6274</v>
      </c>
      <c r="B1812" t="s">
        <v>691</v>
      </c>
      <c r="C1812" t="s">
        <v>6275</v>
      </c>
      <c r="D1812" t="s">
        <v>3029</v>
      </c>
      <c r="E1812" t="s">
        <v>6285</v>
      </c>
      <c r="F1812" t="s">
        <v>3027</v>
      </c>
      <c r="G1812" t="s">
        <v>3031</v>
      </c>
      <c r="H1812">
        <v>7</v>
      </c>
      <c r="I1812" t="s">
        <v>6286</v>
      </c>
    </row>
    <row r="1813" spans="1:9" x14ac:dyDescent="0.3">
      <c r="A1813" t="s">
        <v>6274</v>
      </c>
      <c r="B1813" t="s">
        <v>691</v>
      </c>
      <c r="C1813" t="s">
        <v>6275</v>
      </c>
      <c r="D1813" t="s">
        <v>3029</v>
      </c>
      <c r="E1813" t="s">
        <v>6287</v>
      </c>
      <c r="F1813" t="s">
        <v>3027</v>
      </c>
      <c r="G1813" t="s">
        <v>3031</v>
      </c>
      <c r="H1813">
        <v>8</v>
      </c>
      <c r="I1813" t="s">
        <v>6288</v>
      </c>
    </row>
    <row r="1814" spans="1:9" x14ac:dyDescent="0.3">
      <c r="A1814" t="s">
        <v>6274</v>
      </c>
      <c r="B1814" t="s">
        <v>691</v>
      </c>
      <c r="C1814" t="s">
        <v>6275</v>
      </c>
      <c r="D1814" t="s">
        <v>3029</v>
      </c>
      <c r="E1814" t="s">
        <v>6289</v>
      </c>
      <c r="F1814" t="s">
        <v>3027</v>
      </c>
      <c r="G1814" t="s">
        <v>3031</v>
      </c>
      <c r="H1814">
        <v>9</v>
      </c>
      <c r="I1814" t="s">
        <v>6290</v>
      </c>
    </row>
    <row r="1815" spans="1:9" x14ac:dyDescent="0.3">
      <c r="A1815" t="s">
        <v>6274</v>
      </c>
      <c r="B1815" t="s">
        <v>691</v>
      </c>
      <c r="C1815" t="s">
        <v>6275</v>
      </c>
      <c r="D1815" t="s">
        <v>3029</v>
      </c>
      <c r="E1815" t="s">
        <v>3072</v>
      </c>
      <c r="F1815" t="s">
        <v>3027</v>
      </c>
      <c r="G1815" t="s">
        <v>3031</v>
      </c>
      <c r="H1815">
        <v>10</v>
      </c>
      <c r="I1815" t="s">
        <v>3073</v>
      </c>
    </row>
    <row r="1816" spans="1:9" x14ac:dyDescent="0.3">
      <c r="A1816" t="s">
        <v>6274</v>
      </c>
      <c r="B1816" t="s">
        <v>691</v>
      </c>
      <c r="C1816" t="s">
        <v>6275</v>
      </c>
      <c r="D1816" t="s">
        <v>3029</v>
      </c>
      <c r="E1816" t="s">
        <v>6291</v>
      </c>
      <c r="F1816" t="s">
        <v>3027</v>
      </c>
      <c r="G1816" t="s">
        <v>3031</v>
      </c>
      <c r="H1816">
        <v>11</v>
      </c>
      <c r="I1816" t="s">
        <v>6292</v>
      </c>
    </row>
    <row r="1817" spans="1:9" x14ac:dyDescent="0.3">
      <c r="A1817" t="s">
        <v>6274</v>
      </c>
      <c r="B1817" t="s">
        <v>691</v>
      </c>
      <c r="C1817" t="s">
        <v>6275</v>
      </c>
      <c r="D1817" t="s">
        <v>3029</v>
      </c>
      <c r="E1817" t="s">
        <v>6293</v>
      </c>
      <c r="F1817" t="s">
        <v>3027</v>
      </c>
      <c r="G1817" t="s">
        <v>3031</v>
      </c>
      <c r="H1817">
        <v>12</v>
      </c>
      <c r="I1817" t="s">
        <v>6294</v>
      </c>
    </row>
    <row r="1818" spans="1:9" x14ac:dyDescent="0.3">
      <c r="A1818" t="s">
        <v>6295</v>
      </c>
      <c r="B1818" t="s">
        <v>697</v>
      </c>
      <c r="C1818" t="s">
        <v>6242</v>
      </c>
      <c r="D1818" t="s">
        <v>3025</v>
      </c>
      <c r="E1818" t="s">
        <v>6243</v>
      </c>
      <c r="F1818" t="s">
        <v>3027</v>
      </c>
      <c r="G1818" t="s">
        <v>3028</v>
      </c>
      <c r="H1818">
        <v>1</v>
      </c>
      <c r="I1818" t="s">
        <v>6242</v>
      </c>
    </row>
    <row r="1819" spans="1:9" x14ac:dyDescent="0.3">
      <c r="A1819" t="s">
        <v>6295</v>
      </c>
      <c r="B1819" t="s">
        <v>697</v>
      </c>
      <c r="C1819" t="s">
        <v>6242</v>
      </c>
      <c r="D1819" t="s">
        <v>3029</v>
      </c>
      <c r="E1819" t="s">
        <v>6244</v>
      </c>
      <c r="F1819" t="s">
        <v>3027</v>
      </c>
      <c r="G1819" t="s">
        <v>3031</v>
      </c>
      <c r="H1819">
        <v>2</v>
      </c>
      <c r="I1819" t="s">
        <v>6245</v>
      </c>
    </row>
    <row r="1820" spans="1:9" x14ac:dyDescent="0.3">
      <c r="A1820" t="s">
        <v>6295</v>
      </c>
      <c r="B1820" t="s">
        <v>697</v>
      </c>
      <c r="C1820" t="s">
        <v>6242</v>
      </c>
      <c r="D1820" t="s">
        <v>3029</v>
      </c>
      <c r="E1820" t="s">
        <v>6246</v>
      </c>
      <c r="F1820" t="s">
        <v>3027</v>
      </c>
      <c r="G1820" t="s">
        <v>3031</v>
      </c>
      <c r="H1820">
        <v>3</v>
      </c>
      <c r="I1820" t="s">
        <v>6247</v>
      </c>
    </row>
    <row r="1821" spans="1:9" x14ac:dyDescent="0.3">
      <c r="A1821" t="s">
        <v>6295</v>
      </c>
      <c r="B1821" t="s">
        <v>697</v>
      </c>
      <c r="C1821" t="s">
        <v>6242</v>
      </c>
      <c r="D1821" t="s">
        <v>3029</v>
      </c>
      <c r="E1821" t="s">
        <v>6248</v>
      </c>
      <c r="F1821" t="s">
        <v>3027</v>
      </c>
      <c r="G1821" t="s">
        <v>3031</v>
      </c>
      <c r="H1821">
        <v>4</v>
      </c>
      <c r="I1821" t="s">
        <v>6249</v>
      </c>
    </row>
    <row r="1822" spans="1:9" x14ac:dyDescent="0.3">
      <c r="A1822" t="s">
        <v>6295</v>
      </c>
      <c r="B1822" t="s">
        <v>697</v>
      </c>
      <c r="C1822" t="s">
        <v>6242</v>
      </c>
      <c r="D1822" t="s">
        <v>3029</v>
      </c>
      <c r="E1822" t="s">
        <v>6250</v>
      </c>
      <c r="F1822" t="s">
        <v>3027</v>
      </c>
      <c r="G1822" t="s">
        <v>3031</v>
      </c>
      <c r="H1822">
        <v>5</v>
      </c>
      <c r="I1822" t="s">
        <v>6251</v>
      </c>
    </row>
    <row r="1823" spans="1:9" x14ac:dyDescent="0.3">
      <c r="A1823" t="s">
        <v>6295</v>
      </c>
      <c r="B1823" t="s">
        <v>697</v>
      </c>
      <c r="C1823" t="s">
        <v>6242</v>
      </c>
      <c r="D1823" t="s">
        <v>3029</v>
      </c>
      <c r="E1823" t="s">
        <v>3118</v>
      </c>
      <c r="F1823" t="s">
        <v>3027</v>
      </c>
      <c r="G1823" t="s">
        <v>3031</v>
      </c>
      <c r="H1823">
        <v>6</v>
      </c>
      <c r="I1823" t="s">
        <v>24</v>
      </c>
    </row>
    <row r="1824" spans="1:9" x14ac:dyDescent="0.3">
      <c r="A1824" t="s">
        <v>6295</v>
      </c>
      <c r="B1824" t="s">
        <v>697</v>
      </c>
      <c r="C1824" t="s">
        <v>6242</v>
      </c>
      <c r="D1824" t="s">
        <v>3029</v>
      </c>
      <c r="E1824" t="s">
        <v>6252</v>
      </c>
      <c r="F1824" t="s">
        <v>3027</v>
      </c>
      <c r="G1824" t="s">
        <v>3031</v>
      </c>
      <c r="H1824">
        <v>7</v>
      </c>
      <c r="I1824" t="s">
        <v>6253</v>
      </c>
    </row>
    <row r="1825" spans="1:9" x14ac:dyDescent="0.3">
      <c r="A1825" t="s">
        <v>6295</v>
      </c>
      <c r="B1825" t="s">
        <v>697</v>
      </c>
      <c r="C1825" t="s">
        <v>6242</v>
      </c>
      <c r="D1825" t="s">
        <v>3029</v>
      </c>
      <c r="E1825" t="s">
        <v>4009</v>
      </c>
      <c r="F1825" t="s">
        <v>3027</v>
      </c>
      <c r="G1825" t="s">
        <v>3031</v>
      </c>
      <c r="H1825">
        <v>8</v>
      </c>
      <c r="I1825" t="s">
        <v>492</v>
      </c>
    </row>
    <row r="1826" spans="1:9" x14ac:dyDescent="0.3">
      <c r="A1826" t="s">
        <v>6295</v>
      </c>
      <c r="B1826" t="s">
        <v>697</v>
      </c>
      <c r="C1826" t="s">
        <v>6242</v>
      </c>
      <c r="D1826" t="s">
        <v>3029</v>
      </c>
      <c r="E1826" t="s">
        <v>6254</v>
      </c>
      <c r="F1826" t="s">
        <v>3027</v>
      </c>
      <c r="G1826" t="s">
        <v>3031</v>
      </c>
      <c r="H1826">
        <v>9</v>
      </c>
      <c r="I1826" t="s">
        <v>6255</v>
      </c>
    </row>
    <row r="1827" spans="1:9" x14ac:dyDescent="0.3">
      <c r="A1827" t="s">
        <v>6295</v>
      </c>
      <c r="B1827" t="s">
        <v>697</v>
      </c>
      <c r="C1827" t="s">
        <v>6242</v>
      </c>
      <c r="D1827" t="s">
        <v>3029</v>
      </c>
      <c r="E1827" t="s">
        <v>6197</v>
      </c>
      <c r="F1827" t="s">
        <v>3027</v>
      </c>
      <c r="G1827" t="s">
        <v>3031</v>
      </c>
      <c r="H1827">
        <v>10</v>
      </c>
      <c r="I1827" t="s">
        <v>6198</v>
      </c>
    </row>
    <row r="1828" spans="1:9" x14ac:dyDescent="0.3">
      <c r="A1828" t="s">
        <v>6295</v>
      </c>
      <c r="B1828" t="s">
        <v>697</v>
      </c>
      <c r="C1828" t="s">
        <v>6242</v>
      </c>
      <c r="D1828" t="s">
        <v>3029</v>
      </c>
      <c r="E1828" t="s">
        <v>6256</v>
      </c>
      <c r="F1828" t="s">
        <v>3027</v>
      </c>
      <c r="G1828" t="s">
        <v>3031</v>
      </c>
      <c r="H1828">
        <v>11</v>
      </c>
      <c r="I1828" t="s">
        <v>6257</v>
      </c>
    </row>
    <row r="1829" spans="1:9" x14ac:dyDescent="0.3">
      <c r="A1829" t="s">
        <v>6295</v>
      </c>
      <c r="B1829" t="s">
        <v>697</v>
      </c>
      <c r="C1829" t="s">
        <v>6242</v>
      </c>
      <c r="D1829" t="s">
        <v>3029</v>
      </c>
      <c r="E1829" t="s">
        <v>6258</v>
      </c>
      <c r="F1829" t="s">
        <v>3027</v>
      </c>
      <c r="G1829" t="s">
        <v>3031</v>
      </c>
      <c r="H1829">
        <v>12</v>
      </c>
      <c r="I1829" t="s">
        <v>6259</v>
      </c>
    </row>
    <row r="1830" spans="1:9" x14ac:dyDescent="0.3">
      <c r="A1830" t="s">
        <v>6295</v>
      </c>
      <c r="B1830" t="s">
        <v>697</v>
      </c>
      <c r="C1830" t="s">
        <v>6242</v>
      </c>
      <c r="D1830" t="s">
        <v>3029</v>
      </c>
      <c r="E1830" t="s">
        <v>6260</v>
      </c>
      <c r="F1830" t="s">
        <v>3027</v>
      </c>
      <c r="G1830" t="s">
        <v>3031</v>
      </c>
      <c r="H1830">
        <v>13</v>
      </c>
      <c r="I1830" t="s">
        <v>6261</v>
      </c>
    </row>
    <row r="1831" spans="1:9" x14ac:dyDescent="0.3">
      <c r="A1831" t="s">
        <v>6295</v>
      </c>
      <c r="B1831" t="s">
        <v>697</v>
      </c>
      <c r="C1831" t="s">
        <v>6242</v>
      </c>
      <c r="D1831" t="s">
        <v>3029</v>
      </c>
      <c r="E1831" t="s">
        <v>6262</v>
      </c>
      <c r="F1831" t="s">
        <v>3027</v>
      </c>
      <c r="G1831" t="s">
        <v>3031</v>
      </c>
      <c r="H1831">
        <v>14</v>
      </c>
      <c r="I1831" t="s">
        <v>6263</v>
      </c>
    </row>
    <row r="1832" spans="1:9" x14ac:dyDescent="0.3">
      <c r="A1832" t="s">
        <v>6295</v>
      </c>
      <c r="B1832" t="s">
        <v>697</v>
      </c>
      <c r="C1832" t="s">
        <v>6242</v>
      </c>
      <c r="D1832" t="s">
        <v>3029</v>
      </c>
      <c r="E1832" t="s">
        <v>6264</v>
      </c>
      <c r="F1832" t="s">
        <v>3027</v>
      </c>
      <c r="G1832" t="s">
        <v>3031</v>
      </c>
      <c r="H1832">
        <v>15</v>
      </c>
      <c r="I1832" t="s">
        <v>6265</v>
      </c>
    </row>
    <row r="1833" spans="1:9" x14ac:dyDescent="0.3">
      <c r="A1833" t="s">
        <v>6295</v>
      </c>
      <c r="B1833" t="s">
        <v>697</v>
      </c>
      <c r="C1833" t="s">
        <v>6242</v>
      </c>
      <c r="D1833" t="s">
        <v>3029</v>
      </c>
      <c r="E1833" t="s">
        <v>3750</v>
      </c>
      <c r="F1833" t="s">
        <v>3027</v>
      </c>
      <c r="G1833" t="s">
        <v>3031</v>
      </c>
      <c r="H1833">
        <v>16</v>
      </c>
      <c r="I1833" t="s">
        <v>3751</v>
      </c>
    </row>
    <row r="1834" spans="1:9" x14ac:dyDescent="0.3">
      <c r="A1834" t="s">
        <v>6295</v>
      </c>
      <c r="B1834" t="s">
        <v>697</v>
      </c>
      <c r="C1834" t="s">
        <v>6242</v>
      </c>
      <c r="D1834" t="s">
        <v>3029</v>
      </c>
      <c r="E1834" t="s">
        <v>6266</v>
      </c>
      <c r="F1834" t="s">
        <v>3027</v>
      </c>
      <c r="G1834" t="s">
        <v>3031</v>
      </c>
      <c r="H1834">
        <v>17</v>
      </c>
      <c r="I1834" t="s">
        <v>6267</v>
      </c>
    </row>
    <row r="1835" spans="1:9" x14ac:dyDescent="0.3">
      <c r="A1835" t="s">
        <v>6295</v>
      </c>
      <c r="B1835" t="s">
        <v>697</v>
      </c>
      <c r="C1835" t="s">
        <v>6242</v>
      </c>
      <c r="D1835" t="s">
        <v>3029</v>
      </c>
      <c r="E1835" t="s">
        <v>6268</v>
      </c>
      <c r="F1835" t="s">
        <v>3027</v>
      </c>
      <c r="G1835" t="s">
        <v>3031</v>
      </c>
      <c r="H1835">
        <v>18</v>
      </c>
      <c r="I1835" t="s">
        <v>6269</v>
      </c>
    </row>
    <row r="1836" spans="1:9" x14ac:dyDescent="0.3">
      <c r="A1836" t="s">
        <v>6295</v>
      </c>
      <c r="B1836" t="s">
        <v>697</v>
      </c>
      <c r="C1836" t="s">
        <v>6242</v>
      </c>
      <c r="D1836" t="s">
        <v>3029</v>
      </c>
      <c r="E1836" t="s">
        <v>6270</v>
      </c>
      <c r="F1836" t="s">
        <v>3027</v>
      </c>
      <c r="G1836" t="s">
        <v>3031</v>
      </c>
      <c r="H1836">
        <v>19</v>
      </c>
      <c r="I1836" t="s">
        <v>6271</v>
      </c>
    </row>
    <row r="1837" spans="1:9" x14ac:dyDescent="0.3">
      <c r="A1837" t="s">
        <v>6295</v>
      </c>
      <c r="B1837" t="s">
        <v>697</v>
      </c>
      <c r="C1837" t="s">
        <v>6242</v>
      </c>
      <c r="D1837" t="s">
        <v>3029</v>
      </c>
      <c r="E1837" t="s">
        <v>6272</v>
      </c>
      <c r="F1837" t="s">
        <v>3027</v>
      </c>
      <c r="G1837" t="s">
        <v>3031</v>
      </c>
      <c r="H1837">
        <v>20</v>
      </c>
      <c r="I1837" t="s">
        <v>6273</v>
      </c>
    </row>
    <row r="1838" spans="1:9" x14ac:dyDescent="0.3">
      <c r="A1838" t="s">
        <v>6296</v>
      </c>
      <c r="B1838" t="s">
        <v>703</v>
      </c>
      <c r="C1838" t="s">
        <v>703</v>
      </c>
      <c r="D1838" t="s">
        <v>3025</v>
      </c>
      <c r="E1838" t="s">
        <v>6297</v>
      </c>
      <c r="F1838" t="s">
        <v>3027</v>
      </c>
      <c r="G1838" t="s">
        <v>3028</v>
      </c>
      <c r="H1838">
        <v>1</v>
      </c>
      <c r="I1838" t="s">
        <v>703</v>
      </c>
    </row>
    <row r="1839" spans="1:9" x14ac:dyDescent="0.3">
      <c r="A1839" t="s">
        <v>6296</v>
      </c>
      <c r="B1839" t="s">
        <v>703</v>
      </c>
      <c r="C1839" t="s">
        <v>703</v>
      </c>
      <c r="D1839" t="s">
        <v>3029</v>
      </c>
      <c r="E1839" t="s">
        <v>6298</v>
      </c>
      <c r="F1839" t="s">
        <v>3027</v>
      </c>
      <c r="G1839" t="s">
        <v>3031</v>
      </c>
      <c r="H1839">
        <v>2</v>
      </c>
      <c r="I1839" t="s">
        <v>6299</v>
      </c>
    </row>
    <row r="1840" spans="1:9" x14ac:dyDescent="0.3">
      <c r="A1840" t="s">
        <v>6296</v>
      </c>
      <c r="B1840" t="s">
        <v>703</v>
      </c>
      <c r="C1840" t="s">
        <v>703</v>
      </c>
      <c r="D1840" t="s">
        <v>3029</v>
      </c>
      <c r="E1840" t="s">
        <v>6300</v>
      </c>
      <c r="F1840" t="s">
        <v>3027</v>
      </c>
      <c r="G1840" t="s">
        <v>3031</v>
      </c>
      <c r="H1840">
        <v>3</v>
      </c>
      <c r="I1840" t="s">
        <v>6301</v>
      </c>
    </row>
    <row r="1841" spans="1:9" x14ac:dyDescent="0.3">
      <c r="A1841" t="s">
        <v>6296</v>
      </c>
      <c r="B1841" t="s">
        <v>703</v>
      </c>
      <c r="C1841" t="s">
        <v>703</v>
      </c>
      <c r="D1841" t="s">
        <v>3029</v>
      </c>
      <c r="E1841" t="s">
        <v>6302</v>
      </c>
      <c r="F1841" t="s">
        <v>3027</v>
      </c>
      <c r="G1841" t="s">
        <v>3031</v>
      </c>
      <c r="H1841">
        <v>4</v>
      </c>
      <c r="I1841" t="s">
        <v>6303</v>
      </c>
    </row>
    <row r="1842" spans="1:9" x14ac:dyDescent="0.3">
      <c r="A1842" t="s">
        <v>6296</v>
      </c>
      <c r="B1842" t="s">
        <v>703</v>
      </c>
      <c r="C1842" t="s">
        <v>703</v>
      </c>
      <c r="D1842" t="s">
        <v>3029</v>
      </c>
      <c r="E1842" t="s">
        <v>5845</v>
      </c>
      <c r="F1842" t="s">
        <v>3027</v>
      </c>
      <c r="G1842" t="s">
        <v>3031</v>
      </c>
      <c r="H1842">
        <v>5</v>
      </c>
      <c r="I1842" t="s">
        <v>5002</v>
      </c>
    </row>
    <row r="1843" spans="1:9" x14ac:dyDescent="0.3">
      <c r="A1843" t="s">
        <v>6296</v>
      </c>
      <c r="B1843" t="s">
        <v>703</v>
      </c>
      <c r="C1843" t="s">
        <v>703</v>
      </c>
      <c r="D1843" t="s">
        <v>3029</v>
      </c>
      <c r="E1843" t="s">
        <v>4561</v>
      </c>
      <c r="F1843" t="s">
        <v>3027</v>
      </c>
      <c r="G1843" t="s">
        <v>3031</v>
      </c>
      <c r="H1843">
        <v>6</v>
      </c>
      <c r="I1843" t="s">
        <v>4593</v>
      </c>
    </row>
    <row r="1844" spans="1:9" x14ac:dyDescent="0.3">
      <c r="A1844" t="s">
        <v>6296</v>
      </c>
      <c r="B1844" t="s">
        <v>703</v>
      </c>
      <c r="C1844" t="s">
        <v>703</v>
      </c>
      <c r="D1844" t="s">
        <v>3029</v>
      </c>
      <c r="E1844" t="s">
        <v>5846</v>
      </c>
      <c r="F1844" t="s">
        <v>3027</v>
      </c>
      <c r="G1844" t="s">
        <v>3031</v>
      </c>
      <c r="H1844">
        <v>7</v>
      </c>
      <c r="I1844" t="s">
        <v>5847</v>
      </c>
    </row>
    <row r="1845" spans="1:9" x14ac:dyDescent="0.3">
      <c r="A1845" t="s">
        <v>6296</v>
      </c>
      <c r="B1845" t="s">
        <v>703</v>
      </c>
      <c r="C1845" t="s">
        <v>703</v>
      </c>
      <c r="D1845" t="s">
        <v>3029</v>
      </c>
      <c r="E1845" t="s">
        <v>5737</v>
      </c>
      <c r="F1845" t="s">
        <v>3027</v>
      </c>
      <c r="G1845" t="s">
        <v>3031</v>
      </c>
      <c r="H1845">
        <v>8</v>
      </c>
      <c r="I1845" t="s">
        <v>5848</v>
      </c>
    </row>
    <row r="1846" spans="1:9" x14ac:dyDescent="0.3">
      <c r="A1846" t="s">
        <v>6296</v>
      </c>
      <c r="B1846" t="s">
        <v>703</v>
      </c>
      <c r="C1846" t="s">
        <v>703</v>
      </c>
      <c r="D1846" t="s">
        <v>3029</v>
      </c>
      <c r="E1846" t="s">
        <v>5849</v>
      </c>
      <c r="F1846" t="s">
        <v>3027</v>
      </c>
      <c r="G1846" t="s">
        <v>3031</v>
      </c>
      <c r="H1846">
        <v>9</v>
      </c>
      <c r="I1846" t="s">
        <v>5850</v>
      </c>
    </row>
    <row r="1847" spans="1:9" x14ac:dyDescent="0.3">
      <c r="A1847" t="s">
        <v>6296</v>
      </c>
      <c r="B1847" t="s">
        <v>703</v>
      </c>
      <c r="C1847" t="s">
        <v>703</v>
      </c>
      <c r="D1847" t="s">
        <v>3029</v>
      </c>
      <c r="E1847" t="s">
        <v>5851</v>
      </c>
      <c r="F1847" t="s">
        <v>3027</v>
      </c>
      <c r="G1847" t="s">
        <v>3031</v>
      </c>
      <c r="H1847">
        <v>10</v>
      </c>
      <c r="I1847" t="s">
        <v>5852</v>
      </c>
    </row>
    <row r="1848" spans="1:9" x14ac:dyDescent="0.3">
      <c r="A1848" t="s">
        <v>6296</v>
      </c>
      <c r="B1848" t="s">
        <v>703</v>
      </c>
      <c r="C1848" t="s">
        <v>703</v>
      </c>
      <c r="D1848" t="s">
        <v>3029</v>
      </c>
      <c r="E1848" t="s">
        <v>5853</v>
      </c>
      <c r="F1848" t="s">
        <v>3027</v>
      </c>
      <c r="G1848" t="s">
        <v>3031</v>
      </c>
      <c r="H1848">
        <v>11</v>
      </c>
      <c r="I1848" t="s">
        <v>5854</v>
      </c>
    </row>
    <row r="1849" spans="1:9" x14ac:dyDescent="0.3">
      <c r="A1849" t="s">
        <v>6296</v>
      </c>
      <c r="B1849" t="s">
        <v>703</v>
      </c>
      <c r="C1849" t="s">
        <v>703</v>
      </c>
      <c r="D1849" t="s">
        <v>3029</v>
      </c>
      <c r="E1849" t="s">
        <v>5855</v>
      </c>
      <c r="F1849" t="s">
        <v>3027</v>
      </c>
      <c r="G1849" t="s">
        <v>3031</v>
      </c>
      <c r="H1849">
        <v>12</v>
      </c>
      <c r="I1849" t="s">
        <v>5856</v>
      </c>
    </row>
    <row r="1850" spans="1:9" x14ac:dyDescent="0.3">
      <c r="A1850" t="s">
        <v>6296</v>
      </c>
      <c r="B1850" t="s">
        <v>703</v>
      </c>
      <c r="C1850" t="s">
        <v>703</v>
      </c>
      <c r="D1850" t="s">
        <v>3029</v>
      </c>
      <c r="E1850" t="s">
        <v>5857</v>
      </c>
      <c r="F1850" t="s">
        <v>3027</v>
      </c>
      <c r="G1850" t="s">
        <v>3031</v>
      </c>
      <c r="H1850">
        <v>13</v>
      </c>
      <c r="I1850" t="s">
        <v>5858</v>
      </c>
    </row>
    <row r="1851" spans="1:9" x14ac:dyDescent="0.3">
      <c r="A1851" t="s">
        <v>6296</v>
      </c>
      <c r="B1851" t="s">
        <v>703</v>
      </c>
      <c r="C1851" t="s">
        <v>703</v>
      </c>
      <c r="D1851" t="s">
        <v>3029</v>
      </c>
      <c r="E1851" t="s">
        <v>5859</v>
      </c>
      <c r="F1851" t="s">
        <v>3027</v>
      </c>
      <c r="G1851" t="s">
        <v>3031</v>
      </c>
      <c r="H1851">
        <v>14</v>
      </c>
      <c r="I1851" t="s">
        <v>5860</v>
      </c>
    </row>
    <row r="1852" spans="1:9" x14ac:dyDescent="0.3">
      <c r="A1852" t="s">
        <v>6296</v>
      </c>
      <c r="B1852" t="s">
        <v>703</v>
      </c>
      <c r="C1852" t="s">
        <v>703</v>
      </c>
      <c r="D1852" t="s">
        <v>3029</v>
      </c>
      <c r="E1852" t="s">
        <v>5861</v>
      </c>
      <c r="F1852" t="s">
        <v>3027</v>
      </c>
      <c r="G1852" t="s">
        <v>3031</v>
      </c>
      <c r="H1852">
        <v>15</v>
      </c>
      <c r="I1852" t="s">
        <v>5862</v>
      </c>
    </row>
    <row r="1853" spans="1:9" x14ac:dyDescent="0.3">
      <c r="A1853" t="s">
        <v>6296</v>
      </c>
      <c r="B1853" t="s">
        <v>703</v>
      </c>
      <c r="C1853" t="s">
        <v>703</v>
      </c>
      <c r="D1853" t="s">
        <v>3029</v>
      </c>
      <c r="E1853" t="s">
        <v>5739</v>
      </c>
      <c r="F1853" t="s">
        <v>3027</v>
      </c>
      <c r="G1853" t="s">
        <v>3031</v>
      </c>
      <c r="H1853">
        <v>16</v>
      </c>
      <c r="I1853" t="s">
        <v>5863</v>
      </c>
    </row>
    <row r="1854" spans="1:9" x14ac:dyDescent="0.3">
      <c r="A1854" t="s">
        <v>6296</v>
      </c>
      <c r="B1854" t="s">
        <v>703</v>
      </c>
      <c r="C1854" t="s">
        <v>703</v>
      </c>
      <c r="D1854" t="s">
        <v>3029</v>
      </c>
      <c r="E1854" t="s">
        <v>5864</v>
      </c>
      <c r="F1854" t="s">
        <v>3027</v>
      </c>
      <c r="G1854" t="s">
        <v>3031</v>
      </c>
      <c r="H1854">
        <v>17</v>
      </c>
      <c r="I1854" t="s">
        <v>5865</v>
      </c>
    </row>
    <row r="1855" spans="1:9" x14ac:dyDescent="0.3">
      <c r="A1855" t="s">
        <v>6296</v>
      </c>
      <c r="B1855" t="s">
        <v>703</v>
      </c>
      <c r="C1855" t="s">
        <v>703</v>
      </c>
      <c r="D1855" t="s">
        <v>3029</v>
      </c>
      <c r="E1855" t="s">
        <v>5866</v>
      </c>
      <c r="F1855" t="s">
        <v>3027</v>
      </c>
      <c r="G1855" t="s">
        <v>3031</v>
      </c>
      <c r="H1855">
        <v>18</v>
      </c>
      <c r="I1855" t="s">
        <v>5867</v>
      </c>
    </row>
    <row r="1856" spans="1:9" x14ac:dyDescent="0.3">
      <c r="A1856" t="s">
        <v>6296</v>
      </c>
      <c r="B1856" t="s">
        <v>703</v>
      </c>
      <c r="C1856" t="s">
        <v>703</v>
      </c>
      <c r="D1856" t="s">
        <v>3029</v>
      </c>
      <c r="E1856" t="s">
        <v>5868</v>
      </c>
      <c r="F1856" t="s">
        <v>3027</v>
      </c>
      <c r="G1856" t="s">
        <v>3031</v>
      </c>
      <c r="H1856">
        <v>19</v>
      </c>
      <c r="I1856" t="s">
        <v>5869</v>
      </c>
    </row>
    <row r="1857" spans="1:9" x14ac:dyDescent="0.3">
      <c r="A1857" t="s">
        <v>6296</v>
      </c>
      <c r="B1857" t="s">
        <v>703</v>
      </c>
      <c r="C1857" t="s">
        <v>703</v>
      </c>
      <c r="D1857" t="s">
        <v>3029</v>
      </c>
      <c r="E1857" t="s">
        <v>5870</v>
      </c>
      <c r="F1857" t="s">
        <v>3027</v>
      </c>
      <c r="G1857" t="s">
        <v>3031</v>
      </c>
      <c r="H1857">
        <v>20</v>
      </c>
      <c r="I1857" t="s">
        <v>647</v>
      </c>
    </row>
    <row r="1858" spans="1:9" x14ac:dyDescent="0.3">
      <c r="A1858" t="s">
        <v>6304</v>
      </c>
      <c r="B1858" t="s">
        <v>709</v>
      </c>
      <c r="C1858" t="s">
        <v>6305</v>
      </c>
      <c r="D1858" t="s">
        <v>3025</v>
      </c>
      <c r="E1858" t="s">
        <v>6306</v>
      </c>
      <c r="F1858" t="s">
        <v>3027</v>
      </c>
      <c r="G1858" t="s">
        <v>3028</v>
      </c>
      <c r="H1858">
        <v>1</v>
      </c>
      <c r="I1858" t="s">
        <v>6305</v>
      </c>
    </row>
    <row r="1859" spans="1:9" x14ac:dyDescent="0.3">
      <c r="A1859" t="s">
        <v>6304</v>
      </c>
      <c r="B1859" t="s">
        <v>709</v>
      </c>
      <c r="C1859" t="s">
        <v>6305</v>
      </c>
      <c r="D1859" t="s">
        <v>3029</v>
      </c>
      <c r="E1859" t="s">
        <v>6307</v>
      </c>
      <c r="F1859" t="s">
        <v>3027</v>
      </c>
      <c r="G1859" t="s">
        <v>3031</v>
      </c>
      <c r="H1859">
        <v>2</v>
      </c>
      <c r="I1859" t="s">
        <v>6308</v>
      </c>
    </row>
    <row r="1860" spans="1:9" x14ac:dyDescent="0.3">
      <c r="A1860" t="s">
        <v>6304</v>
      </c>
      <c r="B1860" t="s">
        <v>709</v>
      </c>
      <c r="C1860" t="s">
        <v>6305</v>
      </c>
      <c r="D1860" t="s">
        <v>3029</v>
      </c>
      <c r="E1860" t="s">
        <v>6309</v>
      </c>
      <c r="F1860" t="s">
        <v>3027</v>
      </c>
      <c r="G1860" t="s">
        <v>3031</v>
      </c>
      <c r="H1860">
        <v>3</v>
      </c>
      <c r="I1860" t="s">
        <v>6310</v>
      </c>
    </row>
    <row r="1861" spans="1:9" x14ac:dyDescent="0.3">
      <c r="A1861" t="s">
        <v>6304</v>
      </c>
      <c r="B1861" t="s">
        <v>709</v>
      </c>
      <c r="C1861" t="s">
        <v>6305</v>
      </c>
      <c r="D1861" t="s">
        <v>3029</v>
      </c>
      <c r="E1861" t="s">
        <v>6311</v>
      </c>
      <c r="F1861" t="s">
        <v>3027</v>
      </c>
      <c r="G1861" t="s">
        <v>3031</v>
      </c>
      <c r="H1861">
        <v>4</v>
      </c>
      <c r="I1861" t="s">
        <v>6312</v>
      </c>
    </row>
    <row r="1862" spans="1:9" x14ac:dyDescent="0.3">
      <c r="A1862" t="s">
        <v>6304</v>
      </c>
      <c r="B1862" t="s">
        <v>709</v>
      </c>
      <c r="C1862" t="s">
        <v>6305</v>
      </c>
      <c r="D1862" t="s">
        <v>3029</v>
      </c>
      <c r="E1862" t="s">
        <v>6313</v>
      </c>
      <c r="F1862" t="s">
        <v>3027</v>
      </c>
      <c r="G1862" t="s">
        <v>3031</v>
      </c>
      <c r="H1862">
        <v>5</v>
      </c>
      <c r="I1862" t="s">
        <v>6314</v>
      </c>
    </row>
    <row r="1863" spans="1:9" x14ac:dyDescent="0.3">
      <c r="A1863" t="s">
        <v>6304</v>
      </c>
      <c r="B1863" t="s">
        <v>709</v>
      </c>
      <c r="C1863" t="s">
        <v>6305</v>
      </c>
      <c r="D1863" t="s">
        <v>3029</v>
      </c>
      <c r="E1863" t="s">
        <v>6315</v>
      </c>
      <c r="F1863" t="s">
        <v>3027</v>
      </c>
      <c r="G1863" t="s">
        <v>3031</v>
      </c>
      <c r="H1863">
        <v>6</v>
      </c>
      <c r="I1863" t="s">
        <v>6316</v>
      </c>
    </row>
    <row r="1864" spans="1:9" x14ac:dyDescent="0.3">
      <c r="A1864" t="s">
        <v>6304</v>
      </c>
      <c r="B1864" t="s">
        <v>709</v>
      </c>
      <c r="C1864" t="s">
        <v>6305</v>
      </c>
      <c r="D1864" t="s">
        <v>3029</v>
      </c>
      <c r="E1864" t="s">
        <v>4502</v>
      </c>
      <c r="F1864" t="s">
        <v>3027</v>
      </c>
      <c r="G1864" t="s">
        <v>3031</v>
      </c>
      <c r="H1864">
        <v>7</v>
      </c>
      <c r="I1864" t="s">
        <v>4503</v>
      </c>
    </row>
    <row r="1865" spans="1:9" x14ac:dyDescent="0.3">
      <c r="A1865" t="s">
        <v>6304</v>
      </c>
      <c r="B1865" t="s">
        <v>709</v>
      </c>
      <c r="C1865" t="s">
        <v>6305</v>
      </c>
      <c r="D1865" t="s">
        <v>3029</v>
      </c>
      <c r="E1865" t="s">
        <v>6317</v>
      </c>
      <c r="F1865" t="s">
        <v>3027</v>
      </c>
      <c r="G1865" t="s">
        <v>3031</v>
      </c>
      <c r="H1865">
        <v>8</v>
      </c>
      <c r="I1865" t="s">
        <v>6318</v>
      </c>
    </row>
    <row r="1866" spans="1:9" x14ac:dyDescent="0.3">
      <c r="A1866" t="s">
        <v>6304</v>
      </c>
      <c r="B1866" t="s">
        <v>709</v>
      </c>
      <c r="C1866" t="s">
        <v>6305</v>
      </c>
      <c r="D1866" t="s">
        <v>3029</v>
      </c>
      <c r="E1866" t="s">
        <v>6319</v>
      </c>
      <c r="F1866" t="s">
        <v>3027</v>
      </c>
      <c r="G1866" t="s">
        <v>3031</v>
      </c>
      <c r="H1866">
        <v>9</v>
      </c>
      <c r="I1866" t="s">
        <v>6320</v>
      </c>
    </row>
    <row r="1867" spans="1:9" x14ac:dyDescent="0.3">
      <c r="A1867" t="s">
        <v>6304</v>
      </c>
      <c r="B1867" t="s">
        <v>709</v>
      </c>
      <c r="C1867" t="s">
        <v>6305</v>
      </c>
      <c r="D1867" t="s">
        <v>3029</v>
      </c>
      <c r="E1867" t="s">
        <v>6321</v>
      </c>
      <c r="F1867" t="s">
        <v>3027</v>
      </c>
      <c r="G1867" t="s">
        <v>3031</v>
      </c>
      <c r="H1867">
        <v>10</v>
      </c>
      <c r="I1867" t="s">
        <v>6322</v>
      </c>
    </row>
    <row r="1868" spans="1:9" x14ac:dyDescent="0.3">
      <c r="A1868" t="s">
        <v>6304</v>
      </c>
      <c r="B1868" t="s">
        <v>709</v>
      </c>
      <c r="C1868" t="s">
        <v>6305</v>
      </c>
      <c r="D1868" t="s">
        <v>3029</v>
      </c>
      <c r="E1868" t="s">
        <v>6323</v>
      </c>
      <c r="F1868" t="s">
        <v>3027</v>
      </c>
      <c r="G1868" t="s">
        <v>3031</v>
      </c>
      <c r="H1868">
        <v>11</v>
      </c>
      <c r="I1868" t="s">
        <v>6324</v>
      </c>
    </row>
    <row r="1869" spans="1:9" x14ac:dyDescent="0.3">
      <c r="A1869" t="s">
        <v>6304</v>
      </c>
      <c r="B1869" t="s">
        <v>709</v>
      </c>
      <c r="C1869" t="s">
        <v>6305</v>
      </c>
      <c r="D1869" t="s">
        <v>3029</v>
      </c>
      <c r="E1869" t="s">
        <v>6325</v>
      </c>
      <c r="F1869" t="s">
        <v>3027</v>
      </c>
      <c r="G1869" t="s">
        <v>3031</v>
      </c>
      <c r="H1869">
        <v>12</v>
      </c>
      <c r="I1869" t="s">
        <v>6326</v>
      </c>
    </row>
    <row r="1870" spans="1:9" x14ac:dyDescent="0.3">
      <c r="A1870" t="s">
        <v>6304</v>
      </c>
      <c r="B1870" t="s">
        <v>709</v>
      </c>
      <c r="C1870" t="s">
        <v>6305</v>
      </c>
      <c r="D1870" t="s">
        <v>3029</v>
      </c>
      <c r="E1870" t="s">
        <v>6327</v>
      </c>
      <c r="F1870" t="s">
        <v>3027</v>
      </c>
      <c r="G1870" t="s">
        <v>3031</v>
      </c>
      <c r="H1870">
        <v>13</v>
      </c>
      <c r="I1870" t="s">
        <v>6328</v>
      </c>
    </row>
    <row r="1871" spans="1:9" x14ac:dyDescent="0.3">
      <c r="A1871" t="s">
        <v>6304</v>
      </c>
      <c r="B1871" t="s">
        <v>709</v>
      </c>
      <c r="C1871" t="s">
        <v>6305</v>
      </c>
      <c r="D1871" t="s">
        <v>3029</v>
      </c>
      <c r="E1871" t="s">
        <v>6329</v>
      </c>
      <c r="F1871" t="s">
        <v>3027</v>
      </c>
      <c r="G1871" t="s">
        <v>3031</v>
      </c>
      <c r="H1871">
        <v>14</v>
      </c>
      <c r="I1871" t="s">
        <v>6330</v>
      </c>
    </row>
    <row r="1872" spans="1:9" x14ac:dyDescent="0.3">
      <c r="A1872" t="s">
        <v>6304</v>
      </c>
      <c r="B1872" t="s">
        <v>709</v>
      </c>
      <c r="C1872" t="s">
        <v>6305</v>
      </c>
      <c r="D1872" t="s">
        <v>3029</v>
      </c>
      <c r="E1872" t="s">
        <v>6331</v>
      </c>
      <c r="F1872" t="s">
        <v>3027</v>
      </c>
      <c r="G1872" t="s">
        <v>3031</v>
      </c>
      <c r="H1872">
        <v>15</v>
      </c>
      <c r="I1872" t="s">
        <v>6332</v>
      </c>
    </row>
    <row r="1873" spans="1:9" x14ac:dyDescent="0.3">
      <c r="A1873" t="s">
        <v>6304</v>
      </c>
      <c r="B1873" t="s">
        <v>709</v>
      </c>
      <c r="C1873" t="s">
        <v>6305</v>
      </c>
      <c r="D1873" t="s">
        <v>3029</v>
      </c>
      <c r="E1873" t="s">
        <v>6333</v>
      </c>
      <c r="F1873" t="s">
        <v>3027</v>
      </c>
      <c r="G1873" t="s">
        <v>3031</v>
      </c>
      <c r="H1873">
        <v>16</v>
      </c>
      <c r="I1873" t="s">
        <v>6334</v>
      </c>
    </row>
    <row r="1874" spans="1:9" x14ac:dyDescent="0.3">
      <c r="A1874" t="s">
        <v>6304</v>
      </c>
      <c r="B1874" t="s">
        <v>709</v>
      </c>
      <c r="C1874" t="s">
        <v>6305</v>
      </c>
      <c r="D1874" t="s">
        <v>3029</v>
      </c>
      <c r="E1874" t="s">
        <v>6335</v>
      </c>
      <c r="F1874" t="s">
        <v>3027</v>
      </c>
      <c r="G1874" t="s">
        <v>3031</v>
      </c>
      <c r="H1874">
        <v>17</v>
      </c>
      <c r="I1874" t="s">
        <v>6336</v>
      </c>
    </row>
    <row r="1875" spans="1:9" x14ac:dyDescent="0.3">
      <c r="A1875" t="s">
        <v>6304</v>
      </c>
      <c r="B1875" t="s">
        <v>709</v>
      </c>
      <c r="C1875" t="s">
        <v>6305</v>
      </c>
      <c r="D1875" t="s">
        <v>3029</v>
      </c>
      <c r="E1875" t="s">
        <v>6337</v>
      </c>
      <c r="F1875" t="s">
        <v>3027</v>
      </c>
      <c r="G1875" t="s">
        <v>3031</v>
      </c>
      <c r="H1875">
        <v>18</v>
      </c>
      <c r="I1875" t="s">
        <v>6338</v>
      </c>
    </row>
    <row r="1876" spans="1:9" x14ac:dyDescent="0.3">
      <c r="A1876" t="s">
        <v>6304</v>
      </c>
      <c r="B1876" t="s">
        <v>709</v>
      </c>
      <c r="C1876" t="s">
        <v>6305</v>
      </c>
      <c r="D1876" t="s">
        <v>3029</v>
      </c>
      <c r="E1876" t="s">
        <v>6339</v>
      </c>
      <c r="F1876" t="s">
        <v>3027</v>
      </c>
      <c r="G1876" t="s">
        <v>3031</v>
      </c>
      <c r="H1876">
        <v>19</v>
      </c>
      <c r="I1876" t="s">
        <v>6340</v>
      </c>
    </row>
    <row r="1877" spans="1:9" x14ac:dyDescent="0.3">
      <c r="A1877" t="s">
        <v>6304</v>
      </c>
      <c r="B1877" t="s">
        <v>709</v>
      </c>
      <c r="C1877" t="s">
        <v>6305</v>
      </c>
      <c r="D1877" t="s">
        <v>3029</v>
      </c>
      <c r="E1877" t="s">
        <v>6341</v>
      </c>
      <c r="F1877" t="s">
        <v>3027</v>
      </c>
      <c r="G1877" t="s">
        <v>3031</v>
      </c>
      <c r="H1877">
        <v>20</v>
      </c>
      <c r="I1877" t="s">
        <v>6342</v>
      </c>
    </row>
    <row r="1878" spans="1:9" x14ac:dyDescent="0.3">
      <c r="A1878" t="s">
        <v>6343</v>
      </c>
      <c r="B1878" t="s">
        <v>715</v>
      </c>
      <c r="C1878" t="s">
        <v>6344</v>
      </c>
      <c r="D1878" t="s">
        <v>3025</v>
      </c>
      <c r="E1878" t="s">
        <v>6345</v>
      </c>
      <c r="F1878" t="s">
        <v>3027</v>
      </c>
      <c r="G1878" t="s">
        <v>3028</v>
      </c>
      <c r="H1878">
        <v>1</v>
      </c>
      <c r="I1878" t="s">
        <v>6344</v>
      </c>
    </row>
    <row r="1879" spans="1:9" x14ac:dyDescent="0.3">
      <c r="A1879" t="s">
        <v>6343</v>
      </c>
      <c r="B1879" t="s">
        <v>715</v>
      </c>
      <c r="C1879" t="s">
        <v>6344</v>
      </c>
      <c r="D1879" t="s">
        <v>3029</v>
      </c>
      <c r="E1879" t="s">
        <v>6346</v>
      </c>
      <c r="F1879" t="s">
        <v>3027</v>
      </c>
      <c r="G1879" t="s">
        <v>3031</v>
      </c>
      <c r="H1879">
        <v>2</v>
      </c>
      <c r="I1879" t="s">
        <v>6347</v>
      </c>
    </row>
    <row r="1880" spans="1:9" x14ac:dyDescent="0.3">
      <c r="A1880" t="s">
        <v>6343</v>
      </c>
      <c r="B1880" t="s">
        <v>715</v>
      </c>
      <c r="C1880" t="s">
        <v>6344</v>
      </c>
      <c r="D1880" t="s">
        <v>3029</v>
      </c>
      <c r="E1880" t="s">
        <v>6348</v>
      </c>
      <c r="F1880" t="s">
        <v>3027</v>
      </c>
      <c r="G1880" t="s">
        <v>3031</v>
      </c>
      <c r="H1880">
        <v>3</v>
      </c>
      <c r="I1880" t="s">
        <v>6349</v>
      </c>
    </row>
    <row r="1881" spans="1:9" x14ac:dyDescent="0.3">
      <c r="A1881" t="s">
        <v>6343</v>
      </c>
      <c r="B1881" t="s">
        <v>715</v>
      </c>
      <c r="C1881" t="s">
        <v>6344</v>
      </c>
      <c r="D1881" t="s">
        <v>3029</v>
      </c>
      <c r="E1881" t="s">
        <v>6350</v>
      </c>
      <c r="F1881" t="s">
        <v>3027</v>
      </c>
      <c r="G1881" t="s">
        <v>3031</v>
      </c>
      <c r="H1881">
        <v>4</v>
      </c>
      <c r="I1881" t="s">
        <v>6351</v>
      </c>
    </row>
    <row r="1882" spans="1:9" x14ac:dyDescent="0.3">
      <c r="A1882" t="s">
        <v>6343</v>
      </c>
      <c r="B1882" t="s">
        <v>715</v>
      </c>
      <c r="C1882" t="s">
        <v>6344</v>
      </c>
      <c r="D1882" t="s">
        <v>3029</v>
      </c>
      <c r="E1882" t="s">
        <v>6352</v>
      </c>
      <c r="F1882" t="s">
        <v>3027</v>
      </c>
      <c r="G1882" t="s">
        <v>3031</v>
      </c>
      <c r="H1882">
        <v>5</v>
      </c>
      <c r="I1882" t="s">
        <v>6353</v>
      </c>
    </row>
    <row r="1883" spans="1:9" x14ac:dyDescent="0.3">
      <c r="A1883" t="s">
        <v>6343</v>
      </c>
      <c r="B1883" t="s">
        <v>715</v>
      </c>
      <c r="C1883" t="s">
        <v>6344</v>
      </c>
      <c r="D1883" t="s">
        <v>3029</v>
      </c>
      <c r="E1883" t="s">
        <v>6354</v>
      </c>
      <c r="F1883" t="s">
        <v>3027</v>
      </c>
      <c r="G1883" t="s">
        <v>3031</v>
      </c>
      <c r="H1883">
        <v>6</v>
      </c>
      <c r="I1883" t="s">
        <v>6355</v>
      </c>
    </row>
    <row r="1884" spans="1:9" x14ac:dyDescent="0.3">
      <c r="A1884" t="s">
        <v>6343</v>
      </c>
      <c r="B1884" t="s">
        <v>715</v>
      </c>
      <c r="C1884" t="s">
        <v>6344</v>
      </c>
      <c r="D1884" t="s">
        <v>3029</v>
      </c>
      <c r="E1884" t="s">
        <v>6356</v>
      </c>
      <c r="F1884" t="s">
        <v>3027</v>
      </c>
      <c r="G1884" t="s">
        <v>3031</v>
      </c>
      <c r="H1884">
        <v>7</v>
      </c>
      <c r="I1884" t="s">
        <v>6357</v>
      </c>
    </row>
    <row r="1885" spans="1:9" x14ac:dyDescent="0.3">
      <c r="A1885" t="s">
        <v>6343</v>
      </c>
      <c r="B1885" t="s">
        <v>715</v>
      </c>
      <c r="C1885" t="s">
        <v>6344</v>
      </c>
      <c r="D1885" t="s">
        <v>3029</v>
      </c>
      <c r="E1885" t="s">
        <v>6358</v>
      </c>
      <c r="F1885" t="s">
        <v>3027</v>
      </c>
      <c r="G1885" t="s">
        <v>3031</v>
      </c>
      <c r="H1885">
        <v>8</v>
      </c>
      <c r="I1885" t="s">
        <v>6359</v>
      </c>
    </row>
    <row r="1886" spans="1:9" x14ac:dyDescent="0.3">
      <c r="A1886" t="s">
        <v>6343</v>
      </c>
      <c r="B1886" t="s">
        <v>715</v>
      </c>
      <c r="C1886" t="s">
        <v>6344</v>
      </c>
      <c r="D1886" t="s">
        <v>3029</v>
      </c>
      <c r="E1886" t="s">
        <v>6360</v>
      </c>
      <c r="F1886" t="s">
        <v>3027</v>
      </c>
      <c r="G1886" t="s">
        <v>3031</v>
      </c>
      <c r="H1886">
        <v>9</v>
      </c>
      <c r="I1886" t="s">
        <v>6361</v>
      </c>
    </row>
    <row r="1887" spans="1:9" x14ac:dyDescent="0.3">
      <c r="A1887" t="s">
        <v>6343</v>
      </c>
      <c r="B1887" t="s">
        <v>715</v>
      </c>
      <c r="C1887" t="s">
        <v>6344</v>
      </c>
      <c r="D1887" t="s">
        <v>3029</v>
      </c>
      <c r="E1887" t="s">
        <v>3519</v>
      </c>
      <c r="F1887" t="s">
        <v>3027</v>
      </c>
      <c r="G1887" t="s">
        <v>3031</v>
      </c>
      <c r="H1887">
        <v>10</v>
      </c>
      <c r="I1887" t="s">
        <v>3520</v>
      </c>
    </row>
    <row r="1888" spans="1:9" x14ac:dyDescent="0.3">
      <c r="A1888" t="s">
        <v>6343</v>
      </c>
      <c r="B1888" t="s">
        <v>715</v>
      </c>
      <c r="C1888" t="s">
        <v>6344</v>
      </c>
      <c r="D1888" t="s">
        <v>3029</v>
      </c>
      <c r="E1888" t="s">
        <v>6362</v>
      </c>
      <c r="F1888" t="s">
        <v>3027</v>
      </c>
      <c r="G1888" t="s">
        <v>3031</v>
      </c>
      <c r="H1888">
        <v>11</v>
      </c>
      <c r="I1888" t="s">
        <v>6363</v>
      </c>
    </row>
    <row r="1889" spans="1:9" x14ac:dyDescent="0.3">
      <c r="A1889" t="s">
        <v>6343</v>
      </c>
      <c r="B1889" t="s">
        <v>715</v>
      </c>
      <c r="C1889" t="s">
        <v>6344</v>
      </c>
      <c r="D1889" t="s">
        <v>3029</v>
      </c>
      <c r="E1889" t="s">
        <v>6364</v>
      </c>
      <c r="F1889" t="s">
        <v>3027</v>
      </c>
      <c r="G1889" t="s">
        <v>3031</v>
      </c>
      <c r="H1889">
        <v>12</v>
      </c>
      <c r="I1889" t="s">
        <v>6365</v>
      </c>
    </row>
    <row r="1890" spans="1:9" x14ac:dyDescent="0.3">
      <c r="A1890" t="s">
        <v>6343</v>
      </c>
      <c r="B1890" t="s">
        <v>715</v>
      </c>
      <c r="C1890" t="s">
        <v>6344</v>
      </c>
      <c r="D1890" t="s">
        <v>3029</v>
      </c>
      <c r="E1890" t="s">
        <v>6366</v>
      </c>
      <c r="F1890" t="s">
        <v>3027</v>
      </c>
      <c r="G1890" t="s">
        <v>3031</v>
      </c>
      <c r="H1890">
        <v>13</v>
      </c>
      <c r="I1890" t="s">
        <v>6367</v>
      </c>
    </row>
    <row r="1891" spans="1:9" x14ac:dyDescent="0.3">
      <c r="A1891" t="s">
        <v>6343</v>
      </c>
      <c r="B1891" t="s">
        <v>715</v>
      </c>
      <c r="C1891" t="s">
        <v>6344</v>
      </c>
      <c r="D1891" t="s">
        <v>3029</v>
      </c>
      <c r="E1891" t="s">
        <v>6368</v>
      </c>
      <c r="F1891" t="s">
        <v>3027</v>
      </c>
      <c r="G1891" t="s">
        <v>3031</v>
      </c>
      <c r="H1891">
        <v>14</v>
      </c>
      <c r="I1891" t="s">
        <v>6369</v>
      </c>
    </row>
    <row r="1892" spans="1:9" x14ac:dyDescent="0.3">
      <c r="A1892" t="s">
        <v>6343</v>
      </c>
      <c r="B1892" t="s">
        <v>715</v>
      </c>
      <c r="C1892" t="s">
        <v>6344</v>
      </c>
      <c r="D1892" t="s">
        <v>3029</v>
      </c>
      <c r="E1892" t="s">
        <v>6370</v>
      </c>
      <c r="F1892" t="s">
        <v>3027</v>
      </c>
      <c r="G1892" t="s">
        <v>3031</v>
      </c>
      <c r="H1892">
        <v>15</v>
      </c>
      <c r="I1892" t="s">
        <v>6371</v>
      </c>
    </row>
    <row r="1893" spans="1:9" x14ac:dyDescent="0.3">
      <c r="A1893" t="s">
        <v>6343</v>
      </c>
      <c r="B1893" t="s">
        <v>715</v>
      </c>
      <c r="C1893" t="s">
        <v>6344</v>
      </c>
      <c r="D1893" t="s">
        <v>3029</v>
      </c>
      <c r="E1893" t="s">
        <v>6372</v>
      </c>
      <c r="F1893" t="s">
        <v>3027</v>
      </c>
      <c r="G1893" t="s">
        <v>3031</v>
      </c>
      <c r="H1893">
        <v>16</v>
      </c>
      <c r="I1893" t="s">
        <v>6373</v>
      </c>
    </row>
    <row r="1894" spans="1:9" x14ac:dyDescent="0.3">
      <c r="A1894" t="s">
        <v>6343</v>
      </c>
      <c r="B1894" t="s">
        <v>715</v>
      </c>
      <c r="C1894" t="s">
        <v>6344</v>
      </c>
      <c r="D1894" t="s">
        <v>3029</v>
      </c>
      <c r="E1894" t="s">
        <v>6374</v>
      </c>
      <c r="F1894" t="s">
        <v>3027</v>
      </c>
      <c r="G1894" t="s">
        <v>3031</v>
      </c>
      <c r="H1894">
        <v>17</v>
      </c>
      <c r="I1894" t="s">
        <v>1922</v>
      </c>
    </row>
    <row r="1895" spans="1:9" x14ac:dyDescent="0.3">
      <c r="A1895" t="s">
        <v>6343</v>
      </c>
      <c r="B1895" t="s">
        <v>715</v>
      </c>
      <c r="C1895" t="s">
        <v>6344</v>
      </c>
      <c r="D1895" t="s">
        <v>3029</v>
      </c>
      <c r="E1895" t="s">
        <v>6375</v>
      </c>
      <c r="F1895" t="s">
        <v>3027</v>
      </c>
      <c r="G1895" t="s">
        <v>3031</v>
      </c>
      <c r="H1895">
        <v>18</v>
      </c>
      <c r="I1895" t="s">
        <v>6376</v>
      </c>
    </row>
    <row r="1896" spans="1:9" x14ac:dyDescent="0.3">
      <c r="A1896" t="s">
        <v>6343</v>
      </c>
      <c r="B1896" t="s">
        <v>715</v>
      </c>
      <c r="C1896" t="s">
        <v>6344</v>
      </c>
      <c r="D1896" t="s">
        <v>3029</v>
      </c>
      <c r="E1896" t="s">
        <v>5919</v>
      </c>
      <c r="F1896" t="s">
        <v>3027</v>
      </c>
      <c r="G1896" t="s">
        <v>3031</v>
      </c>
      <c r="H1896">
        <v>19</v>
      </c>
      <c r="I1896" t="s">
        <v>5920</v>
      </c>
    </row>
    <row r="1897" spans="1:9" x14ac:dyDescent="0.3">
      <c r="A1897" t="s">
        <v>6343</v>
      </c>
      <c r="B1897" t="s">
        <v>715</v>
      </c>
      <c r="C1897" t="s">
        <v>6344</v>
      </c>
      <c r="D1897" t="s">
        <v>3029</v>
      </c>
      <c r="E1897" t="s">
        <v>6377</v>
      </c>
      <c r="F1897" t="s">
        <v>3027</v>
      </c>
      <c r="G1897" t="s">
        <v>3031</v>
      </c>
      <c r="H1897">
        <v>20</v>
      </c>
      <c r="I1897" t="s">
        <v>6378</v>
      </c>
    </row>
    <row r="1898" spans="1:9" x14ac:dyDescent="0.3">
      <c r="A1898" t="s">
        <v>6379</v>
      </c>
      <c r="B1898" t="s">
        <v>722</v>
      </c>
      <c r="C1898" t="s">
        <v>6380</v>
      </c>
      <c r="D1898" t="s">
        <v>3025</v>
      </c>
      <c r="E1898" t="s">
        <v>6381</v>
      </c>
      <c r="F1898" t="s">
        <v>3027</v>
      </c>
      <c r="G1898" t="s">
        <v>3028</v>
      </c>
      <c r="H1898">
        <v>1</v>
      </c>
      <c r="I1898" t="s">
        <v>6380</v>
      </c>
    </row>
    <row r="1899" spans="1:9" x14ac:dyDescent="0.3">
      <c r="A1899" t="s">
        <v>6379</v>
      </c>
      <c r="B1899" t="s">
        <v>722</v>
      </c>
      <c r="C1899" t="s">
        <v>6380</v>
      </c>
      <c r="D1899" t="s">
        <v>3029</v>
      </c>
      <c r="E1899" t="s">
        <v>6382</v>
      </c>
      <c r="F1899" t="s">
        <v>3027</v>
      </c>
      <c r="G1899" t="s">
        <v>3031</v>
      </c>
      <c r="H1899">
        <v>2</v>
      </c>
      <c r="I1899" t="s">
        <v>6383</v>
      </c>
    </row>
    <row r="1900" spans="1:9" x14ac:dyDescent="0.3">
      <c r="A1900" t="s">
        <v>6379</v>
      </c>
      <c r="B1900" t="s">
        <v>722</v>
      </c>
      <c r="C1900" t="s">
        <v>6380</v>
      </c>
      <c r="D1900" t="s">
        <v>3029</v>
      </c>
      <c r="E1900" t="s">
        <v>6384</v>
      </c>
      <c r="F1900" t="s">
        <v>3027</v>
      </c>
      <c r="G1900" t="s">
        <v>3031</v>
      </c>
      <c r="H1900">
        <v>3</v>
      </c>
      <c r="I1900" t="s">
        <v>6385</v>
      </c>
    </row>
    <row r="1901" spans="1:9" x14ac:dyDescent="0.3">
      <c r="A1901" t="s">
        <v>6379</v>
      </c>
      <c r="B1901" t="s">
        <v>722</v>
      </c>
      <c r="C1901" t="s">
        <v>6380</v>
      </c>
      <c r="D1901" t="s">
        <v>3029</v>
      </c>
      <c r="E1901" t="s">
        <v>6386</v>
      </c>
      <c r="F1901" t="s">
        <v>3027</v>
      </c>
      <c r="G1901" t="s">
        <v>3031</v>
      </c>
      <c r="H1901">
        <v>4</v>
      </c>
      <c r="I1901" t="s">
        <v>6387</v>
      </c>
    </row>
    <row r="1902" spans="1:9" x14ac:dyDescent="0.3">
      <c r="A1902" t="s">
        <v>6379</v>
      </c>
      <c r="B1902" t="s">
        <v>722</v>
      </c>
      <c r="C1902" t="s">
        <v>6380</v>
      </c>
      <c r="D1902" t="s">
        <v>3029</v>
      </c>
      <c r="E1902" t="s">
        <v>6388</v>
      </c>
      <c r="F1902" t="s">
        <v>3027</v>
      </c>
      <c r="G1902" t="s">
        <v>3031</v>
      </c>
      <c r="H1902">
        <v>5</v>
      </c>
      <c r="I1902" t="s">
        <v>6389</v>
      </c>
    </row>
    <row r="1903" spans="1:9" x14ac:dyDescent="0.3">
      <c r="A1903" t="s">
        <v>6379</v>
      </c>
      <c r="B1903" t="s">
        <v>722</v>
      </c>
      <c r="C1903" t="s">
        <v>6380</v>
      </c>
      <c r="D1903" t="s">
        <v>3029</v>
      </c>
      <c r="E1903" t="s">
        <v>6390</v>
      </c>
      <c r="F1903" t="s">
        <v>3027</v>
      </c>
      <c r="G1903" t="s">
        <v>3031</v>
      </c>
      <c r="H1903">
        <v>6</v>
      </c>
      <c r="I1903" t="s">
        <v>6391</v>
      </c>
    </row>
    <row r="1904" spans="1:9" x14ac:dyDescent="0.3">
      <c r="A1904" t="s">
        <v>6379</v>
      </c>
      <c r="B1904" t="s">
        <v>722</v>
      </c>
      <c r="C1904" t="s">
        <v>6380</v>
      </c>
      <c r="D1904" t="s">
        <v>3029</v>
      </c>
      <c r="E1904" t="s">
        <v>6392</v>
      </c>
      <c r="F1904" t="s">
        <v>3027</v>
      </c>
      <c r="G1904" t="s">
        <v>3031</v>
      </c>
      <c r="H1904">
        <v>7</v>
      </c>
      <c r="I1904" t="s">
        <v>6393</v>
      </c>
    </row>
    <row r="1905" spans="1:9" x14ac:dyDescent="0.3">
      <c r="A1905" t="s">
        <v>6379</v>
      </c>
      <c r="B1905" t="s">
        <v>722</v>
      </c>
      <c r="C1905" t="s">
        <v>6380</v>
      </c>
      <c r="D1905" t="s">
        <v>3029</v>
      </c>
      <c r="E1905" t="s">
        <v>6394</v>
      </c>
      <c r="F1905" t="s">
        <v>3027</v>
      </c>
      <c r="G1905" t="s">
        <v>3031</v>
      </c>
      <c r="H1905">
        <v>8</v>
      </c>
      <c r="I1905" t="s">
        <v>6395</v>
      </c>
    </row>
    <row r="1906" spans="1:9" x14ac:dyDescent="0.3">
      <c r="A1906" t="s">
        <v>6379</v>
      </c>
      <c r="B1906" t="s">
        <v>722</v>
      </c>
      <c r="C1906" t="s">
        <v>6380</v>
      </c>
      <c r="D1906" t="s">
        <v>3029</v>
      </c>
      <c r="E1906" t="s">
        <v>6396</v>
      </c>
      <c r="F1906" t="s">
        <v>3027</v>
      </c>
      <c r="G1906" t="s">
        <v>3031</v>
      </c>
      <c r="H1906">
        <v>9</v>
      </c>
      <c r="I1906" t="s">
        <v>6397</v>
      </c>
    </row>
    <row r="1907" spans="1:9" x14ac:dyDescent="0.3">
      <c r="A1907" t="s">
        <v>6379</v>
      </c>
      <c r="B1907" t="s">
        <v>722</v>
      </c>
      <c r="C1907" t="s">
        <v>6380</v>
      </c>
      <c r="D1907" t="s">
        <v>3029</v>
      </c>
      <c r="E1907" t="s">
        <v>6398</v>
      </c>
      <c r="F1907" t="s">
        <v>3027</v>
      </c>
      <c r="G1907" t="s">
        <v>3031</v>
      </c>
      <c r="H1907">
        <v>10</v>
      </c>
      <c r="I1907" t="s">
        <v>6399</v>
      </c>
    </row>
    <row r="1908" spans="1:9" x14ac:dyDescent="0.3">
      <c r="A1908" t="s">
        <v>6379</v>
      </c>
      <c r="B1908" t="s">
        <v>722</v>
      </c>
      <c r="C1908" t="s">
        <v>6380</v>
      </c>
      <c r="D1908" t="s">
        <v>3029</v>
      </c>
      <c r="E1908" t="s">
        <v>6400</v>
      </c>
      <c r="F1908" t="s">
        <v>3027</v>
      </c>
      <c r="G1908" t="s">
        <v>3031</v>
      </c>
      <c r="H1908">
        <v>11</v>
      </c>
      <c r="I1908" t="s">
        <v>6401</v>
      </c>
    </row>
    <row r="1909" spans="1:9" x14ac:dyDescent="0.3">
      <c r="A1909" t="s">
        <v>6379</v>
      </c>
      <c r="B1909" t="s">
        <v>722</v>
      </c>
      <c r="C1909" t="s">
        <v>6380</v>
      </c>
      <c r="D1909" t="s">
        <v>3029</v>
      </c>
      <c r="E1909" t="s">
        <v>6402</v>
      </c>
      <c r="F1909" t="s">
        <v>3027</v>
      </c>
      <c r="G1909" t="s">
        <v>3031</v>
      </c>
      <c r="H1909">
        <v>12</v>
      </c>
      <c r="I1909" t="s">
        <v>6403</v>
      </c>
    </row>
    <row r="1910" spans="1:9" x14ac:dyDescent="0.3">
      <c r="A1910" t="s">
        <v>6379</v>
      </c>
      <c r="B1910" t="s">
        <v>722</v>
      </c>
      <c r="C1910" t="s">
        <v>6380</v>
      </c>
      <c r="D1910" t="s">
        <v>3029</v>
      </c>
      <c r="E1910" t="s">
        <v>6404</v>
      </c>
      <c r="F1910" t="s">
        <v>3027</v>
      </c>
      <c r="G1910" t="s">
        <v>3031</v>
      </c>
      <c r="H1910">
        <v>13</v>
      </c>
      <c r="I1910" t="s">
        <v>6405</v>
      </c>
    </row>
    <row r="1911" spans="1:9" x14ac:dyDescent="0.3">
      <c r="A1911" t="s">
        <v>6379</v>
      </c>
      <c r="B1911" t="s">
        <v>722</v>
      </c>
      <c r="C1911" t="s">
        <v>6380</v>
      </c>
      <c r="D1911" t="s">
        <v>3029</v>
      </c>
      <c r="E1911" t="s">
        <v>6406</v>
      </c>
      <c r="F1911" t="s">
        <v>3027</v>
      </c>
      <c r="G1911" t="s">
        <v>3031</v>
      </c>
      <c r="H1911">
        <v>14</v>
      </c>
      <c r="I1911" t="s">
        <v>6407</v>
      </c>
    </row>
    <row r="1912" spans="1:9" x14ac:dyDescent="0.3">
      <c r="A1912" t="s">
        <v>6379</v>
      </c>
      <c r="B1912" t="s">
        <v>722</v>
      </c>
      <c r="C1912" t="s">
        <v>6380</v>
      </c>
      <c r="D1912" t="s">
        <v>3029</v>
      </c>
      <c r="E1912" t="s">
        <v>6408</v>
      </c>
      <c r="F1912" t="s">
        <v>3027</v>
      </c>
      <c r="G1912" t="s">
        <v>3031</v>
      </c>
      <c r="H1912">
        <v>15</v>
      </c>
      <c r="I1912" t="s">
        <v>6409</v>
      </c>
    </row>
    <row r="1913" spans="1:9" x14ac:dyDescent="0.3">
      <c r="A1913" t="s">
        <v>6379</v>
      </c>
      <c r="B1913" t="s">
        <v>722</v>
      </c>
      <c r="C1913" t="s">
        <v>6380</v>
      </c>
      <c r="D1913" t="s">
        <v>3029</v>
      </c>
      <c r="E1913" t="s">
        <v>6410</v>
      </c>
      <c r="F1913" t="s">
        <v>3027</v>
      </c>
      <c r="G1913" t="s">
        <v>3031</v>
      </c>
      <c r="H1913">
        <v>16</v>
      </c>
      <c r="I1913" t="s">
        <v>6411</v>
      </c>
    </row>
    <row r="1914" spans="1:9" x14ac:dyDescent="0.3">
      <c r="A1914" t="s">
        <v>6379</v>
      </c>
      <c r="B1914" t="s">
        <v>722</v>
      </c>
      <c r="C1914" t="s">
        <v>6380</v>
      </c>
      <c r="D1914" t="s">
        <v>3029</v>
      </c>
      <c r="E1914" t="s">
        <v>6412</v>
      </c>
      <c r="F1914" t="s">
        <v>3027</v>
      </c>
      <c r="G1914" t="s">
        <v>3031</v>
      </c>
      <c r="H1914">
        <v>17</v>
      </c>
      <c r="I1914" t="s">
        <v>6413</v>
      </c>
    </row>
    <row r="1915" spans="1:9" x14ac:dyDescent="0.3">
      <c r="A1915" t="s">
        <v>6379</v>
      </c>
      <c r="B1915" t="s">
        <v>722</v>
      </c>
      <c r="C1915" t="s">
        <v>6380</v>
      </c>
      <c r="D1915" t="s">
        <v>3029</v>
      </c>
      <c r="E1915" t="s">
        <v>6414</v>
      </c>
      <c r="F1915" t="s">
        <v>3027</v>
      </c>
      <c r="G1915" t="s">
        <v>3031</v>
      </c>
      <c r="H1915">
        <v>18</v>
      </c>
      <c r="I1915" t="s">
        <v>6415</v>
      </c>
    </row>
    <row r="1916" spans="1:9" x14ac:dyDescent="0.3">
      <c r="A1916" t="s">
        <v>6379</v>
      </c>
      <c r="B1916" t="s">
        <v>722</v>
      </c>
      <c r="C1916" t="s">
        <v>6380</v>
      </c>
      <c r="D1916" t="s">
        <v>3029</v>
      </c>
      <c r="E1916" t="s">
        <v>6416</v>
      </c>
      <c r="F1916" t="s">
        <v>3027</v>
      </c>
      <c r="G1916" t="s">
        <v>3031</v>
      </c>
      <c r="H1916">
        <v>19</v>
      </c>
      <c r="I1916" t="s">
        <v>6417</v>
      </c>
    </row>
    <row r="1917" spans="1:9" x14ac:dyDescent="0.3">
      <c r="A1917" t="s">
        <v>6379</v>
      </c>
      <c r="B1917" t="s">
        <v>722</v>
      </c>
      <c r="C1917" t="s">
        <v>6380</v>
      </c>
      <c r="D1917" t="s">
        <v>3029</v>
      </c>
      <c r="E1917" t="s">
        <v>6418</v>
      </c>
      <c r="F1917" t="s">
        <v>3027</v>
      </c>
      <c r="G1917" t="s">
        <v>3031</v>
      </c>
      <c r="H1917">
        <v>20</v>
      </c>
      <c r="I1917" t="s">
        <v>6419</v>
      </c>
    </row>
    <row r="1918" spans="1:9" x14ac:dyDescent="0.3">
      <c r="A1918" t="s">
        <v>6420</v>
      </c>
      <c r="B1918" t="s">
        <v>728</v>
      </c>
      <c r="C1918" t="s">
        <v>6421</v>
      </c>
      <c r="D1918" t="s">
        <v>3025</v>
      </c>
      <c r="E1918" t="s">
        <v>4212</v>
      </c>
      <c r="F1918" t="s">
        <v>3027</v>
      </c>
      <c r="G1918" t="s">
        <v>3028</v>
      </c>
      <c r="H1918">
        <v>1</v>
      </c>
      <c r="I1918" t="s">
        <v>6421</v>
      </c>
    </row>
    <row r="1919" spans="1:9" x14ac:dyDescent="0.3">
      <c r="A1919" t="s">
        <v>6420</v>
      </c>
      <c r="B1919" t="s">
        <v>728</v>
      </c>
      <c r="C1919" t="s">
        <v>6421</v>
      </c>
      <c r="D1919" t="s">
        <v>3029</v>
      </c>
      <c r="E1919" t="s">
        <v>4210</v>
      </c>
      <c r="F1919" t="s">
        <v>3027</v>
      </c>
      <c r="G1919" t="s">
        <v>3031</v>
      </c>
      <c r="H1919">
        <v>2</v>
      </c>
      <c r="I1919" t="s">
        <v>6422</v>
      </c>
    </row>
    <row r="1920" spans="1:9" x14ac:dyDescent="0.3">
      <c r="A1920" t="s">
        <v>6420</v>
      </c>
      <c r="B1920" t="s">
        <v>728</v>
      </c>
      <c r="C1920" t="s">
        <v>6421</v>
      </c>
      <c r="D1920" t="s">
        <v>3029</v>
      </c>
      <c r="E1920" t="s">
        <v>6423</v>
      </c>
      <c r="F1920" t="s">
        <v>3027</v>
      </c>
      <c r="G1920" t="s">
        <v>3031</v>
      </c>
      <c r="H1920">
        <v>3</v>
      </c>
      <c r="I1920" t="s">
        <v>6424</v>
      </c>
    </row>
    <row r="1921" spans="1:9" x14ac:dyDescent="0.3">
      <c r="A1921" t="s">
        <v>6420</v>
      </c>
      <c r="B1921" t="s">
        <v>728</v>
      </c>
      <c r="C1921" t="s">
        <v>6421</v>
      </c>
      <c r="D1921" t="s">
        <v>3029</v>
      </c>
      <c r="E1921" t="s">
        <v>6425</v>
      </c>
      <c r="F1921" t="s">
        <v>3027</v>
      </c>
      <c r="G1921" t="s">
        <v>3031</v>
      </c>
      <c r="H1921">
        <v>4</v>
      </c>
      <c r="I1921" t="s">
        <v>6426</v>
      </c>
    </row>
    <row r="1922" spans="1:9" x14ac:dyDescent="0.3">
      <c r="A1922" t="s">
        <v>6420</v>
      </c>
      <c r="B1922" t="s">
        <v>728</v>
      </c>
      <c r="C1922" t="s">
        <v>6421</v>
      </c>
      <c r="D1922" t="s">
        <v>3029</v>
      </c>
      <c r="E1922" t="s">
        <v>6427</v>
      </c>
      <c r="F1922" t="s">
        <v>3027</v>
      </c>
      <c r="G1922" t="s">
        <v>3031</v>
      </c>
      <c r="H1922">
        <v>5</v>
      </c>
      <c r="I1922" t="s">
        <v>6428</v>
      </c>
    </row>
    <row r="1923" spans="1:9" x14ac:dyDescent="0.3">
      <c r="A1923" t="s">
        <v>6420</v>
      </c>
      <c r="B1923" t="s">
        <v>728</v>
      </c>
      <c r="C1923" t="s">
        <v>6421</v>
      </c>
      <c r="D1923" t="s">
        <v>3029</v>
      </c>
      <c r="E1923" t="s">
        <v>6429</v>
      </c>
      <c r="F1923" t="s">
        <v>3027</v>
      </c>
      <c r="G1923" t="s">
        <v>3031</v>
      </c>
      <c r="H1923">
        <v>6</v>
      </c>
      <c r="I1923" t="s">
        <v>6430</v>
      </c>
    </row>
    <row r="1924" spans="1:9" x14ac:dyDescent="0.3">
      <c r="A1924" t="s">
        <v>6420</v>
      </c>
      <c r="B1924" t="s">
        <v>728</v>
      </c>
      <c r="C1924" t="s">
        <v>6421</v>
      </c>
      <c r="D1924" t="s">
        <v>3029</v>
      </c>
      <c r="E1924" t="s">
        <v>6431</v>
      </c>
      <c r="F1924" t="s">
        <v>3027</v>
      </c>
      <c r="G1924" t="s">
        <v>3031</v>
      </c>
      <c r="H1924">
        <v>7</v>
      </c>
      <c r="I1924" t="s">
        <v>6432</v>
      </c>
    </row>
    <row r="1925" spans="1:9" x14ac:dyDescent="0.3">
      <c r="A1925" t="s">
        <v>6420</v>
      </c>
      <c r="B1925" t="s">
        <v>728</v>
      </c>
      <c r="C1925" t="s">
        <v>6421</v>
      </c>
      <c r="D1925" t="s">
        <v>3029</v>
      </c>
      <c r="E1925" t="s">
        <v>6433</v>
      </c>
      <c r="F1925" t="s">
        <v>3027</v>
      </c>
      <c r="G1925" t="s">
        <v>3031</v>
      </c>
      <c r="H1925">
        <v>8</v>
      </c>
      <c r="I1925" t="s">
        <v>6434</v>
      </c>
    </row>
    <row r="1926" spans="1:9" x14ac:dyDescent="0.3">
      <c r="A1926" t="s">
        <v>6420</v>
      </c>
      <c r="B1926" t="s">
        <v>728</v>
      </c>
      <c r="C1926" t="s">
        <v>6421</v>
      </c>
      <c r="D1926" t="s">
        <v>3029</v>
      </c>
      <c r="E1926" t="s">
        <v>6435</v>
      </c>
      <c r="F1926" t="s">
        <v>3027</v>
      </c>
      <c r="G1926" t="s">
        <v>3031</v>
      </c>
      <c r="H1926">
        <v>9</v>
      </c>
      <c r="I1926" t="s">
        <v>6436</v>
      </c>
    </row>
    <row r="1927" spans="1:9" x14ac:dyDescent="0.3">
      <c r="A1927" t="s">
        <v>6420</v>
      </c>
      <c r="B1927" t="s">
        <v>728</v>
      </c>
      <c r="C1927" t="s">
        <v>6421</v>
      </c>
      <c r="D1927" t="s">
        <v>3029</v>
      </c>
      <c r="E1927" t="s">
        <v>6437</v>
      </c>
      <c r="F1927" t="s">
        <v>3027</v>
      </c>
      <c r="G1927" t="s">
        <v>3031</v>
      </c>
      <c r="H1927">
        <v>10</v>
      </c>
      <c r="I1927" t="s">
        <v>6438</v>
      </c>
    </row>
    <row r="1928" spans="1:9" x14ac:dyDescent="0.3">
      <c r="A1928" t="s">
        <v>6420</v>
      </c>
      <c r="B1928" t="s">
        <v>728</v>
      </c>
      <c r="C1928" t="s">
        <v>6421</v>
      </c>
      <c r="D1928" t="s">
        <v>3029</v>
      </c>
      <c r="E1928" t="s">
        <v>6439</v>
      </c>
      <c r="F1928" t="s">
        <v>3027</v>
      </c>
      <c r="G1928" t="s">
        <v>3031</v>
      </c>
      <c r="H1928">
        <v>11</v>
      </c>
      <c r="I1928" t="s">
        <v>6440</v>
      </c>
    </row>
    <row r="1929" spans="1:9" x14ac:dyDescent="0.3">
      <c r="A1929" t="s">
        <v>6420</v>
      </c>
      <c r="B1929" t="s">
        <v>728</v>
      </c>
      <c r="C1929" t="s">
        <v>6421</v>
      </c>
      <c r="D1929" t="s">
        <v>3029</v>
      </c>
      <c r="E1929" t="s">
        <v>6441</v>
      </c>
      <c r="F1929" t="s">
        <v>3027</v>
      </c>
      <c r="G1929" t="s">
        <v>3031</v>
      </c>
      <c r="H1929">
        <v>12</v>
      </c>
      <c r="I1929" t="s">
        <v>6442</v>
      </c>
    </row>
    <row r="1930" spans="1:9" x14ac:dyDescent="0.3">
      <c r="A1930" t="s">
        <v>6420</v>
      </c>
      <c r="B1930" t="s">
        <v>728</v>
      </c>
      <c r="C1930" t="s">
        <v>6421</v>
      </c>
      <c r="D1930" t="s">
        <v>3029</v>
      </c>
      <c r="E1930" t="s">
        <v>6443</v>
      </c>
      <c r="F1930" t="s">
        <v>3027</v>
      </c>
      <c r="G1930" t="s">
        <v>3031</v>
      </c>
      <c r="H1930">
        <v>13</v>
      </c>
      <c r="I1930" t="s">
        <v>6444</v>
      </c>
    </row>
    <row r="1931" spans="1:9" x14ac:dyDescent="0.3">
      <c r="A1931" t="s">
        <v>6420</v>
      </c>
      <c r="B1931" t="s">
        <v>728</v>
      </c>
      <c r="C1931" t="s">
        <v>6421</v>
      </c>
      <c r="D1931" t="s">
        <v>3029</v>
      </c>
      <c r="E1931" t="s">
        <v>6445</v>
      </c>
      <c r="F1931" t="s">
        <v>3027</v>
      </c>
      <c r="G1931" t="s">
        <v>3031</v>
      </c>
      <c r="H1931">
        <v>14</v>
      </c>
      <c r="I1931" t="s">
        <v>6446</v>
      </c>
    </row>
    <row r="1932" spans="1:9" x14ac:dyDescent="0.3">
      <c r="A1932" t="s">
        <v>6420</v>
      </c>
      <c r="B1932" t="s">
        <v>728</v>
      </c>
      <c r="C1932" t="s">
        <v>6421</v>
      </c>
      <c r="D1932" t="s">
        <v>3029</v>
      </c>
      <c r="E1932" t="s">
        <v>6447</v>
      </c>
      <c r="F1932" t="s">
        <v>3027</v>
      </c>
      <c r="G1932" t="s">
        <v>3031</v>
      </c>
      <c r="H1932">
        <v>15</v>
      </c>
      <c r="I1932" t="s">
        <v>6448</v>
      </c>
    </row>
    <row r="1933" spans="1:9" x14ac:dyDescent="0.3">
      <c r="A1933" t="s">
        <v>6420</v>
      </c>
      <c r="B1933" t="s">
        <v>728</v>
      </c>
      <c r="C1933" t="s">
        <v>6421</v>
      </c>
      <c r="D1933" t="s">
        <v>3029</v>
      </c>
      <c r="E1933" t="s">
        <v>6449</v>
      </c>
      <c r="F1933" t="s">
        <v>3027</v>
      </c>
      <c r="G1933" t="s">
        <v>3031</v>
      </c>
      <c r="H1933">
        <v>16</v>
      </c>
      <c r="I1933" t="s">
        <v>4211</v>
      </c>
    </row>
    <row r="1934" spans="1:9" x14ac:dyDescent="0.3">
      <c r="A1934" t="s">
        <v>6420</v>
      </c>
      <c r="B1934" t="s">
        <v>728</v>
      </c>
      <c r="C1934" t="s">
        <v>6421</v>
      </c>
      <c r="D1934" t="s">
        <v>3029</v>
      </c>
      <c r="E1934" t="s">
        <v>6450</v>
      </c>
      <c r="F1934" t="s">
        <v>3027</v>
      </c>
      <c r="G1934" t="s">
        <v>3031</v>
      </c>
      <c r="H1934">
        <v>17</v>
      </c>
      <c r="I1934" t="s">
        <v>6451</v>
      </c>
    </row>
    <row r="1935" spans="1:9" x14ac:dyDescent="0.3">
      <c r="A1935" t="s">
        <v>6420</v>
      </c>
      <c r="B1935" t="s">
        <v>728</v>
      </c>
      <c r="C1935" t="s">
        <v>6421</v>
      </c>
      <c r="D1935" t="s">
        <v>3029</v>
      </c>
      <c r="E1935" t="s">
        <v>6452</v>
      </c>
      <c r="F1935" t="s">
        <v>3027</v>
      </c>
      <c r="G1935" t="s">
        <v>3031</v>
      </c>
      <c r="H1935">
        <v>18</v>
      </c>
      <c r="I1935" t="s">
        <v>6453</v>
      </c>
    </row>
    <row r="1936" spans="1:9" x14ac:dyDescent="0.3">
      <c r="A1936" t="s">
        <v>6420</v>
      </c>
      <c r="B1936" t="s">
        <v>728</v>
      </c>
      <c r="C1936" t="s">
        <v>6421</v>
      </c>
      <c r="D1936" t="s">
        <v>3029</v>
      </c>
      <c r="E1936" t="s">
        <v>4414</v>
      </c>
      <c r="F1936" t="s">
        <v>3027</v>
      </c>
      <c r="G1936" t="s">
        <v>3031</v>
      </c>
      <c r="H1936">
        <v>19</v>
      </c>
      <c r="I1936" t="s">
        <v>6454</v>
      </c>
    </row>
    <row r="1937" spans="1:9" x14ac:dyDescent="0.3">
      <c r="A1937" t="s">
        <v>6420</v>
      </c>
      <c r="B1937" t="s">
        <v>728</v>
      </c>
      <c r="C1937" t="s">
        <v>6421</v>
      </c>
      <c r="D1937" t="s">
        <v>3029</v>
      </c>
      <c r="E1937" t="s">
        <v>6455</v>
      </c>
      <c r="F1937" t="s">
        <v>3027</v>
      </c>
      <c r="G1937" t="s">
        <v>3031</v>
      </c>
      <c r="H1937">
        <v>20</v>
      </c>
      <c r="I1937" t="s">
        <v>6456</v>
      </c>
    </row>
    <row r="1938" spans="1:9" x14ac:dyDescent="0.3">
      <c r="A1938" t="s">
        <v>6457</v>
      </c>
      <c r="B1938" t="s">
        <v>734</v>
      </c>
      <c r="C1938" t="s">
        <v>6458</v>
      </c>
      <c r="D1938" t="s">
        <v>3025</v>
      </c>
      <c r="E1938" t="s">
        <v>6459</v>
      </c>
      <c r="F1938" t="s">
        <v>3027</v>
      </c>
      <c r="G1938" t="s">
        <v>3028</v>
      </c>
      <c r="H1938">
        <v>1</v>
      </c>
      <c r="I1938" t="s">
        <v>6458</v>
      </c>
    </row>
    <row r="1939" spans="1:9" x14ac:dyDescent="0.3">
      <c r="A1939" t="s">
        <v>6457</v>
      </c>
      <c r="B1939" t="s">
        <v>734</v>
      </c>
      <c r="C1939" t="s">
        <v>6458</v>
      </c>
      <c r="D1939" t="s">
        <v>3029</v>
      </c>
      <c r="E1939" t="s">
        <v>6460</v>
      </c>
      <c r="F1939" t="s">
        <v>3027</v>
      </c>
      <c r="G1939" t="s">
        <v>3031</v>
      </c>
      <c r="H1939">
        <v>2</v>
      </c>
      <c r="I1939" t="s">
        <v>6461</v>
      </c>
    </row>
    <row r="1940" spans="1:9" x14ac:dyDescent="0.3">
      <c r="A1940" t="s">
        <v>6457</v>
      </c>
      <c r="B1940" t="s">
        <v>734</v>
      </c>
      <c r="C1940" t="s">
        <v>6458</v>
      </c>
      <c r="D1940" t="s">
        <v>3029</v>
      </c>
      <c r="E1940" t="s">
        <v>6462</v>
      </c>
      <c r="F1940" t="s">
        <v>3027</v>
      </c>
      <c r="G1940" t="s">
        <v>3031</v>
      </c>
      <c r="H1940">
        <v>3</v>
      </c>
      <c r="I1940" t="s">
        <v>6463</v>
      </c>
    </row>
    <row r="1941" spans="1:9" x14ac:dyDescent="0.3">
      <c r="A1941" t="s">
        <v>6457</v>
      </c>
      <c r="B1941" t="s">
        <v>734</v>
      </c>
      <c r="C1941" t="s">
        <v>6458</v>
      </c>
      <c r="D1941" t="s">
        <v>3029</v>
      </c>
      <c r="E1941" t="s">
        <v>6464</v>
      </c>
      <c r="F1941" t="s">
        <v>3027</v>
      </c>
      <c r="G1941" t="s">
        <v>3031</v>
      </c>
      <c r="H1941">
        <v>4</v>
      </c>
      <c r="I1941" t="s">
        <v>6465</v>
      </c>
    </row>
    <row r="1942" spans="1:9" x14ac:dyDescent="0.3">
      <c r="A1942" t="s">
        <v>6457</v>
      </c>
      <c r="B1942" t="s">
        <v>734</v>
      </c>
      <c r="C1942" t="s">
        <v>6458</v>
      </c>
      <c r="D1942" t="s">
        <v>3029</v>
      </c>
      <c r="E1942" t="s">
        <v>3174</v>
      </c>
      <c r="F1942" t="s">
        <v>3027</v>
      </c>
      <c r="G1942" t="s">
        <v>3031</v>
      </c>
      <c r="H1942">
        <v>5</v>
      </c>
      <c r="I1942" t="s">
        <v>3175</v>
      </c>
    </row>
    <row r="1943" spans="1:9" x14ac:dyDescent="0.3">
      <c r="A1943" t="s">
        <v>6457</v>
      </c>
      <c r="B1943" t="s">
        <v>734</v>
      </c>
      <c r="C1943" t="s">
        <v>6458</v>
      </c>
      <c r="D1943" t="s">
        <v>3029</v>
      </c>
      <c r="E1943" t="s">
        <v>4853</v>
      </c>
      <c r="F1943" t="s">
        <v>3027</v>
      </c>
      <c r="G1943" t="s">
        <v>3031</v>
      </c>
      <c r="H1943">
        <v>6</v>
      </c>
      <c r="I1943" t="s">
        <v>4854</v>
      </c>
    </row>
    <row r="1944" spans="1:9" x14ac:dyDescent="0.3">
      <c r="A1944" t="s">
        <v>6457</v>
      </c>
      <c r="B1944" t="s">
        <v>734</v>
      </c>
      <c r="C1944" t="s">
        <v>6458</v>
      </c>
      <c r="D1944" t="s">
        <v>3029</v>
      </c>
      <c r="E1944" t="s">
        <v>6466</v>
      </c>
      <c r="F1944" t="s">
        <v>3027</v>
      </c>
      <c r="G1944" t="s">
        <v>3031</v>
      </c>
      <c r="H1944">
        <v>7</v>
      </c>
      <c r="I1944" t="s">
        <v>6467</v>
      </c>
    </row>
    <row r="1945" spans="1:9" x14ac:dyDescent="0.3">
      <c r="A1945" t="s">
        <v>6457</v>
      </c>
      <c r="B1945" t="s">
        <v>734</v>
      </c>
      <c r="C1945" t="s">
        <v>6458</v>
      </c>
      <c r="D1945" t="s">
        <v>3029</v>
      </c>
      <c r="E1945" t="s">
        <v>6468</v>
      </c>
      <c r="F1945" t="s">
        <v>3027</v>
      </c>
      <c r="G1945" t="s">
        <v>3031</v>
      </c>
      <c r="H1945">
        <v>8</v>
      </c>
      <c r="I1945" t="s">
        <v>6469</v>
      </c>
    </row>
    <row r="1946" spans="1:9" x14ac:dyDescent="0.3">
      <c r="A1946" t="s">
        <v>6457</v>
      </c>
      <c r="B1946" t="s">
        <v>734</v>
      </c>
      <c r="C1946" t="s">
        <v>6458</v>
      </c>
      <c r="D1946" t="s">
        <v>3029</v>
      </c>
      <c r="E1946" t="s">
        <v>4871</v>
      </c>
      <c r="F1946" t="s">
        <v>3027</v>
      </c>
      <c r="G1946" t="s">
        <v>3031</v>
      </c>
      <c r="H1946">
        <v>9</v>
      </c>
      <c r="I1946" t="s">
        <v>4872</v>
      </c>
    </row>
    <row r="1947" spans="1:9" x14ac:dyDescent="0.3">
      <c r="A1947" t="s">
        <v>6457</v>
      </c>
      <c r="B1947" t="s">
        <v>734</v>
      </c>
      <c r="C1947" t="s">
        <v>6458</v>
      </c>
      <c r="D1947" t="s">
        <v>3029</v>
      </c>
      <c r="E1947" t="s">
        <v>3777</v>
      </c>
      <c r="F1947" t="s">
        <v>3027</v>
      </c>
      <c r="G1947" t="s">
        <v>3031</v>
      </c>
      <c r="H1947">
        <v>10</v>
      </c>
      <c r="I1947" t="s">
        <v>6470</v>
      </c>
    </row>
    <row r="1948" spans="1:9" x14ac:dyDescent="0.3">
      <c r="A1948" t="s">
        <v>6457</v>
      </c>
      <c r="B1948" t="s">
        <v>734</v>
      </c>
      <c r="C1948" t="s">
        <v>6458</v>
      </c>
      <c r="D1948" t="s">
        <v>3029</v>
      </c>
      <c r="E1948" t="s">
        <v>3320</v>
      </c>
      <c r="F1948" t="s">
        <v>3027</v>
      </c>
      <c r="G1948" t="s">
        <v>3031</v>
      </c>
      <c r="H1948">
        <v>11</v>
      </c>
      <c r="I1948" t="s">
        <v>3321</v>
      </c>
    </row>
    <row r="1949" spans="1:9" x14ac:dyDescent="0.3">
      <c r="A1949" t="s">
        <v>6457</v>
      </c>
      <c r="B1949" t="s">
        <v>734</v>
      </c>
      <c r="C1949" t="s">
        <v>6458</v>
      </c>
      <c r="D1949" t="s">
        <v>3029</v>
      </c>
      <c r="E1949" t="s">
        <v>6471</v>
      </c>
      <c r="F1949" t="s">
        <v>3027</v>
      </c>
      <c r="G1949" t="s">
        <v>3031</v>
      </c>
      <c r="H1949">
        <v>12</v>
      </c>
      <c r="I1949" t="s">
        <v>6472</v>
      </c>
    </row>
    <row r="1950" spans="1:9" x14ac:dyDescent="0.3">
      <c r="A1950" t="s">
        <v>6457</v>
      </c>
      <c r="B1950" t="s">
        <v>734</v>
      </c>
      <c r="C1950" t="s">
        <v>6458</v>
      </c>
      <c r="D1950" t="s">
        <v>3029</v>
      </c>
      <c r="E1950" t="s">
        <v>6473</v>
      </c>
      <c r="F1950" t="s">
        <v>3027</v>
      </c>
      <c r="G1950" t="s">
        <v>3031</v>
      </c>
      <c r="H1950">
        <v>13</v>
      </c>
      <c r="I1950" t="s">
        <v>6474</v>
      </c>
    </row>
    <row r="1951" spans="1:9" x14ac:dyDescent="0.3">
      <c r="A1951" t="s">
        <v>6457</v>
      </c>
      <c r="B1951" t="s">
        <v>734</v>
      </c>
      <c r="C1951" t="s">
        <v>6458</v>
      </c>
      <c r="D1951" t="s">
        <v>3029</v>
      </c>
      <c r="E1951" t="s">
        <v>6475</v>
      </c>
      <c r="F1951" t="s">
        <v>3027</v>
      </c>
      <c r="G1951" t="s">
        <v>3031</v>
      </c>
      <c r="H1951">
        <v>14</v>
      </c>
      <c r="I1951" t="s">
        <v>6476</v>
      </c>
    </row>
    <row r="1952" spans="1:9" x14ac:dyDescent="0.3">
      <c r="A1952" t="s">
        <v>6457</v>
      </c>
      <c r="B1952" t="s">
        <v>734</v>
      </c>
      <c r="C1952" t="s">
        <v>6458</v>
      </c>
      <c r="D1952" t="s">
        <v>3029</v>
      </c>
      <c r="E1952" t="s">
        <v>6477</v>
      </c>
      <c r="F1952" t="s">
        <v>3027</v>
      </c>
      <c r="G1952" t="s">
        <v>3031</v>
      </c>
      <c r="H1952">
        <v>15</v>
      </c>
      <c r="I1952" t="s">
        <v>6478</v>
      </c>
    </row>
    <row r="1953" spans="1:9" x14ac:dyDescent="0.3">
      <c r="A1953" t="s">
        <v>6457</v>
      </c>
      <c r="B1953" t="s">
        <v>734</v>
      </c>
      <c r="C1953" t="s">
        <v>6458</v>
      </c>
      <c r="D1953" t="s">
        <v>3029</v>
      </c>
      <c r="E1953" t="s">
        <v>6479</v>
      </c>
      <c r="F1953" t="s">
        <v>3027</v>
      </c>
      <c r="G1953" t="s">
        <v>3031</v>
      </c>
      <c r="H1953">
        <v>16</v>
      </c>
      <c r="I1953" t="s">
        <v>4854</v>
      </c>
    </row>
    <row r="1954" spans="1:9" x14ac:dyDescent="0.3">
      <c r="A1954" t="s">
        <v>6457</v>
      </c>
      <c r="B1954" t="s">
        <v>734</v>
      </c>
      <c r="C1954" t="s">
        <v>6458</v>
      </c>
      <c r="D1954" t="s">
        <v>3029</v>
      </c>
      <c r="E1954" t="s">
        <v>6480</v>
      </c>
      <c r="F1954" t="s">
        <v>3027</v>
      </c>
      <c r="G1954" t="s">
        <v>3031</v>
      </c>
      <c r="H1954">
        <v>17</v>
      </c>
      <c r="I1954" t="s">
        <v>6481</v>
      </c>
    </row>
    <row r="1955" spans="1:9" x14ac:dyDescent="0.3">
      <c r="A1955" t="s">
        <v>6457</v>
      </c>
      <c r="B1955" t="s">
        <v>734</v>
      </c>
      <c r="C1955" t="s">
        <v>6458</v>
      </c>
      <c r="D1955" t="s">
        <v>3029</v>
      </c>
      <c r="E1955" t="s">
        <v>6482</v>
      </c>
      <c r="F1955" t="s">
        <v>3027</v>
      </c>
      <c r="G1955" t="s">
        <v>3031</v>
      </c>
      <c r="H1955">
        <v>18</v>
      </c>
      <c r="I1955" t="s">
        <v>6483</v>
      </c>
    </row>
    <row r="1956" spans="1:9" x14ac:dyDescent="0.3">
      <c r="A1956" t="s">
        <v>6457</v>
      </c>
      <c r="B1956" t="s">
        <v>734</v>
      </c>
      <c r="C1956" t="s">
        <v>6458</v>
      </c>
      <c r="D1956" t="s">
        <v>3029</v>
      </c>
      <c r="E1956" t="s">
        <v>6484</v>
      </c>
      <c r="F1956" t="s">
        <v>3027</v>
      </c>
      <c r="G1956" t="s">
        <v>3031</v>
      </c>
      <c r="H1956">
        <v>19</v>
      </c>
      <c r="I1956" t="s">
        <v>6485</v>
      </c>
    </row>
    <row r="1957" spans="1:9" x14ac:dyDescent="0.3">
      <c r="A1957" t="s">
        <v>6457</v>
      </c>
      <c r="B1957" t="s">
        <v>734</v>
      </c>
      <c r="C1957" t="s">
        <v>6458</v>
      </c>
      <c r="D1957" t="s">
        <v>3029</v>
      </c>
      <c r="E1957" t="s">
        <v>6486</v>
      </c>
      <c r="F1957" t="s">
        <v>3027</v>
      </c>
      <c r="G1957" t="s">
        <v>3031</v>
      </c>
      <c r="H1957">
        <v>20</v>
      </c>
      <c r="I1957" t="s">
        <v>6487</v>
      </c>
    </row>
    <row r="1958" spans="1:9" x14ac:dyDescent="0.3">
      <c r="A1958" t="s">
        <v>6488</v>
      </c>
      <c r="B1958" t="s">
        <v>740</v>
      </c>
      <c r="C1958" t="s">
        <v>740</v>
      </c>
      <c r="D1958" t="s">
        <v>3025</v>
      </c>
      <c r="E1958" t="s">
        <v>6489</v>
      </c>
      <c r="F1958" t="s">
        <v>3027</v>
      </c>
      <c r="G1958" t="s">
        <v>3028</v>
      </c>
      <c r="H1958">
        <v>1</v>
      </c>
      <c r="I1958" t="s">
        <v>740</v>
      </c>
    </row>
    <row r="1959" spans="1:9" x14ac:dyDescent="0.3">
      <c r="A1959" t="s">
        <v>6488</v>
      </c>
      <c r="B1959" t="s">
        <v>740</v>
      </c>
      <c r="C1959" t="s">
        <v>740</v>
      </c>
      <c r="D1959" t="s">
        <v>3029</v>
      </c>
      <c r="E1959" t="s">
        <v>6490</v>
      </c>
      <c r="F1959" t="s">
        <v>3027</v>
      </c>
      <c r="G1959" t="s">
        <v>3031</v>
      </c>
      <c r="H1959">
        <v>2</v>
      </c>
      <c r="I1959" t="s">
        <v>6491</v>
      </c>
    </row>
    <row r="1960" spans="1:9" x14ac:dyDescent="0.3">
      <c r="A1960" t="s">
        <v>6488</v>
      </c>
      <c r="B1960" t="s">
        <v>740</v>
      </c>
      <c r="C1960" t="s">
        <v>740</v>
      </c>
      <c r="D1960" t="s">
        <v>3029</v>
      </c>
      <c r="E1960" t="s">
        <v>6492</v>
      </c>
      <c r="F1960" t="s">
        <v>3027</v>
      </c>
      <c r="G1960" t="s">
        <v>3031</v>
      </c>
      <c r="H1960">
        <v>3</v>
      </c>
      <c r="I1960" t="s">
        <v>6493</v>
      </c>
    </row>
    <row r="1961" spans="1:9" x14ac:dyDescent="0.3">
      <c r="A1961" t="s">
        <v>6488</v>
      </c>
      <c r="B1961" t="s">
        <v>740</v>
      </c>
      <c r="C1961" t="s">
        <v>740</v>
      </c>
      <c r="D1961" t="s">
        <v>3029</v>
      </c>
      <c r="E1961" t="s">
        <v>3242</v>
      </c>
      <c r="F1961" t="s">
        <v>3027</v>
      </c>
      <c r="G1961" t="s">
        <v>3031</v>
      </c>
      <c r="H1961">
        <v>4</v>
      </c>
      <c r="I1961" t="s">
        <v>3243</v>
      </c>
    </row>
    <row r="1962" spans="1:9" x14ac:dyDescent="0.3">
      <c r="A1962" t="s">
        <v>6488</v>
      </c>
      <c r="B1962" t="s">
        <v>740</v>
      </c>
      <c r="C1962" t="s">
        <v>740</v>
      </c>
      <c r="D1962" t="s">
        <v>3029</v>
      </c>
      <c r="E1962" t="s">
        <v>6494</v>
      </c>
      <c r="F1962" t="s">
        <v>3027</v>
      </c>
      <c r="G1962" t="s">
        <v>3031</v>
      </c>
      <c r="H1962">
        <v>5</v>
      </c>
      <c r="I1962" t="s">
        <v>6495</v>
      </c>
    </row>
    <row r="1963" spans="1:9" x14ac:dyDescent="0.3">
      <c r="A1963" t="s">
        <v>6488</v>
      </c>
      <c r="B1963" t="s">
        <v>740</v>
      </c>
      <c r="C1963" t="s">
        <v>740</v>
      </c>
      <c r="D1963" t="s">
        <v>3029</v>
      </c>
      <c r="E1963" t="s">
        <v>3246</v>
      </c>
      <c r="F1963" t="s">
        <v>3027</v>
      </c>
      <c r="G1963" t="s">
        <v>3031</v>
      </c>
      <c r="H1963">
        <v>6</v>
      </c>
      <c r="I1963" t="s">
        <v>3247</v>
      </c>
    </row>
    <row r="1964" spans="1:9" x14ac:dyDescent="0.3">
      <c r="A1964" t="s">
        <v>6488</v>
      </c>
      <c r="B1964" t="s">
        <v>740</v>
      </c>
      <c r="C1964" t="s">
        <v>740</v>
      </c>
      <c r="D1964" t="s">
        <v>3029</v>
      </c>
      <c r="E1964" t="s">
        <v>6496</v>
      </c>
      <c r="F1964" t="s">
        <v>3027</v>
      </c>
      <c r="G1964" t="s">
        <v>3031</v>
      </c>
      <c r="H1964">
        <v>7</v>
      </c>
      <c r="I1964" t="s">
        <v>6497</v>
      </c>
    </row>
    <row r="1965" spans="1:9" x14ac:dyDescent="0.3">
      <c r="A1965" t="s">
        <v>6488</v>
      </c>
      <c r="B1965" t="s">
        <v>740</v>
      </c>
      <c r="C1965" t="s">
        <v>740</v>
      </c>
      <c r="D1965" t="s">
        <v>3029</v>
      </c>
      <c r="E1965" t="s">
        <v>6498</v>
      </c>
      <c r="F1965" t="s">
        <v>3027</v>
      </c>
      <c r="G1965" t="s">
        <v>3031</v>
      </c>
      <c r="H1965">
        <v>8</v>
      </c>
      <c r="I1965" t="s">
        <v>6499</v>
      </c>
    </row>
    <row r="1966" spans="1:9" x14ac:dyDescent="0.3">
      <c r="A1966" t="s">
        <v>6488</v>
      </c>
      <c r="B1966" t="s">
        <v>740</v>
      </c>
      <c r="C1966" t="s">
        <v>740</v>
      </c>
      <c r="D1966" t="s">
        <v>3029</v>
      </c>
      <c r="E1966" t="s">
        <v>6500</v>
      </c>
      <c r="F1966" t="s">
        <v>3027</v>
      </c>
      <c r="G1966" t="s">
        <v>3031</v>
      </c>
      <c r="H1966">
        <v>9</v>
      </c>
      <c r="I1966" t="s">
        <v>2335</v>
      </c>
    </row>
    <row r="1967" spans="1:9" x14ac:dyDescent="0.3">
      <c r="A1967" t="s">
        <v>6488</v>
      </c>
      <c r="B1967" t="s">
        <v>740</v>
      </c>
      <c r="C1967" t="s">
        <v>740</v>
      </c>
      <c r="D1967" t="s">
        <v>3029</v>
      </c>
      <c r="E1967" t="s">
        <v>6501</v>
      </c>
      <c r="F1967" t="s">
        <v>3027</v>
      </c>
      <c r="G1967" t="s">
        <v>3031</v>
      </c>
      <c r="H1967">
        <v>10</v>
      </c>
      <c r="I1967" t="s">
        <v>6502</v>
      </c>
    </row>
    <row r="1968" spans="1:9" x14ac:dyDescent="0.3">
      <c r="A1968" t="s">
        <v>6488</v>
      </c>
      <c r="B1968" t="s">
        <v>740</v>
      </c>
      <c r="C1968" t="s">
        <v>740</v>
      </c>
      <c r="D1968" t="s">
        <v>3029</v>
      </c>
      <c r="E1968" t="s">
        <v>6503</v>
      </c>
      <c r="F1968" t="s">
        <v>3027</v>
      </c>
      <c r="G1968" t="s">
        <v>3031</v>
      </c>
      <c r="H1968">
        <v>11</v>
      </c>
      <c r="I1968" t="s">
        <v>6504</v>
      </c>
    </row>
    <row r="1969" spans="1:9" x14ac:dyDescent="0.3">
      <c r="A1969" t="s">
        <v>6488</v>
      </c>
      <c r="B1969" t="s">
        <v>740</v>
      </c>
      <c r="C1969" t="s">
        <v>740</v>
      </c>
      <c r="D1969" t="s">
        <v>3029</v>
      </c>
      <c r="E1969" t="s">
        <v>3848</v>
      </c>
      <c r="F1969" t="s">
        <v>3027</v>
      </c>
      <c r="G1969" t="s">
        <v>3031</v>
      </c>
      <c r="H1969">
        <v>12</v>
      </c>
      <c r="I1969" t="s">
        <v>6505</v>
      </c>
    </row>
    <row r="1970" spans="1:9" x14ac:dyDescent="0.3">
      <c r="A1970" t="s">
        <v>6488</v>
      </c>
      <c r="B1970" t="s">
        <v>740</v>
      </c>
      <c r="C1970" t="s">
        <v>740</v>
      </c>
      <c r="D1970" t="s">
        <v>3029</v>
      </c>
      <c r="E1970" t="s">
        <v>3844</v>
      </c>
      <c r="F1970" t="s">
        <v>3027</v>
      </c>
      <c r="G1970" t="s">
        <v>3031</v>
      </c>
      <c r="H1970">
        <v>13</v>
      </c>
      <c r="I1970" t="s">
        <v>6506</v>
      </c>
    </row>
    <row r="1971" spans="1:9" x14ac:dyDescent="0.3">
      <c r="A1971" t="s">
        <v>6488</v>
      </c>
      <c r="B1971" t="s">
        <v>740</v>
      </c>
      <c r="C1971" t="s">
        <v>740</v>
      </c>
      <c r="D1971" t="s">
        <v>3029</v>
      </c>
      <c r="E1971" t="s">
        <v>3248</v>
      </c>
      <c r="F1971" t="s">
        <v>3027</v>
      </c>
      <c r="G1971" t="s">
        <v>3031</v>
      </c>
      <c r="H1971">
        <v>14</v>
      </c>
      <c r="I1971" t="s">
        <v>3249</v>
      </c>
    </row>
    <row r="1972" spans="1:9" x14ac:dyDescent="0.3">
      <c r="A1972" t="s">
        <v>6488</v>
      </c>
      <c r="B1972" t="s">
        <v>740</v>
      </c>
      <c r="C1972" t="s">
        <v>740</v>
      </c>
      <c r="D1972" t="s">
        <v>3029</v>
      </c>
      <c r="E1972" t="s">
        <v>6507</v>
      </c>
      <c r="F1972" t="s">
        <v>3027</v>
      </c>
      <c r="G1972" t="s">
        <v>3031</v>
      </c>
      <c r="H1972">
        <v>15</v>
      </c>
      <c r="I1972" t="s">
        <v>6508</v>
      </c>
    </row>
    <row r="1973" spans="1:9" x14ac:dyDescent="0.3">
      <c r="A1973" t="s">
        <v>6488</v>
      </c>
      <c r="B1973" t="s">
        <v>740</v>
      </c>
      <c r="C1973" t="s">
        <v>740</v>
      </c>
      <c r="D1973" t="s">
        <v>3029</v>
      </c>
      <c r="E1973" t="s">
        <v>3468</v>
      </c>
      <c r="F1973" t="s">
        <v>3027</v>
      </c>
      <c r="G1973" t="s">
        <v>3031</v>
      </c>
      <c r="H1973">
        <v>16</v>
      </c>
      <c r="I1973" t="s">
        <v>180</v>
      </c>
    </row>
    <row r="1974" spans="1:9" x14ac:dyDescent="0.3">
      <c r="A1974" t="s">
        <v>6488</v>
      </c>
      <c r="B1974" t="s">
        <v>740</v>
      </c>
      <c r="C1974" t="s">
        <v>740</v>
      </c>
      <c r="D1974" t="s">
        <v>3029</v>
      </c>
      <c r="E1974" t="s">
        <v>6509</v>
      </c>
      <c r="F1974" t="s">
        <v>3027</v>
      </c>
      <c r="G1974" t="s">
        <v>3031</v>
      </c>
      <c r="H1974">
        <v>17</v>
      </c>
      <c r="I1974" t="s">
        <v>6510</v>
      </c>
    </row>
    <row r="1975" spans="1:9" x14ac:dyDescent="0.3">
      <c r="A1975" t="s">
        <v>6488</v>
      </c>
      <c r="B1975" t="s">
        <v>740</v>
      </c>
      <c r="C1975" t="s">
        <v>740</v>
      </c>
      <c r="D1975" t="s">
        <v>3029</v>
      </c>
      <c r="E1975" t="s">
        <v>6511</v>
      </c>
      <c r="F1975" t="s">
        <v>3027</v>
      </c>
      <c r="G1975" t="s">
        <v>3031</v>
      </c>
      <c r="H1975">
        <v>18</v>
      </c>
      <c r="I1975" t="s">
        <v>6512</v>
      </c>
    </row>
    <row r="1976" spans="1:9" x14ac:dyDescent="0.3">
      <c r="A1976" t="s">
        <v>6488</v>
      </c>
      <c r="B1976" t="s">
        <v>740</v>
      </c>
      <c r="C1976" t="s">
        <v>740</v>
      </c>
      <c r="D1976" t="s">
        <v>3029</v>
      </c>
      <c r="E1976" t="s">
        <v>6513</v>
      </c>
      <c r="F1976" t="s">
        <v>3027</v>
      </c>
      <c r="G1976" t="s">
        <v>3031</v>
      </c>
      <c r="H1976">
        <v>19</v>
      </c>
      <c r="I1976" t="s">
        <v>6514</v>
      </c>
    </row>
    <row r="1977" spans="1:9" x14ac:dyDescent="0.3">
      <c r="A1977" t="s">
        <v>6488</v>
      </c>
      <c r="B1977" t="s">
        <v>740</v>
      </c>
      <c r="C1977" t="s">
        <v>740</v>
      </c>
      <c r="D1977" t="s">
        <v>3029</v>
      </c>
      <c r="E1977" t="s">
        <v>6515</v>
      </c>
      <c r="F1977" t="s">
        <v>3027</v>
      </c>
      <c r="G1977" t="s">
        <v>3031</v>
      </c>
      <c r="H1977">
        <v>20</v>
      </c>
      <c r="I1977" t="s">
        <v>6516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61"/>
  <sheetViews>
    <sheetView workbookViewId="0">
      <pane ySplit="5" topLeftCell="A502" activePane="bottomLeft" state="frozen"/>
      <selection pane="bottomLeft" activeCell="B6" sqref="B6:B561"/>
    </sheetView>
  </sheetViews>
  <sheetFormatPr defaultRowHeight="14.4" x14ac:dyDescent="0.3"/>
  <cols>
    <col min="1" max="1" width="5" customWidth="1"/>
    <col min="2" max="2" width="30" customWidth="1"/>
    <col min="3" max="3" width="18" customWidth="1"/>
    <col min="4" max="4" width="12" customWidth="1"/>
    <col min="5" max="6" width="10" customWidth="1"/>
    <col min="7" max="9" width="30" customWidth="1"/>
    <col min="10" max="10" width="45" customWidth="1"/>
    <col min="11" max="11" width="40" customWidth="1"/>
  </cols>
  <sheetData>
    <row r="1" spans="1:11" ht="17.399999999999999" x14ac:dyDescent="0.3">
      <c r="A1" s="1" t="s">
        <v>0</v>
      </c>
    </row>
    <row r="2" spans="1:11" x14ac:dyDescent="0.3">
      <c r="A2" s="2" t="s">
        <v>1</v>
      </c>
    </row>
    <row r="3" spans="1:11" x14ac:dyDescent="0.3">
      <c r="A3" s="3" t="s">
        <v>2</v>
      </c>
    </row>
    <row r="5" spans="1:11" ht="30" customHeight="1" x14ac:dyDescent="0.3">
      <c r="A5" s="4" t="s">
        <v>3</v>
      </c>
      <c r="B5" s="4" t="s">
        <v>4</v>
      </c>
      <c r="C5" s="4" t="s">
        <v>5</v>
      </c>
      <c r="D5" s="4" t="s">
        <v>6</v>
      </c>
      <c r="E5" s="4" t="s">
        <v>7</v>
      </c>
      <c r="F5" s="4" t="s">
        <v>8</v>
      </c>
      <c r="G5" s="4" t="s">
        <v>9</v>
      </c>
      <c r="H5" s="4" t="s">
        <v>10</v>
      </c>
      <c r="I5" s="4" t="s">
        <v>11</v>
      </c>
      <c r="J5" s="4" t="s">
        <v>12</v>
      </c>
      <c r="K5" s="4" t="s">
        <v>13</v>
      </c>
    </row>
    <row r="6" spans="1:11" ht="26.4" x14ac:dyDescent="0.3">
      <c r="A6" s="5">
        <v>1</v>
      </c>
      <c r="B6" s="5" t="s">
        <v>14</v>
      </c>
      <c r="C6" s="5" t="s">
        <v>15</v>
      </c>
      <c r="D6" s="5" t="s">
        <v>16</v>
      </c>
      <c r="E6" s="5" t="s">
        <v>17</v>
      </c>
      <c r="F6" s="5" t="s">
        <v>18</v>
      </c>
      <c r="G6" s="5" t="s">
        <v>19</v>
      </c>
      <c r="H6" s="5" t="s">
        <v>20</v>
      </c>
      <c r="I6" s="5" t="s">
        <v>21</v>
      </c>
      <c r="J6" s="5" t="s">
        <v>22</v>
      </c>
      <c r="K6" s="5" t="s">
        <v>23</v>
      </c>
    </row>
    <row r="7" spans="1:11" ht="26.4" x14ac:dyDescent="0.3">
      <c r="A7" s="6">
        <v>2</v>
      </c>
      <c r="B7" s="6" t="s">
        <v>24</v>
      </c>
      <c r="C7" s="6" t="s">
        <v>25</v>
      </c>
      <c r="D7" s="6" t="s">
        <v>26</v>
      </c>
      <c r="E7" s="6" t="s">
        <v>17</v>
      </c>
      <c r="F7" s="6" t="s">
        <v>27</v>
      </c>
      <c r="G7" s="6" t="s">
        <v>28</v>
      </c>
      <c r="H7" s="6" t="s">
        <v>29</v>
      </c>
      <c r="I7" s="6" t="s">
        <v>30</v>
      </c>
      <c r="J7" s="6" t="s">
        <v>31</v>
      </c>
      <c r="K7" s="6" t="s">
        <v>32</v>
      </c>
    </row>
    <row r="8" spans="1:11" ht="26.4" x14ac:dyDescent="0.3">
      <c r="A8" s="5">
        <v>3</v>
      </c>
      <c r="B8" s="5" t="s">
        <v>33</v>
      </c>
      <c r="C8" s="5" t="s">
        <v>34</v>
      </c>
      <c r="D8" s="5" t="s">
        <v>35</v>
      </c>
      <c r="E8" s="5" t="s">
        <v>36</v>
      </c>
      <c r="F8" s="5" t="s">
        <v>37</v>
      </c>
      <c r="G8" s="5" t="s">
        <v>38</v>
      </c>
      <c r="H8" s="5" t="s">
        <v>39</v>
      </c>
      <c r="I8" s="5" t="s">
        <v>40</v>
      </c>
      <c r="J8" s="5" t="s">
        <v>41</v>
      </c>
      <c r="K8" s="5" t="s">
        <v>42</v>
      </c>
    </row>
    <row r="9" spans="1:11" ht="26.4" x14ac:dyDescent="0.3">
      <c r="A9" s="6">
        <v>4</v>
      </c>
      <c r="B9" s="6" t="s">
        <v>43</v>
      </c>
      <c r="C9" s="6" t="s">
        <v>44</v>
      </c>
      <c r="D9" s="6" t="s">
        <v>45</v>
      </c>
      <c r="E9" s="6" t="s">
        <v>36</v>
      </c>
      <c r="F9" s="6" t="s">
        <v>46</v>
      </c>
      <c r="G9" s="6" t="s">
        <v>47</v>
      </c>
      <c r="H9" s="6" t="s">
        <v>48</v>
      </c>
      <c r="I9" s="6" t="s">
        <v>49</v>
      </c>
      <c r="J9" s="6" t="s">
        <v>50</v>
      </c>
      <c r="K9" s="6" t="s">
        <v>51</v>
      </c>
    </row>
    <row r="10" spans="1:11" ht="39.6" x14ac:dyDescent="0.3">
      <c r="A10" s="5">
        <v>5</v>
      </c>
      <c r="B10" s="5" t="s">
        <v>52</v>
      </c>
      <c r="C10" s="5" t="s">
        <v>15</v>
      </c>
      <c r="D10" s="5" t="s">
        <v>53</v>
      </c>
      <c r="E10" s="5" t="s">
        <v>36</v>
      </c>
      <c r="F10" s="5" t="s">
        <v>54</v>
      </c>
      <c r="G10" s="5" t="s">
        <v>55</v>
      </c>
      <c r="H10" s="5" t="s">
        <v>56</v>
      </c>
      <c r="I10" s="5" t="s">
        <v>57</v>
      </c>
      <c r="J10" s="5" t="s">
        <v>58</v>
      </c>
      <c r="K10" s="5" t="s">
        <v>59</v>
      </c>
    </row>
    <row r="11" spans="1:11" ht="26.4" x14ac:dyDescent="0.3">
      <c r="A11" s="6">
        <v>6</v>
      </c>
      <c r="B11" s="6" t="s">
        <v>60</v>
      </c>
      <c r="C11" s="6" t="s">
        <v>61</v>
      </c>
      <c r="D11" s="6" t="s">
        <v>62</v>
      </c>
      <c r="E11" s="6" t="s">
        <v>36</v>
      </c>
      <c r="F11" s="6" t="s">
        <v>63</v>
      </c>
      <c r="G11" s="6" t="s">
        <v>64</v>
      </c>
      <c r="H11" s="6" t="s">
        <v>65</v>
      </c>
      <c r="I11" s="6" t="s">
        <v>66</v>
      </c>
      <c r="J11" s="6" t="s">
        <v>67</v>
      </c>
      <c r="K11" s="6" t="s">
        <v>68</v>
      </c>
    </row>
    <row r="12" spans="1:11" ht="39.6" x14ac:dyDescent="0.3">
      <c r="A12" s="5">
        <v>7</v>
      </c>
      <c r="B12" s="5" t="s">
        <v>69</v>
      </c>
      <c r="C12" s="5" t="s">
        <v>70</v>
      </c>
      <c r="D12" s="5" t="s">
        <v>71</v>
      </c>
      <c r="E12" s="5" t="s">
        <v>36</v>
      </c>
      <c r="F12" s="5" t="s">
        <v>72</v>
      </c>
      <c r="G12" s="5" t="s">
        <v>73</v>
      </c>
      <c r="H12" s="5" t="s">
        <v>74</v>
      </c>
      <c r="I12" s="5" t="s">
        <v>75</v>
      </c>
      <c r="J12" s="5" t="s">
        <v>76</v>
      </c>
      <c r="K12" s="5" t="s">
        <v>77</v>
      </c>
    </row>
    <row r="13" spans="1:11" ht="26.4" x14ac:dyDescent="0.3">
      <c r="A13" s="6">
        <v>8</v>
      </c>
      <c r="B13" s="6" t="s">
        <v>78</v>
      </c>
      <c r="C13" s="6" t="s">
        <v>34</v>
      </c>
      <c r="D13" s="6" t="s">
        <v>71</v>
      </c>
      <c r="E13" s="6" t="s">
        <v>36</v>
      </c>
      <c r="F13" s="6" t="s">
        <v>72</v>
      </c>
      <c r="G13" s="6" t="s">
        <v>79</v>
      </c>
      <c r="H13" s="6" t="s">
        <v>80</v>
      </c>
      <c r="I13" s="6" t="s">
        <v>81</v>
      </c>
      <c r="J13" s="6" t="s">
        <v>82</v>
      </c>
      <c r="K13" s="6" t="s">
        <v>83</v>
      </c>
    </row>
    <row r="14" spans="1:11" ht="26.4" x14ac:dyDescent="0.3">
      <c r="A14" s="5">
        <v>9</v>
      </c>
      <c r="B14" s="5" t="s">
        <v>84</v>
      </c>
      <c r="C14" s="5" t="s">
        <v>15</v>
      </c>
      <c r="D14" s="5" t="s">
        <v>85</v>
      </c>
      <c r="E14" s="5" t="s">
        <v>86</v>
      </c>
      <c r="F14" s="5" t="s">
        <v>37</v>
      </c>
      <c r="G14" s="5" t="s">
        <v>87</v>
      </c>
      <c r="H14" s="5" t="s">
        <v>88</v>
      </c>
      <c r="I14" s="5" t="s">
        <v>89</v>
      </c>
      <c r="J14" s="5" t="s">
        <v>90</v>
      </c>
      <c r="K14" s="5" t="s">
        <v>91</v>
      </c>
    </row>
    <row r="15" spans="1:11" ht="26.4" x14ac:dyDescent="0.3">
      <c r="A15" s="6">
        <v>10</v>
      </c>
      <c r="B15" s="6" t="s">
        <v>92</v>
      </c>
      <c r="C15" s="6" t="s">
        <v>15</v>
      </c>
      <c r="D15" s="6" t="s">
        <v>85</v>
      </c>
      <c r="E15" s="6" t="s">
        <v>36</v>
      </c>
      <c r="F15" s="6" t="s">
        <v>46</v>
      </c>
      <c r="G15" s="6" t="s">
        <v>93</v>
      </c>
      <c r="H15" s="6" t="s">
        <v>94</v>
      </c>
      <c r="I15" s="6" t="s">
        <v>95</v>
      </c>
      <c r="J15" s="6" t="s">
        <v>96</v>
      </c>
      <c r="K15" s="6" t="s">
        <v>97</v>
      </c>
    </row>
    <row r="16" spans="1:11" ht="26.4" x14ac:dyDescent="0.3">
      <c r="A16" s="5">
        <v>11</v>
      </c>
      <c r="B16" s="5" t="s">
        <v>98</v>
      </c>
      <c r="C16" s="5" t="s">
        <v>34</v>
      </c>
      <c r="D16" s="5" t="s">
        <v>99</v>
      </c>
      <c r="E16" s="5" t="s">
        <v>36</v>
      </c>
      <c r="F16" s="5" t="s">
        <v>72</v>
      </c>
      <c r="G16" s="5" t="s">
        <v>100</v>
      </c>
      <c r="H16" s="5" t="s">
        <v>101</v>
      </c>
      <c r="I16" s="5" t="s">
        <v>102</v>
      </c>
      <c r="J16" s="5" t="s">
        <v>103</v>
      </c>
      <c r="K16" s="5" t="s">
        <v>104</v>
      </c>
    </row>
    <row r="17" spans="1:11" ht="26.4" x14ac:dyDescent="0.3">
      <c r="A17" s="6">
        <v>12</v>
      </c>
      <c r="B17" s="6" t="s">
        <v>105</v>
      </c>
      <c r="C17" s="6" t="s">
        <v>106</v>
      </c>
      <c r="D17" s="6" t="s">
        <v>107</v>
      </c>
      <c r="E17" s="6" t="s">
        <v>17</v>
      </c>
      <c r="F17" s="6" t="s">
        <v>108</v>
      </c>
      <c r="G17" s="6" t="s">
        <v>109</v>
      </c>
      <c r="H17" s="6" t="s">
        <v>110</v>
      </c>
      <c r="I17" s="6" t="s">
        <v>111</v>
      </c>
      <c r="J17" s="6" t="s">
        <v>112</v>
      </c>
      <c r="K17" s="6" t="s">
        <v>113</v>
      </c>
    </row>
    <row r="18" spans="1:11" ht="26.4" x14ac:dyDescent="0.3">
      <c r="A18" s="5">
        <v>13</v>
      </c>
      <c r="B18" s="5" t="s">
        <v>114</v>
      </c>
      <c r="C18" s="5" t="s">
        <v>115</v>
      </c>
      <c r="D18" s="5" t="s">
        <v>116</v>
      </c>
      <c r="E18" s="5" t="s">
        <v>17</v>
      </c>
      <c r="F18" s="5" t="s">
        <v>117</v>
      </c>
      <c r="G18" s="5" t="s">
        <v>118</v>
      </c>
      <c r="H18" s="5" t="s">
        <v>119</v>
      </c>
      <c r="I18" s="5" t="s">
        <v>120</v>
      </c>
      <c r="J18" s="5" t="s">
        <v>121</v>
      </c>
      <c r="K18" s="5" t="s">
        <v>122</v>
      </c>
    </row>
    <row r="19" spans="1:11" ht="26.4" x14ac:dyDescent="0.3">
      <c r="A19" s="6">
        <v>14</v>
      </c>
      <c r="B19" s="6" t="s">
        <v>123</v>
      </c>
      <c r="C19" s="6" t="s">
        <v>124</v>
      </c>
      <c r="D19" s="6" t="s">
        <v>125</v>
      </c>
      <c r="E19" s="6" t="s">
        <v>36</v>
      </c>
      <c r="F19" s="6" t="s">
        <v>117</v>
      </c>
      <c r="G19" s="6" t="s">
        <v>126</v>
      </c>
      <c r="H19" s="6" t="s">
        <v>127</v>
      </c>
      <c r="I19" s="6" t="s">
        <v>128</v>
      </c>
      <c r="J19" s="6" t="s">
        <v>129</v>
      </c>
      <c r="K19" s="6" t="s">
        <v>130</v>
      </c>
    </row>
    <row r="20" spans="1:11" ht="26.4" x14ac:dyDescent="0.3">
      <c r="A20" s="5">
        <v>15</v>
      </c>
      <c r="B20" s="5" t="s">
        <v>131</v>
      </c>
      <c r="C20" s="5" t="s">
        <v>15</v>
      </c>
      <c r="D20" s="5" t="s">
        <v>132</v>
      </c>
      <c r="E20" s="5" t="s">
        <v>86</v>
      </c>
      <c r="F20" s="5" t="s">
        <v>46</v>
      </c>
      <c r="G20" s="5" t="s">
        <v>133</v>
      </c>
      <c r="H20" s="5" t="s">
        <v>134</v>
      </c>
      <c r="I20" s="5" t="s">
        <v>135</v>
      </c>
      <c r="J20" s="5" t="s">
        <v>136</v>
      </c>
      <c r="K20" s="5" t="s">
        <v>137</v>
      </c>
    </row>
    <row r="21" spans="1:11" ht="26.4" x14ac:dyDescent="0.3">
      <c r="A21" s="6">
        <v>16</v>
      </c>
      <c r="B21" s="6" t="s">
        <v>138</v>
      </c>
      <c r="C21" s="6" t="s">
        <v>61</v>
      </c>
      <c r="D21" s="6" t="s">
        <v>132</v>
      </c>
      <c r="E21" s="6" t="s">
        <v>36</v>
      </c>
      <c r="F21" s="6" t="s">
        <v>46</v>
      </c>
      <c r="G21" s="6" t="s">
        <v>139</v>
      </c>
      <c r="H21" s="6" t="s">
        <v>140</v>
      </c>
      <c r="I21" s="6" t="s">
        <v>141</v>
      </c>
      <c r="J21" s="6" t="s">
        <v>142</v>
      </c>
      <c r="K21" s="6" t="s">
        <v>143</v>
      </c>
    </row>
    <row r="22" spans="1:11" ht="26.4" x14ac:dyDescent="0.3">
      <c r="A22" s="5">
        <v>17</v>
      </c>
      <c r="B22" s="5" t="s">
        <v>144</v>
      </c>
      <c r="C22" s="5" t="s">
        <v>61</v>
      </c>
      <c r="D22" s="5" t="s">
        <v>145</v>
      </c>
      <c r="E22" s="5" t="s">
        <v>86</v>
      </c>
      <c r="F22" s="5" t="s">
        <v>54</v>
      </c>
      <c r="G22" s="5" t="s">
        <v>146</v>
      </c>
      <c r="H22" s="5" t="s">
        <v>147</v>
      </c>
      <c r="I22" s="5" t="s">
        <v>148</v>
      </c>
      <c r="J22" s="5" t="s">
        <v>149</v>
      </c>
      <c r="K22" s="5" t="s">
        <v>150</v>
      </c>
    </row>
    <row r="23" spans="1:11" ht="26.4" x14ac:dyDescent="0.3">
      <c r="A23" s="6">
        <v>18</v>
      </c>
      <c r="B23" s="6" t="s">
        <v>151</v>
      </c>
      <c r="C23" s="6" t="s">
        <v>152</v>
      </c>
      <c r="D23" s="6" t="s">
        <v>145</v>
      </c>
      <c r="E23" s="6" t="s">
        <v>36</v>
      </c>
      <c r="F23" s="6" t="s">
        <v>18</v>
      </c>
      <c r="G23" s="6" t="s">
        <v>153</v>
      </c>
      <c r="H23" s="6" t="s">
        <v>154</v>
      </c>
      <c r="I23" s="6" t="s">
        <v>155</v>
      </c>
      <c r="J23" s="6" t="s">
        <v>156</v>
      </c>
      <c r="K23" s="6" t="s">
        <v>157</v>
      </c>
    </row>
    <row r="24" spans="1:11" ht="26.4" x14ac:dyDescent="0.3">
      <c r="A24" s="5">
        <v>19</v>
      </c>
      <c r="B24" s="5" t="s">
        <v>158</v>
      </c>
      <c r="C24" s="5" t="s">
        <v>152</v>
      </c>
      <c r="D24" s="5" t="s">
        <v>159</v>
      </c>
      <c r="E24" s="5" t="s">
        <v>36</v>
      </c>
      <c r="F24" s="5" t="s">
        <v>108</v>
      </c>
      <c r="G24" s="5" t="s">
        <v>160</v>
      </c>
      <c r="H24" s="5" t="s">
        <v>161</v>
      </c>
      <c r="I24" s="5" t="s">
        <v>162</v>
      </c>
      <c r="J24" s="5" t="s">
        <v>163</v>
      </c>
      <c r="K24" s="5" t="s">
        <v>164</v>
      </c>
    </row>
    <row r="25" spans="1:11" ht="26.4" x14ac:dyDescent="0.3">
      <c r="A25" s="6">
        <v>20</v>
      </c>
      <c r="B25" s="6" t="s">
        <v>165</v>
      </c>
      <c r="C25" s="6" t="s">
        <v>61</v>
      </c>
      <c r="D25" s="6" t="s">
        <v>159</v>
      </c>
      <c r="E25" s="6" t="s">
        <v>17</v>
      </c>
      <c r="F25" s="6" t="s">
        <v>166</v>
      </c>
      <c r="G25" s="6" t="s">
        <v>167</v>
      </c>
      <c r="H25" s="6" t="s">
        <v>168</v>
      </c>
      <c r="I25" s="6" t="s">
        <v>169</v>
      </c>
      <c r="J25" s="6" t="s">
        <v>170</v>
      </c>
      <c r="K25" s="6" t="s">
        <v>171</v>
      </c>
    </row>
    <row r="26" spans="1:11" ht="26.4" x14ac:dyDescent="0.3">
      <c r="A26" s="5">
        <v>21</v>
      </c>
      <c r="B26" s="5" t="s">
        <v>172</v>
      </c>
      <c r="C26" s="5" t="s">
        <v>173</v>
      </c>
      <c r="D26" s="5" t="s">
        <v>174</v>
      </c>
      <c r="E26" s="5" t="s">
        <v>36</v>
      </c>
      <c r="F26" s="5" t="s">
        <v>54</v>
      </c>
      <c r="G26" s="5" t="s">
        <v>175</v>
      </c>
      <c r="H26" s="5" t="s">
        <v>176</v>
      </c>
      <c r="I26" s="5" t="s">
        <v>177</v>
      </c>
      <c r="J26" s="5" t="s">
        <v>178</v>
      </c>
      <c r="K26" s="5" t="s">
        <v>179</v>
      </c>
    </row>
    <row r="27" spans="1:11" ht="26.4" x14ac:dyDescent="0.3">
      <c r="A27" s="6">
        <v>22</v>
      </c>
      <c r="B27" s="6" t="s">
        <v>180</v>
      </c>
      <c r="C27" s="6" t="s">
        <v>61</v>
      </c>
      <c r="D27" s="6" t="s">
        <v>181</v>
      </c>
      <c r="E27" s="6" t="s">
        <v>86</v>
      </c>
      <c r="F27" s="6" t="s">
        <v>63</v>
      </c>
      <c r="G27" s="6" t="s">
        <v>182</v>
      </c>
      <c r="H27" s="6" t="s">
        <v>183</v>
      </c>
      <c r="I27" s="6" t="s">
        <v>184</v>
      </c>
      <c r="J27" s="6" t="s">
        <v>185</v>
      </c>
      <c r="K27" s="6" t="s">
        <v>186</v>
      </c>
    </row>
    <row r="28" spans="1:11" ht="26.4" x14ac:dyDescent="0.3">
      <c r="A28" s="5">
        <v>23</v>
      </c>
      <c r="B28" s="5" t="s">
        <v>187</v>
      </c>
      <c r="C28" s="5" t="s">
        <v>173</v>
      </c>
      <c r="D28" s="5" t="s">
        <v>181</v>
      </c>
      <c r="E28" s="5" t="s">
        <v>17</v>
      </c>
      <c r="F28" s="5" t="s">
        <v>18</v>
      </c>
      <c r="G28" s="5" t="s">
        <v>188</v>
      </c>
      <c r="H28" s="5" t="s">
        <v>189</v>
      </c>
      <c r="I28" s="5" t="s">
        <v>190</v>
      </c>
      <c r="J28" s="5" t="s">
        <v>191</v>
      </c>
      <c r="K28" s="5" t="s">
        <v>192</v>
      </c>
    </row>
    <row r="29" spans="1:11" ht="26.4" x14ac:dyDescent="0.3">
      <c r="A29" s="6">
        <v>24</v>
      </c>
      <c r="B29" s="6" t="s">
        <v>193</v>
      </c>
      <c r="C29" s="6" t="s">
        <v>15</v>
      </c>
      <c r="D29" s="6" t="s">
        <v>194</v>
      </c>
      <c r="E29" s="6" t="s">
        <v>86</v>
      </c>
      <c r="F29" s="6" t="s">
        <v>46</v>
      </c>
      <c r="G29" s="6" t="s">
        <v>195</v>
      </c>
      <c r="H29" s="6" t="s">
        <v>196</v>
      </c>
      <c r="I29" s="6" t="s">
        <v>197</v>
      </c>
      <c r="J29" s="6" t="s">
        <v>198</v>
      </c>
      <c r="K29" s="6" t="s">
        <v>199</v>
      </c>
    </row>
    <row r="30" spans="1:11" ht="26.4" x14ac:dyDescent="0.3">
      <c r="A30" s="5">
        <v>25</v>
      </c>
      <c r="B30" s="5" t="s">
        <v>200</v>
      </c>
      <c r="C30" s="5" t="s">
        <v>15</v>
      </c>
      <c r="D30" s="5" t="s">
        <v>194</v>
      </c>
      <c r="E30" s="5" t="s">
        <v>86</v>
      </c>
      <c r="F30" s="5" t="s">
        <v>201</v>
      </c>
      <c r="G30" s="5" t="s">
        <v>202</v>
      </c>
      <c r="H30" s="5" t="s">
        <v>203</v>
      </c>
      <c r="I30" s="5" t="s">
        <v>204</v>
      </c>
      <c r="J30" s="5" t="s">
        <v>205</v>
      </c>
      <c r="K30" s="5" t="s">
        <v>206</v>
      </c>
    </row>
    <row r="31" spans="1:11" ht="26.4" x14ac:dyDescent="0.3">
      <c r="A31" s="6">
        <v>26</v>
      </c>
      <c r="B31" s="6" t="s">
        <v>207</v>
      </c>
      <c r="C31" s="6" t="s">
        <v>61</v>
      </c>
      <c r="D31" s="6" t="s">
        <v>208</v>
      </c>
      <c r="E31" s="6" t="s">
        <v>86</v>
      </c>
      <c r="F31" s="6" t="s">
        <v>72</v>
      </c>
      <c r="G31" s="6" t="s">
        <v>209</v>
      </c>
      <c r="H31" s="6" t="s">
        <v>210</v>
      </c>
      <c r="I31" s="6" t="s">
        <v>211</v>
      </c>
      <c r="J31" s="6" t="s">
        <v>212</v>
      </c>
      <c r="K31" s="6" t="s">
        <v>213</v>
      </c>
    </row>
    <row r="32" spans="1:11" ht="26.4" x14ac:dyDescent="0.3">
      <c r="A32" s="5">
        <v>27</v>
      </c>
      <c r="B32" s="5" t="s">
        <v>214</v>
      </c>
      <c r="C32" s="5" t="s">
        <v>61</v>
      </c>
      <c r="D32" s="5" t="s">
        <v>208</v>
      </c>
      <c r="E32" s="5" t="s">
        <v>86</v>
      </c>
      <c r="F32" s="5" t="s">
        <v>63</v>
      </c>
      <c r="G32" s="5" t="s">
        <v>215</v>
      </c>
      <c r="H32" s="5" t="s">
        <v>216</v>
      </c>
      <c r="I32" s="5" t="s">
        <v>217</v>
      </c>
      <c r="J32" s="5" t="s">
        <v>218</v>
      </c>
      <c r="K32" s="5" t="s">
        <v>219</v>
      </c>
    </row>
    <row r="33" spans="1:11" ht="26.4" x14ac:dyDescent="0.3">
      <c r="A33" s="6">
        <v>28</v>
      </c>
      <c r="B33" s="6" t="s">
        <v>220</v>
      </c>
      <c r="C33" s="6" t="s">
        <v>106</v>
      </c>
      <c r="D33" s="6" t="s">
        <v>221</v>
      </c>
      <c r="E33" s="6" t="s">
        <v>17</v>
      </c>
      <c r="F33" s="6" t="s">
        <v>72</v>
      </c>
      <c r="G33" s="6" t="s">
        <v>222</v>
      </c>
      <c r="H33" s="6" t="s">
        <v>223</v>
      </c>
      <c r="I33" s="6" t="s">
        <v>224</v>
      </c>
      <c r="J33" s="6" t="s">
        <v>225</v>
      </c>
      <c r="K33" s="6" t="s">
        <v>226</v>
      </c>
    </row>
    <row r="34" spans="1:11" ht="26.4" x14ac:dyDescent="0.3">
      <c r="A34" s="5">
        <v>29</v>
      </c>
      <c r="B34" s="5" t="s">
        <v>227</v>
      </c>
      <c r="C34" s="5" t="s">
        <v>106</v>
      </c>
      <c r="D34" s="5" t="s">
        <v>221</v>
      </c>
      <c r="E34" s="5" t="s">
        <v>17</v>
      </c>
      <c r="F34" s="5" t="s">
        <v>72</v>
      </c>
      <c r="G34" s="5" t="s">
        <v>228</v>
      </c>
      <c r="H34" s="5" t="s">
        <v>229</v>
      </c>
      <c r="I34" s="5" t="s">
        <v>230</v>
      </c>
      <c r="J34" s="5" t="s">
        <v>231</v>
      </c>
      <c r="K34" s="5" t="s">
        <v>232</v>
      </c>
    </row>
    <row r="35" spans="1:11" ht="26.4" x14ac:dyDescent="0.3">
      <c r="A35" s="6">
        <v>30</v>
      </c>
      <c r="B35" s="6" t="s">
        <v>233</v>
      </c>
      <c r="C35" s="6" t="s">
        <v>15</v>
      </c>
      <c r="D35" s="6" t="s">
        <v>234</v>
      </c>
      <c r="E35" s="6" t="s">
        <v>86</v>
      </c>
      <c r="F35" s="6" t="s">
        <v>46</v>
      </c>
      <c r="G35" s="6" t="s">
        <v>235</v>
      </c>
      <c r="H35" s="6" t="s">
        <v>236</v>
      </c>
      <c r="I35" s="6" t="s">
        <v>237</v>
      </c>
      <c r="J35" s="6" t="s">
        <v>238</v>
      </c>
      <c r="K35" s="6" t="s">
        <v>239</v>
      </c>
    </row>
    <row r="36" spans="1:11" ht="26.4" x14ac:dyDescent="0.3">
      <c r="A36" s="5">
        <v>31</v>
      </c>
      <c r="B36" s="5" t="s">
        <v>240</v>
      </c>
      <c r="C36" s="5" t="s">
        <v>124</v>
      </c>
      <c r="D36" s="5" t="s">
        <v>234</v>
      </c>
      <c r="E36" s="5" t="s">
        <v>36</v>
      </c>
      <c r="F36" s="5" t="s">
        <v>46</v>
      </c>
      <c r="G36" s="5" t="s">
        <v>241</v>
      </c>
      <c r="H36" s="5" t="s">
        <v>242</v>
      </c>
      <c r="I36" s="5" t="s">
        <v>243</v>
      </c>
      <c r="J36" s="5" t="s">
        <v>244</v>
      </c>
      <c r="K36" s="5" t="s">
        <v>245</v>
      </c>
    </row>
    <row r="37" spans="1:11" ht="26.4" x14ac:dyDescent="0.3">
      <c r="A37" s="6">
        <v>32</v>
      </c>
      <c r="B37" s="6" t="s">
        <v>246</v>
      </c>
      <c r="C37" s="6" t="s">
        <v>61</v>
      </c>
      <c r="D37" s="6" t="s">
        <v>247</v>
      </c>
      <c r="E37" s="6" t="s">
        <v>86</v>
      </c>
      <c r="F37" s="6" t="s">
        <v>63</v>
      </c>
      <c r="G37" s="6" t="s">
        <v>248</v>
      </c>
      <c r="H37" s="6" t="s">
        <v>249</v>
      </c>
      <c r="I37" s="6" t="s">
        <v>250</v>
      </c>
      <c r="J37" s="6" t="s">
        <v>251</v>
      </c>
      <c r="K37" s="6" t="s">
        <v>252</v>
      </c>
    </row>
    <row r="38" spans="1:11" ht="26.4" x14ac:dyDescent="0.3">
      <c r="A38" s="5">
        <v>33</v>
      </c>
      <c r="B38" s="5" t="s">
        <v>253</v>
      </c>
      <c r="C38" s="5" t="s">
        <v>61</v>
      </c>
      <c r="D38" s="5" t="s">
        <v>247</v>
      </c>
      <c r="E38" s="5" t="s">
        <v>86</v>
      </c>
      <c r="F38" s="5" t="s">
        <v>63</v>
      </c>
      <c r="G38" s="5" t="s">
        <v>254</v>
      </c>
      <c r="H38" s="5" t="s">
        <v>255</v>
      </c>
      <c r="I38" s="5" t="s">
        <v>256</v>
      </c>
      <c r="J38" s="5" t="s">
        <v>257</v>
      </c>
      <c r="K38" s="5" t="s">
        <v>258</v>
      </c>
    </row>
    <row r="39" spans="1:11" ht="26.4" x14ac:dyDescent="0.3">
      <c r="A39" s="6">
        <v>34</v>
      </c>
      <c r="B39" s="6" t="s">
        <v>259</v>
      </c>
      <c r="C39" s="6" t="s">
        <v>61</v>
      </c>
      <c r="D39" s="6" t="s">
        <v>260</v>
      </c>
      <c r="E39" s="6" t="s">
        <v>86</v>
      </c>
      <c r="F39" s="6" t="s">
        <v>72</v>
      </c>
      <c r="G39" s="6" t="s">
        <v>261</v>
      </c>
      <c r="H39" s="6" t="s">
        <v>262</v>
      </c>
      <c r="I39" s="6" t="s">
        <v>263</v>
      </c>
      <c r="J39" s="6" t="s">
        <v>264</v>
      </c>
      <c r="K39" s="6" t="s">
        <v>265</v>
      </c>
    </row>
    <row r="40" spans="1:11" ht="26.4" x14ac:dyDescent="0.3">
      <c r="A40" s="5">
        <v>35</v>
      </c>
      <c r="B40" s="5" t="s">
        <v>266</v>
      </c>
      <c r="C40" s="5" t="s">
        <v>34</v>
      </c>
      <c r="D40" s="5" t="s">
        <v>260</v>
      </c>
      <c r="E40" s="5" t="s">
        <v>36</v>
      </c>
      <c r="F40" s="5" t="s">
        <v>72</v>
      </c>
      <c r="G40" s="5" t="s">
        <v>267</v>
      </c>
      <c r="H40" s="5" t="s">
        <v>268</v>
      </c>
      <c r="I40" s="5" t="s">
        <v>269</v>
      </c>
      <c r="J40" s="5" t="s">
        <v>270</v>
      </c>
      <c r="K40" s="5" t="s">
        <v>271</v>
      </c>
    </row>
    <row r="41" spans="1:11" ht="26.4" x14ac:dyDescent="0.3">
      <c r="A41" s="6">
        <v>36</v>
      </c>
      <c r="B41" s="6" t="s">
        <v>272</v>
      </c>
      <c r="C41" s="6" t="s">
        <v>61</v>
      </c>
      <c r="D41" s="6" t="s">
        <v>260</v>
      </c>
      <c r="E41" s="6" t="s">
        <v>86</v>
      </c>
      <c r="F41" s="6" t="s">
        <v>37</v>
      </c>
      <c r="G41" s="6" t="s">
        <v>273</v>
      </c>
      <c r="H41" s="6" t="s">
        <v>274</v>
      </c>
      <c r="I41" s="6" t="s">
        <v>275</v>
      </c>
      <c r="J41" s="6" t="s">
        <v>276</v>
      </c>
      <c r="K41" s="6" t="s">
        <v>277</v>
      </c>
    </row>
    <row r="42" spans="1:11" ht="26.4" x14ac:dyDescent="0.3">
      <c r="A42" s="5">
        <v>37</v>
      </c>
      <c r="B42" s="5" t="s">
        <v>278</v>
      </c>
      <c r="C42" s="5" t="s">
        <v>61</v>
      </c>
      <c r="D42" s="5" t="s">
        <v>279</v>
      </c>
      <c r="E42" s="5" t="s">
        <v>36</v>
      </c>
      <c r="F42" s="5" t="s">
        <v>280</v>
      </c>
      <c r="G42" s="5" t="s">
        <v>281</v>
      </c>
      <c r="H42" s="5" t="s">
        <v>282</v>
      </c>
      <c r="I42" s="5" t="s">
        <v>283</v>
      </c>
      <c r="J42" s="5" t="s">
        <v>284</v>
      </c>
      <c r="K42" s="5" t="s">
        <v>285</v>
      </c>
    </row>
    <row r="43" spans="1:11" ht="26.4" x14ac:dyDescent="0.3">
      <c r="A43" s="6">
        <v>38</v>
      </c>
      <c r="B43" s="6" t="s">
        <v>286</v>
      </c>
      <c r="C43" s="6" t="s">
        <v>115</v>
      </c>
      <c r="D43" s="6" t="s">
        <v>279</v>
      </c>
      <c r="E43" s="6" t="s">
        <v>17</v>
      </c>
      <c r="F43" s="6" t="s">
        <v>37</v>
      </c>
      <c r="G43" s="6" t="s">
        <v>287</v>
      </c>
      <c r="H43" s="6" t="s">
        <v>288</v>
      </c>
      <c r="I43" s="6" t="s">
        <v>289</v>
      </c>
      <c r="J43" s="6" t="s">
        <v>290</v>
      </c>
      <c r="K43" s="6" t="s">
        <v>291</v>
      </c>
    </row>
    <row r="44" spans="1:11" ht="26.4" x14ac:dyDescent="0.3">
      <c r="A44" s="5">
        <v>39</v>
      </c>
      <c r="B44" s="5" t="s">
        <v>292</v>
      </c>
      <c r="C44" s="5" t="s">
        <v>106</v>
      </c>
      <c r="D44" s="5" t="s">
        <v>279</v>
      </c>
      <c r="E44" s="5" t="s">
        <v>36</v>
      </c>
      <c r="F44" s="5" t="s">
        <v>46</v>
      </c>
      <c r="G44" s="5" t="s">
        <v>293</v>
      </c>
      <c r="H44" s="5" t="s">
        <v>294</v>
      </c>
      <c r="I44" s="5" t="s">
        <v>295</v>
      </c>
      <c r="J44" s="5" t="s">
        <v>296</v>
      </c>
      <c r="K44" s="5" t="s">
        <v>297</v>
      </c>
    </row>
    <row r="45" spans="1:11" ht="26.4" x14ac:dyDescent="0.3">
      <c r="A45" s="6">
        <v>40</v>
      </c>
      <c r="B45" s="6" t="s">
        <v>298</v>
      </c>
      <c r="C45" s="6" t="s">
        <v>152</v>
      </c>
      <c r="D45" s="6" t="s">
        <v>279</v>
      </c>
      <c r="E45" s="6" t="s">
        <v>36</v>
      </c>
      <c r="F45" s="6" t="s">
        <v>18</v>
      </c>
      <c r="G45" s="6" t="s">
        <v>299</v>
      </c>
      <c r="H45" s="6" t="s">
        <v>300</v>
      </c>
      <c r="I45" s="6" t="s">
        <v>301</v>
      </c>
      <c r="J45" s="6" t="s">
        <v>302</v>
      </c>
      <c r="K45" s="6" t="s">
        <v>303</v>
      </c>
    </row>
    <row r="46" spans="1:11" ht="26.4" x14ac:dyDescent="0.3">
      <c r="A46" s="5">
        <v>41</v>
      </c>
      <c r="B46" s="5" t="s">
        <v>304</v>
      </c>
      <c r="C46" s="5" t="s">
        <v>152</v>
      </c>
      <c r="D46" s="5" t="s">
        <v>305</v>
      </c>
      <c r="E46" s="5" t="s">
        <v>36</v>
      </c>
      <c r="F46" s="5" t="s">
        <v>108</v>
      </c>
      <c r="G46" s="5" t="s">
        <v>306</v>
      </c>
      <c r="H46" s="5" t="s">
        <v>307</v>
      </c>
      <c r="I46" s="5" t="s">
        <v>308</v>
      </c>
      <c r="J46" s="5" t="s">
        <v>309</v>
      </c>
      <c r="K46" s="5" t="s">
        <v>310</v>
      </c>
    </row>
    <row r="47" spans="1:11" ht="26.4" x14ac:dyDescent="0.3">
      <c r="A47" s="6">
        <v>42</v>
      </c>
      <c r="B47" s="6" t="s">
        <v>311</v>
      </c>
      <c r="C47" s="6" t="s">
        <v>15</v>
      </c>
      <c r="D47" s="6" t="s">
        <v>305</v>
      </c>
      <c r="E47" s="6" t="s">
        <v>86</v>
      </c>
      <c r="F47" s="6" t="s">
        <v>201</v>
      </c>
      <c r="G47" s="6" t="s">
        <v>312</v>
      </c>
      <c r="H47" s="6" t="s">
        <v>313</v>
      </c>
      <c r="I47" s="6" t="s">
        <v>314</v>
      </c>
      <c r="J47" s="6" t="s">
        <v>315</v>
      </c>
      <c r="K47" s="6" t="s">
        <v>316</v>
      </c>
    </row>
    <row r="48" spans="1:11" ht="26.4" x14ac:dyDescent="0.3">
      <c r="A48" s="5">
        <v>43</v>
      </c>
      <c r="B48" s="5" t="s">
        <v>317</v>
      </c>
      <c r="C48" s="5" t="s">
        <v>70</v>
      </c>
      <c r="D48" s="5" t="s">
        <v>305</v>
      </c>
      <c r="E48" s="5" t="s">
        <v>86</v>
      </c>
      <c r="F48" s="5" t="s">
        <v>46</v>
      </c>
      <c r="G48" s="5" t="s">
        <v>318</v>
      </c>
      <c r="H48" s="5" t="s">
        <v>319</v>
      </c>
      <c r="I48" s="5" t="s">
        <v>320</v>
      </c>
      <c r="J48" s="5" t="s">
        <v>321</v>
      </c>
      <c r="K48" s="5" t="s">
        <v>322</v>
      </c>
    </row>
    <row r="49" spans="1:11" ht="26.4" x14ac:dyDescent="0.3">
      <c r="A49" s="6">
        <v>44</v>
      </c>
      <c r="B49" s="6" t="s">
        <v>323</v>
      </c>
      <c r="C49" s="6" t="s">
        <v>115</v>
      </c>
      <c r="D49" s="6" t="s">
        <v>324</v>
      </c>
      <c r="E49" s="6" t="s">
        <v>36</v>
      </c>
      <c r="F49" s="6" t="s">
        <v>46</v>
      </c>
      <c r="G49" s="6" t="s">
        <v>325</v>
      </c>
      <c r="H49" s="6" t="s">
        <v>326</v>
      </c>
      <c r="I49" s="6" t="s">
        <v>327</v>
      </c>
      <c r="J49" s="6" t="s">
        <v>328</v>
      </c>
      <c r="K49" s="6" t="s">
        <v>329</v>
      </c>
    </row>
    <row r="50" spans="1:11" ht="26.4" x14ac:dyDescent="0.3">
      <c r="A50" s="5">
        <v>45</v>
      </c>
      <c r="B50" s="5" t="s">
        <v>330</v>
      </c>
      <c r="C50" s="5" t="s">
        <v>173</v>
      </c>
      <c r="D50" s="5" t="s">
        <v>324</v>
      </c>
      <c r="E50" s="5" t="s">
        <v>36</v>
      </c>
      <c r="F50" s="5" t="s">
        <v>72</v>
      </c>
      <c r="G50" s="5" t="s">
        <v>331</v>
      </c>
      <c r="H50" s="5" t="s">
        <v>332</v>
      </c>
      <c r="I50" s="5" t="s">
        <v>333</v>
      </c>
      <c r="J50" s="5" t="s">
        <v>334</v>
      </c>
      <c r="K50" s="5" t="s">
        <v>335</v>
      </c>
    </row>
    <row r="51" spans="1:11" ht="26.4" x14ac:dyDescent="0.3">
      <c r="A51" s="6">
        <v>46</v>
      </c>
      <c r="B51" s="6" t="s">
        <v>336</v>
      </c>
      <c r="C51" s="6" t="s">
        <v>152</v>
      </c>
      <c r="D51" s="6" t="s">
        <v>324</v>
      </c>
      <c r="E51" s="6" t="s">
        <v>86</v>
      </c>
      <c r="F51" s="6" t="s">
        <v>337</v>
      </c>
      <c r="G51" s="6" t="s">
        <v>338</v>
      </c>
      <c r="H51" s="6" t="s">
        <v>339</v>
      </c>
      <c r="I51" s="6" t="s">
        <v>340</v>
      </c>
      <c r="J51" s="6" t="s">
        <v>341</v>
      </c>
      <c r="K51" s="6" t="s">
        <v>342</v>
      </c>
    </row>
    <row r="52" spans="1:11" ht="26.4" x14ac:dyDescent="0.3">
      <c r="A52" s="5">
        <v>47</v>
      </c>
      <c r="B52" s="5" t="s">
        <v>343</v>
      </c>
      <c r="C52" s="5" t="s">
        <v>152</v>
      </c>
      <c r="D52" s="5" t="s">
        <v>324</v>
      </c>
      <c r="E52" s="5" t="s">
        <v>36</v>
      </c>
      <c r="F52" s="5" t="s">
        <v>337</v>
      </c>
      <c r="G52" s="5" t="s">
        <v>344</v>
      </c>
      <c r="H52" s="5" t="s">
        <v>345</v>
      </c>
      <c r="I52" s="5" t="s">
        <v>346</v>
      </c>
      <c r="J52" s="5" t="s">
        <v>347</v>
      </c>
      <c r="K52" s="5" t="s">
        <v>348</v>
      </c>
    </row>
    <row r="53" spans="1:11" ht="26.4" x14ac:dyDescent="0.3">
      <c r="A53" s="6">
        <v>48</v>
      </c>
      <c r="B53" s="6" t="s">
        <v>349</v>
      </c>
      <c r="C53" s="6" t="s">
        <v>15</v>
      </c>
      <c r="D53" s="6" t="s">
        <v>350</v>
      </c>
      <c r="E53" s="6" t="s">
        <v>86</v>
      </c>
      <c r="F53" s="6" t="s">
        <v>54</v>
      </c>
      <c r="G53" s="6" t="s">
        <v>351</v>
      </c>
      <c r="H53" s="6" t="s">
        <v>352</v>
      </c>
      <c r="I53" s="6" t="s">
        <v>353</v>
      </c>
      <c r="J53" s="6" t="s">
        <v>354</v>
      </c>
      <c r="K53" s="6" t="s">
        <v>355</v>
      </c>
    </row>
    <row r="54" spans="1:11" ht="26.4" x14ac:dyDescent="0.3">
      <c r="A54" s="5">
        <v>49</v>
      </c>
      <c r="B54" s="5" t="s">
        <v>356</v>
      </c>
      <c r="C54" s="5" t="s">
        <v>61</v>
      </c>
      <c r="D54" s="5" t="s">
        <v>350</v>
      </c>
      <c r="E54" s="5" t="s">
        <v>86</v>
      </c>
      <c r="F54" s="5" t="s">
        <v>63</v>
      </c>
      <c r="G54" s="5" t="s">
        <v>357</v>
      </c>
      <c r="H54" s="5" t="s">
        <v>358</v>
      </c>
      <c r="I54" s="5" t="s">
        <v>359</v>
      </c>
      <c r="J54" s="5" t="s">
        <v>360</v>
      </c>
      <c r="K54" s="5" t="s">
        <v>361</v>
      </c>
    </row>
    <row r="55" spans="1:11" ht="26.4" x14ac:dyDescent="0.3">
      <c r="A55" s="6">
        <v>50</v>
      </c>
      <c r="B55" s="6" t="s">
        <v>362</v>
      </c>
      <c r="C55" s="6" t="s">
        <v>106</v>
      </c>
      <c r="D55" s="6" t="s">
        <v>350</v>
      </c>
      <c r="E55" s="6" t="s">
        <v>36</v>
      </c>
      <c r="F55" s="6" t="s">
        <v>46</v>
      </c>
      <c r="G55" s="6" t="s">
        <v>363</v>
      </c>
      <c r="H55" s="6" t="s">
        <v>364</v>
      </c>
      <c r="I55" s="6" t="s">
        <v>365</v>
      </c>
      <c r="J55" s="6" t="s">
        <v>366</v>
      </c>
      <c r="K55" s="6" t="s">
        <v>367</v>
      </c>
    </row>
    <row r="56" spans="1:11" ht="26.4" x14ac:dyDescent="0.3">
      <c r="A56" s="5">
        <v>51</v>
      </c>
      <c r="B56" s="5" t="s">
        <v>368</v>
      </c>
      <c r="C56" s="5" t="s">
        <v>61</v>
      </c>
      <c r="D56" s="5" t="s">
        <v>369</v>
      </c>
      <c r="E56" s="5" t="s">
        <v>86</v>
      </c>
      <c r="F56" s="5" t="s">
        <v>201</v>
      </c>
      <c r="G56" s="5" t="s">
        <v>370</v>
      </c>
      <c r="H56" s="5" t="s">
        <v>371</v>
      </c>
      <c r="I56" s="5" t="s">
        <v>372</v>
      </c>
      <c r="J56" s="5" t="s">
        <v>373</v>
      </c>
      <c r="K56" s="5" t="s">
        <v>374</v>
      </c>
    </row>
    <row r="57" spans="1:11" ht="26.4" x14ac:dyDescent="0.3">
      <c r="A57" s="6">
        <v>52</v>
      </c>
      <c r="B57" s="6" t="s">
        <v>375</v>
      </c>
      <c r="C57" s="6" t="s">
        <v>44</v>
      </c>
      <c r="D57" s="6" t="s">
        <v>369</v>
      </c>
      <c r="E57" s="6" t="s">
        <v>86</v>
      </c>
      <c r="F57" s="6" t="s">
        <v>337</v>
      </c>
      <c r="G57" s="6" t="s">
        <v>376</v>
      </c>
      <c r="H57" s="6" t="s">
        <v>377</v>
      </c>
      <c r="I57" s="6" t="s">
        <v>378</v>
      </c>
      <c r="J57" s="6" t="s">
        <v>379</v>
      </c>
      <c r="K57" s="6" t="s">
        <v>380</v>
      </c>
    </row>
    <row r="58" spans="1:11" ht="26.4" x14ac:dyDescent="0.3">
      <c r="A58" s="5">
        <v>53</v>
      </c>
      <c r="B58" s="5" t="s">
        <v>381</v>
      </c>
      <c r="C58" s="5" t="s">
        <v>44</v>
      </c>
      <c r="D58" s="5" t="s">
        <v>369</v>
      </c>
      <c r="E58" s="5" t="s">
        <v>86</v>
      </c>
      <c r="F58" s="5" t="s">
        <v>72</v>
      </c>
      <c r="G58" s="5" t="s">
        <v>382</v>
      </c>
      <c r="H58" s="5" t="s">
        <v>383</v>
      </c>
      <c r="I58" s="5" t="s">
        <v>384</v>
      </c>
      <c r="J58" s="5" t="s">
        <v>385</v>
      </c>
      <c r="K58" s="5" t="s">
        <v>386</v>
      </c>
    </row>
    <row r="59" spans="1:11" ht="26.4" x14ac:dyDescent="0.3">
      <c r="A59" s="6">
        <v>54</v>
      </c>
      <c r="B59" s="6" t="s">
        <v>387</v>
      </c>
      <c r="C59" s="6" t="s">
        <v>61</v>
      </c>
      <c r="D59" s="6" t="s">
        <v>369</v>
      </c>
      <c r="E59" s="6" t="s">
        <v>86</v>
      </c>
      <c r="F59" s="6" t="s">
        <v>280</v>
      </c>
      <c r="G59" s="6" t="s">
        <v>388</v>
      </c>
      <c r="H59" s="6" t="s">
        <v>389</v>
      </c>
      <c r="I59" s="6" t="s">
        <v>390</v>
      </c>
      <c r="J59" s="6" t="s">
        <v>391</v>
      </c>
      <c r="K59" s="6" t="s">
        <v>392</v>
      </c>
    </row>
    <row r="60" spans="1:11" ht="26.4" x14ac:dyDescent="0.3">
      <c r="A60" s="5">
        <v>55</v>
      </c>
      <c r="B60" s="5" t="s">
        <v>393</v>
      </c>
      <c r="C60" s="5" t="s">
        <v>15</v>
      </c>
      <c r="D60" s="5" t="s">
        <v>394</v>
      </c>
      <c r="E60" s="5" t="s">
        <v>86</v>
      </c>
      <c r="F60" s="5" t="s">
        <v>201</v>
      </c>
      <c r="G60" s="5" t="s">
        <v>395</v>
      </c>
      <c r="H60" s="5" t="s">
        <v>396</v>
      </c>
      <c r="I60" s="5" t="s">
        <v>397</v>
      </c>
      <c r="J60" s="5" t="s">
        <v>398</v>
      </c>
      <c r="K60" s="5" t="s">
        <v>399</v>
      </c>
    </row>
    <row r="61" spans="1:11" ht="26.4" x14ac:dyDescent="0.3">
      <c r="A61" s="6">
        <v>56</v>
      </c>
      <c r="B61" s="6" t="s">
        <v>400</v>
      </c>
      <c r="C61" s="6" t="s">
        <v>401</v>
      </c>
      <c r="D61" s="6" t="s">
        <v>394</v>
      </c>
      <c r="E61" s="6" t="s">
        <v>86</v>
      </c>
      <c r="F61" s="6" t="s">
        <v>72</v>
      </c>
      <c r="G61" s="6" t="s">
        <v>402</v>
      </c>
      <c r="H61" s="6" t="s">
        <v>403</v>
      </c>
      <c r="I61" s="6" t="s">
        <v>404</v>
      </c>
      <c r="J61" s="6" t="s">
        <v>405</v>
      </c>
      <c r="K61" s="6" t="s">
        <v>406</v>
      </c>
    </row>
    <row r="62" spans="1:11" ht="26.4" x14ac:dyDescent="0.3">
      <c r="A62" s="5">
        <v>57</v>
      </c>
      <c r="B62" s="5" t="s">
        <v>407</v>
      </c>
      <c r="C62" s="5" t="s">
        <v>106</v>
      </c>
      <c r="D62" s="5" t="s">
        <v>394</v>
      </c>
      <c r="E62" s="5" t="s">
        <v>36</v>
      </c>
      <c r="F62" s="5" t="s">
        <v>108</v>
      </c>
      <c r="G62" s="5" t="s">
        <v>408</v>
      </c>
      <c r="H62" s="5" t="s">
        <v>409</v>
      </c>
      <c r="I62" s="5" t="s">
        <v>410</v>
      </c>
      <c r="J62" s="5" t="s">
        <v>411</v>
      </c>
      <c r="K62" s="5" t="s">
        <v>412</v>
      </c>
    </row>
    <row r="63" spans="1:11" ht="26.4" x14ac:dyDescent="0.3">
      <c r="A63" s="6">
        <v>58</v>
      </c>
      <c r="B63" s="6" t="s">
        <v>413</v>
      </c>
      <c r="C63" s="6" t="s">
        <v>414</v>
      </c>
      <c r="D63" s="6" t="s">
        <v>415</v>
      </c>
      <c r="E63" s="6" t="s">
        <v>86</v>
      </c>
      <c r="F63" s="6" t="s">
        <v>72</v>
      </c>
      <c r="G63" s="6" t="s">
        <v>416</v>
      </c>
      <c r="H63" s="6" t="s">
        <v>417</v>
      </c>
      <c r="I63" s="6" t="s">
        <v>418</v>
      </c>
      <c r="J63" s="6" t="s">
        <v>419</v>
      </c>
      <c r="K63" s="6" t="s">
        <v>420</v>
      </c>
    </row>
    <row r="64" spans="1:11" ht="26.4" x14ac:dyDescent="0.3">
      <c r="A64" s="5">
        <v>59</v>
      </c>
      <c r="B64" s="5" t="s">
        <v>421</v>
      </c>
      <c r="C64" s="5" t="s">
        <v>15</v>
      </c>
      <c r="D64" s="5" t="s">
        <v>415</v>
      </c>
      <c r="E64" s="5" t="s">
        <v>36</v>
      </c>
      <c r="F64" s="5" t="s">
        <v>37</v>
      </c>
      <c r="G64" s="5" t="s">
        <v>422</v>
      </c>
      <c r="H64" s="5" t="s">
        <v>423</v>
      </c>
      <c r="I64" s="5" t="s">
        <v>424</v>
      </c>
      <c r="J64" s="5" t="s">
        <v>425</v>
      </c>
      <c r="K64" s="5" t="s">
        <v>426</v>
      </c>
    </row>
    <row r="65" spans="1:11" ht="26.4" x14ac:dyDescent="0.3">
      <c r="A65" s="6">
        <v>60</v>
      </c>
      <c r="B65" s="6" t="s">
        <v>427</v>
      </c>
      <c r="C65" s="6" t="s">
        <v>152</v>
      </c>
      <c r="D65" s="6" t="s">
        <v>415</v>
      </c>
      <c r="E65" s="6" t="s">
        <v>36</v>
      </c>
      <c r="F65" s="6" t="s">
        <v>46</v>
      </c>
      <c r="G65" s="6" t="s">
        <v>428</v>
      </c>
      <c r="H65" s="6" t="s">
        <v>429</v>
      </c>
      <c r="I65" s="6" t="s">
        <v>430</v>
      </c>
      <c r="J65" s="6" t="s">
        <v>431</v>
      </c>
      <c r="K65" s="6" t="s">
        <v>432</v>
      </c>
    </row>
    <row r="66" spans="1:11" ht="26.4" x14ac:dyDescent="0.3">
      <c r="A66" s="5">
        <v>61</v>
      </c>
      <c r="B66" s="5" t="s">
        <v>433</v>
      </c>
      <c r="C66" s="5" t="s">
        <v>61</v>
      </c>
      <c r="D66" s="5" t="s">
        <v>434</v>
      </c>
      <c r="E66" s="5" t="s">
        <v>86</v>
      </c>
      <c r="F66" s="5" t="s">
        <v>63</v>
      </c>
      <c r="G66" s="5" t="s">
        <v>435</v>
      </c>
      <c r="H66" s="5" t="s">
        <v>436</v>
      </c>
      <c r="I66" s="5" t="s">
        <v>437</v>
      </c>
      <c r="J66" s="5" t="s">
        <v>438</v>
      </c>
      <c r="K66" s="5" t="s">
        <v>439</v>
      </c>
    </row>
    <row r="67" spans="1:11" ht="26.4" x14ac:dyDescent="0.3">
      <c r="A67" s="6">
        <v>62</v>
      </c>
      <c r="B67" s="6" t="s">
        <v>440</v>
      </c>
      <c r="C67" s="6" t="s">
        <v>61</v>
      </c>
      <c r="D67" s="6" t="s">
        <v>434</v>
      </c>
      <c r="E67" s="6" t="s">
        <v>86</v>
      </c>
      <c r="F67" s="6" t="s">
        <v>63</v>
      </c>
      <c r="G67" s="6" t="s">
        <v>441</v>
      </c>
      <c r="H67" s="6" t="s">
        <v>442</v>
      </c>
      <c r="I67" s="6" t="s">
        <v>443</v>
      </c>
      <c r="J67" s="6" t="s">
        <v>444</v>
      </c>
      <c r="K67" s="6" t="s">
        <v>445</v>
      </c>
    </row>
    <row r="68" spans="1:11" ht="26.4" x14ac:dyDescent="0.3">
      <c r="A68" s="5">
        <v>63</v>
      </c>
      <c r="B68" s="5" t="s">
        <v>446</v>
      </c>
      <c r="C68" s="5" t="s">
        <v>15</v>
      </c>
      <c r="D68" s="5" t="s">
        <v>434</v>
      </c>
      <c r="E68" s="5" t="s">
        <v>86</v>
      </c>
      <c r="F68" s="5" t="s">
        <v>201</v>
      </c>
      <c r="G68" s="5" t="s">
        <v>447</v>
      </c>
      <c r="H68" s="5" t="s">
        <v>448</v>
      </c>
      <c r="I68" s="5" t="s">
        <v>449</v>
      </c>
      <c r="J68" s="5" t="s">
        <v>450</v>
      </c>
      <c r="K68" s="5" t="s">
        <v>451</v>
      </c>
    </row>
    <row r="69" spans="1:11" ht="26.4" x14ac:dyDescent="0.3">
      <c r="A69" s="6">
        <v>64</v>
      </c>
      <c r="B69" s="6" t="s">
        <v>452</v>
      </c>
      <c r="C69" s="6" t="s">
        <v>44</v>
      </c>
      <c r="D69" s="6" t="s">
        <v>434</v>
      </c>
      <c r="E69" s="6" t="s">
        <v>36</v>
      </c>
      <c r="F69" s="6" t="s">
        <v>201</v>
      </c>
      <c r="G69" s="6" t="s">
        <v>453</v>
      </c>
      <c r="H69" s="6" t="s">
        <v>454</v>
      </c>
      <c r="I69" s="6" t="s">
        <v>455</v>
      </c>
      <c r="J69" s="6" t="s">
        <v>456</v>
      </c>
      <c r="K69" s="6" t="s">
        <v>457</v>
      </c>
    </row>
    <row r="70" spans="1:11" ht="26.4" x14ac:dyDescent="0.3">
      <c r="A70" s="5">
        <v>65</v>
      </c>
      <c r="B70" s="5" t="s">
        <v>458</v>
      </c>
      <c r="C70" s="5" t="s">
        <v>61</v>
      </c>
      <c r="D70" s="5" t="s">
        <v>459</v>
      </c>
      <c r="E70" s="5" t="s">
        <v>86</v>
      </c>
      <c r="F70" s="5" t="s">
        <v>37</v>
      </c>
      <c r="G70" s="5" t="s">
        <v>460</v>
      </c>
      <c r="H70" s="5" t="s">
        <v>461</v>
      </c>
      <c r="I70" s="5" t="s">
        <v>462</v>
      </c>
      <c r="J70" s="5" t="s">
        <v>463</v>
      </c>
      <c r="K70" s="5" t="s">
        <v>464</v>
      </c>
    </row>
    <row r="71" spans="1:11" ht="26.4" x14ac:dyDescent="0.3">
      <c r="A71" s="6">
        <v>66</v>
      </c>
      <c r="B71" s="6" t="s">
        <v>465</v>
      </c>
      <c r="C71" s="6" t="s">
        <v>115</v>
      </c>
      <c r="D71" s="6" t="s">
        <v>459</v>
      </c>
      <c r="E71" s="6" t="s">
        <v>36</v>
      </c>
      <c r="F71" s="6" t="s">
        <v>466</v>
      </c>
      <c r="G71" s="6" t="s">
        <v>467</v>
      </c>
      <c r="H71" s="6" t="s">
        <v>468</v>
      </c>
      <c r="I71" s="6" t="s">
        <v>469</v>
      </c>
      <c r="J71" s="6" t="s">
        <v>470</v>
      </c>
      <c r="K71" s="6" t="s">
        <v>471</v>
      </c>
    </row>
    <row r="72" spans="1:11" ht="26.4" x14ac:dyDescent="0.3">
      <c r="A72" s="5">
        <v>67</v>
      </c>
      <c r="B72" s="5" t="s">
        <v>472</v>
      </c>
      <c r="C72" s="5" t="s">
        <v>473</v>
      </c>
      <c r="D72" s="5" t="s">
        <v>459</v>
      </c>
      <c r="E72" s="5" t="s">
        <v>86</v>
      </c>
      <c r="F72" s="5" t="s">
        <v>108</v>
      </c>
      <c r="G72" s="5" t="s">
        <v>474</v>
      </c>
      <c r="H72" s="5" t="s">
        <v>475</v>
      </c>
      <c r="I72" s="5" t="s">
        <v>476</v>
      </c>
      <c r="J72" s="5" t="s">
        <v>477</v>
      </c>
      <c r="K72" s="5" t="s">
        <v>478</v>
      </c>
    </row>
    <row r="73" spans="1:11" ht="26.4" x14ac:dyDescent="0.3">
      <c r="A73" s="6">
        <v>68</v>
      </c>
      <c r="B73" s="6" t="s">
        <v>479</v>
      </c>
      <c r="C73" s="6" t="s">
        <v>480</v>
      </c>
      <c r="D73" s="6" t="s">
        <v>459</v>
      </c>
      <c r="E73" s="6" t="s">
        <v>86</v>
      </c>
      <c r="F73" s="6" t="s">
        <v>37</v>
      </c>
      <c r="G73" s="6" t="s">
        <v>481</v>
      </c>
      <c r="H73" s="6" t="s">
        <v>482</v>
      </c>
      <c r="I73" s="6" t="s">
        <v>483</v>
      </c>
      <c r="J73" s="6" t="s">
        <v>484</v>
      </c>
      <c r="K73" s="6" t="s">
        <v>485</v>
      </c>
    </row>
    <row r="74" spans="1:11" ht="39.6" x14ac:dyDescent="0.3">
      <c r="A74" s="5">
        <v>69</v>
      </c>
      <c r="B74" s="5" t="s">
        <v>486</v>
      </c>
      <c r="C74" s="5" t="s">
        <v>61</v>
      </c>
      <c r="D74" s="5" t="s">
        <v>459</v>
      </c>
      <c r="E74" s="5" t="s">
        <v>86</v>
      </c>
      <c r="F74" s="5" t="s">
        <v>18</v>
      </c>
      <c r="G74" s="5" t="s">
        <v>487</v>
      </c>
      <c r="H74" s="5" t="s">
        <v>488</v>
      </c>
      <c r="I74" s="5" t="s">
        <v>489</v>
      </c>
      <c r="J74" s="5" t="s">
        <v>490</v>
      </c>
      <c r="K74" s="5" t="s">
        <v>491</v>
      </c>
    </row>
    <row r="75" spans="1:11" ht="26.4" x14ac:dyDescent="0.3">
      <c r="A75" s="6">
        <v>70</v>
      </c>
      <c r="B75" s="6" t="s">
        <v>492</v>
      </c>
      <c r="C75" s="6" t="s">
        <v>106</v>
      </c>
      <c r="D75" s="6" t="s">
        <v>459</v>
      </c>
      <c r="E75" s="6" t="s">
        <v>86</v>
      </c>
      <c r="F75" s="6" t="s">
        <v>108</v>
      </c>
      <c r="G75" s="6" t="s">
        <v>493</v>
      </c>
      <c r="H75" s="6" t="s">
        <v>494</v>
      </c>
      <c r="I75" s="6" t="s">
        <v>495</v>
      </c>
      <c r="J75" s="6" t="s">
        <v>496</v>
      </c>
      <c r="K75" s="6" t="s">
        <v>497</v>
      </c>
    </row>
    <row r="76" spans="1:11" ht="26.4" x14ac:dyDescent="0.3">
      <c r="A76" s="5">
        <v>71</v>
      </c>
      <c r="B76" s="5" t="s">
        <v>498</v>
      </c>
      <c r="C76" s="5" t="s">
        <v>61</v>
      </c>
      <c r="D76" s="5" t="s">
        <v>499</v>
      </c>
      <c r="E76" s="5" t="s">
        <v>86</v>
      </c>
      <c r="F76" s="5" t="s">
        <v>63</v>
      </c>
      <c r="G76" s="5" t="s">
        <v>500</v>
      </c>
      <c r="H76" s="5" t="s">
        <v>501</v>
      </c>
      <c r="I76" s="5" t="s">
        <v>283</v>
      </c>
      <c r="J76" s="5" t="s">
        <v>502</v>
      </c>
      <c r="K76" s="5" t="s">
        <v>503</v>
      </c>
    </row>
    <row r="77" spans="1:11" ht="26.4" x14ac:dyDescent="0.3">
      <c r="A77" s="6">
        <v>72</v>
      </c>
      <c r="B77" s="6" t="s">
        <v>504</v>
      </c>
      <c r="C77" s="6" t="s">
        <v>61</v>
      </c>
      <c r="D77" s="6" t="s">
        <v>499</v>
      </c>
      <c r="E77" s="6" t="s">
        <v>86</v>
      </c>
      <c r="F77" s="6" t="s">
        <v>63</v>
      </c>
      <c r="G77" s="6" t="s">
        <v>505</v>
      </c>
      <c r="H77" s="6" t="s">
        <v>506</v>
      </c>
      <c r="I77" s="6" t="s">
        <v>507</v>
      </c>
      <c r="J77" s="6" t="s">
        <v>508</v>
      </c>
      <c r="K77" s="6" t="s">
        <v>509</v>
      </c>
    </row>
    <row r="78" spans="1:11" ht="26.4" x14ac:dyDescent="0.3">
      <c r="A78" s="5">
        <v>73</v>
      </c>
      <c r="B78" s="5" t="s">
        <v>510</v>
      </c>
      <c r="C78" s="5" t="s">
        <v>61</v>
      </c>
      <c r="D78" s="5" t="s">
        <v>499</v>
      </c>
      <c r="E78" s="5" t="s">
        <v>36</v>
      </c>
      <c r="F78" s="5" t="s">
        <v>63</v>
      </c>
      <c r="G78" s="5" t="s">
        <v>511</v>
      </c>
      <c r="H78" s="5" t="s">
        <v>512</v>
      </c>
      <c r="I78" s="5" t="s">
        <v>513</v>
      </c>
      <c r="J78" s="5" t="s">
        <v>514</v>
      </c>
      <c r="K78" s="5" t="s">
        <v>515</v>
      </c>
    </row>
    <row r="79" spans="1:11" ht="26.4" x14ac:dyDescent="0.3">
      <c r="A79" s="6">
        <v>74</v>
      </c>
      <c r="B79" s="6" t="s">
        <v>516</v>
      </c>
      <c r="C79" s="6" t="s">
        <v>152</v>
      </c>
      <c r="D79" s="6" t="s">
        <v>499</v>
      </c>
      <c r="E79" s="6" t="s">
        <v>86</v>
      </c>
      <c r="F79" s="6" t="s">
        <v>54</v>
      </c>
      <c r="G79" s="6" t="s">
        <v>517</v>
      </c>
      <c r="H79" s="6" t="s">
        <v>518</v>
      </c>
      <c r="I79" s="6" t="s">
        <v>519</v>
      </c>
      <c r="J79" s="6" t="s">
        <v>520</v>
      </c>
      <c r="K79" s="6" t="s">
        <v>521</v>
      </c>
    </row>
    <row r="80" spans="1:11" ht="39.6" x14ac:dyDescent="0.3">
      <c r="A80" s="5">
        <v>75</v>
      </c>
      <c r="B80" s="5" t="s">
        <v>522</v>
      </c>
      <c r="C80" s="5" t="s">
        <v>44</v>
      </c>
      <c r="D80" s="5" t="s">
        <v>499</v>
      </c>
      <c r="E80" s="5" t="s">
        <v>36</v>
      </c>
      <c r="F80" s="5" t="s">
        <v>72</v>
      </c>
      <c r="G80" s="5" t="s">
        <v>523</v>
      </c>
      <c r="H80" s="5" t="s">
        <v>524</v>
      </c>
      <c r="I80" s="5" t="s">
        <v>525</v>
      </c>
      <c r="J80" s="5" t="s">
        <v>526</v>
      </c>
      <c r="K80" s="5" t="s">
        <v>527</v>
      </c>
    </row>
    <row r="81" spans="1:11" ht="26.4" x14ac:dyDescent="0.3">
      <c r="A81" s="6">
        <v>76</v>
      </c>
      <c r="B81" s="6" t="s">
        <v>528</v>
      </c>
      <c r="C81" s="6" t="s">
        <v>70</v>
      </c>
      <c r="D81" s="6" t="s">
        <v>529</v>
      </c>
      <c r="E81" s="6" t="s">
        <v>86</v>
      </c>
      <c r="F81" s="6" t="s">
        <v>46</v>
      </c>
      <c r="G81" s="6" t="s">
        <v>530</v>
      </c>
      <c r="H81" s="6" t="s">
        <v>531</v>
      </c>
      <c r="I81" s="6" t="s">
        <v>532</v>
      </c>
      <c r="J81" s="6" t="s">
        <v>533</v>
      </c>
      <c r="K81" s="6" t="s">
        <v>534</v>
      </c>
    </row>
    <row r="82" spans="1:11" ht="26.4" x14ac:dyDescent="0.3">
      <c r="A82" s="5">
        <v>77</v>
      </c>
      <c r="B82" s="5" t="s">
        <v>535</v>
      </c>
      <c r="C82" s="5" t="s">
        <v>115</v>
      </c>
      <c r="D82" s="5" t="s">
        <v>529</v>
      </c>
      <c r="E82" s="5" t="s">
        <v>36</v>
      </c>
      <c r="F82" s="5" t="s">
        <v>37</v>
      </c>
      <c r="G82" s="5" t="s">
        <v>536</v>
      </c>
      <c r="H82" s="5" t="s">
        <v>537</v>
      </c>
      <c r="I82" s="5" t="s">
        <v>538</v>
      </c>
      <c r="J82" s="5" t="s">
        <v>539</v>
      </c>
      <c r="K82" s="5" t="s">
        <v>540</v>
      </c>
    </row>
    <row r="83" spans="1:11" ht="26.4" x14ac:dyDescent="0.3">
      <c r="A83" s="6">
        <v>78</v>
      </c>
      <c r="B83" s="6" t="s">
        <v>541</v>
      </c>
      <c r="C83" s="6" t="s">
        <v>124</v>
      </c>
      <c r="D83" s="6" t="s">
        <v>529</v>
      </c>
      <c r="E83" s="6" t="s">
        <v>86</v>
      </c>
      <c r="F83" s="6" t="s">
        <v>46</v>
      </c>
      <c r="G83" s="6" t="s">
        <v>542</v>
      </c>
      <c r="H83" s="6" t="s">
        <v>543</v>
      </c>
      <c r="I83" s="6" t="s">
        <v>544</v>
      </c>
      <c r="J83" s="6" t="s">
        <v>545</v>
      </c>
      <c r="K83" s="6" t="s">
        <v>546</v>
      </c>
    </row>
    <row r="84" spans="1:11" ht="26.4" x14ac:dyDescent="0.3">
      <c r="A84" s="5">
        <v>79</v>
      </c>
      <c r="B84" s="5" t="s">
        <v>547</v>
      </c>
      <c r="C84" s="5" t="s">
        <v>15</v>
      </c>
      <c r="D84" s="5" t="s">
        <v>529</v>
      </c>
      <c r="E84" s="5" t="s">
        <v>86</v>
      </c>
      <c r="F84" s="5" t="s">
        <v>548</v>
      </c>
      <c r="G84" s="5" t="s">
        <v>549</v>
      </c>
      <c r="H84" s="5" t="s">
        <v>550</v>
      </c>
      <c r="I84" s="5" t="s">
        <v>551</v>
      </c>
      <c r="J84" s="5" t="s">
        <v>552</v>
      </c>
      <c r="K84" s="5" t="s">
        <v>553</v>
      </c>
    </row>
    <row r="85" spans="1:11" ht="26.4" x14ac:dyDescent="0.3">
      <c r="A85" s="6">
        <v>80</v>
      </c>
      <c r="B85" s="6" t="s">
        <v>554</v>
      </c>
      <c r="C85" s="6" t="s">
        <v>473</v>
      </c>
      <c r="D85" s="6" t="s">
        <v>529</v>
      </c>
      <c r="E85" s="6" t="s">
        <v>86</v>
      </c>
      <c r="F85" s="6" t="s">
        <v>46</v>
      </c>
      <c r="G85" s="6" t="s">
        <v>555</v>
      </c>
      <c r="H85" s="6" t="s">
        <v>556</v>
      </c>
      <c r="I85" s="6" t="s">
        <v>557</v>
      </c>
      <c r="J85" s="6" t="s">
        <v>558</v>
      </c>
      <c r="K85" s="6" t="s">
        <v>559</v>
      </c>
    </row>
    <row r="86" spans="1:11" ht="26.4" x14ac:dyDescent="0.3">
      <c r="A86" s="5">
        <v>81</v>
      </c>
      <c r="B86" s="5" t="s">
        <v>560</v>
      </c>
      <c r="C86" s="5" t="s">
        <v>44</v>
      </c>
      <c r="D86" s="5" t="s">
        <v>561</v>
      </c>
      <c r="E86" s="5" t="s">
        <v>86</v>
      </c>
      <c r="F86" s="5" t="s">
        <v>37</v>
      </c>
      <c r="G86" s="5" t="s">
        <v>562</v>
      </c>
      <c r="H86" s="5" t="s">
        <v>563</v>
      </c>
      <c r="I86" s="5" t="s">
        <v>564</v>
      </c>
      <c r="J86" s="5" t="s">
        <v>565</v>
      </c>
      <c r="K86" s="5" t="s">
        <v>566</v>
      </c>
    </row>
    <row r="87" spans="1:11" ht="26.4" x14ac:dyDescent="0.3">
      <c r="A87" s="6">
        <v>82</v>
      </c>
      <c r="B87" s="6" t="s">
        <v>567</v>
      </c>
      <c r="C87" s="6" t="s">
        <v>414</v>
      </c>
      <c r="D87" s="6" t="s">
        <v>561</v>
      </c>
      <c r="E87" s="6" t="s">
        <v>86</v>
      </c>
      <c r="F87" s="6" t="s">
        <v>117</v>
      </c>
      <c r="G87" s="6" t="s">
        <v>568</v>
      </c>
      <c r="H87" s="6" t="s">
        <v>569</v>
      </c>
      <c r="I87" s="6" t="s">
        <v>570</v>
      </c>
      <c r="J87" s="6" t="s">
        <v>571</v>
      </c>
      <c r="K87" s="6" t="s">
        <v>572</v>
      </c>
    </row>
    <row r="88" spans="1:11" ht="26.4" x14ac:dyDescent="0.3">
      <c r="A88" s="5">
        <v>83</v>
      </c>
      <c r="B88" s="5" t="s">
        <v>573</v>
      </c>
      <c r="C88" s="5" t="s">
        <v>106</v>
      </c>
      <c r="D88" s="5" t="s">
        <v>561</v>
      </c>
      <c r="E88" s="5" t="s">
        <v>36</v>
      </c>
      <c r="F88" s="5" t="s">
        <v>46</v>
      </c>
      <c r="G88" s="5" t="s">
        <v>574</v>
      </c>
      <c r="H88" s="5" t="s">
        <v>575</v>
      </c>
      <c r="I88" s="5" t="s">
        <v>576</v>
      </c>
      <c r="J88" s="5" t="s">
        <v>577</v>
      </c>
      <c r="K88" s="5" t="s">
        <v>578</v>
      </c>
    </row>
    <row r="89" spans="1:11" ht="26.4" x14ac:dyDescent="0.3">
      <c r="A89" s="6">
        <v>84</v>
      </c>
      <c r="B89" s="6" t="s">
        <v>579</v>
      </c>
      <c r="C89" s="6" t="s">
        <v>34</v>
      </c>
      <c r="D89" s="6" t="s">
        <v>561</v>
      </c>
      <c r="E89" s="6" t="s">
        <v>86</v>
      </c>
      <c r="F89" s="6" t="s">
        <v>54</v>
      </c>
      <c r="G89" s="6" t="s">
        <v>580</v>
      </c>
      <c r="H89" s="6" t="s">
        <v>581</v>
      </c>
      <c r="I89" s="6" t="s">
        <v>582</v>
      </c>
      <c r="J89" s="6" t="s">
        <v>583</v>
      </c>
      <c r="K89" s="6" t="s">
        <v>584</v>
      </c>
    </row>
    <row r="90" spans="1:11" ht="26.4" x14ac:dyDescent="0.3">
      <c r="A90" s="5">
        <v>85</v>
      </c>
      <c r="B90" s="5" t="s">
        <v>585</v>
      </c>
      <c r="C90" s="5" t="s">
        <v>106</v>
      </c>
      <c r="D90" s="5" t="s">
        <v>561</v>
      </c>
      <c r="E90" s="5" t="s">
        <v>86</v>
      </c>
      <c r="F90" s="5" t="s">
        <v>46</v>
      </c>
      <c r="G90" s="5" t="s">
        <v>586</v>
      </c>
      <c r="H90" s="5" t="s">
        <v>587</v>
      </c>
      <c r="I90" s="5" t="s">
        <v>588</v>
      </c>
      <c r="J90" s="5" t="s">
        <v>589</v>
      </c>
      <c r="K90" s="5" t="s">
        <v>590</v>
      </c>
    </row>
    <row r="91" spans="1:11" ht="26.4" x14ac:dyDescent="0.3">
      <c r="A91" s="6">
        <v>86</v>
      </c>
      <c r="B91" s="6" t="s">
        <v>591</v>
      </c>
      <c r="C91" s="6" t="s">
        <v>44</v>
      </c>
      <c r="D91" s="6" t="s">
        <v>592</v>
      </c>
      <c r="E91" s="6" t="s">
        <v>36</v>
      </c>
      <c r="F91" s="6" t="s">
        <v>46</v>
      </c>
      <c r="G91" s="6" t="s">
        <v>593</v>
      </c>
      <c r="H91" s="6" t="s">
        <v>594</v>
      </c>
      <c r="I91" s="6" t="s">
        <v>595</v>
      </c>
      <c r="J91" s="6" t="s">
        <v>596</v>
      </c>
      <c r="K91" s="6" t="s">
        <v>597</v>
      </c>
    </row>
    <row r="92" spans="1:11" ht="26.4" x14ac:dyDescent="0.3">
      <c r="A92" s="5">
        <v>87</v>
      </c>
      <c r="B92" s="5" t="s">
        <v>598</v>
      </c>
      <c r="C92" s="5" t="s">
        <v>61</v>
      </c>
      <c r="D92" s="5" t="s">
        <v>592</v>
      </c>
      <c r="E92" s="5" t="s">
        <v>86</v>
      </c>
      <c r="F92" s="5" t="s">
        <v>280</v>
      </c>
      <c r="G92" s="5" t="s">
        <v>599</v>
      </c>
      <c r="H92" s="5" t="s">
        <v>600</v>
      </c>
      <c r="I92" s="5" t="s">
        <v>601</v>
      </c>
      <c r="J92" s="5" t="s">
        <v>602</v>
      </c>
      <c r="K92" s="5" t="s">
        <v>603</v>
      </c>
    </row>
    <row r="93" spans="1:11" ht="26.4" x14ac:dyDescent="0.3">
      <c r="A93" s="6">
        <v>88</v>
      </c>
      <c r="B93" s="6" t="s">
        <v>604</v>
      </c>
      <c r="C93" s="6" t="s">
        <v>61</v>
      </c>
      <c r="D93" s="6" t="s">
        <v>592</v>
      </c>
      <c r="E93" s="6" t="s">
        <v>86</v>
      </c>
      <c r="F93" s="6" t="s">
        <v>46</v>
      </c>
      <c r="G93" s="6" t="s">
        <v>605</v>
      </c>
      <c r="H93" s="6" t="s">
        <v>606</v>
      </c>
      <c r="I93" s="6" t="s">
        <v>607</v>
      </c>
      <c r="J93" s="6" t="s">
        <v>608</v>
      </c>
      <c r="K93" s="6" t="s">
        <v>609</v>
      </c>
    </row>
    <row r="94" spans="1:11" ht="26.4" x14ac:dyDescent="0.3">
      <c r="A94" s="5">
        <v>89</v>
      </c>
      <c r="B94" s="5" t="s">
        <v>610</v>
      </c>
      <c r="C94" s="5" t="s">
        <v>44</v>
      </c>
      <c r="D94" s="5" t="s">
        <v>592</v>
      </c>
      <c r="E94" s="5" t="s">
        <v>86</v>
      </c>
      <c r="F94" s="5" t="s">
        <v>46</v>
      </c>
      <c r="G94" s="5" t="s">
        <v>611</v>
      </c>
      <c r="H94" s="5" t="s">
        <v>612</v>
      </c>
      <c r="I94" s="5" t="s">
        <v>613</v>
      </c>
      <c r="J94" s="5" t="s">
        <v>614</v>
      </c>
      <c r="K94" s="5" t="s">
        <v>615</v>
      </c>
    </row>
    <row r="95" spans="1:11" ht="26.4" x14ac:dyDescent="0.3">
      <c r="A95" s="6">
        <v>90</v>
      </c>
      <c r="B95" s="6" t="s">
        <v>616</v>
      </c>
      <c r="C95" s="6" t="s">
        <v>15</v>
      </c>
      <c r="D95" s="6" t="s">
        <v>592</v>
      </c>
      <c r="E95" s="6" t="s">
        <v>86</v>
      </c>
      <c r="F95" s="6" t="s">
        <v>201</v>
      </c>
      <c r="G95" s="6" t="s">
        <v>617</v>
      </c>
      <c r="H95" s="6" t="s">
        <v>618</v>
      </c>
      <c r="I95" s="6" t="s">
        <v>619</v>
      </c>
      <c r="J95" s="6" t="s">
        <v>620</v>
      </c>
      <c r="K95" s="6" t="s">
        <v>621</v>
      </c>
    </row>
    <row r="96" spans="1:11" ht="26.4" x14ac:dyDescent="0.3">
      <c r="A96" s="5">
        <v>91</v>
      </c>
      <c r="B96" s="5" t="s">
        <v>622</v>
      </c>
      <c r="C96" s="5" t="s">
        <v>61</v>
      </c>
      <c r="D96" s="5" t="s">
        <v>623</v>
      </c>
      <c r="E96" s="5" t="s">
        <v>86</v>
      </c>
      <c r="F96" s="5" t="s">
        <v>63</v>
      </c>
      <c r="G96" s="5" t="s">
        <v>624</v>
      </c>
      <c r="H96" s="5" t="s">
        <v>625</v>
      </c>
      <c r="I96" s="5" t="s">
        <v>626</v>
      </c>
      <c r="J96" s="5" t="s">
        <v>627</v>
      </c>
      <c r="K96" s="5" t="s">
        <v>628</v>
      </c>
    </row>
    <row r="97" spans="1:11" ht="26.4" x14ac:dyDescent="0.3">
      <c r="A97" s="6">
        <v>92</v>
      </c>
      <c r="B97" s="6" t="s">
        <v>629</v>
      </c>
      <c r="C97" s="6" t="s">
        <v>61</v>
      </c>
      <c r="D97" s="6" t="s">
        <v>623</v>
      </c>
      <c r="E97" s="6" t="s">
        <v>86</v>
      </c>
      <c r="F97" s="6" t="s">
        <v>63</v>
      </c>
      <c r="G97" s="6" t="s">
        <v>630</v>
      </c>
      <c r="H97" s="6" t="s">
        <v>631</v>
      </c>
      <c r="I97" s="6" t="s">
        <v>632</v>
      </c>
      <c r="J97" s="6" t="s">
        <v>633</v>
      </c>
      <c r="K97" s="6" t="s">
        <v>634</v>
      </c>
    </row>
    <row r="98" spans="1:11" ht="26.4" x14ac:dyDescent="0.3">
      <c r="A98" s="5">
        <v>93</v>
      </c>
      <c r="B98" s="5" t="s">
        <v>635</v>
      </c>
      <c r="C98" s="5" t="s">
        <v>61</v>
      </c>
      <c r="D98" s="5" t="s">
        <v>623</v>
      </c>
      <c r="E98" s="5" t="s">
        <v>86</v>
      </c>
      <c r="F98" s="5" t="s">
        <v>63</v>
      </c>
      <c r="G98" s="5" t="s">
        <v>636</v>
      </c>
      <c r="H98" s="5" t="s">
        <v>637</v>
      </c>
      <c r="I98" s="5" t="s">
        <v>638</v>
      </c>
      <c r="J98" s="5" t="s">
        <v>639</v>
      </c>
      <c r="K98" s="5" t="s">
        <v>640</v>
      </c>
    </row>
    <row r="99" spans="1:11" ht="26.4" x14ac:dyDescent="0.3">
      <c r="A99" s="6">
        <v>94</v>
      </c>
      <c r="B99" s="6" t="s">
        <v>641</v>
      </c>
      <c r="C99" s="6" t="s">
        <v>124</v>
      </c>
      <c r="D99" s="6" t="s">
        <v>623</v>
      </c>
      <c r="E99" s="6" t="s">
        <v>86</v>
      </c>
      <c r="F99" s="6" t="s">
        <v>280</v>
      </c>
      <c r="G99" s="6" t="s">
        <v>642</v>
      </c>
      <c r="H99" s="6" t="s">
        <v>643</v>
      </c>
      <c r="I99" s="6" t="s">
        <v>644</v>
      </c>
      <c r="J99" s="6" t="s">
        <v>645</v>
      </c>
      <c r="K99" s="6" t="s">
        <v>646</v>
      </c>
    </row>
    <row r="100" spans="1:11" ht="26.4" x14ac:dyDescent="0.3">
      <c r="A100" s="5">
        <v>95</v>
      </c>
      <c r="B100" s="5" t="s">
        <v>647</v>
      </c>
      <c r="C100" s="5" t="s">
        <v>44</v>
      </c>
      <c r="D100" s="5" t="s">
        <v>623</v>
      </c>
      <c r="E100" s="5" t="s">
        <v>86</v>
      </c>
      <c r="F100" s="5" t="s">
        <v>46</v>
      </c>
      <c r="G100" s="5" t="s">
        <v>648</v>
      </c>
      <c r="H100" s="5" t="s">
        <v>649</v>
      </c>
      <c r="I100" s="5" t="s">
        <v>650</v>
      </c>
      <c r="J100" s="5" t="s">
        <v>651</v>
      </c>
      <c r="K100" s="5" t="s">
        <v>652</v>
      </c>
    </row>
    <row r="101" spans="1:11" ht="26.4" x14ac:dyDescent="0.3">
      <c r="A101" s="6">
        <v>96</v>
      </c>
      <c r="B101" s="6" t="s">
        <v>653</v>
      </c>
      <c r="C101" s="6" t="s">
        <v>152</v>
      </c>
      <c r="D101" s="6" t="s">
        <v>623</v>
      </c>
      <c r="E101" s="6" t="s">
        <v>86</v>
      </c>
      <c r="F101" s="6" t="s">
        <v>108</v>
      </c>
      <c r="G101" s="6" t="s">
        <v>654</v>
      </c>
      <c r="H101" s="6" t="s">
        <v>655</v>
      </c>
      <c r="I101" s="6" t="s">
        <v>656</v>
      </c>
      <c r="J101" s="6" t="s">
        <v>657</v>
      </c>
      <c r="K101" s="6" t="s">
        <v>658</v>
      </c>
    </row>
    <row r="102" spans="1:11" ht="26.4" x14ac:dyDescent="0.3">
      <c r="A102" s="5">
        <v>97</v>
      </c>
      <c r="B102" s="5" t="s">
        <v>659</v>
      </c>
      <c r="C102" s="5" t="s">
        <v>152</v>
      </c>
      <c r="D102" s="5" t="s">
        <v>623</v>
      </c>
      <c r="E102" s="5" t="s">
        <v>36</v>
      </c>
      <c r="F102" s="5" t="s">
        <v>108</v>
      </c>
      <c r="G102" s="5" t="s">
        <v>660</v>
      </c>
      <c r="H102" s="5" t="s">
        <v>661</v>
      </c>
      <c r="I102" s="5" t="s">
        <v>662</v>
      </c>
      <c r="J102" s="5" t="s">
        <v>663</v>
      </c>
      <c r="K102" s="5" t="s">
        <v>664</v>
      </c>
    </row>
    <row r="103" spans="1:11" ht="26.4" x14ac:dyDescent="0.3">
      <c r="A103" s="6">
        <v>98</v>
      </c>
      <c r="B103" s="6" t="s">
        <v>665</v>
      </c>
      <c r="C103" s="6" t="s">
        <v>61</v>
      </c>
      <c r="D103" s="6" t="s">
        <v>666</v>
      </c>
      <c r="E103" s="6" t="s">
        <v>86</v>
      </c>
      <c r="F103" s="6" t="s">
        <v>280</v>
      </c>
      <c r="G103" s="6" t="s">
        <v>667</v>
      </c>
      <c r="H103" s="6" t="s">
        <v>668</v>
      </c>
      <c r="I103" s="6" t="s">
        <v>669</v>
      </c>
      <c r="J103" s="6" t="s">
        <v>670</v>
      </c>
      <c r="K103" s="6" t="s">
        <v>671</v>
      </c>
    </row>
    <row r="104" spans="1:11" ht="26.4" x14ac:dyDescent="0.3">
      <c r="A104" s="5">
        <v>99</v>
      </c>
      <c r="B104" s="5" t="s">
        <v>672</v>
      </c>
      <c r="C104" s="5" t="s">
        <v>414</v>
      </c>
      <c r="D104" s="5" t="s">
        <v>666</v>
      </c>
      <c r="E104" s="5" t="s">
        <v>86</v>
      </c>
      <c r="F104" s="5" t="s">
        <v>280</v>
      </c>
      <c r="G104" s="5" t="s">
        <v>673</v>
      </c>
      <c r="H104" s="5" t="s">
        <v>674</v>
      </c>
      <c r="I104" s="5" t="s">
        <v>675</v>
      </c>
      <c r="J104" s="5" t="s">
        <v>676</v>
      </c>
      <c r="K104" s="5" t="s">
        <v>677</v>
      </c>
    </row>
    <row r="105" spans="1:11" ht="26.4" x14ac:dyDescent="0.3">
      <c r="A105" s="6">
        <v>100</v>
      </c>
      <c r="B105" s="6" t="s">
        <v>678</v>
      </c>
      <c r="C105" s="6" t="s">
        <v>15</v>
      </c>
      <c r="D105" s="6" t="s">
        <v>666</v>
      </c>
      <c r="E105" s="6" t="s">
        <v>86</v>
      </c>
      <c r="F105" s="6" t="s">
        <v>201</v>
      </c>
      <c r="G105" s="6" t="s">
        <v>679</v>
      </c>
      <c r="H105" s="6" t="s">
        <v>680</v>
      </c>
      <c r="I105" s="6" t="s">
        <v>681</v>
      </c>
      <c r="J105" s="6" t="s">
        <v>682</v>
      </c>
      <c r="K105" s="6" t="s">
        <v>683</v>
      </c>
    </row>
    <row r="106" spans="1:11" ht="26.4" x14ac:dyDescent="0.3">
      <c r="A106" s="5">
        <v>101</v>
      </c>
      <c r="B106" s="5" t="s">
        <v>684</v>
      </c>
      <c r="C106" s="5" t="s">
        <v>61</v>
      </c>
      <c r="D106" s="5" t="s">
        <v>685</v>
      </c>
      <c r="E106" s="5" t="s">
        <v>86</v>
      </c>
      <c r="F106" s="5" t="s">
        <v>46</v>
      </c>
      <c r="G106" s="5" t="s">
        <v>686</v>
      </c>
      <c r="H106" s="5" t="s">
        <v>687</v>
      </c>
      <c r="I106" s="5" t="s">
        <v>688</v>
      </c>
      <c r="J106" s="5" t="s">
        <v>689</v>
      </c>
      <c r="K106" s="5" t="s">
        <v>690</v>
      </c>
    </row>
    <row r="107" spans="1:11" ht="26.4" x14ac:dyDescent="0.3">
      <c r="A107" s="6">
        <v>102</v>
      </c>
      <c r="B107" s="6" t="s">
        <v>691</v>
      </c>
      <c r="C107" s="6" t="s">
        <v>106</v>
      </c>
      <c r="D107" s="6" t="s">
        <v>685</v>
      </c>
      <c r="E107" s="6" t="s">
        <v>36</v>
      </c>
      <c r="F107" s="6" t="s">
        <v>108</v>
      </c>
      <c r="G107" s="6" t="s">
        <v>692</v>
      </c>
      <c r="H107" s="6" t="s">
        <v>693</v>
      </c>
      <c r="I107" s="6" t="s">
        <v>694</v>
      </c>
      <c r="J107" s="6" t="s">
        <v>695</v>
      </c>
      <c r="K107" s="6" t="s">
        <v>696</v>
      </c>
    </row>
    <row r="108" spans="1:11" ht="26.4" x14ac:dyDescent="0.3">
      <c r="A108" s="5">
        <v>103</v>
      </c>
      <c r="B108" s="5" t="s">
        <v>697</v>
      </c>
      <c r="C108" s="5" t="s">
        <v>124</v>
      </c>
      <c r="D108" s="5" t="s">
        <v>685</v>
      </c>
      <c r="E108" s="5" t="s">
        <v>86</v>
      </c>
      <c r="F108" s="5" t="s">
        <v>46</v>
      </c>
      <c r="G108" s="5" t="s">
        <v>698</v>
      </c>
      <c r="H108" s="5" t="s">
        <v>699</v>
      </c>
      <c r="I108" s="5" t="s">
        <v>700</v>
      </c>
      <c r="J108" s="5" t="s">
        <v>701</v>
      </c>
      <c r="K108" s="5" t="s">
        <v>702</v>
      </c>
    </row>
    <row r="109" spans="1:11" ht="26.4" x14ac:dyDescent="0.3">
      <c r="A109" s="6">
        <v>104</v>
      </c>
      <c r="B109" s="6" t="s">
        <v>703</v>
      </c>
      <c r="C109" s="6" t="s">
        <v>44</v>
      </c>
      <c r="D109" s="6" t="s">
        <v>685</v>
      </c>
      <c r="E109" s="6" t="s">
        <v>86</v>
      </c>
      <c r="F109" s="6" t="s">
        <v>63</v>
      </c>
      <c r="G109" s="6" t="s">
        <v>704</v>
      </c>
      <c r="H109" s="6" t="s">
        <v>705</v>
      </c>
      <c r="I109" s="6" t="s">
        <v>706</v>
      </c>
      <c r="J109" s="6" t="s">
        <v>707</v>
      </c>
      <c r="K109" s="6" t="s">
        <v>708</v>
      </c>
    </row>
    <row r="110" spans="1:11" ht="26.4" x14ac:dyDescent="0.3">
      <c r="A110" s="5">
        <v>105</v>
      </c>
      <c r="B110" s="5" t="s">
        <v>709</v>
      </c>
      <c r="C110" s="5" t="s">
        <v>473</v>
      </c>
      <c r="D110" s="5" t="s">
        <v>685</v>
      </c>
      <c r="E110" s="5" t="s">
        <v>86</v>
      </c>
      <c r="F110" s="5" t="s">
        <v>46</v>
      </c>
      <c r="G110" s="5" t="s">
        <v>710</v>
      </c>
      <c r="H110" s="5" t="s">
        <v>711</v>
      </c>
      <c r="I110" s="5" t="s">
        <v>712</v>
      </c>
      <c r="J110" s="5" t="s">
        <v>713</v>
      </c>
      <c r="K110" s="5" t="s">
        <v>714</v>
      </c>
    </row>
    <row r="111" spans="1:11" ht="26.4" x14ac:dyDescent="0.3">
      <c r="A111" s="6">
        <v>106</v>
      </c>
      <c r="B111" s="6" t="s">
        <v>715</v>
      </c>
      <c r="C111" s="6" t="s">
        <v>173</v>
      </c>
      <c r="D111" s="6" t="s">
        <v>716</v>
      </c>
      <c r="E111" s="6" t="s">
        <v>36</v>
      </c>
      <c r="F111" s="6" t="s">
        <v>46</v>
      </c>
      <c r="G111" s="6" t="s">
        <v>717</v>
      </c>
      <c r="H111" s="6" t="s">
        <v>718</v>
      </c>
      <c r="I111" s="6" t="s">
        <v>719</v>
      </c>
      <c r="J111" s="6" t="s">
        <v>720</v>
      </c>
      <c r="K111" s="6" t="s">
        <v>721</v>
      </c>
    </row>
    <row r="112" spans="1:11" ht="26.4" x14ac:dyDescent="0.3">
      <c r="A112" s="5">
        <v>107</v>
      </c>
      <c r="B112" s="5" t="s">
        <v>722</v>
      </c>
      <c r="C112" s="5" t="s">
        <v>106</v>
      </c>
      <c r="D112" s="5" t="s">
        <v>716</v>
      </c>
      <c r="E112" s="5" t="s">
        <v>36</v>
      </c>
      <c r="F112" s="5" t="s">
        <v>18</v>
      </c>
      <c r="G112" s="5" t="s">
        <v>723</v>
      </c>
      <c r="H112" s="5" t="s">
        <v>724</v>
      </c>
      <c r="I112" s="5" t="s">
        <v>725</v>
      </c>
      <c r="J112" s="5" t="s">
        <v>726</v>
      </c>
      <c r="K112" s="5" t="s">
        <v>727</v>
      </c>
    </row>
    <row r="113" spans="1:11" ht="26.4" x14ac:dyDescent="0.3">
      <c r="A113" s="6">
        <v>108</v>
      </c>
      <c r="B113" s="6" t="s">
        <v>728</v>
      </c>
      <c r="C113" s="6" t="s">
        <v>152</v>
      </c>
      <c r="D113" s="6" t="s">
        <v>716</v>
      </c>
      <c r="E113" s="6" t="s">
        <v>86</v>
      </c>
      <c r="F113" s="6" t="s">
        <v>46</v>
      </c>
      <c r="G113" s="6" t="s">
        <v>729</v>
      </c>
      <c r="H113" s="6" t="s">
        <v>730</v>
      </c>
      <c r="I113" s="6" t="s">
        <v>731</v>
      </c>
      <c r="J113" s="6" t="s">
        <v>732</v>
      </c>
      <c r="K113" s="6" t="s">
        <v>733</v>
      </c>
    </row>
    <row r="114" spans="1:11" ht="26.4" x14ac:dyDescent="0.3">
      <c r="A114" s="5">
        <v>109</v>
      </c>
      <c r="B114" s="5" t="s">
        <v>734</v>
      </c>
      <c r="C114" s="5" t="s">
        <v>152</v>
      </c>
      <c r="D114" s="5" t="s">
        <v>716</v>
      </c>
      <c r="E114" s="5" t="s">
        <v>86</v>
      </c>
      <c r="F114" s="5" t="s">
        <v>108</v>
      </c>
      <c r="G114" s="5" t="s">
        <v>735</v>
      </c>
      <c r="H114" s="5" t="s">
        <v>736</v>
      </c>
      <c r="I114" s="5" t="s">
        <v>737</v>
      </c>
      <c r="J114" s="5" t="s">
        <v>738</v>
      </c>
      <c r="K114" s="5" t="s">
        <v>739</v>
      </c>
    </row>
    <row r="115" spans="1:11" ht="26.4" x14ac:dyDescent="0.3">
      <c r="A115" s="6">
        <v>110</v>
      </c>
      <c r="B115" s="6" t="s">
        <v>740</v>
      </c>
      <c r="C115" s="6" t="s">
        <v>61</v>
      </c>
      <c r="D115" s="6" t="s">
        <v>716</v>
      </c>
      <c r="E115" s="6" t="s">
        <v>86</v>
      </c>
      <c r="F115" s="6" t="s">
        <v>63</v>
      </c>
      <c r="G115" s="6" t="s">
        <v>741</v>
      </c>
      <c r="H115" s="6" t="s">
        <v>742</v>
      </c>
      <c r="I115" s="6" t="s">
        <v>743</v>
      </c>
      <c r="J115" s="6" t="s">
        <v>744</v>
      </c>
      <c r="K115" s="6" t="s">
        <v>745</v>
      </c>
    </row>
    <row r="116" spans="1:11" ht="26.4" x14ac:dyDescent="0.3">
      <c r="A116" s="5">
        <v>111</v>
      </c>
      <c r="B116" s="5" t="s">
        <v>746</v>
      </c>
      <c r="C116" s="5" t="s">
        <v>173</v>
      </c>
      <c r="D116" s="5" t="s">
        <v>716</v>
      </c>
      <c r="E116" s="5" t="s">
        <v>17</v>
      </c>
      <c r="F116" s="5" t="s">
        <v>46</v>
      </c>
      <c r="G116" s="5" t="s">
        <v>747</v>
      </c>
      <c r="H116" s="5" t="s">
        <v>748</v>
      </c>
      <c r="I116" s="5" t="s">
        <v>749</v>
      </c>
      <c r="J116" s="5" t="s">
        <v>750</v>
      </c>
      <c r="K116" s="5" t="s">
        <v>751</v>
      </c>
    </row>
    <row r="117" spans="1:11" ht="26.4" x14ac:dyDescent="0.3">
      <c r="A117" s="6">
        <v>112</v>
      </c>
      <c r="B117" s="6" t="s">
        <v>752</v>
      </c>
      <c r="C117" s="6" t="s">
        <v>124</v>
      </c>
      <c r="D117" s="6" t="s">
        <v>716</v>
      </c>
      <c r="E117" s="6" t="s">
        <v>86</v>
      </c>
      <c r="F117" s="6" t="s">
        <v>46</v>
      </c>
      <c r="G117" s="6" t="s">
        <v>753</v>
      </c>
      <c r="H117" s="6" t="s">
        <v>754</v>
      </c>
      <c r="I117" s="6" t="s">
        <v>755</v>
      </c>
      <c r="J117" s="6" t="s">
        <v>756</v>
      </c>
      <c r="K117" s="6" t="s">
        <v>757</v>
      </c>
    </row>
    <row r="118" spans="1:11" ht="26.4" x14ac:dyDescent="0.3">
      <c r="A118" s="5">
        <v>113</v>
      </c>
      <c r="B118" s="5" t="s">
        <v>758</v>
      </c>
      <c r="C118" s="5" t="s">
        <v>173</v>
      </c>
      <c r="D118" s="5" t="s">
        <v>716</v>
      </c>
      <c r="E118" s="5" t="s">
        <v>86</v>
      </c>
      <c r="F118" s="5" t="s">
        <v>46</v>
      </c>
      <c r="G118" s="5" t="s">
        <v>759</v>
      </c>
      <c r="H118" s="5" t="s">
        <v>760</v>
      </c>
      <c r="I118" s="5" t="s">
        <v>761</v>
      </c>
      <c r="J118" s="5" t="s">
        <v>762</v>
      </c>
      <c r="K118" s="5" t="s">
        <v>763</v>
      </c>
    </row>
    <row r="119" spans="1:11" ht="26.4" x14ac:dyDescent="0.3">
      <c r="A119" s="6">
        <v>114</v>
      </c>
      <c r="B119" s="6" t="s">
        <v>764</v>
      </c>
      <c r="C119" s="6" t="s">
        <v>173</v>
      </c>
      <c r="D119" s="6" t="s">
        <v>716</v>
      </c>
      <c r="E119" s="6" t="s">
        <v>36</v>
      </c>
      <c r="F119" s="6" t="s">
        <v>46</v>
      </c>
      <c r="G119" s="6" t="s">
        <v>765</v>
      </c>
      <c r="H119" s="6" t="s">
        <v>766</v>
      </c>
      <c r="I119" s="6" t="s">
        <v>767</v>
      </c>
      <c r="J119" s="6" t="s">
        <v>768</v>
      </c>
      <c r="K119" s="6" t="s">
        <v>769</v>
      </c>
    </row>
    <row r="120" spans="1:11" ht="26.4" x14ac:dyDescent="0.3">
      <c r="A120" s="5">
        <v>115</v>
      </c>
      <c r="B120" s="5" t="s">
        <v>770</v>
      </c>
      <c r="C120" s="5" t="s">
        <v>152</v>
      </c>
      <c r="D120" s="5" t="s">
        <v>716</v>
      </c>
      <c r="E120" s="5" t="s">
        <v>86</v>
      </c>
      <c r="F120" s="5" t="s">
        <v>46</v>
      </c>
      <c r="G120" s="5" t="s">
        <v>771</v>
      </c>
      <c r="H120" s="5" t="s">
        <v>772</v>
      </c>
      <c r="I120" s="5" t="s">
        <v>773</v>
      </c>
      <c r="J120" s="5" t="s">
        <v>774</v>
      </c>
      <c r="K120" s="5" t="s">
        <v>775</v>
      </c>
    </row>
    <row r="121" spans="1:11" ht="26.4" x14ac:dyDescent="0.3">
      <c r="A121" s="6">
        <v>116</v>
      </c>
      <c r="B121" s="6" t="s">
        <v>776</v>
      </c>
      <c r="C121" s="6" t="s">
        <v>152</v>
      </c>
      <c r="D121" s="6" t="s">
        <v>716</v>
      </c>
      <c r="E121" s="6" t="s">
        <v>36</v>
      </c>
      <c r="F121" s="6" t="s">
        <v>108</v>
      </c>
      <c r="G121" s="6" t="s">
        <v>777</v>
      </c>
      <c r="H121" s="6" t="s">
        <v>778</v>
      </c>
      <c r="I121" s="6" t="s">
        <v>779</v>
      </c>
      <c r="J121" s="6" t="s">
        <v>780</v>
      </c>
      <c r="K121" s="6" t="s">
        <v>781</v>
      </c>
    </row>
    <row r="122" spans="1:11" ht="26.4" x14ac:dyDescent="0.3">
      <c r="A122" s="5">
        <v>117</v>
      </c>
      <c r="B122" s="5" t="s">
        <v>782</v>
      </c>
      <c r="C122" s="5" t="s">
        <v>480</v>
      </c>
      <c r="D122" s="5" t="s">
        <v>716</v>
      </c>
      <c r="E122" s="5" t="s">
        <v>86</v>
      </c>
      <c r="F122" s="5" t="s">
        <v>280</v>
      </c>
      <c r="G122" s="5" t="s">
        <v>783</v>
      </c>
      <c r="H122" s="5" t="s">
        <v>784</v>
      </c>
      <c r="I122" s="5" t="s">
        <v>785</v>
      </c>
      <c r="J122" s="5" t="s">
        <v>786</v>
      </c>
      <c r="K122" s="5" t="s">
        <v>787</v>
      </c>
    </row>
    <row r="123" spans="1:11" ht="26.4" x14ac:dyDescent="0.3">
      <c r="A123" s="6">
        <v>118</v>
      </c>
      <c r="B123" s="6" t="s">
        <v>788</v>
      </c>
      <c r="C123" s="6" t="s">
        <v>61</v>
      </c>
      <c r="D123" s="6" t="s">
        <v>716</v>
      </c>
      <c r="E123" s="6" t="s">
        <v>86</v>
      </c>
      <c r="F123" s="6" t="s">
        <v>63</v>
      </c>
      <c r="G123" s="6" t="s">
        <v>789</v>
      </c>
      <c r="H123" s="6" t="s">
        <v>790</v>
      </c>
      <c r="I123" s="6" t="s">
        <v>791</v>
      </c>
      <c r="J123" s="6" t="s">
        <v>792</v>
      </c>
      <c r="K123" s="6" t="s">
        <v>793</v>
      </c>
    </row>
    <row r="124" spans="1:11" ht="26.4" x14ac:dyDescent="0.3">
      <c r="A124" s="5">
        <v>119</v>
      </c>
      <c r="B124" s="5" t="s">
        <v>794</v>
      </c>
      <c r="C124" s="5" t="s">
        <v>106</v>
      </c>
      <c r="D124" s="5" t="s">
        <v>716</v>
      </c>
      <c r="E124" s="5" t="s">
        <v>36</v>
      </c>
      <c r="F124" s="5" t="s">
        <v>54</v>
      </c>
      <c r="G124" s="5" t="s">
        <v>795</v>
      </c>
      <c r="H124" s="5" t="s">
        <v>796</v>
      </c>
      <c r="I124" s="5" t="s">
        <v>797</v>
      </c>
      <c r="J124" s="5" t="s">
        <v>798</v>
      </c>
      <c r="K124" s="5" t="s">
        <v>799</v>
      </c>
    </row>
    <row r="125" spans="1:11" ht="26.4" x14ac:dyDescent="0.3">
      <c r="A125" s="6">
        <v>120</v>
      </c>
      <c r="B125" s="6" t="s">
        <v>800</v>
      </c>
      <c r="C125" s="6" t="s">
        <v>106</v>
      </c>
      <c r="D125" s="6" t="s">
        <v>716</v>
      </c>
      <c r="E125" s="6" t="s">
        <v>17</v>
      </c>
      <c r="F125" s="6" t="s">
        <v>117</v>
      </c>
      <c r="G125" s="6" t="s">
        <v>801</v>
      </c>
      <c r="H125" s="6" t="s">
        <v>802</v>
      </c>
      <c r="I125" s="6" t="s">
        <v>803</v>
      </c>
      <c r="J125" s="6" t="s">
        <v>804</v>
      </c>
      <c r="K125" s="6" t="s">
        <v>805</v>
      </c>
    </row>
    <row r="126" spans="1:11" ht="26.4" x14ac:dyDescent="0.3">
      <c r="A126" s="5">
        <v>121</v>
      </c>
      <c r="B126" s="5" t="s">
        <v>806</v>
      </c>
      <c r="C126" s="5" t="s">
        <v>152</v>
      </c>
      <c r="D126" s="5" t="s">
        <v>807</v>
      </c>
      <c r="E126" s="5" t="s">
        <v>86</v>
      </c>
      <c r="F126" s="5" t="s">
        <v>108</v>
      </c>
      <c r="G126" s="5" t="s">
        <v>808</v>
      </c>
      <c r="H126" s="5" t="s">
        <v>809</v>
      </c>
      <c r="I126" s="5" t="s">
        <v>810</v>
      </c>
      <c r="J126" s="5" t="s">
        <v>811</v>
      </c>
      <c r="K126" s="5" t="s">
        <v>812</v>
      </c>
    </row>
    <row r="127" spans="1:11" ht="26.4" x14ac:dyDescent="0.3">
      <c r="A127" s="6">
        <v>122</v>
      </c>
      <c r="B127" s="6" t="s">
        <v>813</v>
      </c>
      <c r="C127" s="6" t="s">
        <v>152</v>
      </c>
      <c r="D127" s="6" t="s">
        <v>807</v>
      </c>
      <c r="E127" s="6" t="s">
        <v>86</v>
      </c>
      <c r="F127" s="6" t="s">
        <v>46</v>
      </c>
      <c r="G127" s="6" t="s">
        <v>814</v>
      </c>
      <c r="H127" s="6" t="s">
        <v>815</v>
      </c>
      <c r="I127" s="6" t="s">
        <v>816</v>
      </c>
      <c r="J127" s="6" t="s">
        <v>817</v>
      </c>
      <c r="K127" s="6" t="s">
        <v>818</v>
      </c>
    </row>
    <row r="128" spans="1:11" ht="26.4" x14ac:dyDescent="0.3">
      <c r="A128" s="5">
        <v>123</v>
      </c>
      <c r="B128" s="5" t="s">
        <v>819</v>
      </c>
      <c r="C128" s="5" t="s">
        <v>152</v>
      </c>
      <c r="D128" s="5" t="s">
        <v>807</v>
      </c>
      <c r="E128" s="5" t="s">
        <v>86</v>
      </c>
      <c r="F128" s="5" t="s">
        <v>108</v>
      </c>
      <c r="G128" s="5" t="s">
        <v>820</v>
      </c>
      <c r="H128" s="5" t="s">
        <v>821</v>
      </c>
      <c r="I128" s="5" t="s">
        <v>822</v>
      </c>
      <c r="J128" s="5" t="s">
        <v>823</v>
      </c>
      <c r="K128" s="5" t="s">
        <v>824</v>
      </c>
    </row>
    <row r="129" spans="1:11" ht="26.4" x14ac:dyDescent="0.3">
      <c r="A129" s="6">
        <v>124</v>
      </c>
      <c r="B129" s="6" t="s">
        <v>825</v>
      </c>
      <c r="C129" s="6" t="s">
        <v>152</v>
      </c>
      <c r="D129" s="6" t="s">
        <v>826</v>
      </c>
      <c r="E129" s="6" t="s">
        <v>86</v>
      </c>
      <c r="F129" s="6" t="s">
        <v>108</v>
      </c>
      <c r="G129" s="6" t="s">
        <v>827</v>
      </c>
      <c r="H129" s="6" t="s">
        <v>828</v>
      </c>
      <c r="I129" s="6" t="s">
        <v>829</v>
      </c>
      <c r="J129" s="6" t="s">
        <v>830</v>
      </c>
      <c r="K129" s="6" t="s">
        <v>831</v>
      </c>
    </row>
    <row r="130" spans="1:11" ht="26.4" x14ac:dyDescent="0.3">
      <c r="A130" s="5">
        <v>125</v>
      </c>
      <c r="B130" s="5" t="s">
        <v>832</v>
      </c>
      <c r="C130" s="5" t="s">
        <v>152</v>
      </c>
      <c r="D130" s="5" t="s">
        <v>592</v>
      </c>
      <c r="E130" s="5" t="s">
        <v>36</v>
      </c>
      <c r="F130" s="5" t="s">
        <v>108</v>
      </c>
      <c r="G130" s="5" t="s">
        <v>833</v>
      </c>
      <c r="H130" s="5" t="s">
        <v>834</v>
      </c>
      <c r="I130" s="5" t="s">
        <v>835</v>
      </c>
      <c r="J130" s="5" t="s">
        <v>836</v>
      </c>
      <c r="K130" s="5" t="s">
        <v>837</v>
      </c>
    </row>
    <row r="131" spans="1:11" ht="26.4" x14ac:dyDescent="0.3">
      <c r="A131" s="6">
        <v>126</v>
      </c>
      <c r="B131" s="6" t="s">
        <v>838</v>
      </c>
      <c r="C131" s="6" t="s">
        <v>152</v>
      </c>
      <c r="D131" s="6" t="s">
        <v>623</v>
      </c>
      <c r="E131" s="6" t="s">
        <v>86</v>
      </c>
      <c r="F131" s="6" t="s">
        <v>108</v>
      </c>
      <c r="G131" s="6" t="s">
        <v>839</v>
      </c>
      <c r="H131" s="6" t="s">
        <v>840</v>
      </c>
      <c r="I131" s="6" t="s">
        <v>841</v>
      </c>
      <c r="J131" s="6" t="s">
        <v>842</v>
      </c>
      <c r="K131" s="6" t="s">
        <v>843</v>
      </c>
    </row>
    <row r="132" spans="1:11" ht="26.4" x14ac:dyDescent="0.3">
      <c r="A132" s="5">
        <v>127</v>
      </c>
      <c r="B132" s="5" t="s">
        <v>844</v>
      </c>
      <c r="C132" s="5" t="s">
        <v>152</v>
      </c>
      <c r="D132" s="5" t="s">
        <v>685</v>
      </c>
      <c r="E132" s="5" t="s">
        <v>86</v>
      </c>
      <c r="F132" s="5" t="s">
        <v>46</v>
      </c>
      <c r="G132" s="5" t="s">
        <v>845</v>
      </c>
      <c r="H132" s="5" t="s">
        <v>846</v>
      </c>
      <c r="I132" s="5" t="s">
        <v>847</v>
      </c>
      <c r="J132" s="5" t="s">
        <v>848</v>
      </c>
      <c r="K132" s="5" t="s">
        <v>849</v>
      </c>
    </row>
    <row r="133" spans="1:11" ht="26.4" x14ac:dyDescent="0.3">
      <c r="A133" s="6">
        <v>128</v>
      </c>
      <c r="B133" s="6" t="s">
        <v>850</v>
      </c>
      <c r="C133" s="6" t="s">
        <v>152</v>
      </c>
      <c r="D133" s="6" t="s">
        <v>529</v>
      </c>
      <c r="E133" s="6" t="s">
        <v>36</v>
      </c>
      <c r="F133" s="6" t="s">
        <v>108</v>
      </c>
      <c r="G133" s="6" t="s">
        <v>851</v>
      </c>
      <c r="H133" s="6" t="s">
        <v>852</v>
      </c>
      <c r="I133" s="6" t="s">
        <v>853</v>
      </c>
      <c r="J133" s="6" t="s">
        <v>854</v>
      </c>
      <c r="K133" s="6" t="s">
        <v>855</v>
      </c>
    </row>
    <row r="134" spans="1:11" ht="26.4" x14ac:dyDescent="0.3">
      <c r="A134" s="5">
        <v>129</v>
      </c>
      <c r="B134" s="5" t="s">
        <v>856</v>
      </c>
      <c r="C134" s="5" t="s">
        <v>152</v>
      </c>
      <c r="D134" s="5" t="s">
        <v>716</v>
      </c>
      <c r="E134" s="5" t="s">
        <v>86</v>
      </c>
      <c r="F134" s="5" t="s">
        <v>54</v>
      </c>
      <c r="G134" s="5" t="s">
        <v>857</v>
      </c>
      <c r="H134" s="5" t="s">
        <v>858</v>
      </c>
      <c r="I134" s="5" t="s">
        <v>859</v>
      </c>
      <c r="J134" s="5" t="s">
        <v>860</v>
      </c>
      <c r="K134" s="5" t="s">
        <v>861</v>
      </c>
    </row>
    <row r="135" spans="1:11" ht="26.4" x14ac:dyDescent="0.3">
      <c r="A135" s="6">
        <v>130</v>
      </c>
      <c r="B135" s="6" t="s">
        <v>862</v>
      </c>
      <c r="C135" s="6" t="s">
        <v>152</v>
      </c>
      <c r="D135" s="6" t="s">
        <v>807</v>
      </c>
      <c r="E135" s="6" t="s">
        <v>86</v>
      </c>
      <c r="F135" s="6" t="s">
        <v>46</v>
      </c>
      <c r="G135" s="6" t="s">
        <v>863</v>
      </c>
      <c r="H135" s="6" t="s">
        <v>864</v>
      </c>
      <c r="I135" s="6" t="s">
        <v>865</v>
      </c>
      <c r="J135" s="6" t="s">
        <v>866</v>
      </c>
      <c r="K135" s="6" t="s">
        <v>867</v>
      </c>
    </row>
    <row r="136" spans="1:11" ht="26.4" x14ac:dyDescent="0.3">
      <c r="A136" s="5">
        <v>131</v>
      </c>
      <c r="B136" s="5" t="s">
        <v>868</v>
      </c>
      <c r="C136" s="5" t="s">
        <v>61</v>
      </c>
      <c r="D136" s="5" t="s">
        <v>807</v>
      </c>
      <c r="E136" s="5" t="s">
        <v>86</v>
      </c>
      <c r="F136" s="5" t="s">
        <v>63</v>
      </c>
      <c r="G136" s="5" t="s">
        <v>869</v>
      </c>
      <c r="H136" s="5" t="s">
        <v>870</v>
      </c>
      <c r="I136" s="5" t="s">
        <v>871</v>
      </c>
      <c r="J136" s="5" t="s">
        <v>872</v>
      </c>
      <c r="K136" s="5" t="s">
        <v>873</v>
      </c>
    </row>
    <row r="137" spans="1:11" ht="26.4" x14ac:dyDescent="0.3">
      <c r="A137" s="6">
        <v>132</v>
      </c>
      <c r="B137" s="6" t="s">
        <v>874</v>
      </c>
      <c r="C137" s="6" t="s">
        <v>15</v>
      </c>
      <c r="D137" s="6" t="s">
        <v>807</v>
      </c>
      <c r="E137" s="6" t="s">
        <v>86</v>
      </c>
      <c r="F137" s="6" t="s">
        <v>280</v>
      </c>
      <c r="G137" s="6" t="s">
        <v>875</v>
      </c>
      <c r="H137" s="6" t="s">
        <v>876</v>
      </c>
      <c r="I137" s="6" t="s">
        <v>877</v>
      </c>
      <c r="J137" s="6" t="s">
        <v>878</v>
      </c>
      <c r="K137" s="6" t="s">
        <v>879</v>
      </c>
    </row>
    <row r="138" spans="1:11" ht="26.4" x14ac:dyDescent="0.3">
      <c r="A138" s="5">
        <v>133</v>
      </c>
      <c r="B138" s="5" t="s">
        <v>880</v>
      </c>
      <c r="C138" s="5" t="s">
        <v>61</v>
      </c>
      <c r="D138" s="5" t="s">
        <v>826</v>
      </c>
      <c r="E138" s="5" t="s">
        <v>86</v>
      </c>
      <c r="F138" s="5" t="s">
        <v>280</v>
      </c>
      <c r="G138" s="5" t="s">
        <v>881</v>
      </c>
      <c r="H138" s="5" t="s">
        <v>882</v>
      </c>
      <c r="I138" s="5" t="s">
        <v>883</v>
      </c>
      <c r="J138" s="5" t="s">
        <v>884</v>
      </c>
      <c r="K138" s="5" t="s">
        <v>885</v>
      </c>
    </row>
    <row r="139" spans="1:11" ht="26.4" x14ac:dyDescent="0.3">
      <c r="A139" s="6">
        <v>134</v>
      </c>
      <c r="B139" s="6" t="s">
        <v>886</v>
      </c>
      <c r="C139" s="6" t="s">
        <v>473</v>
      </c>
      <c r="D139" s="6" t="s">
        <v>826</v>
      </c>
      <c r="E139" s="6" t="s">
        <v>86</v>
      </c>
      <c r="F139" s="6" t="s">
        <v>18</v>
      </c>
      <c r="G139" s="6" t="s">
        <v>887</v>
      </c>
      <c r="H139" s="6" t="s">
        <v>888</v>
      </c>
      <c r="I139" s="6" t="s">
        <v>889</v>
      </c>
      <c r="J139" s="6" t="s">
        <v>890</v>
      </c>
      <c r="K139" s="6" t="s">
        <v>891</v>
      </c>
    </row>
    <row r="140" spans="1:11" ht="26.4" x14ac:dyDescent="0.3">
      <c r="A140" s="5">
        <v>135</v>
      </c>
      <c r="B140" s="5" t="s">
        <v>892</v>
      </c>
      <c r="C140" s="5" t="s">
        <v>15</v>
      </c>
      <c r="D140" s="5" t="s">
        <v>826</v>
      </c>
      <c r="E140" s="5" t="s">
        <v>86</v>
      </c>
      <c r="F140" s="5" t="s">
        <v>63</v>
      </c>
      <c r="G140" s="5" t="s">
        <v>893</v>
      </c>
      <c r="H140" s="5" t="s">
        <v>894</v>
      </c>
      <c r="I140" s="5" t="s">
        <v>895</v>
      </c>
      <c r="J140" s="5" t="s">
        <v>896</v>
      </c>
      <c r="K140" s="5" t="s">
        <v>897</v>
      </c>
    </row>
    <row r="141" spans="1:11" ht="26.4" x14ac:dyDescent="0.3">
      <c r="A141" s="6">
        <v>136</v>
      </c>
      <c r="B141" s="6" t="s">
        <v>898</v>
      </c>
      <c r="C141" s="6" t="s">
        <v>106</v>
      </c>
      <c r="D141" s="6" t="s">
        <v>826</v>
      </c>
      <c r="E141" s="6" t="s">
        <v>17</v>
      </c>
      <c r="F141" s="6" t="s">
        <v>72</v>
      </c>
      <c r="G141" s="6" t="s">
        <v>899</v>
      </c>
      <c r="H141" s="6" t="s">
        <v>900</v>
      </c>
      <c r="I141" s="6" t="s">
        <v>901</v>
      </c>
      <c r="J141" s="6" t="s">
        <v>902</v>
      </c>
      <c r="K141" s="6" t="s">
        <v>903</v>
      </c>
    </row>
    <row r="142" spans="1:11" ht="39.6" x14ac:dyDescent="0.3">
      <c r="A142" s="5">
        <v>137</v>
      </c>
      <c r="B142" s="5" t="s">
        <v>904</v>
      </c>
      <c r="C142" s="5" t="s">
        <v>61</v>
      </c>
      <c r="D142" s="5" t="s">
        <v>826</v>
      </c>
      <c r="E142" s="5" t="s">
        <v>86</v>
      </c>
      <c r="F142" s="5" t="s">
        <v>905</v>
      </c>
      <c r="G142" s="5" t="s">
        <v>906</v>
      </c>
      <c r="H142" s="5" t="s">
        <v>907</v>
      </c>
      <c r="I142" s="5" t="s">
        <v>908</v>
      </c>
      <c r="J142" s="5" t="s">
        <v>909</v>
      </c>
      <c r="K142" s="5" t="s">
        <v>910</v>
      </c>
    </row>
    <row r="143" spans="1:11" ht="26.4" x14ac:dyDescent="0.3">
      <c r="A143" s="6">
        <v>138</v>
      </c>
      <c r="B143" s="6" t="s">
        <v>911</v>
      </c>
      <c r="C143" s="6" t="s">
        <v>44</v>
      </c>
      <c r="D143" s="6" t="s">
        <v>826</v>
      </c>
      <c r="E143" s="6" t="s">
        <v>86</v>
      </c>
      <c r="F143" s="6" t="s">
        <v>280</v>
      </c>
      <c r="G143" s="6" t="s">
        <v>912</v>
      </c>
      <c r="H143" s="6" t="s">
        <v>913</v>
      </c>
      <c r="I143" s="6" t="s">
        <v>914</v>
      </c>
      <c r="J143" s="6" t="s">
        <v>915</v>
      </c>
      <c r="K143" s="6" t="s">
        <v>916</v>
      </c>
    </row>
    <row r="144" spans="1:11" ht="26.4" x14ac:dyDescent="0.3">
      <c r="A144" s="5">
        <v>139</v>
      </c>
      <c r="B144" s="5" t="s">
        <v>917</v>
      </c>
      <c r="C144" s="5" t="s">
        <v>401</v>
      </c>
      <c r="D144" s="5" t="s">
        <v>826</v>
      </c>
      <c r="E144" s="5" t="s">
        <v>36</v>
      </c>
      <c r="F144" s="5" t="s">
        <v>46</v>
      </c>
      <c r="G144" s="5" t="s">
        <v>918</v>
      </c>
      <c r="H144" s="5" t="s">
        <v>919</v>
      </c>
      <c r="I144" s="5" t="s">
        <v>920</v>
      </c>
      <c r="J144" s="5" t="s">
        <v>921</v>
      </c>
      <c r="K144" s="5" t="s">
        <v>922</v>
      </c>
    </row>
    <row r="145" spans="1:11" ht="26.4" x14ac:dyDescent="0.3">
      <c r="A145" s="6">
        <v>140</v>
      </c>
      <c r="B145" s="6" t="s">
        <v>923</v>
      </c>
      <c r="C145" s="6" t="s">
        <v>106</v>
      </c>
      <c r="D145" s="6" t="s">
        <v>826</v>
      </c>
      <c r="E145" s="6" t="s">
        <v>36</v>
      </c>
      <c r="F145" s="6" t="s">
        <v>46</v>
      </c>
      <c r="G145" s="6" t="s">
        <v>924</v>
      </c>
      <c r="H145" s="6" t="s">
        <v>925</v>
      </c>
      <c r="I145" s="6" t="s">
        <v>926</v>
      </c>
      <c r="J145" s="6" t="s">
        <v>927</v>
      </c>
      <c r="K145" s="6" t="s">
        <v>928</v>
      </c>
    </row>
    <row r="146" spans="1:11" ht="26.4" x14ac:dyDescent="0.3">
      <c r="A146" s="5">
        <v>141</v>
      </c>
      <c r="B146" s="5" t="s">
        <v>929</v>
      </c>
      <c r="C146" s="5" t="s">
        <v>34</v>
      </c>
      <c r="D146" s="5" t="s">
        <v>826</v>
      </c>
      <c r="E146" s="5" t="s">
        <v>86</v>
      </c>
      <c r="F146" s="5" t="s">
        <v>37</v>
      </c>
      <c r="G146" s="5" t="s">
        <v>930</v>
      </c>
      <c r="H146" s="5" t="s">
        <v>931</v>
      </c>
      <c r="I146" s="5" t="s">
        <v>932</v>
      </c>
      <c r="J146" s="5" t="s">
        <v>933</v>
      </c>
      <c r="K146" s="5" t="s">
        <v>934</v>
      </c>
    </row>
    <row r="147" spans="1:11" ht="26.4" x14ac:dyDescent="0.3">
      <c r="A147" s="6">
        <v>142</v>
      </c>
      <c r="B147" s="6" t="s">
        <v>935</v>
      </c>
      <c r="C147" s="6" t="s">
        <v>173</v>
      </c>
      <c r="D147" s="6" t="s">
        <v>826</v>
      </c>
      <c r="E147" s="6" t="s">
        <v>86</v>
      </c>
      <c r="F147" s="6" t="s">
        <v>166</v>
      </c>
      <c r="G147" s="6" t="s">
        <v>936</v>
      </c>
      <c r="H147" s="6" t="s">
        <v>937</v>
      </c>
      <c r="I147" s="6" t="s">
        <v>938</v>
      </c>
      <c r="J147" s="6" t="s">
        <v>939</v>
      </c>
      <c r="K147" s="6" t="s">
        <v>940</v>
      </c>
    </row>
    <row r="148" spans="1:11" ht="26.4" x14ac:dyDescent="0.3">
      <c r="A148" s="5">
        <v>143</v>
      </c>
      <c r="B148" s="5" t="s">
        <v>941</v>
      </c>
      <c r="C148" s="5" t="s">
        <v>414</v>
      </c>
      <c r="D148" s="5" t="s">
        <v>826</v>
      </c>
      <c r="E148" s="5" t="s">
        <v>86</v>
      </c>
      <c r="F148" s="5" t="s">
        <v>54</v>
      </c>
      <c r="G148" s="5" t="s">
        <v>942</v>
      </c>
      <c r="H148" s="5" t="s">
        <v>943</v>
      </c>
      <c r="I148" s="5" t="s">
        <v>944</v>
      </c>
      <c r="J148" s="5" t="s">
        <v>945</v>
      </c>
      <c r="K148" s="5" t="s">
        <v>946</v>
      </c>
    </row>
    <row r="149" spans="1:11" ht="26.4" x14ac:dyDescent="0.3">
      <c r="A149" s="6">
        <v>144</v>
      </c>
      <c r="B149" s="6" t="s">
        <v>947</v>
      </c>
      <c r="C149" s="6" t="s">
        <v>173</v>
      </c>
      <c r="D149" s="6" t="s">
        <v>826</v>
      </c>
      <c r="E149" s="6" t="s">
        <v>86</v>
      </c>
      <c r="F149" s="6" t="s">
        <v>18</v>
      </c>
      <c r="G149" s="6" t="s">
        <v>948</v>
      </c>
      <c r="H149" s="6" t="s">
        <v>949</v>
      </c>
      <c r="I149" s="6" t="s">
        <v>950</v>
      </c>
      <c r="J149" s="6" t="s">
        <v>951</v>
      </c>
      <c r="K149" s="6" t="s">
        <v>952</v>
      </c>
    </row>
    <row r="150" spans="1:11" ht="26.4" x14ac:dyDescent="0.3">
      <c r="A150" s="5">
        <v>145</v>
      </c>
      <c r="B150" s="5" t="s">
        <v>953</v>
      </c>
      <c r="C150" s="5" t="s">
        <v>124</v>
      </c>
      <c r="D150" s="5" t="s">
        <v>826</v>
      </c>
      <c r="E150" s="5" t="s">
        <v>86</v>
      </c>
      <c r="F150" s="5" t="s">
        <v>280</v>
      </c>
      <c r="G150" s="5" t="s">
        <v>954</v>
      </c>
      <c r="H150" s="5" t="s">
        <v>955</v>
      </c>
      <c r="I150" s="5" t="s">
        <v>956</v>
      </c>
      <c r="J150" s="5" t="s">
        <v>957</v>
      </c>
      <c r="K150" s="5" t="s">
        <v>958</v>
      </c>
    </row>
    <row r="151" spans="1:11" ht="26.4" x14ac:dyDescent="0.3">
      <c r="A151" s="6">
        <v>146</v>
      </c>
      <c r="B151" s="6" t="s">
        <v>959</v>
      </c>
      <c r="C151" s="6" t="s">
        <v>152</v>
      </c>
      <c r="D151" s="6" t="s">
        <v>826</v>
      </c>
      <c r="E151" s="6" t="s">
        <v>86</v>
      </c>
      <c r="F151" s="6" t="s">
        <v>54</v>
      </c>
      <c r="G151" s="6" t="s">
        <v>960</v>
      </c>
      <c r="H151" s="6" t="s">
        <v>961</v>
      </c>
      <c r="I151" s="6" t="s">
        <v>962</v>
      </c>
      <c r="J151" s="6" t="s">
        <v>963</v>
      </c>
      <c r="K151" s="6" t="s">
        <v>964</v>
      </c>
    </row>
    <row r="152" spans="1:11" ht="26.4" x14ac:dyDescent="0.3">
      <c r="A152" s="5">
        <v>147</v>
      </c>
      <c r="B152" s="5" t="s">
        <v>965</v>
      </c>
      <c r="C152" s="5" t="s">
        <v>152</v>
      </c>
      <c r="D152" s="5" t="s">
        <v>826</v>
      </c>
      <c r="E152" s="5" t="s">
        <v>36</v>
      </c>
      <c r="F152" s="5" t="s">
        <v>201</v>
      </c>
      <c r="G152" s="5" t="s">
        <v>966</v>
      </c>
      <c r="H152" s="5" t="s">
        <v>967</v>
      </c>
      <c r="I152" s="5" t="s">
        <v>968</v>
      </c>
      <c r="J152" s="5" t="s">
        <v>969</v>
      </c>
      <c r="K152" s="5" t="s">
        <v>970</v>
      </c>
    </row>
    <row r="153" spans="1:11" ht="26.4" x14ac:dyDescent="0.3">
      <c r="A153" s="6">
        <v>148</v>
      </c>
      <c r="B153" s="6" t="s">
        <v>971</v>
      </c>
      <c r="C153" s="6" t="s">
        <v>152</v>
      </c>
      <c r="D153" s="6" t="s">
        <v>623</v>
      </c>
      <c r="E153" s="6" t="s">
        <v>86</v>
      </c>
      <c r="F153" s="6" t="s">
        <v>54</v>
      </c>
      <c r="G153" s="6" t="s">
        <v>972</v>
      </c>
      <c r="H153" s="6" t="s">
        <v>973</v>
      </c>
      <c r="I153" s="6" t="s">
        <v>974</v>
      </c>
      <c r="J153" s="6" t="s">
        <v>975</v>
      </c>
      <c r="K153" s="6" t="s">
        <v>976</v>
      </c>
    </row>
    <row r="154" spans="1:11" ht="26.4" x14ac:dyDescent="0.3">
      <c r="A154" s="5">
        <v>149</v>
      </c>
      <c r="B154" s="5" t="s">
        <v>977</v>
      </c>
      <c r="C154" s="5" t="s">
        <v>44</v>
      </c>
      <c r="D154" s="5" t="s">
        <v>716</v>
      </c>
      <c r="E154" s="5" t="s">
        <v>86</v>
      </c>
      <c r="F154" s="5" t="s">
        <v>72</v>
      </c>
      <c r="G154" s="5" t="s">
        <v>978</v>
      </c>
      <c r="H154" s="5" t="s">
        <v>979</v>
      </c>
      <c r="I154" s="5" t="s">
        <v>980</v>
      </c>
      <c r="J154" s="5" t="s">
        <v>981</v>
      </c>
      <c r="K154" s="5" t="s">
        <v>982</v>
      </c>
    </row>
    <row r="155" spans="1:11" ht="26.4" x14ac:dyDescent="0.3">
      <c r="A155" s="6">
        <v>150</v>
      </c>
      <c r="B155" s="6" t="s">
        <v>983</v>
      </c>
      <c r="C155" s="6" t="s">
        <v>61</v>
      </c>
      <c r="D155" s="6" t="s">
        <v>826</v>
      </c>
      <c r="E155" s="6" t="s">
        <v>86</v>
      </c>
      <c r="F155" s="6" t="s">
        <v>63</v>
      </c>
      <c r="G155" s="6" t="s">
        <v>984</v>
      </c>
      <c r="H155" s="6" t="s">
        <v>985</v>
      </c>
      <c r="I155" s="6" t="s">
        <v>986</v>
      </c>
      <c r="J155" s="6" t="s">
        <v>987</v>
      </c>
      <c r="K155" s="6" t="s">
        <v>988</v>
      </c>
    </row>
    <row r="156" spans="1:11" ht="26.4" x14ac:dyDescent="0.3">
      <c r="A156" s="5">
        <v>151</v>
      </c>
      <c r="B156" s="5" t="s">
        <v>989</v>
      </c>
      <c r="C156" s="5" t="s">
        <v>106</v>
      </c>
      <c r="D156" s="5" t="s">
        <v>990</v>
      </c>
      <c r="E156" s="5" t="s">
        <v>36</v>
      </c>
      <c r="F156" s="5" t="s">
        <v>54</v>
      </c>
      <c r="G156" s="5" t="s">
        <v>991</v>
      </c>
      <c r="H156" s="5" t="s">
        <v>992</v>
      </c>
      <c r="I156" s="5" t="s">
        <v>993</v>
      </c>
      <c r="J156" s="5" t="s">
        <v>994</v>
      </c>
      <c r="K156" s="5" t="s">
        <v>995</v>
      </c>
    </row>
    <row r="157" spans="1:11" ht="26.4" x14ac:dyDescent="0.3">
      <c r="A157" s="6">
        <v>152</v>
      </c>
      <c r="B157" s="6" t="s">
        <v>996</v>
      </c>
      <c r="C157" s="6" t="s">
        <v>124</v>
      </c>
      <c r="D157" s="6" t="s">
        <v>716</v>
      </c>
      <c r="E157" s="6" t="s">
        <v>86</v>
      </c>
      <c r="F157" s="6" t="s">
        <v>46</v>
      </c>
      <c r="G157" s="6" t="s">
        <v>997</v>
      </c>
      <c r="H157" s="6" t="s">
        <v>998</v>
      </c>
      <c r="I157" s="6" t="s">
        <v>999</v>
      </c>
      <c r="J157" s="6" t="s">
        <v>1000</v>
      </c>
      <c r="K157" s="6" t="s">
        <v>1001</v>
      </c>
    </row>
    <row r="158" spans="1:11" ht="26.4" x14ac:dyDescent="0.3">
      <c r="A158" s="5">
        <v>153</v>
      </c>
      <c r="B158" s="5" t="s">
        <v>1002</v>
      </c>
      <c r="C158" s="5" t="s">
        <v>473</v>
      </c>
      <c r="D158" s="5" t="s">
        <v>990</v>
      </c>
      <c r="E158" s="5" t="s">
        <v>86</v>
      </c>
      <c r="F158" s="5" t="s">
        <v>337</v>
      </c>
      <c r="G158" s="5" t="s">
        <v>1003</v>
      </c>
      <c r="H158" s="5" t="s">
        <v>1004</v>
      </c>
      <c r="I158" s="5" t="s">
        <v>1005</v>
      </c>
      <c r="J158" s="5" t="s">
        <v>1006</v>
      </c>
      <c r="K158" s="5" t="s">
        <v>1007</v>
      </c>
    </row>
    <row r="159" spans="1:11" ht="26.4" x14ac:dyDescent="0.3">
      <c r="A159" s="6">
        <v>154</v>
      </c>
      <c r="B159" s="6" t="s">
        <v>1008</v>
      </c>
      <c r="C159" s="6" t="s">
        <v>15</v>
      </c>
      <c r="D159" s="6" t="s">
        <v>990</v>
      </c>
      <c r="E159" s="6" t="s">
        <v>86</v>
      </c>
      <c r="F159" s="6" t="s">
        <v>63</v>
      </c>
      <c r="G159" s="6" t="s">
        <v>1009</v>
      </c>
      <c r="H159" s="6" t="s">
        <v>1010</v>
      </c>
      <c r="I159" s="6" t="s">
        <v>1011</v>
      </c>
      <c r="J159" s="6" t="s">
        <v>1012</v>
      </c>
      <c r="K159" s="6" t="s">
        <v>1013</v>
      </c>
    </row>
    <row r="160" spans="1:11" ht="26.4" x14ac:dyDescent="0.3">
      <c r="A160" s="5">
        <v>155</v>
      </c>
      <c r="B160" s="5" t="s">
        <v>1014</v>
      </c>
      <c r="C160" s="5" t="s">
        <v>61</v>
      </c>
      <c r="D160" s="5" t="s">
        <v>990</v>
      </c>
      <c r="E160" s="5" t="s">
        <v>86</v>
      </c>
      <c r="F160" s="5" t="s">
        <v>280</v>
      </c>
      <c r="G160" s="5" t="s">
        <v>1015</v>
      </c>
      <c r="H160" s="5" t="s">
        <v>1016</v>
      </c>
      <c r="I160" s="5" t="s">
        <v>1017</v>
      </c>
      <c r="J160" s="5" t="s">
        <v>1018</v>
      </c>
      <c r="K160" s="5" t="s">
        <v>1019</v>
      </c>
    </row>
    <row r="161" spans="1:11" ht="26.4" x14ac:dyDescent="0.3">
      <c r="A161" s="6">
        <v>156</v>
      </c>
      <c r="B161" s="6" t="s">
        <v>1020</v>
      </c>
      <c r="C161" s="6" t="s">
        <v>124</v>
      </c>
      <c r="D161" s="6" t="s">
        <v>990</v>
      </c>
      <c r="E161" s="6" t="s">
        <v>86</v>
      </c>
      <c r="F161" s="6" t="s">
        <v>46</v>
      </c>
      <c r="G161" s="6" t="s">
        <v>1021</v>
      </c>
      <c r="H161" s="6" t="s">
        <v>1022</v>
      </c>
      <c r="I161" s="6" t="s">
        <v>1023</v>
      </c>
      <c r="J161" s="6" t="s">
        <v>1024</v>
      </c>
      <c r="K161" s="6" t="s">
        <v>1025</v>
      </c>
    </row>
    <row r="162" spans="1:11" ht="39.6" x14ac:dyDescent="0.3">
      <c r="A162" s="5">
        <v>157</v>
      </c>
      <c r="B162" s="5" t="s">
        <v>1026</v>
      </c>
      <c r="C162" s="5" t="s">
        <v>173</v>
      </c>
      <c r="D162" s="5" t="s">
        <v>716</v>
      </c>
      <c r="E162" s="5" t="s">
        <v>86</v>
      </c>
      <c r="F162" s="5" t="s">
        <v>72</v>
      </c>
      <c r="G162" s="5" t="s">
        <v>1027</v>
      </c>
      <c r="H162" s="5" t="s">
        <v>1028</v>
      </c>
      <c r="I162" s="5" t="s">
        <v>1029</v>
      </c>
      <c r="J162" s="5" t="s">
        <v>1030</v>
      </c>
      <c r="K162" s="5" t="s">
        <v>1031</v>
      </c>
    </row>
    <row r="163" spans="1:11" ht="26.4" x14ac:dyDescent="0.3">
      <c r="A163" s="6">
        <v>158</v>
      </c>
      <c r="B163" s="6" t="s">
        <v>1032</v>
      </c>
      <c r="C163" s="6" t="s">
        <v>1033</v>
      </c>
      <c r="D163" s="6" t="s">
        <v>826</v>
      </c>
      <c r="E163" s="6" t="s">
        <v>86</v>
      </c>
      <c r="F163" s="6" t="s">
        <v>280</v>
      </c>
      <c r="G163" s="6" t="s">
        <v>1034</v>
      </c>
      <c r="H163" s="6" t="s">
        <v>1035</v>
      </c>
      <c r="I163" s="6" t="s">
        <v>1036</v>
      </c>
      <c r="J163" s="6" t="s">
        <v>1037</v>
      </c>
      <c r="K163" s="6" t="s">
        <v>1038</v>
      </c>
    </row>
    <row r="164" spans="1:11" ht="26.4" x14ac:dyDescent="0.3">
      <c r="A164" s="5">
        <v>159</v>
      </c>
      <c r="B164" s="5" t="s">
        <v>1039</v>
      </c>
      <c r="C164" s="5" t="s">
        <v>106</v>
      </c>
      <c r="D164" s="5" t="s">
        <v>990</v>
      </c>
      <c r="E164" s="5" t="s">
        <v>86</v>
      </c>
      <c r="F164" s="5" t="s">
        <v>46</v>
      </c>
      <c r="G164" s="5" t="s">
        <v>1040</v>
      </c>
      <c r="H164" s="5" t="s">
        <v>1041</v>
      </c>
      <c r="I164" s="5" t="s">
        <v>1042</v>
      </c>
      <c r="J164" s="5" t="s">
        <v>1043</v>
      </c>
      <c r="K164" s="5" t="s">
        <v>1044</v>
      </c>
    </row>
    <row r="165" spans="1:11" ht="39.6" x14ac:dyDescent="0.3">
      <c r="A165" s="6">
        <v>160</v>
      </c>
      <c r="B165" s="6" t="s">
        <v>1045</v>
      </c>
      <c r="C165" s="6" t="s">
        <v>115</v>
      </c>
      <c r="D165" s="6" t="s">
        <v>826</v>
      </c>
      <c r="E165" s="6" t="s">
        <v>36</v>
      </c>
      <c r="F165" s="6" t="s">
        <v>18</v>
      </c>
      <c r="G165" s="6" t="s">
        <v>1046</v>
      </c>
      <c r="H165" s="6" t="s">
        <v>1047</v>
      </c>
      <c r="I165" s="6" t="s">
        <v>1048</v>
      </c>
      <c r="J165" s="6" t="s">
        <v>1049</v>
      </c>
      <c r="K165" s="6" t="s">
        <v>1050</v>
      </c>
    </row>
    <row r="166" spans="1:11" ht="26.4" x14ac:dyDescent="0.3">
      <c r="A166" s="5">
        <v>161</v>
      </c>
      <c r="B166" s="5" t="s">
        <v>1051</v>
      </c>
      <c r="C166" s="5" t="s">
        <v>173</v>
      </c>
      <c r="D166" s="5" t="s">
        <v>826</v>
      </c>
      <c r="E166" s="5" t="s">
        <v>86</v>
      </c>
      <c r="F166" s="5" t="s">
        <v>46</v>
      </c>
      <c r="G166" s="5" t="s">
        <v>1052</v>
      </c>
      <c r="H166" s="5" t="s">
        <v>1053</v>
      </c>
      <c r="I166" s="5" t="s">
        <v>1054</v>
      </c>
      <c r="J166" s="5" t="s">
        <v>1055</v>
      </c>
      <c r="K166" s="5" t="s">
        <v>1056</v>
      </c>
    </row>
    <row r="167" spans="1:11" ht="26.4" x14ac:dyDescent="0.3">
      <c r="A167" s="6">
        <v>162</v>
      </c>
      <c r="B167" s="6" t="s">
        <v>1057</v>
      </c>
      <c r="C167" s="6" t="s">
        <v>1033</v>
      </c>
      <c r="D167" s="6" t="s">
        <v>990</v>
      </c>
      <c r="E167" s="6" t="s">
        <v>86</v>
      </c>
      <c r="F167" s="6" t="s">
        <v>280</v>
      </c>
      <c r="G167" s="6" t="s">
        <v>1058</v>
      </c>
      <c r="H167" s="6" t="s">
        <v>1059</v>
      </c>
      <c r="I167" s="6" t="s">
        <v>1060</v>
      </c>
      <c r="J167" s="6" t="s">
        <v>1061</v>
      </c>
      <c r="K167" s="6" t="s">
        <v>1062</v>
      </c>
    </row>
    <row r="168" spans="1:11" ht="26.4" x14ac:dyDescent="0.3">
      <c r="A168" s="5">
        <v>163</v>
      </c>
      <c r="B168" s="5" t="s">
        <v>1063</v>
      </c>
      <c r="C168" s="5" t="s">
        <v>401</v>
      </c>
      <c r="D168" s="5" t="s">
        <v>826</v>
      </c>
      <c r="E168" s="5" t="s">
        <v>36</v>
      </c>
      <c r="F168" s="5" t="s">
        <v>280</v>
      </c>
      <c r="G168" s="5" t="s">
        <v>1064</v>
      </c>
      <c r="H168" s="5" t="s">
        <v>1065</v>
      </c>
      <c r="I168" s="5" t="s">
        <v>1066</v>
      </c>
      <c r="J168" s="5" t="s">
        <v>1067</v>
      </c>
      <c r="K168" s="5" t="s">
        <v>1068</v>
      </c>
    </row>
    <row r="169" spans="1:11" ht="26.4" x14ac:dyDescent="0.3">
      <c r="A169" s="6">
        <v>164</v>
      </c>
      <c r="B169" s="6" t="s">
        <v>1069</v>
      </c>
      <c r="C169" s="6" t="s">
        <v>124</v>
      </c>
      <c r="D169" s="6" t="s">
        <v>826</v>
      </c>
      <c r="E169" s="6" t="s">
        <v>86</v>
      </c>
      <c r="F169" s="6" t="s">
        <v>46</v>
      </c>
      <c r="G169" s="6" t="s">
        <v>1070</v>
      </c>
      <c r="H169" s="6" t="s">
        <v>1071</v>
      </c>
      <c r="I169" s="6" t="s">
        <v>1072</v>
      </c>
      <c r="J169" s="6" t="s">
        <v>1073</v>
      </c>
      <c r="K169" s="6" t="s">
        <v>1074</v>
      </c>
    </row>
    <row r="170" spans="1:11" ht="26.4" x14ac:dyDescent="0.3">
      <c r="A170" s="5">
        <v>165</v>
      </c>
      <c r="B170" s="5" t="s">
        <v>1075</v>
      </c>
      <c r="C170" s="5" t="s">
        <v>173</v>
      </c>
      <c r="D170" s="5" t="s">
        <v>990</v>
      </c>
      <c r="E170" s="5" t="s">
        <v>36</v>
      </c>
      <c r="F170" s="5" t="s">
        <v>46</v>
      </c>
      <c r="G170" s="5" t="s">
        <v>1076</v>
      </c>
      <c r="H170" s="5" t="s">
        <v>1077</v>
      </c>
      <c r="I170" s="5" t="s">
        <v>1078</v>
      </c>
      <c r="J170" s="5" t="s">
        <v>1079</v>
      </c>
      <c r="K170" s="5" t="s">
        <v>1080</v>
      </c>
    </row>
    <row r="171" spans="1:11" ht="26.4" x14ac:dyDescent="0.3">
      <c r="A171" s="6">
        <v>166</v>
      </c>
      <c r="B171" s="6" t="s">
        <v>1081</v>
      </c>
      <c r="C171" s="6" t="s">
        <v>34</v>
      </c>
      <c r="D171" s="6" t="s">
        <v>716</v>
      </c>
      <c r="E171" s="6" t="s">
        <v>86</v>
      </c>
      <c r="F171" s="6" t="s">
        <v>72</v>
      </c>
      <c r="G171" s="6" t="s">
        <v>1082</v>
      </c>
      <c r="H171" s="6" t="s">
        <v>1083</v>
      </c>
      <c r="I171" s="6" t="s">
        <v>1084</v>
      </c>
      <c r="J171" s="6" t="s">
        <v>1085</v>
      </c>
      <c r="K171" s="6" t="s">
        <v>1086</v>
      </c>
    </row>
    <row r="172" spans="1:11" ht="26.4" x14ac:dyDescent="0.3">
      <c r="A172" s="5">
        <v>167</v>
      </c>
      <c r="B172" s="5" t="s">
        <v>1087</v>
      </c>
      <c r="C172" s="5" t="s">
        <v>1088</v>
      </c>
      <c r="D172" s="5" t="s">
        <v>623</v>
      </c>
      <c r="E172" s="5" t="s">
        <v>86</v>
      </c>
      <c r="F172" s="5" t="s">
        <v>37</v>
      </c>
      <c r="G172" s="5" t="s">
        <v>1089</v>
      </c>
      <c r="H172" s="5" t="s">
        <v>1090</v>
      </c>
      <c r="I172" s="5" t="s">
        <v>1091</v>
      </c>
      <c r="J172" s="5" t="s">
        <v>1092</v>
      </c>
      <c r="K172" s="5" t="s">
        <v>1093</v>
      </c>
    </row>
    <row r="173" spans="1:11" ht="26.4" x14ac:dyDescent="0.3">
      <c r="A173" s="6">
        <v>168</v>
      </c>
      <c r="B173" s="6" t="s">
        <v>1094</v>
      </c>
      <c r="C173" s="6" t="s">
        <v>106</v>
      </c>
      <c r="D173" s="6" t="s">
        <v>716</v>
      </c>
      <c r="E173" s="6" t="s">
        <v>17</v>
      </c>
      <c r="F173" s="6" t="s">
        <v>18</v>
      </c>
      <c r="G173" s="6" t="s">
        <v>1095</v>
      </c>
      <c r="H173" s="6" t="s">
        <v>1096</v>
      </c>
      <c r="I173" s="6" t="s">
        <v>1097</v>
      </c>
      <c r="J173" s="6" t="s">
        <v>1098</v>
      </c>
      <c r="K173" s="6" t="s">
        <v>1099</v>
      </c>
    </row>
    <row r="174" spans="1:11" ht="26.4" x14ac:dyDescent="0.3">
      <c r="A174" s="5">
        <v>169</v>
      </c>
      <c r="B174" s="5" t="s">
        <v>1100</v>
      </c>
      <c r="C174" s="5" t="s">
        <v>106</v>
      </c>
      <c r="D174" s="5" t="s">
        <v>716</v>
      </c>
      <c r="E174" s="5" t="s">
        <v>36</v>
      </c>
      <c r="F174" s="5" t="s">
        <v>117</v>
      </c>
      <c r="G174" s="5" t="s">
        <v>1101</v>
      </c>
      <c r="H174" s="5" t="s">
        <v>1102</v>
      </c>
      <c r="I174" s="5" t="s">
        <v>1103</v>
      </c>
      <c r="J174" s="5" t="s">
        <v>1104</v>
      </c>
      <c r="K174" s="5" t="s">
        <v>1105</v>
      </c>
    </row>
    <row r="175" spans="1:11" ht="26.4" x14ac:dyDescent="0.3">
      <c r="A175" s="6">
        <v>170</v>
      </c>
      <c r="B175" s="6" t="s">
        <v>1106</v>
      </c>
      <c r="C175" s="6" t="s">
        <v>15</v>
      </c>
      <c r="D175" s="6" t="s">
        <v>990</v>
      </c>
      <c r="E175" s="6" t="s">
        <v>86</v>
      </c>
      <c r="F175" s="6" t="s">
        <v>201</v>
      </c>
      <c r="G175" s="6" t="s">
        <v>1107</v>
      </c>
      <c r="H175" s="6" t="s">
        <v>1108</v>
      </c>
      <c r="I175" s="6" t="s">
        <v>1109</v>
      </c>
      <c r="J175" s="6" t="s">
        <v>1110</v>
      </c>
      <c r="K175" s="6" t="s">
        <v>1111</v>
      </c>
    </row>
    <row r="176" spans="1:11" ht="26.4" x14ac:dyDescent="0.3">
      <c r="A176" s="5">
        <v>171</v>
      </c>
      <c r="B176" s="5" t="s">
        <v>1112</v>
      </c>
      <c r="C176" s="5" t="s">
        <v>152</v>
      </c>
      <c r="D176" s="5" t="s">
        <v>826</v>
      </c>
      <c r="E176" s="5" t="s">
        <v>86</v>
      </c>
      <c r="F176" s="5" t="s">
        <v>1113</v>
      </c>
      <c r="G176" s="5" t="s">
        <v>1114</v>
      </c>
      <c r="H176" s="5" t="s">
        <v>1115</v>
      </c>
      <c r="I176" s="5" t="s">
        <v>1116</v>
      </c>
      <c r="J176" s="5" t="s">
        <v>1117</v>
      </c>
      <c r="K176" s="5" t="s">
        <v>1118</v>
      </c>
    </row>
    <row r="177" spans="1:11" ht="26.4" x14ac:dyDescent="0.3">
      <c r="A177" s="6">
        <v>172</v>
      </c>
      <c r="B177" s="6" t="s">
        <v>1119</v>
      </c>
      <c r="C177" s="6" t="s">
        <v>152</v>
      </c>
      <c r="D177" s="6" t="s">
        <v>716</v>
      </c>
      <c r="E177" s="6" t="s">
        <v>86</v>
      </c>
      <c r="F177" s="6" t="s">
        <v>46</v>
      </c>
      <c r="G177" s="6" t="s">
        <v>1120</v>
      </c>
      <c r="H177" s="6" t="s">
        <v>1121</v>
      </c>
      <c r="I177" s="6" t="s">
        <v>1122</v>
      </c>
      <c r="J177" s="6" t="s">
        <v>1123</v>
      </c>
      <c r="K177" s="6" t="s">
        <v>1124</v>
      </c>
    </row>
    <row r="178" spans="1:11" ht="26.4" x14ac:dyDescent="0.3">
      <c r="A178" s="5">
        <v>173</v>
      </c>
      <c r="B178" s="5" t="s">
        <v>1125</v>
      </c>
      <c r="C178" s="5" t="s">
        <v>152</v>
      </c>
      <c r="D178" s="5" t="s">
        <v>826</v>
      </c>
      <c r="E178" s="5" t="s">
        <v>86</v>
      </c>
      <c r="F178" s="5" t="s">
        <v>108</v>
      </c>
      <c r="G178" s="5" t="s">
        <v>1126</v>
      </c>
      <c r="H178" s="5" t="s">
        <v>1127</v>
      </c>
      <c r="I178" s="5" t="s">
        <v>1128</v>
      </c>
      <c r="J178" s="5" t="s">
        <v>1129</v>
      </c>
      <c r="K178" s="5" t="s">
        <v>1130</v>
      </c>
    </row>
    <row r="179" spans="1:11" ht="26.4" x14ac:dyDescent="0.3">
      <c r="A179" s="6">
        <v>174</v>
      </c>
      <c r="B179" s="6" t="s">
        <v>1131</v>
      </c>
      <c r="C179" s="6" t="s">
        <v>152</v>
      </c>
      <c r="D179" s="6" t="s">
        <v>990</v>
      </c>
      <c r="E179" s="6" t="s">
        <v>86</v>
      </c>
      <c r="F179" s="6" t="s">
        <v>72</v>
      </c>
      <c r="G179" s="6" t="s">
        <v>1132</v>
      </c>
      <c r="H179" s="6" t="s">
        <v>1133</v>
      </c>
      <c r="I179" s="6" t="s">
        <v>1134</v>
      </c>
      <c r="J179" s="6" t="s">
        <v>1135</v>
      </c>
      <c r="K179" s="6" t="s">
        <v>1136</v>
      </c>
    </row>
    <row r="180" spans="1:11" ht="26.4" x14ac:dyDescent="0.3">
      <c r="A180" s="5">
        <v>175</v>
      </c>
      <c r="B180" s="5" t="s">
        <v>1137</v>
      </c>
      <c r="C180" s="5" t="s">
        <v>152</v>
      </c>
      <c r="D180" s="5" t="s">
        <v>990</v>
      </c>
      <c r="E180" s="5" t="s">
        <v>86</v>
      </c>
      <c r="F180" s="5" t="s">
        <v>108</v>
      </c>
      <c r="G180" s="5" t="s">
        <v>1138</v>
      </c>
      <c r="H180" s="5" t="s">
        <v>1139</v>
      </c>
      <c r="I180" s="5" t="s">
        <v>1140</v>
      </c>
      <c r="J180" s="5" t="s">
        <v>1141</v>
      </c>
      <c r="K180" s="5" t="s">
        <v>1142</v>
      </c>
    </row>
    <row r="181" spans="1:11" ht="26.4" x14ac:dyDescent="0.3">
      <c r="A181" s="6">
        <v>176</v>
      </c>
      <c r="B181" s="6" t="s">
        <v>1143</v>
      </c>
      <c r="C181" s="6" t="s">
        <v>152</v>
      </c>
      <c r="D181" s="6" t="s">
        <v>990</v>
      </c>
      <c r="E181" s="6" t="s">
        <v>86</v>
      </c>
      <c r="F181" s="6" t="s">
        <v>108</v>
      </c>
      <c r="G181" s="6" t="s">
        <v>1144</v>
      </c>
      <c r="H181" s="6" t="s">
        <v>1145</v>
      </c>
      <c r="I181" s="6" t="s">
        <v>1146</v>
      </c>
      <c r="J181" s="6" t="s">
        <v>1147</v>
      </c>
      <c r="K181" s="6" t="s">
        <v>1148</v>
      </c>
    </row>
    <row r="182" spans="1:11" ht="26.4" x14ac:dyDescent="0.3">
      <c r="A182" s="5">
        <v>177</v>
      </c>
      <c r="B182" s="5" t="s">
        <v>1149</v>
      </c>
      <c r="C182" s="5" t="s">
        <v>152</v>
      </c>
      <c r="D182" s="5" t="s">
        <v>826</v>
      </c>
      <c r="E182" s="5" t="s">
        <v>86</v>
      </c>
      <c r="F182" s="5" t="s">
        <v>108</v>
      </c>
      <c r="G182" s="5" t="s">
        <v>1150</v>
      </c>
      <c r="H182" s="5" t="s">
        <v>1151</v>
      </c>
      <c r="I182" s="5" t="s">
        <v>1152</v>
      </c>
      <c r="J182" s="5" t="s">
        <v>1153</v>
      </c>
      <c r="K182" s="5" t="s">
        <v>1154</v>
      </c>
    </row>
    <row r="183" spans="1:11" ht="26.4" x14ac:dyDescent="0.3">
      <c r="A183" s="6">
        <v>178</v>
      </c>
      <c r="B183" s="6" t="s">
        <v>1155</v>
      </c>
      <c r="C183" s="6" t="s">
        <v>152</v>
      </c>
      <c r="D183" s="6" t="s">
        <v>826</v>
      </c>
      <c r="E183" s="6" t="s">
        <v>86</v>
      </c>
      <c r="F183" s="6" t="s">
        <v>108</v>
      </c>
      <c r="G183" s="6" t="s">
        <v>1156</v>
      </c>
      <c r="H183" s="6" t="s">
        <v>1157</v>
      </c>
      <c r="I183" s="6" t="s">
        <v>1158</v>
      </c>
      <c r="J183" s="6" t="s">
        <v>1159</v>
      </c>
      <c r="K183" s="6" t="s">
        <v>1160</v>
      </c>
    </row>
    <row r="184" spans="1:11" ht="26.4" x14ac:dyDescent="0.3">
      <c r="A184" s="5">
        <v>179</v>
      </c>
      <c r="B184" s="5" t="s">
        <v>1161</v>
      </c>
      <c r="C184" s="5" t="s">
        <v>152</v>
      </c>
      <c r="D184" s="5" t="s">
        <v>990</v>
      </c>
      <c r="E184" s="5" t="s">
        <v>86</v>
      </c>
      <c r="F184" s="5" t="s">
        <v>108</v>
      </c>
      <c r="G184" s="5" t="s">
        <v>1162</v>
      </c>
      <c r="H184" s="5" t="s">
        <v>1163</v>
      </c>
      <c r="I184" s="5" t="s">
        <v>1164</v>
      </c>
      <c r="J184" s="5" t="s">
        <v>1165</v>
      </c>
      <c r="K184" s="5" t="s">
        <v>1166</v>
      </c>
    </row>
    <row r="185" spans="1:11" ht="26.4" x14ac:dyDescent="0.3">
      <c r="A185" s="6">
        <v>180</v>
      </c>
      <c r="B185" s="6" t="s">
        <v>1167</v>
      </c>
      <c r="C185" s="6" t="s">
        <v>152</v>
      </c>
      <c r="D185" s="6" t="s">
        <v>990</v>
      </c>
      <c r="E185" s="6" t="s">
        <v>86</v>
      </c>
      <c r="F185" s="6" t="s">
        <v>108</v>
      </c>
      <c r="G185" s="6" t="s">
        <v>1168</v>
      </c>
      <c r="H185" s="6" t="s">
        <v>1169</v>
      </c>
      <c r="I185" s="6" t="s">
        <v>1170</v>
      </c>
      <c r="J185" s="6" t="s">
        <v>1171</v>
      </c>
      <c r="K185" s="6" t="s">
        <v>1172</v>
      </c>
    </row>
    <row r="186" spans="1:11" ht="39.6" x14ac:dyDescent="0.3">
      <c r="A186" s="5">
        <v>181</v>
      </c>
      <c r="B186" s="5" t="s">
        <v>1173</v>
      </c>
      <c r="C186" s="5" t="s">
        <v>173</v>
      </c>
      <c r="D186" s="5" t="s">
        <v>826</v>
      </c>
      <c r="E186" s="5" t="s">
        <v>86</v>
      </c>
      <c r="F186" s="5" t="s">
        <v>46</v>
      </c>
      <c r="G186" s="5" t="s">
        <v>1174</v>
      </c>
      <c r="H186" s="5" t="s">
        <v>1175</v>
      </c>
      <c r="I186" s="5" t="s">
        <v>1176</v>
      </c>
      <c r="J186" s="5" t="s">
        <v>1177</v>
      </c>
      <c r="K186" s="5" t="s">
        <v>1178</v>
      </c>
    </row>
    <row r="187" spans="1:11" ht="26.4" x14ac:dyDescent="0.3">
      <c r="A187" s="6">
        <v>182</v>
      </c>
      <c r="B187" s="6" t="s">
        <v>1179</v>
      </c>
      <c r="C187" s="6" t="s">
        <v>173</v>
      </c>
      <c r="D187" s="6" t="s">
        <v>826</v>
      </c>
      <c r="E187" s="6" t="s">
        <v>36</v>
      </c>
      <c r="F187" s="6" t="s">
        <v>280</v>
      </c>
      <c r="G187" s="6" t="s">
        <v>1180</v>
      </c>
      <c r="H187" s="6" t="s">
        <v>1181</v>
      </c>
      <c r="I187" s="6" t="s">
        <v>1182</v>
      </c>
      <c r="J187" s="6" t="s">
        <v>1183</v>
      </c>
      <c r="K187" s="6" t="s">
        <v>1184</v>
      </c>
    </row>
    <row r="188" spans="1:11" ht="26.4" x14ac:dyDescent="0.3">
      <c r="A188" s="5">
        <v>183</v>
      </c>
      <c r="B188" s="5" t="s">
        <v>1185</v>
      </c>
      <c r="C188" s="5" t="s">
        <v>61</v>
      </c>
      <c r="D188" s="5" t="s">
        <v>1186</v>
      </c>
      <c r="E188" s="5" t="s">
        <v>86</v>
      </c>
      <c r="F188" s="5" t="s">
        <v>63</v>
      </c>
      <c r="G188" s="5" t="s">
        <v>1187</v>
      </c>
      <c r="H188" s="5" t="s">
        <v>1188</v>
      </c>
      <c r="I188" s="5" t="s">
        <v>1189</v>
      </c>
      <c r="J188" s="5" t="s">
        <v>1190</v>
      </c>
      <c r="K188" s="5" t="s">
        <v>1191</v>
      </c>
    </row>
    <row r="189" spans="1:11" ht="26.4" x14ac:dyDescent="0.3">
      <c r="A189" s="6">
        <v>184</v>
      </c>
      <c r="B189" s="6" t="s">
        <v>1192</v>
      </c>
      <c r="C189" s="6" t="s">
        <v>61</v>
      </c>
      <c r="D189" s="6" t="s">
        <v>826</v>
      </c>
      <c r="E189" s="6" t="s">
        <v>36</v>
      </c>
      <c r="F189" s="6" t="s">
        <v>46</v>
      </c>
      <c r="G189" s="6" t="s">
        <v>1193</v>
      </c>
      <c r="H189" s="6" t="s">
        <v>1194</v>
      </c>
      <c r="I189" s="6" t="s">
        <v>1195</v>
      </c>
      <c r="J189" s="6" t="s">
        <v>1196</v>
      </c>
      <c r="K189" s="6" t="s">
        <v>1197</v>
      </c>
    </row>
    <row r="190" spans="1:11" ht="26.4" x14ac:dyDescent="0.3">
      <c r="A190" s="5">
        <v>185</v>
      </c>
      <c r="B190" s="5" t="s">
        <v>1198</v>
      </c>
      <c r="C190" s="5" t="s">
        <v>44</v>
      </c>
      <c r="D190" s="5" t="s">
        <v>716</v>
      </c>
      <c r="E190" s="5" t="s">
        <v>86</v>
      </c>
      <c r="F190" s="5" t="s">
        <v>72</v>
      </c>
      <c r="G190" s="5" t="s">
        <v>1199</v>
      </c>
      <c r="H190" s="5" t="s">
        <v>1200</v>
      </c>
      <c r="I190" s="5" t="s">
        <v>1201</v>
      </c>
      <c r="J190" s="5" t="s">
        <v>1202</v>
      </c>
      <c r="K190" s="5" t="s">
        <v>1203</v>
      </c>
    </row>
    <row r="191" spans="1:11" ht="26.4" x14ac:dyDescent="0.3">
      <c r="A191" s="6">
        <v>186</v>
      </c>
      <c r="B191" s="6" t="s">
        <v>1204</v>
      </c>
      <c r="C191" s="6" t="s">
        <v>15</v>
      </c>
      <c r="D191" s="6" t="s">
        <v>716</v>
      </c>
      <c r="E191" s="6" t="s">
        <v>86</v>
      </c>
      <c r="F191" s="6" t="s">
        <v>46</v>
      </c>
      <c r="G191" s="6" t="s">
        <v>1205</v>
      </c>
      <c r="H191" s="6" t="s">
        <v>1206</v>
      </c>
      <c r="I191" s="6" t="s">
        <v>1207</v>
      </c>
      <c r="J191" s="6" t="s">
        <v>1208</v>
      </c>
      <c r="K191" s="6" t="s">
        <v>1209</v>
      </c>
    </row>
    <row r="192" spans="1:11" ht="26.4" x14ac:dyDescent="0.3">
      <c r="A192" s="5">
        <v>187</v>
      </c>
      <c r="B192" s="5" t="s">
        <v>1210</v>
      </c>
      <c r="C192" s="5" t="s">
        <v>61</v>
      </c>
      <c r="D192" s="5" t="s">
        <v>826</v>
      </c>
      <c r="E192" s="5" t="s">
        <v>86</v>
      </c>
      <c r="F192" s="5" t="s">
        <v>63</v>
      </c>
      <c r="G192" s="5" t="s">
        <v>1211</v>
      </c>
      <c r="H192" s="5" t="s">
        <v>1212</v>
      </c>
      <c r="I192" s="5" t="s">
        <v>1213</v>
      </c>
      <c r="J192" s="5" t="s">
        <v>1214</v>
      </c>
      <c r="K192" s="5" t="s">
        <v>1215</v>
      </c>
    </row>
    <row r="193" spans="1:11" ht="26.4" x14ac:dyDescent="0.3">
      <c r="A193" s="6">
        <v>188</v>
      </c>
      <c r="B193" s="6" t="s">
        <v>204</v>
      </c>
      <c r="C193" s="6" t="s">
        <v>15</v>
      </c>
      <c r="D193" s="6" t="s">
        <v>990</v>
      </c>
      <c r="E193" s="6" t="s">
        <v>86</v>
      </c>
      <c r="F193" s="6" t="s">
        <v>280</v>
      </c>
      <c r="G193" s="6" t="s">
        <v>1216</v>
      </c>
      <c r="H193" s="6" t="s">
        <v>1217</v>
      </c>
      <c r="I193" s="6" t="s">
        <v>1218</v>
      </c>
      <c r="J193" s="6" t="s">
        <v>1219</v>
      </c>
      <c r="K193" s="6" t="s">
        <v>1220</v>
      </c>
    </row>
    <row r="194" spans="1:11" ht="26.4" x14ac:dyDescent="0.3">
      <c r="A194" s="5">
        <v>189</v>
      </c>
      <c r="B194" s="5" t="s">
        <v>1221</v>
      </c>
      <c r="C194" s="5" t="s">
        <v>61</v>
      </c>
      <c r="D194" s="5" t="s">
        <v>716</v>
      </c>
      <c r="E194" s="5" t="s">
        <v>86</v>
      </c>
      <c r="F194" s="5" t="s">
        <v>18</v>
      </c>
      <c r="G194" s="5" t="s">
        <v>1222</v>
      </c>
      <c r="H194" s="5" t="s">
        <v>1223</v>
      </c>
      <c r="I194" s="5" t="s">
        <v>1224</v>
      </c>
      <c r="J194" s="5" t="s">
        <v>1225</v>
      </c>
      <c r="K194" s="5" t="s">
        <v>1226</v>
      </c>
    </row>
    <row r="195" spans="1:11" ht="26.4" x14ac:dyDescent="0.3">
      <c r="A195" s="6">
        <v>190</v>
      </c>
      <c r="B195" s="6" t="s">
        <v>1227</v>
      </c>
      <c r="C195" s="6" t="s">
        <v>61</v>
      </c>
      <c r="D195" s="6" t="s">
        <v>990</v>
      </c>
      <c r="E195" s="6" t="s">
        <v>86</v>
      </c>
      <c r="F195" s="6" t="s">
        <v>46</v>
      </c>
      <c r="G195" s="6" t="s">
        <v>1228</v>
      </c>
      <c r="H195" s="6" t="s">
        <v>1229</v>
      </c>
      <c r="I195" s="6" t="s">
        <v>1230</v>
      </c>
      <c r="J195" s="6" t="s">
        <v>1231</v>
      </c>
      <c r="K195" s="6" t="s">
        <v>1232</v>
      </c>
    </row>
    <row r="196" spans="1:11" ht="26.4" x14ac:dyDescent="0.3">
      <c r="A196" s="5">
        <v>191</v>
      </c>
      <c r="B196" s="5" t="s">
        <v>1233</v>
      </c>
      <c r="C196" s="5" t="s">
        <v>70</v>
      </c>
      <c r="D196" s="5" t="s">
        <v>990</v>
      </c>
      <c r="E196" s="5" t="s">
        <v>86</v>
      </c>
      <c r="F196" s="5" t="s">
        <v>117</v>
      </c>
      <c r="G196" s="5" t="s">
        <v>1234</v>
      </c>
      <c r="H196" s="5" t="s">
        <v>1235</v>
      </c>
      <c r="I196" s="5" t="s">
        <v>1236</v>
      </c>
      <c r="J196" s="5" t="s">
        <v>1237</v>
      </c>
      <c r="K196" s="5" t="s">
        <v>1238</v>
      </c>
    </row>
    <row r="197" spans="1:11" ht="26.4" x14ac:dyDescent="0.3">
      <c r="A197" s="6">
        <v>192</v>
      </c>
      <c r="B197" s="6" t="s">
        <v>1239</v>
      </c>
      <c r="C197" s="6" t="s">
        <v>173</v>
      </c>
      <c r="D197" s="6" t="s">
        <v>990</v>
      </c>
      <c r="E197" s="6" t="s">
        <v>86</v>
      </c>
      <c r="F197" s="6" t="s">
        <v>46</v>
      </c>
      <c r="G197" s="6" t="s">
        <v>1240</v>
      </c>
      <c r="H197" s="6" t="s">
        <v>1241</v>
      </c>
      <c r="I197" s="6" t="s">
        <v>1242</v>
      </c>
      <c r="J197" s="6" t="s">
        <v>1243</v>
      </c>
      <c r="K197" s="6" t="s">
        <v>1244</v>
      </c>
    </row>
    <row r="198" spans="1:11" ht="26.4" x14ac:dyDescent="0.3">
      <c r="A198" s="5">
        <v>193</v>
      </c>
      <c r="B198" s="5" t="s">
        <v>1245</v>
      </c>
      <c r="C198" s="5" t="s">
        <v>473</v>
      </c>
      <c r="D198" s="5" t="s">
        <v>826</v>
      </c>
      <c r="E198" s="5" t="s">
        <v>86</v>
      </c>
      <c r="F198" s="5" t="s">
        <v>280</v>
      </c>
      <c r="G198" s="5" t="s">
        <v>1246</v>
      </c>
      <c r="H198" s="5" t="s">
        <v>1247</v>
      </c>
      <c r="I198" s="5" t="s">
        <v>1248</v>
      </c>
      <c r="J198" s="5" t="s">
        <v>1249</v>
      </c>
      <c r="K198" s="5" t="s">
        <v>1250</v>
      </c>
    </row>
    <row r="199" spans="1:11" ht="26.4" x14ac:dyDescent="0.3">
      <c r="A199" s="6">
        <v>194</v>
      </c>
      <c r="B199" s="6" t="s">
        <v>1251</v>
      </c>
      <c r="C199" s="6" t="s">
        <v>15</v>
      </c>
      <c r="D199" s="6" t="s">
        <v>1186</v>
      </c>
      <c r="E199" s="6" t="s">
        <v>86</v>
      </c>
      <c r="F199" s="6" t="s">
        <v>63</v>
      </c>
      <c r="G199" s="6" t="s">
        <v>1252</v>
      </c>
      <c r="H199" s="6" t="s">
        <v>1253</v>
      </c>
      <c r="I199" s="6" t="s">
        <v>1254</v>
      </c>
      <c r="J199" s="6" t="s">
        <v>1255</v>
      </c>
      <c r="K199" s="6" t="s">
        <v>1256</v>
      </c>
    </row>
    <row r="200" spans="1:11" ht="26.4" x14ac:dyDescent="0.3">
      <c r="A200" s="5">
        <v>195</v>
      </c>
      <c r="B200" s="5" t="s">
        <v>1257</v>
      </c>
      <c r="C200" s="5" t="s">
        <v>15</v>
      </c>
      <c r="D200" s="5" t="s">
        <v>990</v>
      </c>
      <c r="E200" s="5" t="s">
        <v>86</v>
      </c>
      <c r="F200" s="5" t="s">
        <v>280</v>
      </c>
      <c r="G200" s="5" t="s">
        <v>1258</v>
      </c>
      <c r="H200" s="5" t="s">
        <v>680</v>
      </c>
      <c r="I200" s="5" t="s">
        <v>1259</v>
      </c>
      <c r="J200" s="5" t="s">
        <v>1260</v>
      </c>
      <c r="K200" s="5" t="s">
        <v>1261</v>
      </c>
    </row>
    <row r="201" spans="1:11" ht="26.4" x14ac:dyDescent="0.3">
      <c r="A201" s="6">
        <v>196</v>
      </c>
      <c r="B201" s="6" t="s">
        <v>1262</v>
      </c>
      <c r="C201" s="6" t="s">
        <v>61</v>
      </c>
      <c r="D201" s="6" t="s">
        <v>826</v>
      </c>
      <c r="E201" s="6" t="s">
        <v>86</v>
      </c>
      <c r="F201" s="6" t="s">
        <v>166</v>
      </c>
      <c r="G201" s="6" t="s">
        <v>1263</v>
      </c>
      <c r="H201" s="6" t="s">
        <v>1264</v>
      </c>
      <c r="I201" s="6" t="s">
        <v>1265</v>
      </c>
      <c r="J201" s="6" t="s">
        <v>1266</v>
      </c>
      <c r="K201" s="6" t="s">
        <v>1267</v>
      </c>
    </row>
    <row r="202" spans="1:11" ht="39.6" x14ac:dyDescent="0.3">
      <c r="A202" s="5">
        <v>197</v>
      </c>
      <c r="B202" s="5" t="s">
        <v>1268</v>
      </c>
      <c r="C202" s="5" t="s">
        <v>44</v>
      </c>
      <c r="D202" s="5" t="s">
        <v>826</v>
      </c>
      <c r="E202" s="5" t="s">
        <v>86</v>
      </c>
      <c r="F202" s="5" t="s">
        <v>46</v>
      </c>
      <c r="G202" s="5" t="s">
        <v>1269</v>
      </c>
      <c r="H202" s="5" t="s">
        <v>1270</v>
      </c>
      <c r="I202" s="5" t="s">
        <v>1271</v>
      </c>
      <c r="J202" s="5" t="s">
        <v>1272</v>
      </c>
      <c r="K202" s="5" t="s">
        <v>1273</v>
      </c>
    </row>
    <row r="203" spans="1:11" ht="26.4" x14ac:dyDescent="0.3">
      <c r="A203" s="6">
        <v>198</v>
      </c>
      <c r="B203" s="6" t="s">
        <v>1274</v>
      </c>
      <c r="C203" s="6" t="s">
        <v>44</v>
      </c>
      <c r="D203" s="6" t="s">
        <v>990</v>
      </c>
      <c r="E203" s="6" t="s">
        <v>86</v>
      </c>
      <c r="F203" s="6" t="s">
        <v>54</v>
      </c>
      <c r="G203" s="6" t="s">
        <v>1275</v>
      </c>
      <c r="H203" s="6" t="s">
        <v>1276</v>
      </c>
      <c r="I203" s="6" t="s">
        <v>1277</v>
      </c>
      <c r="J203" s="6" t="s">
        <v>1278</v>
      </c>
      <c r="K203" s="6" t="s">
        <v>1279</v>
      </c>
    </row>
    <row r="204" spans="1:11" ht="26.4" x14ac:dyDescent="0.3">
      <c r="A204" s="5">
        <v>199</v>
      </c>
      <c r="B204" s="5" t="s">
        <v>1280</v>
      </c>
      <c r="C204" s="5" t="s">
        <v>61</v>
      </c>
      <c r="D204" s="5" t="s">
        <v>1186</v>
      </c>
      <c r="E204" s="5" t="s">
        <v>86</v>
      </c>
      <c r="F204" s="5" t="s">
        <v>280</v>
      </c>
      <c r="G204" s="5" t="s">
        <v>1281</v>
      </c>
      <c r="H204" s="5" t="s">
        <v>1282</v>
      </c>
      <c r="I204" s="5" t="s">
        <v>1283</v>
      </c>
      <c r="J204" s="5" t="s">
        <v>1284</v>
      </c>
      <c r="K204" s="5" t="s">
        <v>1285</v>
      </c>
    </row>
    <row r="205" spans="1:11" ht="26.4" x14ac:dyDescent="0.3">
      <c r="A205" s="6">
        <v>200</v>
      </c>
      <c r="B205" s="6" t="s">
        <v>1286</v>
      </c>
      <c r="C205" s="6" t="s">
        <v>401</v>
      </c>
      <c r="D205" s="6" t="s">
        <v>716</v>
      </c>
      <c r="E205" s="6" t="s">
        <v>86</v>
      </c>
      <c r="F205" s="6" t="s">
        <v>37</v>
      </c>
      <c r="G205" s="6" t="s">
        <v>1287</v>
      </c>
      <c r="H205" s="6" t="s">
        <v>1288</v>
      </c>
      <c r="I205" s="6" t="s">
        <v>1289</v>
      </c>
      <c r="J205" s="6" t="s">
        <v>1290</v>
      </c>
      <c r="K205" s="6" t="s">
        <v>1291</v>
      </c>
    </row>
    <row r="206" spans="1:11" x14ac:dyDescent="0.3">
      <c r="A206" s="5">
        <v>201</v>
      </c>
      <c r="B206" s="5" t="s">
        <v>1292</v>
      </c>
      <c r="C206" s="5" t="s">
        <v>61</v>
      </c>
      <c r="D206" s="5" t="s">
        <v>990</v>
      </c>
      <c r="E206" s="7"/>
      <c r="F206" s="5" t="s">
        <v>63</v>
      </c>
      <c r="G206" s="7"/>
      <c r="H206" s="7"/>
      <c r="I206" s="7"/>
      <c r="J206" s="7"/>
      <c r="K206" s="7"/>
    </row>
    <row r="207" spans="1:11" x14ac:dyDescent="0.3">
      <c r="A207" s="6">
        <v>202</v>
      </c>
      <c r="B207" s="6" t="s">
        <v>1293</v>
      </c>
      <c r="C207" s="6" t="s">
        <v>61</v>
      </c>
      <c r="D207" s="6" t="s">
        <v>826</v>
      </c>
      <c r="E207" s="8"/>
      <c r="F207" s="6" t="s">
        <v>280</v>
      </c>
      <c r="G207" s="8"/>
      <c r="H207" s="8"/>
      <c r="I207" s="8"/>
      <c r="J207" s="8"/>
      <c r="K207" s="8"/>
    </row>
    <row r="208" spans="1:11" x14ac:dyDescent="0.3">
      <c r="A208" s="5">
        <v>203</v>
      </c>
      <c r="B208" s="5" t="s">
        <v>1294</v>
      </c>
      <c r="C208" s="5" t="s">
        <v>61</v>
      </c>
      <c r="D208" s="5" t="s">
        <v>990</v>
      </c>
      <c r="E208" s="7"/>
      <c r="F208" s="5" t="s">
        <v>63</v>
      </c>
      <c r="G208" s="7"/>
      <c r="H208" s="7"/>
      <c r="I208" s="7"/>
      <c r="J208" s="7"/>
      <c r="K208" s="7"/>
    </row>
    <row r="209" spans="1:11" x14ac:dyDescent="0.3">
      <c r="A209" s="6">
        <v>204</v>
      </c>
      <c r="B209" s="6" t="s">
        <v>1295</v>
      </c>
      <c r="C209" s="6" t="s">
        <v>61</v>
      </c>
      <c r="D209" s="6" t="s">
        <v>826</v>
      </c>
      <c r="E209" s="8"/>
      <c r="F209" s="6" t="s">
        <v>63</v>
      </c>
      <c r="G209" s="8"/>
      <c r="H209" s="8"/>
      <c r="I209" s="8"/>
      <c r="J209" s="8"/>
      <c r="K209" s="8"/>
    </row>
    <row r="210" spans="1:11" x14ac:dyDescent="0.3">
      <c r="A210" s="5">
        <v>205</v>
      </c>
      <c r="B210" s="5" t="s">
        <v>1296</v>
      </c>
      <c r="C210" s="5" t="s">
        <v>61</v>
      </c>
      <c r="D210" s="5" t="s">
        <v>990</v>
      </c>
      <c r="E210" s="7"/>
      <c r="F210" s="5" t="s">
        <v>280</v>
      </c>
      <c r="G210" s="7"/>
      <c r="H210" s="7"/>
      <c r="I210" s="7"/>
      <c r="J210" s="7"/>
      <c r="K210" s="7"/>
    </row>
    <row r="211" spans="1:11" x14ac:dyDescent="0.3">
      <c r="A211" s="6">
        <v>206</v>
      </c>
      <c r="B211" s="6" t="s">
        <v>1297</v>
      </c>
      <c r="C211" s="6" t="s">
        <v>61</v>
      </c>
      <c r="D211" s="6" t="s">
        <v>990</v>
      </c>
      <c r="E211" s="8"/>
      <c r="F211" s="6" t="s">
        <v>63</v>
      </c>
      <c r="G211" s="8"/>
      <c r="H211" s="8"/>
      <c r="I211" s="8"/>
      <c r="J211" s="8"/>
      <c r="K211" s="8"/>
    </row>
    <row r="212" spans="1:11" x14ac:dyDescent="0.3">
      <c r="A212" s="5">
        <v>207</v>
      </c>
      <c r="B212" s="5" t="s">
        <v>1298</v>
      </c>
      <c r="C212" s="5" t="s">
        <v>61</v>
      </c>
      <c r="D212" s="5" t="s">
        <v>1186</v>
      </c>
      <c r="E212" s="7"/>
      <c r="F212" s="5" t="s">
        <v>280</v>
      </c>
      <c r="G212" s="7"/>
      <c r="H212" s="7"/>
      <c r="I212" s="7"/>
      <c r="J212" s="7"/>
      <c r="K212" s="7"/>
    </row>
    <row r="213" spans="1:11" x14ac:dyDescent="0.3">
      <c r="A213" s="6">
        <v>208</v>
      </c>
      <c r="B213" s="6" t="s">
        <v>1299</v>
      </c>
      <c r="C213" s="6" t="s">
        <v>61</v>
      </c>
      <c r="D213" s="6" t="s">
        <v>1186</v>
      </c>
      <c r="E213" s="8"/>
      <c r="F213" s="6" t="s">
        <v>54</v>
      </c>
      <c r="G213" s="8"/>
      <c r="H213" s="8"/>
      <c r="I213" s="8"/>
      <c r="J213" s="8"/>
      <c r="K213" s="8"/>
    </row>
    <row r="214" spans="1:11" x14ac:dyDescent="0.3">
      <c r="A214" s="5">
        <v>209</v>
      </c>
      <c r="B214" s="5" t="s">
        <v>1300</v>
      </c>
      <c r="C214" s="5" t="s">
        <v>61</v>
      </c>
      <c r="D214" s="5" t="s">
        <v>990</v>
      </c>
      <c r="E214" s="7"/>
      <c r="F214" s="5" t="s">
        <v>63</v>
      </c>
      <c r="G214" s="7"/>
      <c r="H214" s="7"/>
      <c r="I214" s="7"/>
      <c r="J214" s="7"/>
      <c r="K214" s="7"/>
    </row>
    <row r="215" spans="1:11" x14ac:dyDescent="0.3">
      <c r="A215" s="6">
        <v>210</v>
      </c>
      <c r="B215" s="6" t="s">
        <v>1301</v>
      </c>
      <c r="C215" s="6" t="s">
        <v>106</v>
      </c>
      <c r="D215" s="6" t="s">
        <v>826</v>
      </c>
      <c r="E215" s="8"/>
      <c r="F215" s="6" t="s">
        <v>46</v>
      </c>
      <c r="G215" s="8"/>
      <c r="H215" s="8"/>
      <c r="I215" s="8"/>
      <c r="J215" s="8"/>
      <c r="K215" s="8"/>
    </row>
    <row r="216" spans="1:11" x14ac:dyDescent="0.3">
      <c r="A216" s="5">
        <v>211</v>
      </c>
      <c r="B216" s="5" t="s">
        <v>1302</v>
      </c>
      <c r="C216" s="5" t="s">
        <v>106</v>
      </c>
      <c r="D216" s="5" t="s">
        <v>1186</v>
      </c>
      <c r="E216" s="7"/>
      <c r="F216" s="5" t="s">
        <v>280</v>
      </c>
      <c r="G216" s="7"/>
      <c r="H216" s="7"/>
      <c r="I216" s="7"/>
      <c r="J216" s="7"/>
      <c r="K216" s="7"/>
    </row>
    <row r="217" spans="1:11" x14ac:dyDescent="0.3">
      <c r="A217" s="6">
        <v>212</v>
      </c>
      <c r="B217" s="6" t="s">
        <v>1303</v>
      </c>
      <c r="C217" s="6" t="s">
        <v>61</v>
      </c>
      <c r="D217" s="6" t="s">
        <v>1186</v>
      </c>
      <c r="E217" s="8"/>
      <c r="F217" s="6" t="s">
        <v>63</v>
      </c>
      <c r="G217" s="8"/>
      <c r="H217" s="8"/>
      <c r="I217" s="8"/>
      <c r="J217" s="8"/>
      <c r="K217" s="8"/>
    </row>
    <row r="218" spans="1:11" x14ac:dyDescent="0.3">
      <c r="A218" s="5">
        <v>213</v>
      </c>
      <c r="B218" s="5" t="s">
        <v>1304</v>
      </c>
      <c r="C218" s="5" t="s">
        <v>61</v>
      </c>
      <c r="D218" s="5" t="s">
        <v>990</v>
      </c>
      <c r="E218" s="7"/>
      <c r="F218" s="5" t="s">
        <v>63</v>
      </c>
      <c r="G218" s="7"/>
      <c r="H218" s="7"/>
      <c r="I218" s="7"/>
      <c r="J218" s="7"/>
      <c r="K218" s="7"/>
    </row>
    <row r="219" spans="1:11" x14ac:dyDescent="0.3">
      <c r="A219" s="6">
        <v>214</v>
      </c>
      <c r="B219" s="6" t="s">
        <v>1305</v>
      </c>
      <c r="C219" s="6" t="s">
        <v>61</v>
      </c>
      <c r="D219" s="6" t="s">
        <v>1186</v>
      </c>
      <c r="E219" s="8"/>
      <c r="F219" s="6" t="s">
        <v>63</v>
      </c>
      <c r="G219" s="8"/>
      <c r="H219" s="8"/>
      <c r="I219" s="8"/>
      <c r="J219" s="8"/>
      <c r="K219" s="8"/>
    </row>
    <row r="220" spans="1:11" x14ac:dyDescent="0.3">
      <c r="A220" s="5">
        <v>215</v>
      </c>
      <c r="B220" s="5" t="s">
        <v>1306</v>
      </c>
      <c r="C220" s="5" t="s">
        <v>473</v>
      </c>
      <c r="D220" s="5" t="s">
        <v>990</v>
      </c>
      <c r="E220" s="7"/>
      <c r="F220" s="5" t="s">
        <v>108</v>
      </c>
      <c r="G220" s="7"/>
      <c r="H220" s="7"/>
      <c r="I220" s="7"/>
      <c r="J220" s="7"/>
      <c r="K220" s="7"/>
    </row>
    <row r="221" spans="1:11" x14ac:dyDescent="0.3">
      <c r="A221" s="6">
        <v>216</v>
      </c>
      <c r="B221" s="6" t="s">
        <v>1307</v>
      </c>
      <c r="C221" s="6" t="s">
        <v>61</v>
      </c>
      <c r="D221" s="6" t="s">
        <v>1186</v>
      </c>
      <c r="E221" s="8"/>
      <c r="F221" s="6" t="s">
        <v>63</v>
      </c>
      <c r="G221" s="8"/>
      <c r="H221" s="8"/>
      <c r="I221" s="8"/>
      <c r="J221" s="8"/>
      <c r="K221" s="8"/>
    </row>
    <row r="222" spans="1:11" x14ac:dyDescent="0.3">
      <c r="A222" s="5">
        <v>217</v>
      </c>
      <c r="B222" s="5" t="s">
        <v>1308</v>
      </c>
      <c r="C222" s="5" t="s">
        <v>61</v>
      </c>
      <c r="D222" s="5" t="s">
        <v>1186</v>
      </c>
      <c r="E222" s="7"/>
      <c r="F222" s="5" t="s">
        <v>63</v>
      </c>
      <c r="G222" s="7"/>
      <c r="H222" s="7"/>
      <c r="I222" s="7"/>
      <c r="J222" s="7"/>
      <c r="K222" s="7"/>
    </row>
    <row r="223" spans="1:11" x14ac:dyDescent="0.3">
      <c r="A223" s="6">
        <v>218</v>
      </c>
      <c r="B223" s="6" t="s">
        <v>1309</v>
      </c>
      <c r="C223" s="6" t="s">
        <v>61</v>
      </c>
      <c r="D223" s="6" t="s">
        <v>1186</v>
      </c>
      <c r="E223" s="8"/>
      <c r="F223" s="6" t="s">
        <v>63</v>
      </c>
      <c r="G223" s="8"/>
      <c r="H223" s="8"/>
      <c r="I223" s="8"/>
      <c r="J223" s="8"/>
      <c r="K223" s="8"/>
    </row>
    <row r="224" spans="1:11" x14ac:dyDescent="0.3">
      <c r="A224" s="5">
        <v>219</v>
      </c>
      <c r="B224" s="5" t="s">
        <v>1310</v>
      </c>
      <c r="C224" s="5" t="s">
        <v>61</v>
      </c>
      <c r="D224" s="5" t="s">
        <v>1186</v>
      </c>
      <c r="E224" s="7"/>
      <c r="F224" s="5" t="s">
        <v>46</v>
      </c>
      <c r="G224" s="7"/>
      <c r="H224" s="7"/>
      <c r="I224" s="7"/>
      <c r="J224" s="7"/>
      <c r="K224" s="7"/>
    </row>
    <row r="225" spans="1:11" x14ac:dyDescent="0.3">
      <c r="A225" s="6">
        <v>220</v>
      </c>
      <c r="B225" s="6" t="s">
        <v>1311</v>
      </c>
      <c r="C225" s="6" t="s">
        <v>61</v>
      </c>
      <c r="D225" s="6" t="s">
        <v>1312</v>
      </c>
      <c r="E225" s="8"/>
      <c r="F225" s="6" t="s">
        <v>46</v>
      </c>
      <c r="G225" s="8"/>
      <c r="H225" s="8"/>
      <c r="I225" s="8"/>
      <c r="J225" s="8"/>
      <c r="K225" s="8"/>
    </row>
    <row r="226" spans="1:11" x14ac:dyDescent="0.3">
      <c r="A226" s="5">
        <v>221</v>
      </c>
      <c r="B226" s="5" t="s">
        <v>1313</v>
      </c>
      <c r="C226" s="5" t="s">
        <v>61</v>
      </c>
      <c r="D226" s="5" t="s">
        <v>1312</v>
      </c>
      <c r="E226" s="7"/>
      <c r="F226" s="5" t="s">
        <v>201</v>
      </c>
      <c r="G226" s="7"/>
      <c r="H226" s="7"/>
      <c r="I226" s="7"/>
      <c r="J226" s="7"/>
      <c r="K226" s="7"/>
    </row>
    <row r="227" spans="1:11" x14ac:dyDescent="0.3">
      <c r="A227" s="6">
        <v>222</v>
      </c>
      <c r="B227" s="6" t="s">
        <v>1314</v>
      </c>
      <c r="C227" s="6" t="s">
        <v>61</v>
      </c>
      <c r="D227" s="6" t="s">
        <v>1186</v>
      </c>
      <c r="E227" s="8"/>
      <c r="F227" s="6" t="s">
        <v>63</v>
      </c>
      <c r="G227" s="8"/>
      <c r="H227" s="8"/>
      <c r="I227" s="8"/>
      <c r="J227" s="8"/>
      <c r="K227" s="8"/>
    </row>
    <row r="228" spans="1:11" x14ac:dyDescent="0.3">
      <c r="A228" s="5">
        <v>223</v>
      </c>
      <c r="B228" s="5" t="s">
        <v>1315</v>
      </c>
      <c r="C228" s="5" t="s">
        <v>61</v>
      </c>
      <c r="D228" s="5" t="s">
        <v>1186</v>
      </c>
      <c r="E228" s="7"/>
      <c r="F228" s="5" t="s">
        <v>63</v>
      </c>
      <c r="G228" s="7"/>
      <c r="H228" s="7"/>
      <c r="I228" s="7"/>
      <c r="J228" s="7"/>
      <c r="K228" s="7"/>
    </row>
    <row r="229" spans="1:11" x14ac:dyDescent="0.3">
      <c r="A229" s="6">
        <v>224</v>
      </c>
      <c r="B229" s="6" t="s">
        <v>1316</v>
      </c>
      <c r="C229" s="6" t="s">
        <v>61</v>
      </c>
      <c r="D229" s="6" t="s">
        <v>1312</v>
      </c>
      <c r="E229" s="8"/>
      <c r="F229" s="6" t="s">
        <v>63</v>
      </c>
      <c r="G229" s="8"/>
      <c r="H229" s="8"/>
      <c r="I229" s="8"/>
      <c r="J229" s="8"/>
      <c r="K229" s="8"/>
    </row>
    <row r="230" spans="1:11" x14ac:dyDescent="0.3">
      <c r="A230" s="5">
        <v>225</v>
      </c>
      <c r="B230" s="5" t="s">
        <v>1317</v>
      </c>
      <c r="C230" s="5" t="s">
        <v>61</v>
      </c>
      <c r="D230" s="5" t="s">
        <v>1186</v>
      </c>
      <c r="E230" s="7"/>
      <c r="F230" s="5" t="s">
        <v>46</v>
      </c>
      <c r="G230" s="7"/>
      <c r="H230" s="7"/>
      <c r="I230" s="7"/>
      <c r="J230" s="7"/>
      <c r="K230" s="7"/>
    </row>
    <row r="231" spans="1:11" x14ac:dyDescent="0.3">
      <c r="A231" s="6">
        <v>226</v>
      </c>
      <c r="B231" s="6" t="s">
        <v>1318</v>
      </c>
      <c r="C231" s="6" t="s">
        <v>61</v>
      </c>
      <c r="D231" s="6" t="s">
        <v>1312</v>
      </c>
      <c r="E231" s="8"/>
      <c r="F231" s="6" t="s">
        <v>63</v>
      </c>
      <c r="G231" s="8"/>
      <c r="H231" s="8"/>
      <c r="I231" s="8"/>
      <c r="J231" s="8"/>
      <c r="K231" s="8"/>
    </row>
    <row r="232" spans="1:11" x14ac:dyDescent="0.3">
      <c r="A232" s="5">
        <v>227</v>
      </c>
      <c r="B232" s="5" t="s">
        <v>1319</v>
      </c>
      <c r="C232" s="5" t="s">
        <v>61</v>
      </c>
      <c r="D232" s="5" t="s">
        <v>1312</v>
      </c>
      <c r="E232" s="7"/>
      <c r="F232" s="5" t="s">
        <v>63</v>
      </c>
      <c r="G232" s="7"/>
      <c r="H232" s="7"/>
      <c r="I232" s="7"/>
      <c r="J232" s="7"/>
      <c r="K232" s="7"/>
    </row>
    <row r="233" spans="1:11" x14ac:dyDescent="0.3">
      <c r="A233" s="6">
        <v>228</v>
      </c>
      <c r="B233" s="6" t="s">
        <v>1320</v>
      </c>
      <c r="C233" s="6" t="s">
        <v>61</v>
      </c>
      <c r="D233" s="6" t="s">
        <v>1312</v>
      </c>
      <c r="E233" s="8"/>
      <c r="F233" s="6" t="s">
        <v>63</v>
      </c>
      <c r="G233" s="8"/>
      <c r="H233" s="8"/>
      <c r="I233" s="8"/>
      <c r="J233" s="8"/>
      <c r="K233" s="8"/>
    </row>
    <row r="234" spans="1:11" x14ac:dyDescent="0.3">
      <c r="A234" s="5">
        <v>229</v>
      </c>
      <c r="B234" s="5" t="s">
        <v>1321</v>
      </c>
      <c r="C234" s="5" t="s">
        <v>61</v>
      </c>
      <c r="D234" s="5" t="s">
        <v>1312</v>
      </c>
      <c r="E234" s="7"/>
      <c r="F234" s="5" t="s">
        <v>63</v>
      </c>
      <c r="G234" s="7"/>
      <c r="H234" s="7"/>
      <c r="I234" s="7"/>
      <c r="J234" s="7"/>
      <c r="K234" s="7"/>
    </row>
    <row r="235" spans="1:11" x14ac:dyDescent="0.3">
      <c r="A235" s="6">
        <v>230</v>
      </c>
      <c r="B235" s="6" t="s">
        <v>1322</v>
      </c>
      <c r="C235" s="6" t="s">
        <v>1088</v>
      </c>
      <c r="D235" s="6" t="s">
        <v>1186</v>
      </c>
      <c r="E235" s="8"/>
      <c r="F235" s="6" t="s">
        <v>46</v>
      </c>
      <c r="G235" s="8"/>
      <c r="H235" s="8"/>
      <c r="I235" s="8"/>
      <c r="J235" s="8"/>
      <c r="K235" s="8"/>
    </row>
    <row r="236" spans="1:11" x14ac:dyDescent="0.3">
      <c r="A236" s="5">
        <v>231</v>
      </c>
      <c r="B236" s="5" t="s">
        <v>1323</v>
      </c>
      <c r="C236" s="5" t="s">
        <v>173</v>
      </c>
      <c r="D236" s="5" t="s">
        <v>716</v>
      </c>
      <c r="E236" s="7"/>
      <c r="F236" s="5" t="s">
        <v>37</v>
      </c>
      <c r="G236" s="7"/>
      <c r="H236" s="7"/>
      <c r="I236" s="7"/>
      <c r="J236" s="7"/>
      <c r="K236" s="7"/>
    </row>
    <row r="237" spans="1:11" x14ac:dyDescent="0.3">
      <c r="A237" s="6">
        <v>232</v>
      </c>
      <c r="B237" s="6" t="s">
        <v>1324</v>
      </c>
      <c r="C237" s="6" t="s">
        <v>173</v>
      </c>
      <c r="D237" s="6" t="s">
        <v>990</v>
      </c>
      <c r="E237" s="8"/>
      <c r="F237" s="6" t="s">
        <v>63</v>
      </c>
      <c r="G237" s="8"/>
      <c r="H237" s="8"/>
      <c r="I237" s="8"/>
      <c r="J237" s="8"/>
      <c r="K237" s="8"/>
    </row>
    <row r="238" spans="1:11" x14ac:dyDescent="0.3">
      <c r="A238" s="5">
        <v>233</v>
      </c>
      <c r="B238" s="5" t="s">
        <v>1325</v>
      </c>
      <c r="C238" s="5" t="s">
        <v>173</v>
      </c>
      <c r="D238" s="5" t="s">
        <v>990</v>
      </c>
      <c r="E238" s="7"/>
      <c r="F238" s="5" t="s">
        <v>46</v>
      </c>
      <c r="G238" s="7"/>
      <c r="H238" s="7"/>
      <c r="I238" s="7"/>
      <c r="J238" s="7"/>
      <c r="K238" s="7"/>
    </row>
    <row r="239" spans="1:11" x14ac:dyDescent="0.3">
      <c r="A239" s="6">
        <v>234</v>
      </c>
      <c r="B239" s="6" t="s">
        <v>1326</v>
      </c>
      <c r="C239" s="6" t="s">
        <v>173</v>
      </c>
      <c r="D239" s="6" t="s">
        <v>1186</v>
      </c>
      <c r="E239" s="8"/>
      <c r="F239" s="6" t="s">
        <v>280</v>
      </c>
      <c r="G239" s="8"/>
      <c r="H239" s="8"/>
      <c r="I239" s="8"/>
      <c r="J239" s="8"/>
      <c r="K239" s="8"/>
    </row>
    <row r="240" spans="1:11" x14ac:dyDescent="0.3">
      <c r="A240" s="5">
        <v>235</v>
      </c>
      <c r="B240" s="5" t="s">
        <v>1327</v>
      </c>
      <c r="C240" s="5" t="s">
        <v>173</v>
      </c>
      <c r="D240" s="5" t="s">
        <v>1186</v>
      </c>
      <c r="E240" s="7"/>
      <c r="F240" s="5" t="s">
        <v>108</v>
      </c>
      <c r="G240" s="7"/>
      <c r="H240" s="7"/>
      <c r="I240" s="7"/>
      <c r="J240" s="7"/>
      <c r="K240" s="7"/>
    </row>
    <row r="241" spans="1:11" ht="26.4" x14ac:dyDescent="0.3">
      <c r="A241" s="6">
        <v>236</v>
      </c>
      <c r="B241" s="6" t="s">
        <v>1328</v>
      </c>
      <c r="C241" s="6" t="s">
        <v>173</v>
      </c>
      <c r="D241" s="6" t="s">
        <v>1312</v>
      </c>
      <c r="E241" s="8"/>
      <c r="F241" s="6" t="s">
        <v>108</v>
      </c>
      <c r="G241" s="8"/>
      <c r="H241" s="8"/>
      <c r="I241" s="8"/>
      <c r="J241" s="8"/>
      <c r="K241" s="8"/>
    </row>
    <row r="242" spans="1:11" x14ac:dyDescent="0.3">
      <c r="A242" s="5">
        <v>237</v>
      </c>
      <c r="B242" s="5" t="s">
        <v>1329</v>
      </c>
      <c r="C242" s="5" t="s">
        <v>173</v>
      </c>
      <c r="D242" s="5" t="s">
        <v>1186</v>
      </c>
      <c r="E242" s="7"/>
      <c r="F242" s="5" t="s">
        <v>54</v>
      </c>
      <c r="G242" s="7"/>
      <c r="H242" s="7"/>
      <c r="I242" s="7"/>
      <c r="J242" s="7"/>
      <c r="K242" s="7"/>
    </row>
    <row r="243" spans="1:11" x14ac:dyDescent="0.3">
      <c r="A243" s="6">
        <v>238</v>
      </c>
      <c r="B243" s="6" t="s">
        <v>1330</v>
      </c>
      <c r="C243" s="6" t="s">
        <v>173</v>
      </c>
      <c r="D243" s="6" t="s">
        <v>1186</v>
      </c>
      <c r="E243" s="8"/>
      <c r="F243" s="6" t="s">
        <v>108</v>
      </c>
      <c r="G243" s="8"/>
      <c r="H243" s="8"/>
      <c r="I243" s="8"/>
      <c r="J243" s="8"/>
      <c r="K243" s="8"/>
    </row>
    <row r="244" spans="1:11" x14ac:dyDescent="0.3">
      <c r="A244" s="5">
        <v>239</v>
      </c>
      <c r="B244" s="5" t="s">
        <v>1331</v>
      </c>
      <c r="C244" s="5" t="s">
        <v>173</v>
      </c>
      <c r="D244" s="5" t="s">
        <v>1186</v>
      </c>
      <c r="E244" s="7"/>
      <c r="F244" s="5" t="s">
        <v>54</v>
      </c>
      <c r="G244" s="7"/>
      <c r="H244" s="7"/>
      <c r="I244" s="7"/>
      <c r="J244" s="7"/>
      <c r="K244" s="7"/>
    </row>
    <row r="245" spans="1:11" x14ac:dyDescent="0.3">
      <c r="A245" s="6">
        <v>240</v>
      </c>
      <c r="B245" s="6" t="s">
        <v>1332</v>
      </c>
      <c r="C245" s="6" t="s">
        <v>173</v>
      </c>
      <c r="D245" s="6" t="s">
        <v>990</v>
      </c>
      <c r="E245" s="8"/>
      <c r="F245" s="6" t="s">
        <v>108</v>
      </c>
      <c r="G245" s="8"/>
      <c r="H245" s="8"/>
      <c r="I245" s="8"/>
      <c r="J245" s="8"/>
      <c r="K245" s="8"/>
    </row>
    <row r="246" spans="1:11" x14ac:dyDescent="0.3">
      <c r="A246" s="5">
        <v>241</v>
      </c>
      <c r="B246" s="5" t="s">
        <v>1333</v>
      </c>
      <c r="C246" s="5" t="s">
        <v>173</v>
      </c>
      <c r="D246" s="5" t="s">
        <v>990</v>
      </c>
      <c r="E246" s="7"/>
      <c r="F246" s="5" t="s">
        <v>63</v>
      </c>
      <c r="G246" s="7"/>
      <c r="H246" s="7"/>
      <c r="I246" s="7"/>
      <c r="J246" s="7"/>
      <c r="K246" s="7"/>
    </row>
    <row r="247" spans="1:11" x14ac:dyDescent="0.3">
      <c r="A247" s="6">
        <v>242</v>
      </c>
      <c r="B247" s="6" t="s">
        <v>1334</v>
      </c>
      <c r="C247" s="6" t="s">
        <v>173</v>
      </c>
      <c r="D247" s="6" t="s">
        <v>1186</v>
      </c>
      <c r="E247" s="8"/>
      <c r="F247" s="6" t="s">
        <v>63</v>
      </c>
      <c r="G247" s="8"/>
      <c r="H247" s="8"/>
      <c r="I247" s="8"/>
      <c r="J247" s="8"/>
      <c r="K247" s="8"/>
    </row>
    <row r="248" spans="1:11" x14ac:dyDescent="0.3">
      <c r="A248" s="5">
        <v>243</v>
      </c>
      <c r="B248" s="5" t="s">
        <v>1335</v>
      </c>
      <c r="C248" s="5" t="s">
        <v>173</v>
      </c>
      <c r="D248" s="5" t="s">
        <v>990</v>
      </c>
      <c r="E248" s="7"/>
      <c r="F248" s="5" t="s">
        <v>63</v>
      </c>
      <c r="G248" s="7"/>
      <c r="H248" s="7"/>
      <c r="I248" s="7"/>
      <c r="J248" s="7"/>
      <c r="K248" s="7"/>
    </row>
    <row r="249" spans="1:11" x14ac:dyDescent="0.3">
      <c r="A249" s="6">
        <v>244</v>
      </c>
      <c r="B249" s="6" t="s">
        <v>1336</v>
      </c>
      <c r="C249" s="6" t="s">
        <v>173</v>
      </c>
      <c r="D249" s="6" t="s">
        <v>826</v>
      </c>
      <c r="E249" s="8"/>
      <c r="F249" s="6" t="s">
        <v>63</v>
      </c>
      <c r="G249" s="8"/>
      <c r="H249" s="8"/>
      <c r="I249" s="8"/>
      <c r="J249" s="8"/>
      <c r="K249" s="8"/>
    </row>
    <row r="250" spans="1:11" x14ac:dyDescent="0.3">
      <c r="A250" s="5">
        <v>245</v>
      </c>
      <c r="B250" s="5" t="s">
        <v>1337</v>
      </c>
      <c r="C250" s="5" t="s">
        <v>173</v>
      </c>
      <c r="D250" s="5" t="s">
        <v>990</v>
      </c>
      <c r="E250" s="7"/>
      <c r="F250" s="5" t="s">
        <v>108</v>
      </c>
      <c r="G250" s="7"/>
      <c r="H250" s="7"/>
      <c r="I250" s="7"/>
      <c r="J250" s="7"/>
      <c r="K250" s="7"/>
    </row>
    <row r="251" spans="1:11" x14ac:dyDescent="0.3">
      <c r="A251" s="6">
        <v>246</v>
      </c>
      <c r="B251" s="6" t="s">
        <v>1338</v>
      </c>
      <c r="C251" s="6" t="s">
        <v>173</v>
      </c>
      <c r="D251" s="6" t="s">
        <v>1186</v>
      </c>
      <c r="E251" s="8"/>
      <c r="F251" s="6" t="s">
        <v>108</v>
      </c>
      <c r="G251" s="8"/>
      <c r="H251" s="8"/>
      <c r="I251" s="8"/>
      <c r="J251" s="8"/>
      <c r="K251" s="8"/>
    </row>
    <row r="252" spans="1:11" x14ac:dyDescent="0.3">
      <c r="A252" s="5">
        <v>247</v>
      </c>
      <c r="B252" s="5" t="s">
        <v>1339</v>
      </c>
      <c r="C252" s="5" t="s">
        <v>173</v>
      </c>
      <c r="D252" s="5" t="s">
        <v>1186</v>
      </c>
      <c r="E252" s="7"/>
      <c r="F252" s="5" t="s">
        <v>54</v>
      </c>
      <c r="G252" s="7"/>
      <c r="H252" s="7"/>
      <c r="I252" s="7"/>
      <c r="J252" s="7"/>
      <c r="K252" s="7"/>
    </row>
    <row r="253" spans="1:11" x14ac:dyDescent="0.3">
      <c r="A253" s="6">
        <v>248</v>
      </c>
      <c r="B253" s="6" t="s">
        <v>1340</v>
      </c>
      <c r="C253" s="6" t="s">
        <v>173</v>
      </c>
      <c r="D253" s="6" t="s">
        <v>1186</v>
      </c>
      <c r="E253" s="8"/>
      <c r="F253" s="6" t="s">
        <v>108</v>
      </c>
      <c r="G253" s="8"/>
      <c r="H253" s="8"/>
      <c r="I253" s="8"/>
      <c r="J253" s="8"/>
      <c r="K253" s="8"/>
    </row>
    <row r="254" spans="1:11" x14ac:dyDescent="0.3">
      <c r="A254" s="5">
        <v>249</v>
      </c>
      <c r="B254" s="5" t="s">
        <v>1341</v>
      </c>
      <c r="C254" s="5" t="s">
        <v>173</v>
      </c>
      <c r="D254" s="5" t="s">
        <v>1312</v>
      </c>
      <c r="E254" s="7"/>
      <c r="F254" s="5" t="s">
        <v>337</v>
      </c>
      <c r="G254" s="7"/>
      <c r="H254" s="7"/>
      <c r="I254" s="7"/>
      <c r="J254" s="7"/>
      <c r="K254" s="7"/>
    </row>
    <row r="255" spans="1:11" x14ac:dyDescent="0.3">
      <c r="A255" s="6">
        <v>250</v>
      </c>
      <c r="B255" s="6" t="s">
        <v>1342</v>
      </c>
      <c r="C255" s="6" t="s">
        <v>173</v>
      </c>
      <c r="D255" s="6" t="s">
        <v>1186</v>
      </c>
      <c r="E255" s="8"/>
      <c r="F255" s="6" t="s">
        <v>72</v>
      </c>
      <c r="G255" s="8"/>
      <c r="H255" s="8"/>
      <c r="I255" s="8"/>
      <c r="J255" s="8"/>
      <c r="K255" s="8"/>
    </row>
    <row r="256" spans="1:11" x14ac:dyDescent="0.3">
      <c r="A256" s="5">
        <v>251</v>
      </c>
      <c r="B256" s="5" t="s">
        <v>1343</v>
      </c>
      <c r="C256" s="5" t="s">
        <v>124</v>
      </c>
      <c r="D256" s="5" t="s">
        <v>990</v>
      </c>
      <c r="E256" s="7"/>
      <c r="F256" s="5" t="s">
        <v>46</v>
      </c>
      <c r="G256" s="7"/>
      <c r="H256" s="7"/>
      <c r="I256" s="7"/>
      <c r="J256" s="7"/>
      <c r="K256" s="7"/>
    </row>
    <row r="257" spans="1:11" x14ac:dyDescent="0.3">
      <c r="A257" s="6">
        <v>252</v>
      </c>
      <c r="B257" s="6" t="s">
        <v>1344</v>
      </c>
      <c r="C257" s="6" t="s">
        <v>124</v>
      </c>
      <c r="D257" s="6" t="s">
        <v>990</v>
      </c>
      <c r="E257" s="8"/>
      <c r="F257" s="6" t="s">
        <v>201</v>
      </c>
      <c r="G257" s="8"/>
      <c r="H257" s="8"/>
      <c r="I257" s="8"/>
      <c r="J257" s="8"/>
      <c r="K257" s="8"/>
    </row>
    <row r="258" spans="1:11" x14ac:dyDescent="0.3">
      <c r="A258" s="5">
        <v>253</v>
      </c>
      <c r="B258" s="5" t="s">
        <v>1345</v>
      </c>
      <c r="C258" s="5" t="s">
        <v>124</v>
      </c>
      <c r="D258" s="5" t="s">
        <v>1186</v>
      </c>
      <c r="E258" s="7"/>
      <c r="F258" s="5" t="s">
        <v>63</v>
      </c>
      <c r="G258" s="7"/>
      <c r="H258" s="7"/>
      <c r="I258" s="7"/>
      <c r="J258" s="7"/>
      <c r="K258" s="7"/>
    </row>
    <row r="259" spans="1:11" x14ac:dyDescent="0.3">
      <c r="A259" s="6">
        <v>254</v>
      </c>
      <c r="B259" s="6" t="s">
        <v>1346</v>
      </c>
      <c r="C259" s="6" t="s">
        <v>124</v>
      </c>
      <c r="D259" s="6" t="s">
        <v>1312</v>
      </c>
      <c r="E259" s="8"/>
      <c r="F259" s="6" t="s">
        <v>63</v>
      </c>
      <c r="G259" s="8"/>
      <c r="H259" s="8"/>
      <c r="I259" s="8"/>
      <c r="J259" s="8"/>
      <c r="K259" s="8"/>
    </row>
    <row r="260" spans="1:11" x14ac:dyDescent="0.3">
      <c r="A260" s="5">
        <v>255</v>
      </c>
      <c r="B260" s="5" t="s">
        <v>1347</v>
      </c>
      <c r="C260" s="5" t="s">
        <v>124</v>
      </c>
      <c r="D260" s="5" t="s">
        <v>826</v>
      </c>
      <c r="E260" s="7"/>
      <c r="F260" s="5" t="s">
        <v>63</v>
      </c>
      <c r="G260" s="7"/>
      <c r="H260" s="7"/>
      <c r="I260" s="7"/>
      <c r="J260" s="7"/>
      <c r="K260" s="7"/>
    </row>
    <row r="261" spans="1:11" x14ac:dyDescent="0.3">
      <c r="A261" s="6">
        <v>256</v>
      </c>
      <c r="B261" s="6" t="s">
        <v>1348</v>
      </c>
      <c r="C261" s="6" t="s">
        <v>124</v>
      </c>
      <c r="D261" s="6" t="s">
        <v>1186</v>
      </c>
      <c r="E261" s="8"/>
      <c r="F261" s="6" t="s">
        <v>63</v>
      </c>
      <c r="G261" s="8"/>
      <c r="H261" s="8"/>
      <c r="I261" s="8"/>
      <c r="J261" s="8"/>
      <c r="K261" s="8"/>
    </row>
    <row r="262" spans="1:11" x14ac:dyDescent="0.3">
      <c r="A262" s="5">
        <v>257</v>
      </c>
      <c r="B262" s="5" t="s">
        <v>1349</v>
      </c>
      <c r="C262" s="5" t="s">
        <v>124</v>
      </c>
      <c r="D262" s="5" t="s">
        <v>1186</v>
      </c>
      <c r="E262" s="7"/>
      <c r="F262" s="5" t="s">
        <v>63</v>
      </c>
      <c r="G262" s="7"/>
      <c r="H262" s="7"/>
      <c r="I262" s="7"/>
      <c r="J262" s="7"/>
      <c r="K262" s="7"/>
    </row>
    <row r="263" spans="1:11" x14ac:dyDescent="0.3">
      <c r="A263" s="6">
        <v>258</v>
      </c>
      <c r="B263" s="6" t="s">
        <v>1350</v>
      </c>
      <c r="C263" s="6" t="s">
        <v>124</v>
      </c>
      <c r="D263" s="6" t="s">
        <v>990</v>
      </c>
      <c r="E263" s="8"/>
      <c r="F263" s="6" t="s">
        <v>63</v>
      </c>
      <c r="G263" s="8"/>
      <c r="H263" s="8"/>
      <c r="I263" s="8"/>
      <c r="J263" s="8"/>
      <c r="K263" s="8"/>
    </row>
    <row r="264" spans="1:11" x14ac:dyDescent="0.3">
      <c r="A264" s="5">
        <v>259</v>
      </c>
      <c r="B264" s="5" t="s">
        <v>1351</v>
      </c>
      <c r="C264" s="5" t="s">
        <v>124</v>
      </c>
      <c r="D264" s="5" t="s">
        <v>990</v>
      </c>
      <c r="E264" s="7"/>
      <c r="F264" s="5" t="s">
        <v>46</v>
      </c>
      <c r="G264" s="7"/>
      <c r="H264" s="7"/>
      <c r="I264" s="7"/>
      <c r="J264" s="7"/>
      <c r="K264" s="7"/>
    </row>
    <row r="265" spans="1:11" x14ac:dyDescent="0.3">
      <c r="A265" s="6">
        <v>260</v>
      </c>
      <c r="B265" s="6" t="s">
        <v>1352</v>
      </c>
      <c r="C265" s="6" t="s">
        <v>124</v>
      </c>
      <c r="D265" s="6" t="s">
        <v>826</v>
      </c>
      <c r="E265" s="8"/>
      <c r="F265" s="6" t="s">
        <v>46</v>
      </c>
      <c r="G265" s="8"/>
      <c r="H265" s="8"/>
      <c r="I265" s="8"/>
      <c r="J265" s="8"/>
      <c r="K265" s="8"/>
    </row>
    <row r="266" spans="1:11" x14ac:dyDescent="0.3">
      <c r="A266" s="5">
        <v>261</v>
      </c>
      <c r="B266" s="5" t="s">
        <v>1353</v>
      </c>
      <c r="C266" s="5" t="s">
        <v>124</v>
      </c>
      <c r="D266" s="5" t="s">
        <v>1186</v>
      </c>
      <c r="E266" s="7"/>
      <c r="F266" s="5" t="s">
        <v>72</v>
      </c>
      <c r="G266" s="7"/>
      <c r="H266" s="7"/>
      <c r="I266" s="7"/>
      <c r="J266" s="7"/>
      <c r="K266" s="7"/>
    </row>
    <row r="267" spans="1:11" x14ac:dyDescent="0.3">
      <c r="A267" s="6">
        <v>262</v>
      </c>
      <c r="B267" s="6" t="s">
        <v>1354</v>
      </c>
      <c r="C267" s="6" t="s">
        <v>124</v>
      </c>
      <c r="D267" s="6" t="s">
        <v>990</v>
      </c>
      <c r="E267" s="8"/>
      <c r="F267" s="6" t="s">
        <v>54</v>
      </c>
      <c r="G267" s="8"/>
      <c r="H267" s="8"/>
      <c r="I267" s="8"/>
      <c r="J267" s="8"/>
      <c r="K267" s="8"/>
    </row>
    <row r="268" spans="1:11" x14ac:dyDescent="0.3">
      <c r="A268" s="5">
        <v>263</v>
      </c>
      <c r="B268" s="5" t="s">
        <v>1355</v>
      </c>
      <c r="C268" s="5" t="s">
        <v>124</v>
      </c>
      <c r="D268" s="5" t="s">
        <v>990</v>
      </c>
      <c r="E268" s="7"/>
      <c r="F268" s="5" t="s">
        <v>46</v>
      </c>
      <c r="G268" s="7"/>
      <c r="H268" s="7"/>
      <c r="I268" s="7"/>
      <c r="J268" s="7"/>
      <c r="K268" s="7"/>
    </row>
    <row r="269" spans="1:11" x14ac:dyDescent="0.3">
      <c r="A269" s="6">
        <v>264</v>
      </c>
      <c r="B269" s="6" t="s">
        <v>1356</v>
      </c>
      <c r="C269" s="6" t="s">
        <v>124</v>
      </c>
      <c r="D269" s="6" t="s">
        <v>1186</v>
      </c>
      <c r="E269" s="8"/>
      <c r="F269" s="6" t="s">
        <v>63</v>
      </c>
      <c r="G269" s="8"/>
      <c r="H269" s="8"/>
      <c r="I269" s="8"/>
      <c r="J269" s="8"/>
      <c r="K269" s="8"/>
    </row>
    <row r="270" spans="1:11" x14ac:dyDescent="0.3">
      <c r="A270" s="5">
        <v>265</v>
      </c>
      <c r="B270" s="5" t="s">
        <v>1357</v>
      </c>
      <c r="C270" s="5" t="s">
        <v>124</v>
      </c>
      <c r="D270" s="5" t="s">
        <v>1186</v>
      </c>
      <c r="E270" s="7"/>
      <c r="F270" s="5" t="s">
        <v>46</v>
      </c>
      <c r="G270" s="7"/>
      <c r="H270" s="7"/>
      <c r="I270" s="7"/>
      <c r="J270" s="7"/>
      <c r="K270" s="7"/>
    </row>
    <row r="271" spans="1:11" x14ac:dyDescent="0.3">
      <c r="A271" s="6">
        <v>266</v>
      </c>
      <c r="B271" s="6" t="s">
        <v>1358</v>
      </c>
      <c r="C271" s="6" t="s">
        <v>124</v>
      </c>
      <c r="D271" s="6" t="s">
        <v>1312</v>
      </c>
      <c r="E271" s="8"/>
      <c r="F271" s="6" t="s">
        <v>201</v>
      </c>
      <c r="G271" s="8"/>
      <c r="H271" s="8"/>
      <c r="I271" s="8"/>
      <c r="J271" s="8"/>
      <c r="K271" s="8"/>
    </row>
    <row r="272" spans="1:11" x14ac:dyDescent="0.3">
      <c r="A272" s="5">
        <v>267</v>
      </c>
      <c r="B272" s="5" t="s">
        <v>1359</v>
      </c>
      <c r="C272" s="5" t="s">
        <v>124</v>
      </c>
      <c r="D272" s="5" t="s">
        <v>1186</v>
      </c>
      <c r="E272" s="7"/>
      <c r="F272" s="5" t="s">
        <v>46</v>
      </c>
      <c r="G272" s="7"/>
      <c r="H272" s="7"/>
      <c r="I272" s="7"/>
      <c r="J272" s="7"/>
      <c r="K272" s="7"/>
    </row>
    <row r="273" spans="1:11" x14ac:dyDescent="0.3">
      <c r="A273" s="6">
        <v>268</v>
      </c>
      <c r="B273" s="6" t="s">
        <v>1360</v>
      </c>
      <c r="C273" s="6" t="s">
        <v>124</v>
      </c>
      <c r="D273" s="6" t="s">
        <v>1186</v>
      </c>
      <c r="E273" s="8"/>
      <c r="F273" s="6" t="s">
        <v>280</v>
      </c>
      <c r="G273" s="8"/>
      <c r="H273" s="8"/>
      <c r="I273" s="8"/>
      <c r="J273" s="8"/>
      <c r="K273" s="8"/>
    </row>
    <row r="274" spans="1:11" x14ac:dyDescent="0.3">
      <c r="A274" s="5">
        <v>269</v>
      </c>
      <c r="B274" s="5" t="s">
        <v>1361</v>
      </c>
      <c r="C274" s="5" t="s">
        <v>124</v>
      </c>
      <c r="D274" s="5" t="s">
        <v>990</v>
      </c>
      <c r="E274" s="7"/>
      <c r="F274" s="5" t="s">
        <v>46</v>
      </c>
      <c r="G274" s="7"/>
      <c r="H274" s="7"/>
      <c r="I274" s="7"/>
      <c r="J274" s="7"/>
      <c r="K274" s="7"/>
    </row>
    <row r="275" spans="1:11" x14ac:dyDescent="0.3">
      <c r="A275" s="6">
        <v>270</v>
      </c>
      <c r="B275" s="6" t="s">
        <v>1362</v>
      </c>
      <c r="C275" s="6" t="s">
        <v>124</v>
      </c>
      <c r="D275" s="6" t="s">
        <v>1186</v>
      </c>
      <c r="E275" s="8"/>
      <c r="F275" s="6" t="s">
        <v>46</v>
      </c>
      <c r="G275" s="8"/>
      <c r="H275" s="8"/>
      <c r="I275" s="8"/>
      <c r="J275" s="8"/>
      <c r="K275" s="8"/>
    </row>
    <row r="276" spans="1:11" x14ac:dyDescent="0.3">
      <c r="A276" s="5">
        <v>271</v>
      </c>
      <c r="B276" s="5" t="s">
        <v>1363</v>
      </c>
      <c r="C276" s="5" t="s">
        <v>152</v>
      </c>
      <c r="D276" s="5" t="s">
        <v>990</v>
      </c>
      <c r="E276" s="7"/>
      <c r="F276" s="5" t="s">
        <v>201</v>
      </c>
      <c r="G276" s="7"/>
      <c r="H276" s="7"/>
      <c r="I276" s="7"/>
      <c r="J276" s="7"/>
      <c r="K276" s="7"/>
    </row>
    <row r="277" spans="1:11" x14ac:dyDescent="0.3">
      <c r="A277" s="6">
        <v>272</v>
      </c>
      <c r="B277" s="6" t="s">
        <v>1364</v>
      </c>
      <c r="C277" s="6" t="s">
        <v>152</v>
      </c>
      <c r="D277" s="6" t="s">
        <v>826</v>
      </c>
      <c r="E277" s="8"/>
      <c r="F277" s="6" t="s">
        <v>46</v>
      </c>
      <c r="G277" s="8"/>
      <c r="H277" s="8"/>
      <c r="I277" s="8"/>
      <c r="J277" s="8"/>
      <c r="K277" s="8"/>
    </row>
    <row r="278" spans="1:11" x14ac:dyDescent="0.3">
      <c r="A278" s="5">
        <v>273</v>
      </c>
      <c r="B278" s="5" t="s">
        <v>1365</v>
      </c>
      <c r="C278" s="5" t="s">
        <v>152</v>
      </c>
      <c r="D278" s="5" t="s">
        <v>990</v>
      </c>
      <c r="E278" s="7"/>
      <c r="F278" s="5" t="s">
        <v>108</v>
      </c>
      <c r="G278" s="7"/>
      <c r="H278" s="7"/>
      <c r="I278" s="7"/>
      <c r="J278" s="7"/>
      <c r="K278" s="7"/>
    </row>
    <row r="279" spans="1:11" x14ac:dyDescent="0.3">
      <c r="A279" s="6">
        <v>274</v>
      </c>
      <c r="B279" s="6" t="s">
        <v>1366</v>
      </c>
      <c r="C279" s="6" t="s">
        <v>152</v>
      </c>
      <c r="D279" s="6" t="s">
        <v>1186</v>
      </c>
      <c r="E279" s="8"/>
      <c r="F279" s="6" t="s">
        <v>108</v>
      </c>
      <c r="G279" s="8"/>
      <c r="H279" s="8"/>
      <c r="I279" s="8"/>
      <c r="J279" s="8"/>
      <c r="K279" s="8"/>
    </row>
    <row r="280" spans="1:11" x14ac:dyDescent="0.3">
      <c r="A280" s="5">
        <v>275</v>
      </c>
      <c r="B280" s="5" t="s">
        <v>1367</v>
      </c>
      <c r="C280" s="5" t="s">
        <v>152</v>
      </c>
      <c r="D280" s="5" t="s">
        <v>990</v>
      </c>
      <c r="E280" s="7"/>
      <c r="F280" s="5" t="s">
        <v>54</v>
      </c>
      <c r="G280" s="7"/>
      <c r="H280" s="7"/>
      <c r="I280" s="7"/>
      <c r="J280" s="7"/>
      <c r="K280" s="7"/>
    </row>
    <row r="281" spans="1:11" x14ac:dyDescent="0.3">
      <c r="A281" s="6">
        <v>276</v>
      </c>
      <c r="B281" s="6" t="s">
        <v>1368</v>
      </c>
      <c r="C281" s="6" t="s">
        <v>152</v>
      </c>
      <c r="D281" s="6" t="s">
        <v>1186</v>
      </c>
      <c r="E281" s="8"/>
      <c r="F281" s="6" t="s">
        <v>108</v>
      </c>
      <c r="G281" s="8"/>
      <c r="H281" s="8"/>
      <c r="I281" s="8"/>
      <c r="J281" s="8"/>
      <c r="K281" s="8"/>
    </row>
    <row r="282" spans="1:11" x14ac:dyDescent="0.3">
      <c r="A282" s="5">
        <v>277</v>
      </c>
      <c r="B282" s="5" t="s">
        <v>1369</v>
      </c>
      <c r="C282" s="5" t="s">
        <v>152</v>
      </c>
      <c r="D282" s="5" t="s">
        <v>990</v>
      </c>
      <c r="E282" s="7"/>
      <c r="F282" s="5" t="s">
        <v>201</v>
      </c>
      <c r="G282" s="7"/>
      <c r="H282" s="7"/>
      <c r="I282" s="7"/>
      <c r="J282" s="7"/>
      <c r="K282" s="7"/>
    </row>
    <row r="283" spans="1:11" x14ac:dyDescent="0.3">
      <c r="A283" s="6">
        <v>278</v>
      </c>
      <c r="B283" s="6" t="s">
        <v>1370</v>
      </c>
      <c r="C283" s="6" t="s">
        <v>152</v>
      </c>
      <c r="D283" s="6" t="s">
        <v>1186</v>
      </c>
      <c r="E283" s="8"/>
      <c r="F283" s="6" t="s">
        <v>108</v>
      </c>
      <c r="G283" s="8"/>
      <c r="H283" s="8"/>
      <c r="I283" s="8"/>
      <c r="J283" s="8"/>
      <c r="K283" s="8"/>
    </row>
    <row r="284" spans="1:11" x14ac:dyDescent="0.3">
      <c r="A284" s="5">
        <v>279</v>
      </c>
      <c r="B284" s="5" t="s">
        <v>1371</v>
      </c>
      <c r="C284" s="5" t="s">
        <v>152</v>
      </c>
      <c r="D284" s="5" t="s">
        <v>1312</v>
      </c>
      <c r="E284" s="7"/>
      <c r="F284" s="5" t="s">
        <v>108</v>
      </c>
      <c r="G284" s="7"/>
      <c r="H284" s="7"/>
      <c r="I284" s="7"/>
      <c r="J284" s="7"/>
      <c r="K284" s="7"/>
    </row>
    <row r="285" spans="1:11" x14ac:dyDescent="0.3">
      <c r="A285" s="6">
        <v>280</v>
      </c>
      <c r="B285" s="6" t="s">
        <v>1372</v>
      </c>
      <c r="C285" s="6" t="s">
        <v>152</v>
      </c>
      <c r="D285" s="6" t="s">
        <v>1312</v>
      </c>
      <c r="E285" s="8"/>
      <c r="F285" s="6" t="s">
        <v>108</v>
      </c>
      <c r="G285" s="8"/>
      <c r="H285" s="8"/>
      <c r="I285" s="8"/>
      <c r="J285" s="8"/>
      <c r="K285" s="8"/>
    </row>
    <row r="286" spans="1:11" x14ac:dyDescent="0.3">
      <c r="A286" s="5">
        <v>281</v>
      </c>
      <c r="B286" s="5" t="s">
        <v>1373</v>
      </c>
      <c r="C286" s="5" t="s">
        <v>152</v>
      </c>
      <c r="D286" s="5" t="s">
        <v>1186</v>
      </c>
      <c r="E286" s="7"/>
      <c r="F286" s="5" t="s">
        <v>280</v>
      </c>
      <c r="G286" s="7"/>
      <c r="H286" s="7"/>
      <c r="I286" s="7"/>
      <c r="J286" s="7"/>
      <c r="K286" s="7"/>
    </row>
    <row r="287" spans="1:11" x14ac:dyDescent="0.3">
      <c r="A287" s="6">
        <v>282</v>
      </c>
      <c r="B287" s="6" t="s">
        <v>1374</v>
      </c>
      <c r="C287" s="6" t="s">
        <v>152</v>
      </c>
      <c r="D287" s="6" t="s">
        <v>826</v>
      </c>
      <c r="E287" s="8"/>
      <c r="F287" s="6" t="s">
        <v>280</v>
      </c>
      <c r="G287" s="8"/>
      <c r="H287" s="8"/>
      <c r="I287" s="8"/>
      <c r="J287" s="8"/>
      <c r="K287" s="8"/>
    </row>
    <row r="288" spans="1:11" x14ac:dyDescent="0.3">
      <c r="A288" s="5">
        <v>283</v>
      </c>
      <c r="B288" s="5" t="s">
        <v>1375</v>
      </c>
      <c r="C288" s="5" t="s">
        <v>152</v>
      </c>
      <c r="D288" s="5" t="s">
        <v>990</v>
      </c>
      <c r="E288" s="7"/>
      <c r="F288" s="5" t="s">
        <v>280</v>
      </c>
      <c r="G288" s="7"/>
      <c r="H288" s="7"/>
      <c r="I288" s="7"/>
      <c r="J288" s="7"/>
      <c r="K288" s="7"/>
    </row>
    <row r="289" spans="1:11" x14ac:dyDescent="0.3">
      <c r="A289" s="6">
        <v>284</v>
      </c>
      <c r="B289" s="6" t="s">
        <v>1376</v>
      </c>
      <c r="C289" s="6" t="s">
        <v>152</v>
      </c>
      <c r="D289" s="6" t="s">
        <v>1186</v>
      </c>
      <c r="E289" s="8"/>
      <c r="F289" s="6" t="s">
        <v>108</v>
      </c>
      <c r="G289" s="8"/>
      <c r="H289" s="8"/>
      <c r="I289" s="8"/>
      <c r="J289" s="8"/>
      <c r="K289" s="8"/>
    </row>
    <row r="290" spans="1:11" x14ac:dyDescent="0.3">
      <c r="A290" s="5">
        <v>285</v>
      </c>
      <c r="B290" s="5" t="s">
        <v>1377</v>
      </c>
      <c r="C290" s="5" t="s">
        <v>152</v>
      </c>
      <c r="D290" s="5" t="s">
        <v>990</v>
      </c>
      <c r="E290" s="7"/>
      <c r="F290" s="5" t="s">
        <v>108</v>
      </c>
      <c r="G290" s="7"/>
      <c r="H290" s="7"/>
      <c r="I290" s="7"/>
      <c r="J290" s="7"/>
      <c r="K290" s="7"/>
    </row>
    <row r="291" spans="1:11" x14ac:dyDescent="0.3">
      <c r="A291" s="6">
        <v>286</v>
      </c>
      <c r="B291" s="6" t="s">
        <v>1378</v>
      </c>
      <c r="C291" s="6" t="s">
        <v>152</v>
      </c>
      <c r="D291" s="6" t="s">
        <v>826</v>
      </c>
      <c r="E291" s="8"/>
      <c r="F291" s="6" t="s">
        <v>108</v>
      </c>
      <c r="G291" s="8"/>
      <c r="H291" s="8"/>
      <c r="I291" s="8"/>
      <c r="J291" s="8"/>
      <c r="K291" s="8"/>
    </row>
    <row r="292" spans="1:11" x14ac:dyDescent="0.3">
      <c r="A292" s="5">
        <v>287</v>
      </c>
      <c r="B292" s="5" t="s">
        <v>1379</v>
      </c>
      <c r="C292" s="5" t="s">
        <v>152</v>
      </c>
      <c r="D292" s="5" t="s">
        <v>990</v>
      </c>
      <c r="E292" s="7"/>
      <c r="F292" s="5" t="s">
        <v>54</v>
      </c>
      <c r="G292" s="7"/>
      <c r="H292" s="7"/>
      <c r="I292" s="7"/>
      <c r="J292" s="7"/>
      <c r="K292" s="7"/>
    </row>
    <row r="293" spans="1:11" x14ac:dyDescent="0.3">
      <c r="A293" s="6">
        <v>288</v>
      </c>
      <c r="B293" s="6" t="s">
        <v>1380</v>
      </c>
      <c r="C293" s="6" t="s">
        <v>152</v>
      </c>
      <c r="D293" s="6" t="s">
        <v>826</v>
      </c>
      <c r="E293" s="8"/>
      <c r="F293" s="6" t="s">
        <v>108</v>
      </c>
      <c r="G293" s="8"/>
      <c r="H293" s="8"/>
      <c r="I293" s="8"/>
      <c r="J293" s="8"/>
      <c r="K293" s="8"/>
    </row>
    <row r="294" spans="1:11" x14ac:dyDescent="0.3">
      <c r="A294" s="5">
        <v>289</v>
      </c>
      <c r="B294" s="5" t="s">
        <v>1381</v>
      </c>
      <c r="C294" s="5" t="s">
        <v>152</v>
      </c>
      <c r="D294" s="5" t="s">
        <v>1186</v>
      </c>
      <c r="E294" s="7"/>
      <c r="F294" s="5" t="s">
        <v>108</v>
      </c>
      <c r="G294" s="7"/>
      <c r="H294" s="7"/>
      <c r="I294" s="7"/>
      <c r="J294" s="7"/>
      <c r="K294" s="7"/>
    </row>
    <row r="295" spans="1:11" x14ac:dyDescent="0.3">
      <c r="A295" s="6">
        <v>290</v>
      </c>
      <c r="B295" s="6" t="s">
        <v>1382</v>
      </c>
      <c r="C295" s="6" t="s">
        <v>152</v>
      </c>
      <c r="D295" s="6" t="s">
        <v>990</v>
      </c>
      <c r="E295" s="8"/>
      <c r="F295" s="6" t="s">
        <v>108</v>
      </c>
      <c r="G295" s="8"/>
      <c r="H295" s="8"/>
      <c r="I295" s="8"/>
      <c r="J295" s="8"/>
      <c r="K295" s="8"/>
    </row>
    <row r="296" spans="1:11" x14ac:dyDescent="0.3">
      <c r="A296" s="5">
        <v>291</v>
      </c>
      <c r="B296" s="5" t="s">
        <v>1383</v>
      </c>
      <c r="C296" s="5" t="s">
        <v>152</v>
      </c>
      <c r="D296" s="5" t="s">
        <v>826</v>
      </c>
      <c r="E296" s="7"/>
      <c r="F296" s="5" t="s">
        <v>108</v>
      </c>
      <c r="G296" s="7"/>
      <c r="H296" s="7"/>
      <c r="I296" s="7"/>
      <c r="J296" s="7"/>
      <c r="K296" s="7"/>
    </row>
    <row r="297" spans="1:11" x14ac:dyDescent="0.3">
      <c r="A297" s="6">
        <v>292</v>
      </c>
      <c r="B297" s="6" t="s">
        <v>1384</v>
      </c>
      <c r="C297" s="6" t="s">
        <v>152</v>
      </c>
      <c r="D297" s="6" t="s">
        <v>826</v>
      </c>
      <c r="E297" s="8"/>
      <c r="F297" s="6" t="s">
        <v>108</v>
      </c>
      <c r="G297" s="8"/>
      <c r="H297" s="8"/>
      <c r="I297" s="8"/>
      <c r="J297" s="8"/>
      <c r="K297" s="8"/>
    </row>
    <row r="298" spans="1:11" x14ac:dyDescent="0.3">
      <c r="A298" s="5">
        <v>293</v>
      </c>
      <c r="B298" s="5" t="s">
        <v>1385</v>
      </c>
      <c r="C298" s="5" t="s">
        <v>152</v>
      </c>
      <c r="D298" s="5" t="s">
        <v>1186</v>
      </c>
      <c r="E298" s="7"/>
      <c r="F298" s="5" t="s">
        <v>108</v>
      </c>
      <c r="G298" s="7"/>
      <c r="H298" s="7"/>
      <c r="I298" s="7"/>
      <c r="J298" s="7"/>
      <c r="K298" s="7"/>
    </row>
    <row r="299" spans="1:11" x14ac:dyDescent="0.3">
      <c r="A299" s="6">
        <v>294</v>
      </c>
      <c r="B299" s="6" t="s">
        <v>1386</v>
      </c>
      <c r="C299" s="6" t="s">
        <v>152</v>
      </c>
      <c r="D299" s="6" t="s">
        <v>1186</v>
      </c>
      <c r="E299" s="8"/>
      <c r="F299" s="6" t="s">
        <v>108</v>
      </c>
      <c r="G299" s="8"/>
      <c r="H299" s="8"/>
      <c r="I299" s="8"/>
      <c r="J299" s="8"/>
      <c r="K299" s="8"/>
    </row>
    <row r="300" spans="1:11" x14ac:dyDescent="0.3">
      <c r="A300" s="5">
        <v>295</v>
      </c>
      <c r="B300" s="5" t="s">
        <v>1387</v>
      </c>
      <c r="C300" s="5" t="s">
        <v>152</v>
      </c>
      <c r="D300" s="5" t="s">
        <v>1186</v>
      </c>
      <c r="E300" s="7"/>
      <c r="F300" s="5" t="s">
        <v>108</v>
      </c>
      <c r="G300" s="7"/>
      <c r="H300" s="7"/>
      <c r="I300" s="7"/>
      <c r="J300" s="7"/>
      <c r="K300" s="7"/>
    </row>
    <row r="301" spans="1:11" x14ac:dyDescent="0.3">
      <c r="A301" s="6">
        <v>296</v>
      </c>
      <c r="B301" s="6" t="s">
        <v>1388</v>
      </c>
      <c r="C301" s="6" t="s">
        <v>152</v>
      </c>
      <c r="D301" s="6" t="s">
        <v>990</v>
      </c>
      <c r="E301" s="8"/>
      <c r="F301" s="6" t="s">
        <v>108</v>
      </c>
      <c r="G301" s="8"/>
      <c r="H301" s="8"/>
      <c r="I301" s="8"/>
      <c r="J301" s="8"/>
      <c r="K301" s="8"/>
    </row>
    <row r="302" spans="1:11" x14ac:dyDescent="0.3">
      <c r="A302" s="5">
        <v>297</v>
      </c>
      <c r="B302" s="5" t="s">
        <v>1389</v>
      </c>
      <c r="C302" s="5" t="s">
        <v>152</v>
      </c>
      <c r="D302" s="5" t="s">
        <v>1186</v>
      </c>
      <c r="E302" s="7"/>
      <c r="F302" s="5" t="s">
        <v>108</v>
      </c>
      <c r="G302" s="7"/>
      <c r="H302" s="7"/>
      <c r="I302" s="7"/>
      <c r="J302" s="7"/>
      <c r="K302" s="7"/>
    </row>
    <row r="303" spans="1:11" x14ac:dyDescent="0.3">
      <c r="A303" s="6">
        <v>298</v>
      </c>
      <c r="B303" s="6" t="s">
        <v>1390</v>
      </c>
      <c r="C303" s="6" t="s">
        <v>152</v>
      </c>
      <c r="D303" s="6" t="s">
        <v>1186</v>
      </c>
      <c r="E303" s="8"/>
      <c r="F303" s="6" t="s">
        <v>46</v>
      </c>
      <c r="G303" s="8"/>
      <c r="H303" s="8"/>
      <c r="I303" s="8"/>
      <c r="J303" s="8"/>
      <c r="K303" s="8"/>
    </row>
    <row r="304" spans="1:11" x14ac:dyDescent="0.3">
      <c r="A304" s="5">
        <v>299</v>
      </c>
      <c r="B304" s="5" t="s">
        <v>1391</v>
      </c>
      <c r="C304" s="5" t="s">
        <v>152</v>
      </c>
      <c r="D304" s="5" t="s">
        <v>1312</v>
      </c>
      <c r="E304" s="7"/>
      <c r="F304" s="5" t="s">
        <v>108</v>
      </c>
      <c r="G304" s="7"/>
      <c r="H304" s="7"/>
      <c r="I304" s="7"/>
      <c r="J304" s="7"/>
      <c r="K304" s="7"/>
    </row>
    <row r="305" spans="1:11" x14ac:dyDescent="0.3">
      <c r="A305" s="6">
        <v>300</v>
      </c>
      <c r="B305" s="6" t="s">
        <v>1392</v>
      </c>
      <c r="C305" s="6" t="s">
        <v>152</v>
      </c>
      <c r="D305" s="6" t="s">
        <v>1312</v>
      </c>
      <c r="E305" s="8"/>
      <c r="F305" s="6" t="s">
        <v>201</v>
      </c>
      <c r="G305" s="8"/>
      <c r="H305" s="8"/>
      <c r="I305" s="8"/>
      <c r="J305" s="8"/>
      <c r="K305" s="8"/>
    </row>
    <row r="306" spans="1:11" x14ac:dyDescent="0.3">
      <c r="A306" s="5">
        <v>301</v>
      </c>
      <c r="B306" s="5" t="s">
        <v>1393</v>
      </c>
      <c r="C306" s="5" t="s">
        <v>152</v>
      </c>
      <c r="D306" s="5" t="s">
        <v>1186</v>
      </c>
      <c r="E306" s="7"/>
      <c r="F306" s="5" t="s">
        <v>108</v>
      </c>
      <c r="G306" s="7"/>
      <c r="H306" s="7"/>
      <c r="I306" s="7"/>
      <c r="J306" s="7"/>
      <c r="K306" s="7"/>
    </row>
    <row r="307" spans="1:11" x14ac:dyDescent="0.3">
      <c r="A307" s="6">
        <v>302</v>
      </c>
      <c r="B307" s="6" t="s">
        <v>1394</v>
      </c>
      <c r="C307" s="6" t="s">
        <v>152</v>
      </c>
      <c r="D307" s="6" t="s">
        <v>1186</v>
      </c>
      <c r="E307" s="8"/>
      <c r="F307" s="6" t="s">
        <v>54</v>
      </c>
      <c r="G307" s="8"/>
      <c r="H307" s="8"/>
      <c r="I307" s="8"/>
      <c r="J307" s="8"/>
      <c r="K307" s="8"/>
    </row>
    <row r="308" spans="1:11" x14ac:dyDescent="0.3">
      <c r="A308" s="5">
        <v>303</v>
      </c>
      <c r="B308" s="5" t="s">
        <v>1395</v>
      </c>
      <c r="C308" s="5" t="s">
        <v>152</v>
      </c>
      <c r="D308" s="5" t="s">
        <v>990</v>
      </c>
      <c r="E308" s="7"/>
      <c r="F308" s="5" t="s">
        <v>54</v>
      </c>
      <c r="G308" s="7"/>
      <c r="H308" s="7"/>
      <c r="I308" s="7"/>
      <c r="J308" s="7"/>
      <c r="K308" s="7"/>
    </row>
    <row r="309" spans="1:11" x14ac:dyDescent="0.3">
      <c r="A309" s="6">
        <v>304</v>
      </c>
      <c r="B309" s="6" t="s">
        <v>1396</v>
      </c>
      <c r="C309" s="6" t="s">
        <v>152</v>
      </c>
      <c r="D309" s="6" t="s">
        <v>826</v>
      </c>
      <c r="E309" s="8"/>
      <c r="F309" s="6" t="s">
        <v>108</v>
      </c>
      <c r="G309" s="8"/>
      <c r="H309" s="8"/>
      <c r="I309" s="8"/>
      <c r="J309" s="8"/>
      <c r="K309" s="8"/>
    </row>
    <row r="310" spans="1:11" x14ac:dyDescent="0.3">
      <c r="A310" s="5">
        <v>305</v>
      </c>
      <c r="B310" s="5" t="s">
        <v>1397</v>
      </c>
      <c r="C310" s="5" t="s">
        <v>152</v>
      </c>
      <c r="D310" s="5" t="s">
        <v>1186</v>
      </c>
      <c r="E310" s="7"/>
      <c r="F310" s="5" t="s">
        <v>46</v>
      </c>
      <c r="G310" s="7"/>
      <c r="H310" s="7"/>
      <c r="I310" s="7"/>
      <c r="J310" s="7"/>
      <c r="K310" s="7"/>
    </row>
    <row r="311" spans="1:11" x14ac:dyDescent="0.3">
      <c r="A311" s="6">
        <v>306</v>
      </c>
      <c r="B311" s="6" t="s">
        <v>1398</v>
      </c>
      <c r="C311" s="6" t="s">
        <v>414</v>
      </c>
      <c r="D311" s="6" t="s">
        <v>1186</v>
      </c>
      <c r="E311" s="8"/>
      <c r="F311" s="6" t="s">
        <v>201</v>
      </c>
      <c r="G311" s="8"/>
      <c r="H311" s="8"/>
      <c r="I311" s="8"/>
      <c r="J311" s="8"/>
      <c r="K311" s="8"/>
    </row>
    <row r="312" spans="1:11" x14ac:dyDescent="0.3">
      <c r="A312" s="5">
        <v>307</v>
      </c>
      <c r="B312" s="5" t="s">
        <v>1399</v>
      </c>
      <c r="C312" s="5" t="s">
        <v>414</v>
      </c>
      <c r="D312" s="5" t="s">
        <v>826</v>
      </c>
      <c r="E312" s="7"/>
      <c r="F312" s="5" t="s">
        <v>46</v>
      </c>
      <c r="G312" s="7"/>
      <c r="H312" s="7"/>
      <c r="I312" s="7"/>
      <c r="J312" s="7"/>
      <c r="K312" s="7"/>
    </row>
    <row r="313" spans="1:11" x14ac:dyDescent="0.3">
      <c r="A313" s="6">
        <v>308</v>
      </c>
      <c r="B313" s="6" t="s">
        <v>1400</v>
      </c>
      <c r="C313" s="6" t="s">
        <v>414</v>
      </c>
      <c r="D313" s="6" t="s">
        <v>990</v>
      </c>
      <c r="E313" s="8"/>
      <c r="F313" s="6" t="s">
        <v>54</v>
      </c>
      <c r="G313" s="8"/>
      <c r="H313" s="8"/>
      <c r="I313" s="8"/>
      <c r="J313" s="8"/>
      <c r="K313" s="8"/>
    </row>
    <row r="314" spans="1:11" x14ac:dyDescent="0.3">
      <c r="A314" s="5">
        <v>309</v>
      </c>
      <c r="B314" s="5" t="s">
        <v>1401</v>
      </c>
      <c r="C314" s="5" t="s">
        <v>414</v>
      </c>
      <c r="D314" s="5" t="s">
        <v>990</v>
      </c>
      <c r="E314" s="7"/>
      <c r="F314" s="5" t="s">
        <v>46</v>
      </c>
      <c r="G314" s="7"/>
      <c r="H314" s="7"/>
      <c r="I314" s="7"/>
      <c r="J314" s="7"/>
      <c r="K314" s="7"/>
    </row>
    <row r="315" spans="1:11" x14ac:dyDescent="0.3">
      <c r="A315" s="6">
        <v>310</v>
      </c>
      <c r="B315" s="6" t="s">
        <v>1402</v>
      </c>
      <c r="C315" s="6" t="s">
        <v>414</v>
      </c>
      <c r="D315" s="6" t="s">
        <v>1186</v>
      </c>
      <c r="E315" s="8"/>
      <c r="F315" s="6" t="s">
        <v>108</v>
      </c>
      <c r="G315" s="8"/>
      <c r="H315" s="8"/>
      <c r="I315" s="8"/>
      <c r="J315" s="8"/>
      <c r="K315" s="8"/>
    </row>
    <row r="316" spans="1:11" x14ac:dyDescent="0.3">
      <c r="A316" s="5">
        <v>311</v>
      </c>
      <c r="B316" s="5" t="s">
        <v>1403</v>
      </c>
      <c r="C316" s="5" t="s">
        <v>414</v>
      </c>
      <c r="D316" s="5" t="s">
        <v>1186</v>
      </c>
      <c r="E316" s="7"/>
      <c r="F316" s="5" t="s">
        <v>201</v>
      </c>
      <c r="G316" s="7"/>
      <c r="H316" s="7"/>
      <c r="I316" s="7"/>
      <c r="J316" s="7"/>
      <c r="K316" s="7"/>
    </row>
    <row r="317" spans="1:11" x14ac:dyDescent="0.3">
      <c r="A317" s="6">
        <v>312</v>
      </c>
      <c r="B317" s="6" t="s">
        <v>1404</v>
      </c>
      <c r="C317" s="6" t="s">
        <v>414</v>
      </c>
      <c r="D317" s="6" t="s">
        <v>1312</v>
      </c>
      <c r="E317" s="8"/>
      <c r="F317" s="6" t="s">
        <v>201</v>
      </c>
      <c r="G317" s="8"/>
      <c r="H317" s="8"/>
      <c r="I317" s="8"/>
      <c r="J317" s="8"/>
      <c r="K317" s="8"/>
    </row>
    <row r="318" spans="1:11" x14ac:dyDescent="0.3">
      <c r="A318" s="5">
        <v>313</v>
      </c>
      <c r="B318" s="5" t="s">
        <v>1405</v>
      </c>
      <c r="C318" s="5" t="s">
        <v>152</v>
      </c>
      <c r="D318" s="5" t="s">
        <v>1186</v>
      </c>
      <c r="E318" s="7"/>
      <c r="F318" s="5" t="s">
        <v>46</v>
      </c>
      <c r="G318" s="7"/>
      <c r="H318" s="7"/>
      <c r="I318" s="7"/>
      <c r="J318" s="7"/>
      <c r="K318" s="7"/>
    </row>
    <row r="319" spans="1:11" x14ac:dyDescent="0.3">
      <c r="A319" s="6">
        <v>314</v>
      </c>
      <c r="B319" s="6" t="s">
        <v>1406</v>
      </c>
      <c r="C319" s="6" t="s">
        <v>152</v>
      </c>
      <c r="D319" s="6" t="s">
        <v>1186</v>
      </c>
      <c r="E319" s="8"/>
      <c r="F319" s="6" t="s">
        <v>46</v>
      </c>
      <c r="G319" s="8"/>
      <c r="H319" s="8"/>
      <c r="I319" s="8"/>
      <c r="J319" s="8"/>
      <c r="K319" s="8"/>
    </row>
    <row r="320" spans="1:11" x14ac:dyDescent="0.3">
      <c r="A320" s="5">
        <v>315</v>
      </c>
      <c r="B320" s="5" t="s">
        <v>1407</v>
      </c>
      <c r="C320" s="5" t="s">
        <v>152</v>
      </c>
      <c r="D320" s="5" t="s">
        <v>990</v>
      </c>
      <c r="E320" s="7"/>
      <c r="F320" s="5" t="s">
        <v>201</v>
      </c>
      <c r="G320" s="7"/>
      <c r="H320" s="7"/>
      <c r="I320" s="7"/>
      <c r="J320" s="7"/>
      <c r="K320" s="7"/>
    </row>
    <row r="321" spans="1:11" x14ac:dyDescent="0.3">
      <c r="A321" s="6">
        <v>316</v>
      </c>
      <c r="B321" s="6" t="s">
        <v>1408</v>
      </c>
      <c r="C321" s="6" t="s">
        <v>152</v>
      </c>
      <c r="D321" s="6" t="s">
        <v>1186</v>
      </c>
      <c r="E321" s="8"/>
      <c r="F321" s="6" t="s">
        <v>201</v>
      </c>
      <c r="G321" s="8"/>
      <c r="H321" s="8"/>
      <c r="I321" s="8"/>
      <c r="J321" s="8"/>
      <c r="K321" s="8"/>
    </row>
    <row r="322" spans="1:11" x14ac:dyDescent="0.3">
      <c r="A322" s="5">
        <v>317</v>
      </c>
      <c r="B322" s="5" t="s">
        <v>1409</v>
      </c>
      <c r="C322" s="5" t="s">
        <v>152</v>
      </c>
      <c r="D322" s="5" t="s">
        <v>1312</v>
      </c>
      <c r="E322" s="7"/>
      <c r="F322" s="5" t="s">
        <v>46</v>
      </c>
      <c r="G322" s="7"/>
      <c r="H322" s="7"/>
      <c r="I322" s="7"/>
      <c r="J322" s="7"/>
      <c r="K322" s="7"/>
    </row>
    <row r="323" spans="1:11" x14ac:dyDescent="0.3">
      <c r="A323" s="6">
        <v>318</v>
      </c>
      <c r="B323" s="6" t="s">
        <v>1410</v>
      </c>
      <c r="C323" s="6" t="s">
        <v>152</v>
      </c>
      <c r="D323" s="6" t="s">
        <v>1312</v>
      </c>
      <c r="E323" s="8"/>
      <c r="F323" s="6" t="s">
        <v>201</v>
      </c>
      <c r="G323" s="8"/>
      <c r="H323" s="8"/>
      <c r="I323" s="8"/>
      <c r="J323" s="8"/>
      <c r="K323" s="8"/>
    </row>
    <row r="324" spans="1:11" x14ac:dyDescent="0.3">
      <c r="A324" s="5">
        <v>319</v>
      </c>
      <c r="B324" s="5" t="s">
        <v>1411</v>
      </c>
      <c r="C324" s="5" t="s">
        <v>152</v>
      </c>
      <c r="D324" s="5" t="s">
        <v>1312</v>
      </c>
      <c r="E324" s="7"/>
      <c r="F324" s="5" t="s">
        <v>108</v>
      </c>
      <c r="G324" s="7"/>
      <c r="H324" s="7"/>
      <c r="I324" s="7"/>
      <c r="J324" s="7"/>
      <c r="K324" s="7"/>
    </row>
    <row r="325" spans="1:11" x14ac:dyDescent="0.3">
      <c r="A325" s="6">
        <v>320</v>
      </c>
      <c r="B325" s="6" t="s">
        <v>1412</v>
      </c>
      <c r="C325" s="6" t="s">
        <v>152</v>
      </c>
      <c r="D325" s="6" t="s">
        <v>1312</v>
      </c>
      <c r="E325" s="8"/>
      <c r="F325" s="6" t="s">
        <v>46</v>
      </c>
      <c r="G325" s="8"/>
      <c r="H325" s="8"/>
      <c r="I325" s="8"/>
      <c r="J325" s="8"/>
      <c r="K325" s="8"/>
    </row>
    <row r="326" spans="1:11" x14ac:dyDescent="0.3">
      <c r="A326" s="5">
        <v>321</v>
      </c>
      <c r="B326" s="5" t="s">
        <v>1413</v>
      </c>
      <c r="C326" s="5" t="s">
        <v>152</v>
      </c>
      <c r="D326" s="5" t="s">
        <v>1186</v>
      </c>
      <c r="E326" s="7"/>
      <c r="F326" s="5" t="s">
        <v>46</v>
      </c>
      <c r="G326" s="7"/>
      <c r="H326" s="7"/>
      <c r="I326" s="7"/>
      <c r="J326" s="7"/>
      <c r="K326" s="7"/>
    </row>
    <row r="327" spans="1:11" x14ac:dyDescent="0.3">
      <c r="A327" s="6">
        <v>322</v>
      </c>
      <c r="B327" s="6" t="s">
        <v>1414</v>
      </c>
      <c r="C327" s="6" t="s">
        <v>152</v>
      </c>
      <c r="D327" s="6" t="s">
        <v>1186</v>
      </c>
      <c r="E327" s="8"/>
      <c r="F327" s="6" t="s">
        <v>108</v>
      </c>
      <c r="G327" s="8"/>
      <c r="H327" s="8"/>
      <c r="I327" s="8"/>
      <c r="J327" s="8"/>
      <c r="K327" s="8"/>
    </row>
    <row r="328" spans="1:11" x14ac:dyDescent="0.3">
      <c r="A328" s="5">
        <v>323</v>
      </c>
      <c r="B328" s="5" t="s">
        <v>1415</v>
      </c>
      <c r="C328" s="5" t="s">
        <v>44</v>
      </c>
      <c r="D328" s="5" t="s">
        <v>716</v>
      </c>
      <c r="E328" s="7"/>
      <c r="F328" s="5" t="s">
        <v>54</v>
      </c>
      <c r="G328" s="7"/>
      <c r="H328" s="7"/>
      <c r="I328" s="7"/>
      <c r="J328" s="7"/>
      <c r="K328" s="7"/>
    </row>
    <row r="329" spans="1:11" x14ac:dyDescent="0.3">
      <c r="A329" s="6">
        <v>324</v>
      </c>
      <c r="B329" s="6" t="s">
        <v>1416</v>
      </c>
      <c r="C329" s="6" t="s">
        <v>44</v>
      </c>
      <c r="D329" s="6" t="s">
        <v>1186</v>
      </c>
      <c r="E329" s="8"/>
      <c r="F329" s="6" t="s">
        <v>108</v>
      </c>
      <c r="G329" s="8"/>
      <c r="H329" s="8"/>
      <c r="I329" s="8"/>
      <c r="J329" s="8"/>
      <c r="K329" s="8"/>
    </row>
    <row r="330" spans="1:11" x14ac:dyDescent="0.3">
      <c r="A330" s="5">
        <v>325</v>
      </c>
      <c r="B330" s="5" t="s">
        <v>1417</v>
      </c>
      <c r="C330" s="5" t="s">
        <v>44</v>
      </c>
      <c r="D330" s="5" t="s">
        <v>716</v>
      </c>
      <c r="E330" s="7"/>
      <c r="F330" s="5" t="s">
        <v>54</v>
      </c>
      <c r="G330" s="7"/>
      <c r="H330" s="7"/>
      <c r="I330" s="7"/>
      <c r="J330" s="7"/>
      <c r="K330" s="7"/>
    </row>
    <row r="331" spans="1:11" x14ac:dyDescent="0.3">
      <c r="A331" s="6">
        <v>326</v>
      </c>
      <c r="B331" s="6" t="s">
        <v>1418</v>
      </c>
      <c r="C331" s="6" t="s">
        <v>34</v>
      </c>
      <c r="D331" s="6" t="s">
        <v>826</v>
      </c>
      <c r="E331" s="8"/>
      <c r="F331" s="6" t="s">
        <v>108</v>
      </c>
      <c r="G331" s="8"/>
      <c r="H331" s="8"/>
      <c r="I331" s="8"/>
      <c r="J331" s="8"/>
      <c r="K331" s="8"/>
    </row>
    <row r="332" spans="1:11" x14ac:dyDescent="0.3">
      <c r="A332" s="5">
        <v>327</v>
      </c>
      <c r="B332" s="5" t="s">
        <v>1419</v>
      </c>
      <c r="C332" s="5" t="s">
        <v>34</v>
      </c>
      <c r="D332" s="5" t="s">
        <v>592</v>
      </c>
      <c r="E332" s="7"/>
      <c r="F332" s="5" t="s">
        <v>72</v>
      </c>
      <c r="G332" s="7"/>
      <c r="H332" s="7"/>
      <c r="I332" s="7"/>
      <c r="J332" s="7"/>
      <c r="K332" s="7"/>
    </row>
    <row r="333" spans="1:11" x14ac:dyDescent="0.3">
      <c r="A333" s="6">
        <v>328</v>
      </c>
      <c r="B333" s="6" t="s">
        <v>1420</v>
      </c>
      <c r="C333" s="6" t="s">
        <v>44</v>
      </c>
      <c r="D333" s="6" t="s">
        <v>826</v>
      </c>
      <c r="E333" s="8"/>
      <c r="F333" s="6" t="s">
        <v>72</v>
      </c>
      <c r="G333" s="8"/>
      <c r="H333" s="8"/>
      <c r="I333" s="8"/>
      <c r="J333" s="8"/>
      <c r="K333" s="8"/>
    </row>
    <row r="334" spans="1:11" x14ac:dyDescent="0.3">
      <c r="A334" s="5">
        <v>329</v>
      </c>
      <c r="B334" s="5" t="s">
        <v>1421</v>
      </c>
      <c r="C334" s="5" t="s">
        <v>44</v>
      </c>
      <c r="D334" s="5" t="s">
        <v>716</v>
      </c>
      <c r="E334" s="7"/>
      <c r="F334" s="5" t="s">
        <v>54</v>
      </c>
      <c r="G334" s="7"/>
      <c r="H334" s="7"/>
      <c r="I334" s="7"/>
      <c r="J334" s="7"/>
      <c r="K334" s="7"/>
    </row>
    <row r="335" spans="1:11" x14ac:dyDescent="0.3">
      <c r="A335" s="6">
        <v>330</v>
      </c>
      <c r="B335" s="6" t="s">
        <v>1422</v>
      </c>
      <c r="C335" s="6" t="s">
        <v>44</v>
      </c>
      <c r="D335" s="6" t="s">
        <v>990</v>
      </c>
      <c r="E335" s="8"/>
      <c r="F335" s="6" t="s">
        <v>72</v>
      </c>
      <c r="G335" s="8"/>
      <c r="H335" s="8"/>
      <c r="I335" s="8"/>
      <c r="J335" s="8"/>
      <c r="K335" s="8"/>
    </row>
    <row r="336" spans="1:11" x14ac:dyDescent="0.3">
      <c r="A336" s="5">
        <v>331</v>
      </c>
      <c r="B336" s="5" t="s">
        <v>1423</v>
      </c>
      <c r="C336" s="5" t="s">
        <v>44</v>
      </c>
      <c r="D336" s="5" t="s">
        <v>1186</v>
      </c>
      <c r="E336" s="7"/>
      <c r="F336" s="5" t="s">
        <v>1424</v>
      </c>
      <c r="G336" s="7"/>
      <c r="H336" s="7"/>
      <c r="I336" s="7"/>
      <c r="J336" s="7"/>
      <c r="K336" s="7"/>
    </row>
    <row r="337" spans="1:11" x14ac:dyDescent="0.3">
      <c r="A337" s="6">
        <v>332</v>
      </c>
      <c r="B337" s="6" t="s">
        <v>1425</v>
      </c>
      <c r="C337" s="6" t="s">
        <v>44</v>
      </c>
      <c r="D337" s="6" t="s">
        <v>1186</v>
      </c>
      <c r="E337" s="8"/>
      <c r="F337" s="6" t="s">
        <v>54</v>
      </c>
      <c r="G337" s="8"/>
      <c r="H337" s="8"/>
      <c r="I337" s="8"/>
      <c r="J337" s="8"/>
      <c r="K337" s="8"/>
    </row>
    <row r="338" spans="1:11" x14ac:dyDescent="0.3">
      <c r="A338" s="5">
        <v>333</v>
      </c>
      <c r="B338" s="5" t="s">
        <v>1426</v>
      </c>
      <c r="C338" s="5" t="s">
        <v>44</v>
      </c>
      <c r="D338" s="5" t="s">
        <v>1186</v>
      </c>
      <c r="E338" s="7"/>
      <c r="F338" s="5" t="s">
        <v>108</v>
      </c>
      <c r="G338" s="7"/>
      <c r="H338" s="7"/>
      <c r="I338" s="7"/>
      <c r="J338" s="7"/>
      <c r="K338" s="7"/>
    </row>
    <row r="339" spans="1:11" x14ac:dyDescent="0.3">
      <c r="A339" s="6">
        <v>334</v>
      </c>
      <c r="B339" s="6" t="s">
        <v>1427</v>
      </c>
      <c r="C339" s="6" t="s">
        <v>44</v>
      </c>
      <c r="D339" s="6" t="s">
        <v>1312</v>
      </c>
      <c r="E339" s="8"/>
      <c r="F339" s="6" t="s">
        <v>46</v>
      </c>
      <c r="G339" s="8"/>
      <c r="H339" s="8"/>
      <c r="I339" s="8"/>
      <c r="J339" s="8"/>
      <c r="K339" s="8"/>
    </row>
    <row r="340" spans="1:11" x14ac:dyDescent="0.3">
      <c r="A340" s="5">
        <v>335</v>
      </c>
      <c r="B340" s="5" t="s">
        <v>1428</v>
      </c>
      <c r="C340" s="5" t="s">
        <v>44</v>
      </c>
      <c r="D340" s="5" t="s">
        <v>1312</v>
      </c>
      <c r="E340" s="7"/>
      <c r="F340" s="5" t="s">
        <v>46</v>
      </c>
      <c r="G340" s="7"/>
      <c r="H340" s="7"/>
      <c r="I340" s="7"/>
      <c r="J340" s="7"/>
      <c r="K340" s="7"/>
    </row>
    <row r="341" spans="1:11" x14ac:dyDescent="0.3">
      <c r="A341" s="6">
        <v>336</v>
      </c>
      <c r="B341" s="6" t="s">
        <v>1429</v>
      </c>
      <c r="C341" s="6" t="s">
        <v>44</v>
      </c>
      <c r="D341" s="6" t="s">
        <v>1186</v>
      </c>
      <c r="E341" s="8"/>
      <c r="F341" s="6" t="s">
        <v>46</v>
      </c>
      <c r="G341" s="8"/>
      <c r="H341" s="8"/>
      <c r="I341" s="8"/>
      <c r="J341" s="8"/>
      <c r="K341" s="8"/>
    </row>
    <row r="342" spans="1:11" x14ac:dyDescent="0.3">
      <c r="A342" s="5">
        <v>337</v>
      </c>
      <c r="B342" s="5" t="s">
        <v>1430</v>
      </c>
      <c r="C342" s="5" t="s">
        <v>44</v>
      </c>
      <c r="D342" s="5" t="s">
        <v>1312</v>
      </c>
      <c r="E342" s="7"/>
      <c r="F342" s="5" t="s">
        <v>108</v>
      </c>
      <c r="G342" s="7"/>
      <c r="H342" s="7"/>
      <c r="I342" s="7"/>
      <c r="J342" s="7"/>
      <c r="K342" s="7"/>
    </row>
    <row r="343" spans="1:11" x14ac:dyDescent="0.3">
      <c r="A343" s="6">
        <v>338</v>
      </c>
      <c r="B343" s="6" t="s">
        <v>1431</v>
      </c>
      <c r="C343" s="6" t="s">
        <v>44</v>
      </c>
      <c r="D343" s="6" t="s">
        <v>1312</v>
      </c>
      <c r="E343" s="8"/>
      <c r="F343" s="6" t="s">
        <v>46</v>
      </c>
      <c r="G343" s="8"/>
      <c r="H343" s="8"/>
      <c r="I343" s="8"/>
      <c r="J343" s="8"/>
      <c r="K343" s="8"/>
    </row>
    <row r="344" spans="1:11" x14ac:dyDescent="0.3">
      <c r="A344" s="5">
        <v>339</v>
      </c>
      <c r="B344" s="5" t="s">
        <v>1432</v>
      </c>
      <c r="C344" s="5" t="s">
        <v>44</v>
      </c>
      <c r="D344" s="5" t="s">
        <v>1312</v>
      </c>
      <c r="E344" s="7"/>
      <c r="F344" s="5" t="s">
        <v>201</v>
      </c>
      <c r="G344" s="7"/>
      <c r="H344" s="7"/>
      <c r="I344" s="7"/>
      <c r="J344" s="7"/>
      <c r="K344" s="7"/>
    </row>
    <row r="345" spans="1:11" x14ac:dyDescent="0.3">
      <c r="A345" s="6">
        <v>340</v>
      </c>
      <c r="B345" s="6" t="s">
        <v>1433</v>
      </c>
      <c r="C345" s="6" t="s">
        <v>44</v>
      </c>
      <c r="D345" s="6" t="s">
        <v>1312</v>
      </c>
      <c r="E345" s="8"/>
      <c r="F345" s="6" t="s">
        <v>46</v>
      </c>
      <c r="G345" s="8"/>
      <c r="H345" s="8"/>
      <c r="I345" s="8"/>
      <c r="J345" s="8"/>
      <c r="K345" s="8"/>
    </row>
    <row r="346" spans="1:11" x14ac:dyDescent="0.3">
      <c r="A346" s="5">
        <v>341</v>
      </c>
      <c r="B346" s="5" t="s">
        <v>1434</v>
      </c>
      <c r="C346" s="5" t="s">
        <v>44</v>
      </c>
      <c r="D346" s="5" t="s">
        <v>1312</v>
      </c>
      <c r="E346" s="7"/>
      <c r="F346" s="5" t="s">
        <v>108</v>
      </c>
      <c r="G346" s="7"/>
      <c r="H346" s="7"/>
      <c r="I346" s="7"/>
      <c r="J346" s="7"/>
      <c r="K346" s="7"/>
    </row>
    <row r="347" spans="1:11" x14ac:dyDescent="0.3">
      <c r="A347" s="6">
        <v>342</v>
      </c>
      <c r="B347" s="6" t="s">
        <v>1435</v>
      </c>
      <c r="C347" s="6" t="s">
        <v>44</v>
      </c>
      <c r="D347" s="6" t="s">
        <v>1312</v>
      </c>
      <c r="E347" s="8"/>
      <c r="F347" s="6" t="s">
        <v>108</v>
      </c>
      <c r="G347" s="8"/>
      <c r="H347" s="8"/>
      <c r="I347" s="8"/>
      <c r="J347" s="8"/>
      <c r="K347" s="8"/>
    </row>
    <row r="348" spans="1:11" x14ac:dyDescent="0.3">
      <c r="A348" s="5">
        <v>343</v>
      </c>
      <c r="B348" s="5" t="s">
        <v>1436</v>
      </c>
      <c r="C348" s="5" t="s">
        <v>473</v>
      </c>
      <c r="D348" s="5" t="s">
        <v>716</v>
      </c>
      <c r="E348" s="7"/>
      <c r="F348" s="5" t="s">
        <v>280</v>
      </c>
      <c r="G348" s="7"/>
      <c r="H348" s="7"/>
      <c r="I348" s="7"/>
      <c r="J348" s="7"/>
      <c r="K348" s="7"/>
    </row>
    <row r="349" spans="1:11" x14ac:dyDescent="0.3">
      <c r="A349" s="6">
        <v>344</v>
      </c>
      <c r="B349" s="6" t="s">
        <v>1437</v>
      </c>
      <c r="C349" s="6" t="s">
        <v>473</v>
      </c>
      <c r="D349" s="6" t="s">
        <v>1186</v>
      </c>
      <c r="E349" s="8"/>
      <c r="F349" s="6" t="s">
        <v>201</v>
      </c>
      <c r="G349" s="8"/>
      <c r="H349" s="8"/>
      <c r="I349" s="8"/>
      <c r="J349" s="8"/>
      <c r="K349" s="8"/>
    </row>
    <row r="350" spans="1:11" x14ac:dyDescent="0.3">
      <c r="A350" s="5">
        <v>345</v>
      </c>
      <c r="B350" s="5" t="s">
        <v>1438</v>
      </c>
      <c r="C350" s="5" t="s">
        <v>473</v>
      </c>
      <c r="D350" s="5" t="s">
        <v>826</v>
      </c>
      <c r="E350" s="7"/>
      <c r="F350" s="5" t="s">
        <v>63</v>
      </c>
      <c r="G350" s="7"/>
      <c r="H350" s="7"/>
      <c r="I350" s="7"/>
      <c r="J350" s="7"/>
      <c r="K350" s="7"/>
    </row>
    <row r="351" spans="1:11" x14ac:dyDescent="0.3">
      <c r="A351" s="6">
        <v>346</v>
      </c>
      <c r="B351" s="6" t="s">
        <v>1439</v>
      </c>
      <c r="C351" s="6" t="s">
        <v>473</v>
      </c>
      <c r="D351" s="6" t="s">
        <v>990</v>
      </c>
      <c r="E351" s="8"/>
      <c r="F351" s="6" t="s">
        <v>63</v>
      </c>
      <c r="G351" s="8"/>
      <c r="H351" s="8"/>
      <c r="I351" s="8"/>
      <c r="J351" s="8"/>
      <c r="K351" s="8"/>
    </row>
    <row r="352" spans="1:11" x14ac:dyDescent="0.3">
      <c r="A352" s="5">
        <v>347</v>
      </c>
      <c r="B352" s="5" t="s">
        <v>1440</v>
      </c>
      <c r="C352" s="5" t="s">
        <v>473</v>
      </c>
      <c r="D352" s="5" t="s">
        <v>990</v>
      </c>
      <c r="E352" s="7"/>
      <c r="F352" s="5" t="s">
        <v>46</v>
      </c>
      <c r="G352" s="7"/>
      <c r="H352" s="7"/>
      <c r="I352" s="7"/>
      <c r="J352" s="7"/>
      <c r="K352" s="7"/>
    </row>
    <row r="353" spans="1:11" x14ac:dyDescent="0.3">
      <c r="A353" s="6">
        <v>348</v>
      </c>
      <c r="B353" s="6" t="s">
        <v>1441</v>
      </c>
      <c r="C353" s="6" t="s">
        <v>473</v>
      </c>
      <c r="D353" s="6" t="s">
        <v>990</v>
      </c>
      <c r="E353" s="8"/>
      <c r="F353" s="6" t="s">
        <v>46</v>
      </c>
      <c r="G353" s="8"/>
      <c r="H353" s="8"/>
      <c r="I353" s="8"/>
      <c r="J353" s="8"/>
      <c r="K353" s="8"/>
    </row>
    <row r="354" spans="1:11" x14ac:dyDescent="0.3">
      <c r="A354" s="5">
        <v>349</v>
      </c>
      <c r="B354" s="5" t="s">
        <v>1442</v>
      </c>
      <c r="C354" s="5" t="s">
        <v>473</v>
      </c>
      <c r="D354" s="5" t="s">
        <v>1186</v>
      </c>
      <c r="E354" s="7"/>
      <c r="F354" s="5" t="s">
        <v>201</v>
      </c>
      <c r="G354" s="7"/>
      <c r="H354" s="7"/>
      <c r="I354" s="7"/>
      <c r="J354" s="7"/>
      <c r="K354" s="7"/>
    </row>
    <row r="355" spans="1:11" x14ac:dyDescent="0.3">
      <c r="A355" s="6">
        <v>350</v>
      </c>
      <c r="B355" s="6" t="s">
        <v>1443</v>
      </c>
      <c r="C355" s="6" t="s">
        <v>473</v>
      </c>
      <c r="D355" s="6" t="s">
        <v>1186</v>
      </c>
      <c r="E355" s="8"/>
      <c r="F355" s="6" t="s">
        <v>63</v>
      </c>
      <c r="G355" s="8"/>
      <c r="H355" s="8"/>
      <c r="I355" s="8"/>
      <c r="J355" s="8"/>
      <c r="K355" s="8"/>
    </row>
    <row r="356" spans="1:11" x14ac:dyDescent="0.3">
      <c r="A356" s="5">
        <v>351</v>
      </c>
      <c r="B356" s="5" t="s">
        <v>1444</v>
      </c>
      <c r="C356" s="5" t="s">
        <v>473</v>
      </c>
      <c r="D356" s="5" t="s">
        <v>1186</v>
      </c>
      <c r="E356" s="7"/>
      <c r="F356" s="5" t="s">
        <v>280</v>
      </c>
      <c r="G356" s="7"/>
      <c r="H356" s="7"/>
      <c r="I356" s="7"/>
      <c r="J356" s="7"/>
      <c r="K356" s="7"/>
    </row>
    <row r="357" spans="1:11" x14ac:dyDescent="0.3">
      <c r="A357" s="6">
        <v>352</v>
      </c>
      <c r="B357" s="6" t="s">
        <v>1445</v>
      </c>
      <c r="C357" s="6" t="s">
        <v>473</v>
      </c>
      <c r="D357" s="6" t="s">
        <v>990</v>
      </c>
      <c r="E357" s="8"/>
      <c r="F357" s="6" t="s">
        <v>63</v>
      </c>
      <c r="G357" s="8"/>
      <c r="H357" s="8"/>
      <c r="I357" s="8"/>
      <c r="J357" s="8"/>
      <c r="K357" s="8"/>
    </row>
    <row r="358" spans="1:11" x14ac:dyDescent="0.3">
      <c r="A358" s="5">
        <v>353</v>
      </c>
      <c r="B358" s="5" t="s">
        <v>1446</v>
      </c>
      <c r="C358" s="5" t="s">
        <v>473</v>
      </c>
      <c r="D358" s="5" t="s">
        <v>990</v>
      </c>
      <c r="E358" s="7"/>
      <c r="F358" s="5" t="s">
        <v>46</v>
      </c>
      <c r="G358" s="7"/>
      <c r="H358" s="7"/>
      <c r="I358" s="7"/>
      <c r="J358" s="7"/>
      <c r="K358" s="7"/>
    </row>
    <row r="359" spans="1:11" x14ac:dyDescent="0.3">
      <c r="A359" s="6">
        <v>354</v>
      </c>
      <c r="B359" s="6" t="s">
        <v>1447</v>
      </c>
      <c r="C359" s="6" t="s">
        <v>473</v>
      </c>
      <c r="D359" s="6" t="s">
        <v>1186</v>
      </c>
      <c r="E359" s="8"/>
      <c r="F359" s="6" t="s">
        <v>46</v>
      </c>
      <c r="G359" s="8"/>
      <c r="H359" s="8"/>
      <c r="I359" s="8"/>
      <c r="J359" s="8"/>
      <c r="K359" s="8"/>
    </row>
    <row r="360" spans="1:11" x14ac:dyDescent="0.3">
      <c r="A360" s="5">
        <v>355</v>
      </c>
      <c r="B360" s="5" t="s">
        <v>1448</v>
      </c>
      <c r="C360" s="5" t="s">
        <v>473</v>
      </c>
      <c r="D360" s="5" t="s">
        <v>1186</v>
      </c>
      <c r="E360" s="7"/>
      <c r="F360" s="5" t="s">
        <v>280</v>
      </c>
      <c r="G360" s="7"/>
      <c r="H360" s="7"/>
      <c r="I360" s="7"/>
      <c r="J360" s="7"/>
      <c r="K360" s="7"/>
    </row>
    <row r="361" spans="1:11" x14ac:dyDescent="0.3">
      <c r="A361" s="6">
        <v>356</v>
      </c>
      <c r="B361" s="6" t="s">
        <v>1449</v>
      </c>
      <c r="C361" s="6" t="s">
        <v>473</v>
      </c>
      <c r="D361" s="6" t="s">
        <v>990</v>
      </c>
      <c r="E361" s="8"/>
      <c r="F361" s="6" t="s">
        <v>201</v>
      </c>
      <c r="G361" s="8"/>
      <c r="H361" s="8"/>
      <c r="I361" s="8"/>
      <c r="J361" s="8"/>
      <c r="K361" s="8"/>
    </row>
    <row r="362" spans="1:11" x14ac:dyDescent="0.3">
      <c r="A362" s="5">
        <v>357</v>
      </c>
      <c r="B362" s="5" t="s">
        <v>1450</v>
      </c>
      <c r="C362" s="5" t="s">
        <v>473</v>
      </c>
      <c r="D362" s="5" t="s">
        <v>1186</v>
      </c>
      <c r="E362" s="7"/>
      <c r="F362" s="5" t="s">
        <v>280</v>
      </c>
      <c r="G362" s="7"/>
      <c r="H362" s="7"/>
      <c r="I362" s="7"/>
      <c r="J362" s="7"/>
      <c r="K362" s="7"/>
    </row>
    <row r="363" spans="1:11" x14ac:dyDescent="0.3">
      <c r="A363" s="6">
        <v>358</v>
      </c>
      <c r="B363" s="6" t="s">
        <v>1451</v>
      </c>
      <c r="C363" s="6" t="s">
        <v>473</v>
      </c>
      <c r="D363" s="6" t="s">
        <v>1186</v>
      </c>
      <c r="E363" s="8"/>
      <c r="F363" s="6" t="s">
        <v>63</v>
      </c>
      <c r="G363" s="8"/>
      <c r="H363" s="8"/>
      <c r="I363" s="8"/>
      <c r="J363" s="8"/>
      <c r="K363" s="8"/>
    </row>
    <row r="364" spans="1:11" x14ac:dyDescent="0.3">
      <c r="A364" s="5">
        <v>359</v>
      </c>
      <c r="B364" s="5" t="s">
        <v>1452</v>
      </c>
      <c r="C364" s="5" t="s">
        <v>473</v>
      </c>
      <c r="D364" s="5" t="s">
        <v>1312</v>
      </c>
      <c r="E364" s="7"/>
      <c r="F364" s="5" t="s">
        <v>63</v>
      </c>
      <c r="G364" s="7"/>
      <c r="H364" s="7"/>
      <c r="I364" s="7"/>
      <c r="J364" s="7"/>
      <c r="K364" s="7"/>
    </row>
    <row r="365" spans="1:11" x14ac:dyDescent="0.3">
      <c r="A365" s="6">
        <v>360</v>
      </c>
      <c r="B365" s="6" t="s">
        <v>1453</v>
      </c>
      <c r="C365" s="6" t="s">
        <v>473</v>
      </c>
      <c r="D365" s="6" t="s">
        <v>1312</v>
      </c>
      <c r="E365" s="8"/>
      <c r="F365" s="6" t="s">
        <v>201</v>
      </c>
      <c r="G365" s="8"/>
      <c r="H365" s="8"/>
      <c r="I365" s="8"/>
      <c r="J365" s="8"/>
      <c r="K365" s="8"/>
    </row>
    <row r="366" spans="1:11" x14ac:dyDescent="0.3">
      <c r="A366" s="5">
        <v>361</v>
      </c>
      <c r="B366" s="5" t="s">
        <v>1454</v>
      </c>
      <c r="C366" s="5" t="s">
        <v>473</v>
      </c>
      <c r="D366" s="5" t="s">
        <v>990</v>
      </c>
      <c r="E366" s="7"/>
      <c r="F366" s="5" t="s">
        <v>46</v>
      </c>
      <c r="G366" s="7"/>
      <c r="H366" s="7"/>
      <c r="I366" s="7"/>
      <c r="J366" s="7"/>
      <c r="K366" s="7"/>
    </row>
    <row r="367" spans="1:11" x14ac:dyDescent="0.3">
      <c r="A367" s="6">
        <v>362</v>
      </c>
      <c r="B367" s="6" t="s">
        <v>1455</v>
      </c>
      <c r="C367" s="6" t="s">
        <v>473</v>
      </c>
      <c r="D367" s="6" t="s">
        <v>1186</v>
      </c>
      <c r="E367" s="8"/>
      <c r="F367" s="6" t="s">
        <v>201</v>
      </c>
      <c r="G367" s="8"/>
      <c r="H367" s="8"/>
      <c r="I367" s="8"/>
      <c r="J367" s="8"/>
      <c r="K367" s="8"/>
    </row>
    <row r="368" spans="1:11" x14ac:dyDescent="0.3">
      <c r="A368" s="5">
        <v>363</v>
      </c>
      <c r="B368" s="5" t="s">
        <v>1456</v>
      </c>
      <c r="C368" s="5" t="s">
        <v>1088</v>
      </c>
      <c r="D368" s="5" t="s">
        <v>1186</v>
      </c>
      <c r="E368" s="7"/>
      <c r="F368" s="5" t="s">
        <v>201</v>
      </c>
      <c r="G368" s="7"/>
      <c r="H368" s="7"/>
      <c r="I368" s="7"/>
      <c r="J368" s="7"/>
      <c r="K368" s="7"/>
    </row>
    <row r="369" spans="1:11" x14ac:dyDescent="0.3">
      <c r="A369" s="6">
        <v>364</v>
      </c>
      <c r="B369" s="6" t="s">
        <v>1457</v>
      </c>
      <c r="C369" s="6" t="s">
        <v>1088</v>
      </c>
      <c r="D369" s="6" t="s">
        <v>990</v>
      </c>
      <c r="E369" s="8"/>
      <c r="F369" s="6" t="s">
        <v>46</v>
      </c>
      <c r="G369" s="8"/>
      <c r="H369" s="8"/>
      <c r="I369" s="8"/>
      <c r="J369" s="8"/>
      <c r="K369" s="8"/>
    </row>
    <row r="370" spans="1:11" x14ac:dyDescent="0.3">
      <c r="A370" s="5">
        <v>365</v>
      </c>
      <c r="B370" s="5" t="s">
        <v>1458</v>
      </c>
      <c r="C370" s="5" t="s">
        <v>1088</v>
      </c>
      <c r="D370" s="5" t="s">
        <v>1186</v>
      </c>
      <c r="E370" s="7"/>
      <c r="F370" s="5" t="s">
        <v>280</v>
      </c>
      <c r="G370" s="7"/>
      <c r="H370" s="7"/>
      <c r="I370" s="7"/>
      <c r="J370" s="7"/>
      <c r="K370" s="7"/>
    </row>
    <row r="371" spans="1:11" x14ac:dyDescent="0.3">
      <c r="A371" s="6">
        <v>366</v>
      </c>
      <c r="B371" s="6" t="s">
        <v>1459</v>
      </c>
      <c r="C371" s="6" t="s">
        <v>1088</v>
      </c>
      <c r="D371" s="6" t="s">
        <v>990</v>
      </c>
      <c r="E371" s="8"/>
      <c r="F371" s="6" t="s">
        <v>201</v>
      </c>
      <c r="G371" s="8"/>
      <c r="H371" s="8"/>
      <c r="I371" s="8"/>
      <c r="J371" s="8"/>
      <c r="K371" s="8"/>
    </row>
    <row r="372" spans="1:11" x14ac:dyDescent="0.3">
      <c r="A372" s="5">
        <v>367</v>
      </c>
      <c r="B372" s="5" t="s">
        <v>1460</v>
      </c>
      <c r="C372" s="5" t="s">
        <v>1088</v>
      </c>
      <c r="D372" s="5" t="s">
        <v>1312</v>
      </c>
      <c r="E372" s="7"/>
      <c r="F372" s="5" t="s">
        <v>201</v>
      </c>
      <c r="G372" s="7"/>
      <c r="H372" s="7"/>
      <c r="I372" s="7"/>
      <c r="J372" s="7"/>
      <c r="K372" s="7"/>
    </row>
    <row r="373" spans="1:11" x14ac:dyDescent="0.3">
      <c r="A373" s="6">
        <v>368</v>
      </c>
      <c r="B373" s="6" t="s">
        <v>1461</v>
      </c>
      <c r="C373" s="6" t="s">
        <v>1088</v>
      </c>
      <c r="D373" s="6" t="s">
        <v>1312</v>
      </c>
      <c r="E373" s="8"/>
      <c r="F373" s="6" t="s">
        <v>46</v>
      </c>
      <c r="G373" s="8"/>
      <c r="H373" s="8"/>
      <c r="I373" s="8"/>
      <c r="J373" s="8"/>
      <c r="K373" s="8"/>
    </row>
    <row r="374" spans="1:11" x14ac:dyDescent="0.3">
      <c r="A374" s="5">
        <v>369</v>
      </c>
      <c r="B374" s="5" t="s">
        <v>1462</v>
      </c>
      <c r="C374" s="5" t="s">
        <v>1088</v>
      </c>
      <c r="D374" s="5" t="s">
        <v>826</v>
      </c>
      <c r="E374" s="7"/>
      <c r="F374" s="5" t="s">
        <v>54</v>
      </c>
      <c r="G374" s="7"/>
      <c r="H374" s="7"/>
      <c r="I374" s="7"/>
      <c r="J374" s="7"/>
      <c r="K374" s="7"/>
    </row>
    <row r="375" spans="1:11" x14ac:dyDescent="0.3">
      <c r="A375" s="6">
        <v>370</v>
      </c>
      <c r="B375" s="6" t="s">
        <v>1463</v>
      </c>
      <c r="C375" s="6" t="s">
        <v>1088</v>
      </c>
      <c r="D375" s="6" t="s">
        <v>826</v>
      </c>
      <c r="E375" s="8"/>
      <c r="F375" s="6" t="s">
        <v>72</v>
      </c>
      <c r="G375" s="8"/>
      <c r="H375" s="8"/>
      <c r="I375" s="8"/>
      <c r="J375" s="8"/>
      <c r="K375" s="8"/>
    </row>
    <row r="376" spans="1:11" x14ac:dyDescent="0.3">
      <c r="A376" s="5">
        <v>371</v>
      </c>
      <c r="B376" s="5" t="s">
        <v>1464</v>
      </c>
      <c r="C376" s="5" t="s">
        <v>152</v>
      </c>
      <c r="D376" s="5" t="s">
        <v>826</v>
      </c>
      <c r="E376" s="7"/>
      <c r="F376" s="5" t="s">
        <v>18</v>
      </c>
      <c r="G376" s="7"/>
      <c r="H376" s="7"/>
      <c r="I376" s="7"/>
      <c r="J376" s="7"/>
      <c r="K376" s="7"/>
    </row>
    <row r="377" spans="1:11" x14ac:dyDescent="0.3">
      <c r="A377" s="6">
        <v>372</v>
      </c>
      <c r="B377" s="6" t="s">
        <v>1465</v>
      </c>
      <c r="C377" s="6" t="s">
        <v>1088</v>
      </c>
      <c r="D377" s="6" t="s">
        <v>1186</v>
      </c>
      <c r="E377" s="8"/>
      <c r="F377" s="6" t="s">
        <v>72</v>
      </c>
      <c r="G377" s="8"/>
      <c r="H377" s="8"/>
      <c r="I377" s="8"/>
      <c r="J377" s="8"/>
      <c r="K377" s="8"/>
    </row>
    <row r="378" spans="1:11" x14ac:dyDescent="0.3">
      <c r="A378" s="5">
        <v>373</v>
      </c>
      <c r="B378" s="5" t="s">
        <v>1466</v>
      </c>
      <c r="C378" s="5" t="s">
        <v>414</v>
      </c>
      <c r="D378" s="5" t="s">
        <v>990</v>
      </c>
      <c r="E378" s="7"/>
      <c r="F378" s="5" t="s">
        <v>46</v>
      </c>
      <c r="G378" s="7"/>
      <c r="H378" s="7"/>
      <c r="I378" s="7"/>
      <c r="J378" s="7"/>
      <c r="K378" s="7"/>
    </row>
    <row r="379" spans="1:11" x14ac:dyDescent="0.3">
      <c r="A379" s="6">
        <v>374</v>
      </c>
      <c r="B379" s="6" t="s">
        <v>1467</v>
      </c>
      <c r="C379" s="6" t="s">
        <v>1088</v>
      </c>
      <c r="D379" s="6" t="s">
        <v>990</v>
      </c>
      <c r="E379" s="8"/>
      <c r="F379" s="6" t="s">
        <v>108</v>
      </c>
      <c r="G379" s="8"/>
      <c r="H379" s="8"/>
      <c r="I379" s="8"/>
      <c r="J379" s="8"/>
      <c r="K379" s="8"/>
    </row>
    <row r="380" spans="1:11" x14ac:dyDescent="0.3">
      <c r="A380" s="5">
        <v>375</v>
      </c>
      <c r="B380" s="5" t="s">
        <v>1468</v>
      </c>
      <c r="C380" s="5" t="s">
        <v>1088</v>
      </c>
      <c r="D380" s="5" t="s">
        <v>826</v>
      </c>
      <c r="E380" s="7"/>
      <c r="F380" s="5" t="s">
        <v>54</v>
      </c>
      <c r="G380" s="7"/>
      <c r="H380" s="7"/>
      <c r="I380" s="7"/>
      <c r="J380" s="7"/>
      <c r="K380" s="7"/>
    </row>
    <row r="381" spans="1:11" x14ac:dyDescent="0.3">
      <c r="A381" s="6">
        <v>376</v>
      </c>
      <c r="B381" s="6" t="s">
        <v>1469</v>
      </c>
      <c r="C381" s="6" t="s">
        <v>1088</v>
      </c>
      <c r="D381" s="6" t="s">
        <v>1186</v>
      </c>
      <c r="E381" s="8"/>
      <c r="F381" s="6" t="s">
        <v>108</v>
      </c>
      <c r="G381" s="8"/>
      <c r="H381" s="8"/>
      <c r="I381" s="8"/>
      <c r="J381" s="8"/>
      <c r="K381" s="8"/>
    </row>
    <row r="382" spans="1:11" x14ac:dyDescent="0.3">
      <c r="A382" s="5">
        <v>377</v>
      </c>
      <c r="B382" s="5" t="s">
        <v>1470</v>
      </c>
      <c r="C382" s="5" t="s">
        <v>1088</v>
      </c>
      <c r="D382" s="5" t="s">
        <v>1186</v>
      </c>
      <c r="E382" s="7"/>
      <c r="F382" s="5" t="s">
        <v>46</v>
      </c>
      <c r="G382" s="7"/>
      <c r="H382" s="7"/>
      <c r="I382" s="7"/>
      <c r="J382" s="7"/>
      <c r="K382" s="7"/>
    </row>
    <row r="383" spans="1:11" x14ac:dyDescent="0.3">
      <c r="A383" s="6">
        <v>378</v>
      </c>
      <c r="B383" s="6" t="s">
        <v>1471</v>
      </c>
      <c r="C383" s="6" t="s">
        <v>1088</v>
      </c>
      <c r="D383" s="6" t="s">
        <v>1186</v>
      </c>
      <c r="E383" s="8"/>
      <c r="F383" s="6" t="s">
        <v>46</v>
      </c>
      <c r="G383" s="8"/>
      <c r="H383" s="8"/>
      <c r="I383" s="8"/>
      <c r="J383" s="8"/>
      <c r="K383" s="8"/>
    </row>
    <row r="384" spans="1:11" x14ac:dyDescent="0.3">
      <c r="A384" s="5">
        <v>379</v>
      </c>
      <c r="B384" s="5" t="s">
        <v>1472</v>
      </c>
      <c r="C384" s="5" t="s">
        <v>34</v>
      </c>
      <c r="D384" s="5" t="s">
        <v>1186</v>
      </c>
      <c r="E384" s="7"/>
      <c r="F384" s="5" t="s">
        <v>46</v>
      </c>
      <c r="G384" s="7"/>
      <c r="H384" s="7"/>
      <c r="I384" s="7"/>
      <c r="J384" s="7"/>
      <c r="K384" s="7"/>
    </row>
    <row r="385" spans="1:11" x14ac:dyDescent="0.3">
      <c r="A385" s="6">
        <v>380</v>
      </c>
      <c r="B385" s="6" t="s">
        <v>1473</v>
      </c>
      <c r="C385" s="6" t="s">
        <v>1088</v>
      </c>
      <c r="D385" s="6" t="s">
        <v>990</v>
      </c>
      <c r="E385" s="8"/>
      <c r="F385" s="6" t="s">
        <v>54</v>
      </c>
      <c r="G385" s="8"/>
      <c r="H385" s="8"/>
      <c r="I385" s="8"/>
      <c r="J385" s="8"/>
      <c r="K385" s="8"/>
    </row>
    <row r="386" spans="1:11" x14ac:dyDescent="0.3">
      <c r="A386" s="5">
        <v>381</v>
      </c>
      <c r="B386" s="5" t="s">
        <v>1474</v>
      </c>
      <c r="C386" s="5" t="s">
        <v>1088</v>
      </c>
      <c r="D386" s="5" t="s">
        <v>1186</v>
      </c>
      <c r="E386" s="7"/>
      <c r="F386" s="5" t="s">
        <v>46</v>
      </c>
      <c r="G386" s="7"/>
      <c r="H386" s="7"/>
      <c r="I386" s="7"/>
      <c r="J386" s="7"/>
      <c r="K386" s="7"/>
    </row>
    <row r="387" spans="1:11" x14ac:dyDescent="0.3">
      <c r="A387" s="6">
        <v>382</v>
      </c>
      <c r="B387" s="6" t="s">
        <v>1475</v>
      </c>
      <c r="C387" s="6" t="s">
        <v>1088</v>
      </c>
      <c r="D387" s="6" t="s">
        <v>1186</v>
      </c>
      <c r="E387" s="8"/>
      <c r="F387" s="6" t="s">
        <v>72</v>
      </c>
      <c r="G387" s="8"/>
      <c r="H387" s="8"/>
      <c r="I387" s="8"/>
      <c r="J387" s="8"/>
      <c r="K387" s="8"/>
    </row>
    <row r="388" spans="1:11" x14ac:dyDescent="0.3">
      <c r="A388" s="5">
        <v>383</v>
      </c>
      <c r="B388" s="5" t="s">
        <v>1476</v>
      </c>
      <c r="C388" s="5" t="s">
        <v>15</v>
      </c>
      <c r="D388" s="5" t="s">
        <v>990</v>
      </c>
      <c r="E388" s="7"/>
      <c r="F388" s="5" t="s">
        <v>46</v>
      </c>
      <c r="G388" s="7"/>
      <c r="H388" s="7"/>
      <c r="I388" s="7"/>
      <c r="J388" s="7"/>
      <c r="K388" s="7"/>
    </row>
    <row r="389" spans="1:11" x14ac:dyDescent="0.3">
      <c r="A389" s="6">
        <v>384</v>
      </c>
      <c r="B389" s="6" t="s">
        <v>1477</v>
      </c>
      <c r="C389" s="6" t="s">
        <v>15</v>
      </c>
      <c r="D389" s="6" t="s">
        <v>990</v>
      </c>
      <c r="E389" s="8"/>
      <c r="F389" s="6" t="s">
        <v>46</v>
      </c>
      <c r="G389" s="8"/>
      <c r="H389" s="8"/>
      <c r="I389" s="8"/>
      <c r="J389" s="8"/>
      <c r="K389" s="8"/>
    </row>
    <row r="390" spans="1:11" x14ac:dyDescent="0.3">
      <c r="A390" s="5">
        <v>385</v>
      </c>
      <c r="B390" s="5" t="s">
        <v>1478</v>
      </c>
      <c r="C390" s="5" t="s">
        <v>15</v>
      </c>
      <c r="D390" s="5" t="s">
        <v>1186</v>
      </c>
      <c r="E390" s="7"/>
      <c r="F390" s="5" t="s">
        <v>1424</v>
      </c>
      <c r="G390" s="7"/>
      <c r="H390" s="7"/>
      <c r="I390" s="7"/>
      <c r="J390" s="7"/>
      <c r="K390" s="7"/>
    </row>
    <row r="391" spans="1:11" x14ac:dyDescent="0.3">
      <c r="A391" s="6">
        <v>386</v>
      </c>
      <c r="B391" s="6" t="s">
        <v>1479</v>
      </c>
      <c r="C391" s="6" t="s">
        <v>15</v>
      </c>
      <c r="D391" s="6" t="s">
        <v>990</v>
      </c>
      <c r="E391" s="8"/>
      <c r="F391" s="6" t="s">
        <v>46</v>
      </c>
      <c r="G391" s="8"/>
      <c r="H391" s="8"/>
      <c r="I391" s="8"/>
      <c r="J391" s="8"/>
      <c r="K391" s="8"/>
    </row>
    <row r="392" spans="1:11" x14ac:dyDescent="0.3">
      <c r="A392" s="5">
        <v>387</v>
      </c>
      <c r="B392" s="5" t="s">
        <v>1480</v>
      </c>
      <c r="C392" s="5" t="s">
        <v>15</v>
      </c>
      <c r="D392" s="5" t="s">
        <v>1186</v>
      </c>
      <c r="E392" s="7"/>
      <c r="F392" s="5" t="s">
        <v>201</v>
      </c>
      <c r="G392" s="7"/>
      <c r="H392" s="7"/>
      <c r="I392" s="7"/>
      <c r="J392" s="7"/>
      <c r="K392" s="7"/>
    </row>
    <row r="393" spans="1:11" x14ac:dyDescent="0.3">
      <c r="A393" s="6">
        <v>388</v>
      </c>
      <c r="B393" s="6" t="s">
        <v>1481</v>
      </c>
      <c r="C393" s="6" t="s">
        <v>15</v>
      </c>
      <c r="D393" s="6" t="s">
        <v>1312</v>
      </c>
      <c r="E393" s="8"/>
      <c r="F393" s="6" t="s">
        <v>54</v>
      </c>
      <c r="G393" s="8"/>
      <c r="H393" s="8"/>
      <c r="I393" s="8"/>
      <c r="J393" s="8"/>
      <c r="K393" s="8"/>
    </row>
    <row r="394" spans="1:11" x14ac:dyDescent="0.3">
      <c r="A394" s="5">
        <v>389</v>
      </c>
      <c r="B394" s="5" t="s">
        <v>1482</v>
      </c>
      <c r="C394" s="5" t="s">
        <v>15</v>
      </c>
      <c r="D394" s="5" t="s">
        <v>1186</v>
      </c>
      <c r="E394" s="7"/>
      <c r="F394" s="5" t="s">
        <v>280</v>
      </c>
      <c r="G394" s="7"/>
      <c r="H394" s="7"/>
      <c r="I394" s="7"/>
      <c r="J394" s="7"/>
      <c r="K394" s="7"/>
    </row>
    <row r="395" spans="1:11" x14ac:dyDescent="0.3">
      <c r="A395" s="6">
        <v>390</v>
      </c>
      <c r="B395" s="6" t="s">
        <v>1483</v>
      </c>
      <c r="C395" s="6" t="s">
        <v>15</v>
      </c>
      <c r="D395" s="6" t="s">
        <v>1186</v>
      </c>
      <c r="E395" s="8"/>
      <c r="F395" s="6" t="s">
        <v>72</v>
      </c>
      <c r="G395" s="8"/>
      <c r="H395" s="8"/>
      <c r="I395" s="8"/>
      <c r="J395" s="8"/>
      <c r="K395" s="8"/>
    </row>
    <row r="396" spans="1:11" x14ac:dyDescent="0.3">
      <c r="A396" s="5">
        <v>391</v>
      </c>
      <c r="B396" s="5" t="s">
        <v>1484</v>
      </c>
      <c r="C396" s="5" t="s">
        <v>15</v>
      </c>
      <c r="D396" s="5" t="s">
        <v>1186</v>
      </c>
      <c r="E396" s="7"/>
      <c r="F396" s="5" t="s">
        <v>201</v>
      </c>
      <c r="G396" s="7"/>
      <c r="H396" s="7"/>
      <c r="I396" s="7"/>
      <c r="J396" s="7"/>
      <c r="K396" s="7"/>
    </row>
    <row r="397" spans="1:11" x14ac:dyDescent="0.3">
      <c r="A397" s="6">
        <v>392</v>
      </c>
      <c r="B397" s="6" t="s">
        <v>1485</v>
      </c>
      <c r="C397" s="6" t="s">
        <v>15</v>
      </c>
      <c r="D397" s="6" t="s">
        <v>1312</v>
      </c>
      <c r="E397" s="8"/>
      <c r="F397" s="6" t="s">
        <v>201</v>
      </c>
      <c r="G397" s="8"/>
      <c r="H397" s="8"/>
      <c r="I397" s="8"/>
      <c r="J397" s="8"/>
      <c r="K397" s="8"/>
    </row>
    <row r="398" spans="1:11" x14ac:dyDescent="0.3">
      <c r="A398" s="5">
        <v>393</v>
      </c>
      <c r="B398" s="5" t="s">
        <v>1486</v>
      </c>
      <c r="C398" s="5" t="s">
        <v>15</v>
      </c>
      <c r="D398" s="5" t="s">
        <v>990</v>
      </c>
      <c r="E398" s="7"/>
      <c r="F398" s="5" t="s">
        <v>46</v>
      </c>
      <c r="G398" s="7"/>
      <c r="H398" s="7"/>
      <c r="I398" s="7"/>
      <c r="J398" s="7"/>
      <c r="K398" s="7"/>
    </row>
    <row r="399" spans="1:11" x14ac:dyDescent="0.3">
      <c r="A399" s="6">
        <v>394</v>
      </c>
      <c r="B399" s="6" t="s">
        <v>1487</v>
      </c>
      <c r="C399" s="6" t="s">
        <v>15</v>
      </c>
      <c r="D399" s="6" t="s">
        <v>1186</v>
      </c>
      <c r="E399" s="8"/>
      <c r="F399" s="6" t="s">
        <v>280</v>
      </c>
      <c r="G399" s="8"/>
      <c r="H399" s="8"/>
      <c r="I399" s="8"/>
      <c r="J399" s="8"/>
      <c r="K399" s="8"/>
    </row>
    <row r="400" spans="1:11" x14ac:dyDescent="0.3">
      <c r="A400" s="5">
        <v>395</v>
      </c>
      <c r="B400" s="5" t="s">
        <v>1488</v>
      </c>
      <c r="C400" s="5" t="s">
        <v>15</v>
      </c>
      <c r="D400" s="5" t="s">
        <v>1312</v>
      </c>
      <c r="E400" s="7"/>
      <c r="F400" s="5" t="s">
        <v>108</v>
      </c>
      <c r="G400" s="7"/>
      <c r="H400" s="7"/>
      <c r="I400" s="7"/>
      <c r="J400" s="7"/>
      <c r="K400" s="7"/>
    </row>
    <row r="401" spans="1:11" x14ac:dyDescent="0.3">
      <c r="A401" s="6">
        <v>396</v>
      </c>
      <c r="B401" s="6" t="s">
        <v>1489</v>
      </c>
      <c r="C401" s="6" t="s">
        <v>15</v>
      </c>
      <c r="D401" s="6" t="s">
        <v>1312</v>
      </c>
      <c r="E401" s="8"/>
      <c r="F401" s="6" t="s">
        <v>54</v>
      </c>
      <c r="G401" s="8"/>
      <c r="H401" s="8"/>
      <c r="I401" s="8"/>
      <c r="J401" s="8"/>
      <c r="K401" s="8"/>
    </row>
    <row r="402" spans="1:11" x14ac:dyDescent="0.3">
      <c r="A402" s="5">
        <v>397</v>
      </c>
      <c r="B402" s="5" t="s">
        <v>1490</v>
      </c>
      <c r="C402" s="5" t="s">
        <v>15</v>
      </c>
      <c r="D402" s="5" t="s">
        <v>1312</v>
      </c>
      <c r="E402" s="7"/>
      <c r="F402" s="5" t="s">
        <v>46</v>
      </c>
      <c r="G402" s="7"/>
      <c r="H402" s="7"/>
      <c r="I402" s="7"/>
      <c r="J402" s="7"/>
      <c r="K402" s="7"/>
    </row>
    <row r="403" spans="1:11" x14ac:dyDescent="0.3">
      <c r="A403" s="6">
        <v>398</v>
      </c>
      <c r="B403" s="6" t="s">
        <v>1491</v>
      </c>
      <c r="C403" s="6" t="s">
        <v>15</v>
      </c>
      <c r="D403" s="6" t="s">
        <v>1312</v>
      </c>
      <c r="E403" s="8"/>
      <c r="F403" s="6" t="s">
        <v>46</v>
      </c>
      <c r="G403" s="8"/>
      <c r="H403" s="8"/>
      <c r="I403" s="8"/>
      <c r="J403" s="8"/>
      <c r="K403" s="8"/>
    </row>
    <row r="404" spans="1:11" x14ac:dyDescent="0.3">
      <c r="A404" s="5">
        <v>399</v>
      </c>
      <c r="B404" s="5" t="s">
        <v>1492</v>
      </c>
      <c r="C404" s="5" t="s">
        <v>15</v>
      </c>
      <c r="D404" s="5" t="s">
        <v>1312</v>
      </c>
      <c r="E404" s="7"/>
      <c r="F404" s="5" t="s">
        <v>201</v>
      </c>
      <c r="G404" s="7"/>
      <c r="H404" s="7"/>
      <c r="I404" s="7"/>
      <c r="J404" s="7"/>
      <c r="K404" s="7"/>
    </row>
    <row r="405" spans="1:11" x14ac:dyDescent="0.3">
      <c r="A405" s="6">
        <v>400</v>
      </c>
      <c r="B405" s="6" t="s">
        <v>1493</v>
      </c>
      <c r="C405" s="6" t="s">
        <v>15</v>
      </c>
      <c r="D405" s="6" t="s">
        <v>1186</v>
      </c>
      <c r="E405" s="8"/>
      <c r="F405" s="6" t="s">
        <v>72</v>
      </c>
      <c r="G405" s="8"/>
      <c r="H405" s="8"/>
      <c r="I405" s="8"/>
      <c r="J405" s="8"/>
      <c r="K405" s="8"/>
    </row>
    <row r="406" spans="1:11" x14ac:dyDescent="0.3">
      <c r="A406" s="5">
        <v>401</v>
      </c>
      <c r="B406" s="5" t="s">
        <v>1494</v>
      </c>
      <c r="C406" s="5" t="s">
        <v>15</v>
      </c>
      <c r="D406" s="5" t="s">
        <v>990</v>
      </c>
      <c r="E406" s="7"/>
      <c r="F406" s="5" t="s">
        <v>72</v>
      </c>
      <c r="G406" s="7"/>
      <c r="H406" s="7"/>
      <c r="I406" s="7"/>
      <c r="J406" s="7"/>
      <c r="K406" s="7"/>
    </row>
    <row r="407" spans="1:11" x14ac:dyDescent="0.3">
      <c r="A407" s="6">
        <v>402</v>
      </c>
      <c r="B407" s="6" t="s">
        <v>1495</v>
      </c>
      <c r="C407" s="6" t="s">
        <v>15</v>
      </c>
      <c r="D407" s="6" t="s">
        <v>1186</v>
      </c>
      <c r="E407" s="8"/>
      <c r="F407" s="6" t="s">
        <v>72</v>
      </c>
      <c r="G407" s="8"/>
      <c r="H407" s="8"/>
      <c r="I407" s="8"/>
      <c r="J407" s="8"/>
      <c r="K407" s="8"/>
    </row>
    <row r="408" spans="1:11" x14ac:dyDescent="0.3">
      <c r="A408" s="5">
        <v>403</v>
      </c>
      <c r="B408" s="5" t="s">
        <v>1496</v>
      </c>
      <c r="C408" s="5" t="s">
        <v>70</v>
      </c>
      <c r="D408" s="5" t="s">
        <v>716</v>
      </c>
      <c r="E408" s="7"/>
      <c r="F408" s="5" t="s">
        <v>72</v>
      </c>
      <c r="G408" s="7"/>
      <c r="H408" s="7"/>
      <c r="I408" s="7"/>
      <c r="J408" s="7"/>
      <c r="K408" s="7"/>
    </row>
    <row r="409" spans="1:11" x14ac:dyDescent="0.3">
      <c r="A409" s="6">
        <v>404</v>
      </c>
      <c r="B409" s="6" t="s">
        <v>1497</v>
      </c>
      <c r="C409" s="6" t="s">
        <v>70</v>
      </c>
      <c r="D409" s="6" t="s">
        <v>1186</v>
      </c>
      <c r="E409" s="8"/>
      <c r="F409" s="6" t="s">
        <v>280</v>
      </c>
      <c r="G409" s="8"/>
      <c r="H409" s="8"/>
      <c r="I409" s="8"/>
      <c r="J409" s="8"/>
      <c r="K409" s="8"/>
    </row>
    <row r="410" spans="1:11" x14ac:dyDescent="0.3">
      <c r="A410" s="5">
        <v>405</v>
      </c>
      <c r="B410" s="5" t="s">
        <v>1498</v>
      </c>
      <c r="C410" s="5" t="s">
        <v>70</v>
      </c>
      <c r="D410" s="5" t="s">
        <v>1186</v>
      </c>
      <c r="E410" s="7"/>
      <c r="F410" s="5" t="s">
        <v>63</v>
      </c>
      <c r="G410" s="7"/>
      <c r="H410" s="7"/>
      <c r="I410" s="7"/>
      <c r="J410" s="7"/>
      <c r="K410" s="7"/>
    </row>
    <row r="411" spans="1:11" x14ac:dyDescent="0.3">
      <c r="A411" s="6">
        <v>406</v>
      </c>
      <c r="B411" s="6" t="s">
        <v>1499</v>
      </c>
      <c r="C411" s="6" t="s">
        <v>70</v>
      </c>
      <c r="D411" s="6" t="s">
        <v>1312</v>
      </c>
      <c r="E411" s="8"/>
      <c r="F411" s="6" t="s">
        <v>108</v>
      </c>
      <c r="G411" s="8"/>
      <c r="H411" s="8"/>
      <c r="I411" s="8"/>
      <c r="J411" s="8"/>
      <c r="K411" s="8"/>
    </row>
    <row r="412" spans="1:11" x14ac:dyDescent="0.3">
      <c r="A412" s="5">
        <v>407</v>
      </c>
      <c r="B412" s="5" t="s">
        <v>1500</v>
      </c>
      <c r="C412" s="5" t="s">
        <v>70</v>
      </c>
      <c r="D412" s="5" t="s">
        <v>1186</v>
      </c>
      <c r="E412" s="7"/>
      <c r="F412" s="5" t="s">
        <v>108</v>
      </c>
      <c r="G412" s="7"/>
      <c r="H412" s="7"/>
      <c r="I412" s="7"/>
      <c r="J412" s="7"/>
      <c r="K412" s="7"/>
    </row>
    <row r="413" spans="1:11" x14ac:dyDescent="0.3">
      <c r="A413" s="6">
        <v>408</v>
      </c>
      <c r="B413" s="6" t="s">
        <v>1501</v>
      </c>
      <c r="C413" s="6" t="s">
        <v>70</v>
      </c>
      <c r="D413" s="6" t="s">
        <v>1186</v>
      </c>
      <c r="E413" s="8"/>
      <c r="F413" s="6" t="s">
        <v>108</v>
      </c>
      <c r="G413" s="8"/>
      <c r="H413" s="8"/>
      <c r="I413" s="8"/>
      <c r="J413" s="8"/>
      <c r="K413" s="8"/>
    </row>
    <row r="414" spans="1:11" x14ac:dyDescent="0.3">
      <c r="A414" s="5">
        <v>409</v>
      </c>
      <c r="B414" s="5" t="s">
        <v>1502</v>
      </c>
      <c r="C414" s="5" t="s">
        <v>70</v>
      </c>
      <c r="D414" s="5" t="s">
        <v>1186</v>
      </c>
      <c r="E414" s="7"/>
      <c r="F414" s="5" t="s">
        <v>108</v>
      </c>
      <c r="G414" s="7"/>
      <c r="H414" s="7"/>
      <c r="I414" s="7"/>
      <c r="J414" s="7"/>
      <c r="K414" s="7"/>
    </row>
    <row r="415" spans="1:11" x14ac:dyDescent="0.3">
      <c r="A415" s="6">
        <v>410</v>
      </c>
      <c r="B415" s="6" t="s">
        <v>1503</v>
      </c>
      <c r="C415" s="6" t="s">
        <v>70</v>
      </c>
      <c r="D415" s="6" t="s">
        <v>1186</v>
      </c>
      <c r="E415" s="8"/>
      <c r="F415" s="6" t="s">
        <v>46</v>
      </c>
      <c r="G415" s="8"/>
      <c r="H415" s="8"/>
      <c r="I415" s="8"/>
      <c r="J415" s="8"/>
      <c r="K415" s="8"/>
    </row>
    <row r="416" spans="1:11" x14ac:dyDescent="0.3">
      <c r="A416" s="5">
        <v>411</v>
      </c>
      <c r="B416" s="5" t="s">
        <v>1504</v>
      </c>
      <c r="C416" s="5" t="s">
        <v>70</v>
      </c>
      <c r="D416" s="5" t="s">
        <v>1186</v>
      </c>
      <c r="E416" s="7"/>
      <c r="F416" s="5" t="s">
        <v>201</v>
      </c>
      <c r="G416" s="7"/>
      <c r="H416" s="7"/>
      <c r="I416" s="7"/>
      <c r="J416" s="7"/>
      <c r="K416" s="7"/>
    </row>
    <row r="417" spans="1:11" x14ac:dyDescent="0.3">
      <c r="A417" s="6">
        <v>412</v>
      </c>
      <c r="B417" s="6" t="s">
        <v>1505</v>
      </c>
      <c r="C417" s="6" t="s">
        <v>70</v>
      </c>
      <c r="D417" s="6" t="s">
        <v>1186</v>
      </c>
      <c r="E417" s="8"/>
      <c r="F417" s="6" t="s">
        <v>46</v>
      </c>
      <c r="G417" s="8"/>
      <c r="H417" s="8"/>
      <c r="I417" s="8"/>
      <c r="J417" s="8"/>
      <c r="K417" s="8"/>
    </row>
    <row r="418" spans="1:11" x14ac:dyDescent="0.3">
      <c r="A418" s="5">
        <v>413</v>
      </c>
      <c r="B418" s="5" t="s">
        <v>1506</v>
      </c>
      <c r="C418" s="5" t="s">
        <v>70</v>
      </c>
      <c r="D418" s="5" t="s">
        <v>1186</v>
      </c>
      <c r="E418" s="7"/>
      <c r="F418" s="5" t="s">
        <v>201</v>
      </c>
      <c r="G418" s="7"/>
      <c r="H418" s="7"/>
      <c r="I418" s="7"/>
      <c r="J418" s="7"/>
      <c r="K418" s="7"/>
    </row>
    <row r="419" spans="1:11" x14ac:dyDescent="0.3">
      <c r="A419" s="6">
        <v>414</v>
      </c>
      <c r="B419" s="6" t="s">
        <v>1507</v>
      </c>
      <c r="C419" s="6" t="s">
        <v>70</v>
      </c>
      <c r="D419" s="6" t="s">
        <v>1186</v>
      </c>
      <c r="E419" s="8"/>
      <c r="F419" s="6" t="s">
        <v>201</v>
      </c>
      <c r="G419" s="8"/>
      <c r="H419" s="8"/>
      <c r="I419" s="8"/>
      <c r="J419" s="8"/>
      <c r="K419" s="8"/>
    </row>
    <row r="420" spans="1:11" x14ac:dyDescent="0.3">
      <c r="A420" s="5">
        <v>415</v>
      </c>
      <c r="B420" s="5" t="s">
        <v>1508</v>
      </c>
      <c r="C420" s="5" t="s">
        <v>70</v>
      </c>
      <c r="D420" s="5" t="s">
        <v>1186</v>
      </c>
      <c r="E420" s="7"/>
      <c r="F420" s="5" t="s">
        <v>63</v>
      </c>
      <c r="G420" s="7"/>
      <c r="H420" s="7"/>
      <c r="I420" s="7"/>
      <c r="J420" s="7"/>
      <c r="K420" s="7"/>
    </row>
    <row r="421" spans="1:11" x14ac:dyDescent="0.3">
      <c r="A421" s="6">
        <v>416</v>
      </c>
      <c r="B421" s="6" t="s">
        <v>1509</v>
      </c>
      <c r="C421" s="6" t="s">
        <v>70</v>
      </c>
      <c r="D421" s="6" t="s">
        <v>1312</v>
      </c>
      <c r="E421" s="8"/>
      <c r="F421" s="6" t="s">
        <v>280</v>
      </c>
      <c r="G421" s="8"/>
      <c r="H421" s="8"/>
      <c r="I421" s="8"/>
      <c r="J421" s="8"/>
      <c r="K421" s="8"/>
    </row>
    <row r="422" spans="1:11" x14ac:dyDescent="0.3">
      <c r="A422" s="5">
        <v>417</v>
      </c>
      <c r="B422" s="5" t="s">
        <v>1510</v>
      </c>
      <c r="C422" s="5" t="s">
        <v>70</v>
      </c>
      <c r="D422" s="5" t="s">
        <v>1186</v>
      </c>
      <c r="E422" s="7"/>
      <c r="F422" s="5" t="s">
        <v>280</v>
      </c>
      <c r="G422" s="7"/>
      <c r="H422" s="7"/>
      <c r="I422" s="7"/>
      <c r="J422" s="7"/>
      <c r="K422" s="7"/>
    </row>
    <row r="423" spans="1:11" x14ac:dyDescent="0.3">
      <c r="A423" s="6">
        <v>418</v>
      </c>
      <c r="B423" s="6" t="s">
        <v>1511</v>
      </c>
      <c r="C423" s="6" t="s">
        <v>70</v>
      </c>
      <c r="D423" s="6" t="s">
        <v>1186</v>
      </c>
      <c r="E423" s="8"/>
      <c r="F423" s="6" t="s">
        <v>63</v>
      </c>
      <c r="G423" s="8"/>
      <c r="H423" s="8"/>
      <c r="I423" s="8"/>
      <c r="J423" s="8"/>
      <c r="K423" s="8"/>
    </row>
    <row r="424" spans="1:11" x14ac:dyDescent="0.3">
      <c r="A424" s="5">
        <v>419</v>
      </c>
      <c r="B424" s="5" t="s">
        <v>1512</v>
      </c>
      <c r="C424" s="5" t="s">
        <v>106</v>
      </c>
      <c r="D424" s="5" t="s">
        <v>716</v>
      </c>
      <c r="E424" s="7"/>
      <c r="F424" s="5" t="s">
        <v>117</v>
      </c>
      <c r="G424" s="7"/>
      <c r="H424" s="7"/>
      <c r="I424" s="7"/>
      <c r="J424" s="7"/>
      <c r="K424" s="7"/>
    </row>
    <row r="425" spans="1:11" x14ac:dyDescent="0.3">
      <c r="A425" s="6">
        <v>420</v>
      </c>
      <c r="B425" s="6" t="s">
        <v>1513</v>
      </c>
      <c r="C425" s="6" t="s">
        <v>106</v>
      </c>
      <c r="D425" s="6" t="s">
        <v>1186</v>
      </c>
      <c r="E425" s="8"/>
      <c r="F425" s="6" t="s">
        <v>108</v>
      </c>
      <c r="G425" s="8"/>
      <c r="H425" s="8"/>
      <c r="I425" s="8"/>
      <c r="J425" s="8"/>
      <c r="K425" s="8"/>
    </row>
    <row r="426" spans="1:11" x14ac:dyDescent="0.3">
      <c r="A426" s="5">
        <v>421</v>
      </c>
      <c r="B426" s="5" t="s">
        <v>1514</v>
      </c>
      <c r="C426" s="5" t="s">
        <v>106</v>
      </c>
      <c r="D426" s="5" t="s">
        <v>1186</v>
      </c>
      <c r="E426" s="7"/>
      <c r="F426" s="5" t="s">
        <v>46</v>
      </c>
      <c r="G426" s="7"/>
      <c r="H426" s="7"/>
      <c r="I426" s="7"/>
      <c r="J426" s="7"/>
      <c r="K426" s="7"/>
    </row>
    <row r="427" spans="1:11" x14ac:dyDescent="0.3">
      <c r="A427" s="6">
        <v>422</v>
      </c>
      <c r="B427" s="6" t="s">
        <v>1515</v>
      </c>
      <c r="C427" s="6" t="s">
        <v>106</v>
      </c>
      <c r="D427" s="6" t="s">
        <v>1186</v>
      </c>
      <c r="E427" s="8"/>
      <c r="F427" s="6" t="s">
        <v>280</v>
      </c>
      <c r="G427" s="8"/>
      <c r="H427" s="8"/>
      <c r="I427" s="8"/>
      <c r="J427" s="8"/>
      <c r="K427" s="8"/>
    </row>
    <row r="428" spans="1:11" x14ac:dyDescent="0.3">
      <c r="A428" s="5">
        <v>423</v>
      </c>
      <c r="B428" s="5" t="s">
        <v>1516</v>
      </c>
      <c r="C428" s="5" t="s">
        <v>106</v>
      </c>
      <c r="D428" s="5" t="s">
        <v>1186</v>
      </c>
      <c r="E428" s="7"/>
      <c r="F428" s="5" t="s">
        <v>201</v>
      </c>
      <c r="G428" s="7"/>
      <c r="H428" s="7"/>
      <c r="I428" s="7"/>
      <c r="J428" s="7"/>
      <c r="K428" s="7"/>
    </row>
    <row r="429" spans="1:11" x14ac:dyDescent="0.3">
      <c r="A429" s="6">
        <v>424</v>
      </c>
      <c r="B429" s="6" t="s">
        <v>1517</v>
      </c>
      <c r="C429" s="6" t="s">
        <v>106</v>
      </c>
      <c r="D429" s="6" t="s">
        <v>1186</v>
      </c>
      <c r="E429" s="8"/>
      <c r="F429" s="6" t="s">
        <v>280</v>
      </c>
      <c r="G429" s="8"/>
      <c r="H429" s="8"/>
      <c r="I429" s="8"/>
      <c r="J429" s="8"/>
      <c r="K429" s="8"/>
    </row>
    <row r="430" spans="1:11" x14ac:dyDescent="0.3">
      <c r="A430" s="5">
        <v>425</v>
      </c>
      <c r="B430" s="5" t="s">
        <v>1518</v>
      </c>
      <c r="C430" s="5" t="s">
        <v>106</v>
      </c>
      <c r="D430" s="5" t="s">
        <v>1186</v>
      </c>
      <c r="E430" s="7"/>
      <c r="F430" s="5" t="s">
        <v>63</v>
      </c>
      <c r="G430" s="7"/>
      <c r="H430" s="7"/>
      <c r="I430" s="7"/>
      <c r="J430" s="7"/>
      <c r="K430" s="7"/>
    </row>
    <row r="431" spans="1:11" x14ac:dyDescent="0.3">
      <c r="A431" s="6">
        <v>426</v>
      </c>
      <c r="B431" s="6" t="s">
        <v>1519</v>
      </c>
      <c r="C431" s="6" t="s">
        <v>106</v>
      </c>
      <c r="D431" s="6" t="s">
        <v>1186</v>
      </c>
      <c r="E431" s="8"/>
      <c r="F431" s="6" t="s">
        <v>280</v>
      </c>
      <c r="G431" s="8"/>
      <c r="H431" s="8"/>
      <c r="I431" s="8"/>
      <c r="J431" s="8"/>
      <c r="K431" s="8"/>
    </row>
    <row r="432" spans="1:11" x14ac:dyDescent="0.3">
      <c r="A432" s="5">
        <v>427</v>
      </c>
      <c r="B432" s="5" t="s">
        <v>1520</v>
      </c>
      <c r="C432" s="5" t="s">
        <v>106</v>
      </c>
      <c r="D432" s="5" t="s">
        <v>826</v>
      </c>
      <c r="E432" s="7"/>
      <c r="F432" s="5" t="s">
        <v>280</v>
      </c>
      <c r="G432" s="7"/>
      <c r="H432" s="7"/>
      <c r="I432" s="7"/>
      <c r="J432" s="7"/>
      <c r="K432" s="7"/>
    </row>
    <row r="433" spans="1:11" x14ac:dyDescent="0.3">
      <c r="A433" s="6">
        <v>428</v>
      </c>
      <c r="B433" s="6" t="s">
        <v>1521</v>
      </c>
      <c r="C433" s="6" t="s">
        <v>106</v>
      </c>
      <c r="D433" s="6" t="s">
        <v>1186</v>
      </c>
      <c r="E433" s="8"/>
      <c r="F433" s="6" t="s">
        <v>63</v>
      </c>
      <c r="G433" s="8"/>
      <c r="H433" s="8"/>
      <c r="I433" s="8"/>
      <c r="J433" s="8"/>
      <c r="K433" s="8"/>
    </row>
    <row r="434" spans="1:11" x14ac:dyDescent="0.3">
      <c r="A434" s="5">
        <v>429</v>
      </c>
      <c r="B434" s="5" t="s">
        <v>1522</v>
      </c>
      <c r="C434" s="5" t="s">
        <v>106</v>
      </c>
      <c r="D434" s="5" t="s">
        <v>1312</v>
      </c>
      <c r="E434" s="7"/>
      <c r="F434" s="5" t="s">
        <v>46</v>
      </c>
      <c r="G434" s="7"/>
      <c r="H434" s="7"/>
      <c r="I434" s="7"/>
      <c r="J434" s="7"/>
      <c r="K434" s="7"/>
    </row>
    <row r="435" spans="1:11" x14ac:dyDescent="0.3">
      <c r="A435" s="6">
        <v>430</v>
      </c>
      <c r="B435" s="6" t="s">
        <v>1523</v>
      </c>
      <c r="C435" s="6" t="s">
        <v>106</v>
      </c>
      <c r="D435" s="6" t="s">
        <v>1312</v>
      </c>
      <c r="E435" s="8"/>
      <c r="F435" s="6" t="s">
        <v>108</v>
      </c>
      <c r="G435" s="8"/>
      <c r="H435" s="8"/>
      <c r="I435" s="8"/>
      <c r="J435" s="8"/>
      <c r="K435" s="8"/>
    </row>
    <row r="436" spans="1:11" x14ac:dyDescent="0.3">
      <c r="A436" s="5">
        <v>431</v>
      </c>
      <c r="B436" s="5" t="s">
        <v>109</v>
      </c>
      <c r="C436" s="5" t="s">
        <v>106</v>
      </c>
      <c r="D436" s="5" t="s">
        <v>826</v>
      </c>
      <c r="E436" s="7"/>
      <c r="F436" s="5" t="s">
        <v>108</v>
      </c>
      <c r="G436" s="7"/>
      <c r="H436" s="7"/>
      <c r="I436" s="7"/>
      <c r="J436" s="7"/>
      <c r="K436" s="7"/>
    </row>
    <row r="437" spans="1:11" x14ac:dyDescent="0.3">
      <c r="A437" s="6">
        <v>432</v>
      </c>
      <c r="B437" s="6" t="s">
        <v>1524</v>
      </c>
      <c r="C437" s="6" t="s">
        <v>106</v>
      </c>
      <c r="D437" s="6" t="s">
        <v>1186</v>
      </c>
      <c r="E437" s="8"/>
      <c r="F437" s="6" t="s">
        <v>46</v>
      </c>
      <c r="G437" s="8"/>
      <c r="H437" s="8"/>
      <c r="I437" s="8"/>
      <c r="J437" s="8"/>
      <c r="K437" s="8"/>
    </row>
    <row r="438" spans="1:11" x14ac:dyDescent="0.3">
      <c r="A438" s="5">
        <v>433</v>
      </c>
      <c r="B438" s="5" t="s">
        <v>1525</v>
      </c>
      <c r="C438" s="5" t="s">
        <v>106</v>
      </c>
      <c r="D438" s="5" t="s">
        <v>990</v>
      </c>
      <c r="E438" s="7"/>
      <c r="F438" s="5" t="s">
        <v>46</v>
      </c>
      <c r="G438" s="7"/>
      <c r="H438" s="7"/>
      <c r="I438" s="7"/>
      <c r="J438" s="7"/>
      <c r="K438" s="7"/>
    </row>
    <row r="439" spans="1:11" x14ac:dyDescent="0.3">
      <c r="A439" s="6">
        <v>434</v>
      </c>
      <c r="B439" s="6" t="s">
        <v>1526</v>
      </c>
      <c r="C439" s="6" t="s">
        <v>106</v>
      </c>
      <c r="D439" s="6" t="s">
        <v>990</v>
      </c>
      <c r="E439" s="8"/>
      <c r="F439" s="6" t="s">
        <v>46</v>
      </c>
      <c r="G439" s="8"/>
      <c r="H439" s="8"/>
      <c r="I439" s="8"/>
      <c r="J439" s="8"/>
      <c r="K439" s="8"/>
    </row>
    <row r="440" spans="1:11" x14ac:dyDescent="0.3">
      <c r="A440" s="5">
        <v>435</v>
      </c>
      <c r="B440" s="5" t="s">
        <v>1527</v>
      </c>
      <c r="C440" s="5" t="s">
        <v>106</v>
      </c>
      <c r="D440" s="5" t="s">
        <v>990</v>
      </c>
      <c r="E440" s="7"/>
      <c r="F440" s="5" t="s">
        <v>46</v>
      </c>
      <c r="G440" s="7"/>
      <c r="H440" s="7"/>
      <c r="I440" s="7"/>
      <c r="J440" s="7"/>
      <c r="K440" s="7"/>
    </row>
    <row r="441" spans="1:11" x14ac:dyDescent="0.3">
      <c r="A441" s="6">
        <v>436</v>
      </c>
      <c r="B441" s="6" t="s">
        <v>1528</v>
      </c>
      <c r="C441" s="6" t="s">
        <v>106</v>
      </c>
      <c r="D441" s="6" t="s">
        <v>1186</v>
      </c>
      <c r="E441" s="8"/>
      <c r="F441" s="6" t="s">
        <v>108</v>
      </c>
      <c r="G441" s="8"/>
      <c r="H441" s="8"/>
      <c r="I441" s="8"/>
      <c r="J441" s="8"/>
      <c r="K441" s="8"/>
    </row>
    <row r="442" spans="1:11" x14ac:dyDescent="0.3">
      <c r="A442" s="5">
        <v>437</v>
      </c>
      <c r="B442" s="5" t="s">
        <v>1529</v>
      </c>
      <c r="C442" s="5" t="s">
        <v>106</v>
      </c>
      <c r="D442" s="5" t="s">
        <v>1186</v>
      </c>
      <c r="E442" s="7"/>
      <c r="F442" s="5" t="s">
        <v>337</v>
      </c>
      <c r="G442" s="7"/>
      <c r="H442" s="7"/>
      <c r="I442" s="7"/>
      <c r="J442" s="7"/>
      <c r="K442" s="7"/>
    </row>
    <row r="443" spans="1:11" x14ac:dyDescent="0.3">
      <c r="A443" s="6">
        <v>438</v>
      </c>
      <c r="B443" s="6" t="s">
        <v>1530</v>
      </c>
      <c r="C443" s="6" t="s">
        <v>106</v>
      </c>
      <c r="D443" s="6" t="s">
        <v>1312</v>
      </c>
      <c r="E443" s="8"/>
      <c r="F443" s="6" t="s">
        <v>72</v>
      </c>
      <c r="G443" s="8"/>
      <c r="H443" s="8"/>
      <c r="I443" s="8"/>
      <c r="J443" s="8"/>
      <c r="K443" s="8"/>
    </row>
    <row r="444" spans="1:11" x14ac:dyDescent="0.3">
      <c r="A444" s="5">
        <v>439</v>
      </c>
      <c r="B444" s="5" t="s">
        <v>1531</v>
      </c>
      <c r="C444" s="5" t="s">
        <v>106</v>
      </c>
      <c r="D444" s="5" t="s">
        <v>1312</v>
      </c>
      <c r="E444" s="7"/>
      <c r="F444" s="5" t="s">
        <v>46</v>
      </c>
      <c r="G444" s="7"/>
      <c r="H444" s="7"/>
      <c r="I444" s="7"/>
      <c r="J444" s="7"/>
      <c r="K444" s="7"/>
    </row>
    <row r="445" spans="1:11" x14ac:dyDescent="0.3">
      <c r="A445" s="6">
        <v>440</v>
      </c>
      <c r="B445" s="6" t="s">
        <v>1532</v>
      </c>
      <c r="C445" s="6" t="s">
        <v>106</v>
      </c>
      <c r="D445" s="6" t="s">
        <v>1312</v>
      </c>
      <c r="E445" s="8"/>
      <c r="F445" s="6" t="s">
        <v>46</v>
      </c>
      <c r="G445" s="8"/>
      <c r="H445" s="8"/>
      <c r="I445" s="8"/>
      <c r="J445" s="8"/>
      <c r="K445" s="8"/>
    </row>
    <row r="446" spans="1:11" x14ac:dyDescent="0.3">
      <c r="A446" s="5">
        <v>441</v>
      </c>
      <c r="B446" s="5" t="s">
        <v>1533</v>
      </c>
      <c r="C446" s="5" t="s">
        <v>106</v>
      </c>
      <c r="D446" s="5" t="s">
        <v>990</v>
      </c>
      <c r="E446" s="7"/>
      <c r="F446" s="5" t="s">
        <v>54</v>
      </c>
      <c r="G446" s="7"/>
      <c r="H446" s="7"/>
      <c r="I446" s="7"/>
      <c r="J446" s="7"/>
      <c r="K446" s="7"/>
    </row>
    <row r="447" spans="1:11" x14ac:dyDescent="0.3">
      <c r="A447" s="6">
        <v>442</v>
      </c>
      <c r="B447" s="6" t="s">
        <v>1534</v>
      </c>
      <c r="C447" s="6" t="s">
        <v>106</v>
      </c>
      <c r="D447" s="6" t="s">
        <v>990</v>
      </c>
      <c r="E447" s="8"/>
      <c r="F447" s="6" t="s">
        <v>18</v>
      </c>
      <c r="G447" s="8"/>
      <c r="H447" s="8"/>
      <c r="I447" s="8"/>
      <c r="J447" s="8"/>
      <c r="K447" s="8"/>
    </row>
    <row r="448" spans="1:11" x14ac:dyDescent="0.3">
      <c r="A448" s="5">
        <v>443</v>
      </c>
      <c r="B448" s="5" t="s">
        <v>1535</v>
      </c>
      <c r="C448" s="5" t="s">
        <v>106</v>
      </c>
      <c r="D448" s="5" t="s">
        <v>990</v>
      </c>
      <c r="E448" s="7"/>
      <c r="F448" s="5" t="s">
        <v>54</v>
      </c>
      <c r="G448" s="7"/>
      <c r="H448" s="7"/>
      <c r="I448" s="7"/>
      <c r="J448" s="7"/>
      <c r="K448" s="7"/>
    </row>
    <row r="449" spans="1:11" x14ac:dyDescent="0.3">
      <c r="A449" s="6">
        <v>444</v>
      </c>
      <c r="B449" s="6" t="s">
        <v>1536</v>
      </c>
      <c r="C449" s="6" t="s">
        <v>106</v>
      </c>
      <c r="D449" s="6" t="s">
        <v>1186</v>
      </c>
      <c r="E449" s="8"/>
      <c r="F449" s="6" t="s">
        <v>46</v>
      </c>
      <c r="G449" s="8"/>
      <c r="H449" s="8"/>
      <c r="I449" s="8"/>
      <c r="J449" s="8"/>
      <c r="K449" s="8"/>
    </row>
    <row r="450" spans="1:11" x14ac:dyDescent="0.3">
      <c r="A450" s="5">
        <v>445</v>
      </c>
      <c r="B450" s="5" t="s">
        <v>1537</v>
      </c>
      <c r="C450" s="5" t="s">
        <v>401</v>
      </c>
      <c r="D450" s="5" t="s">
        <v>1186</v>
      </c>
      <c r="E450" s="7"/>
      <c r="F450" s="5" t="s">
        <v>108</v>
      </c>
      <c r="G450" s="7"/>
      <c r="H450" s="7"/>
      <c r="I450" s="7"/>
      <c r="J450" s="7"/>
      <c r="K450" s="7"/>
    </row>
    <row r="451" spans="1:11" x14ac:dyDescent="0.3">
      <c r="A451" s="6">
        <v>446</v>
      </c>
      <c r="B451" s="6" t="s">
        <v>1538</v>
      </c>
      <c r="C451" s="6" t="s">
        <v>401</v>
      </c>
      <c r="D451" s="6" t="s">
        <v>1186</v>
      </c>
      <c r="E451" s="8"/>
      <c r="F451" s="6" t="s">
        <v>46</v>
      </c>
      <c r="G451" s="8"/>
      <c r="H451" s="8"/>
      <c r="I451" s="8"/>
      <c r="J451" s="8"/>
      <c r="K451" s="8"/>
    </row>
    <row r="452" spans="1:11" x14ac:dyDescent="0.3">
      <c r="A452" s="5">
        <v>447</v>
      </c>
      <c r="B452" s="5" t="s">
        <v>1539</v>
      </c>
      <c r="C452" s="5" t="s">
        <v>401</v>
      </c>
      <c r="D452" s="5" t="s">
        <v>1312</v>
      </c>
      <c r="E452" s="7"/>
      <c r="F452" s="5" t="s">
        <v>63</v>
      </c>
      <c r="G452" s="7"/>
      <c r="H452" s="7"/>
      <c r="I452" s="7"/>
      <c r="J452" s="7"/>
      <c r="K452" s="7"/>
    </row>
    <row r="453" spans="1:11" x14ac:dyDescent="0.3">
      <c r="A453" s="6">
        <v>448</v>
      </c>
      <c r="B453" s="6" t="s">
        <v>1540</v>
      </c>
      <c r="C453" s="6" t="s">
        <v>401</v>
      </c>
      <c r="D453" s="6" t="s">
        <v>1186</v>
      </c>
      <c r="E453" s="8"/>
      <c r="F453" s="6" t="s">
        <v>201</v>
      </c>
      <c r="G453" s="8"/>
      <c r="H453" s="8"/>
      <c r="I453" s="8"/>
      <c r="J453" s="8"/>
      <c r="K453" s="8"/>
    </row>
    <row r="454" spans="1:11" x14ac:dyDescent="0.3">
      <c r="A454" s="5">
        <v>449</v>
      </c>
      <c r="B454" s="5" t="s">
        <v>1541</v>
      </c>
      <c r="C454" s="5" t="s">
        <v>401</v>
      </c>
      <c r="D454" s="5" t="s">
        <v>990</v>
      </c>
      <c r="E454" s="7"/>
      <c r="F454" s="5" t="s">
        <v>201</v>
      </c>
      <c r="G454" s="7"/>
      <c r="H454" s="7"/>
      <c r="I454" s="7"/>
      <c r="J454" s="7"/>
      <c r="K454" s="7"/>
    </row>
    <row r="455" spans="1:11" x14ac:dyDescent="0.3">
      <c r="A455" s="6">
        <v>450</v>
      </c>
      <c r="B455" s="6" t="s">
        <v>1542</v>
      </c>
      <c r="C455" s="6" t="s">
        <v>401</v>
      </c>
      <c r="D455" s="6" t="s">
        <v>1312</v>
      </c>
      <c r="E455" s="8"/>
      <c r="F455" s="6" t="s">
        <v>63</v>
      </c>
      <c r="G455" s="8"/>
      <c r="H455" s="8"/>
      <c r="I455" s="8"/>
      <c r="J455" s="8"/>
      <c r="K455" s="8"/>
    </row>
    <row r="456" spans="1:11" x14ac:dyDescent="0.3">
      <c r="A456" s="5">
        <v>451</v>
      </c>
      <c r="B456" s="5" t="s">
        <v>1543</v>
      </c>
      <c r="C456" s="5" t="s">
        <v>401</v>
      </c>
      <c r="D456" s="5" t="s">
        <v>1186</v>
      </c>
      <c r="E456" s="7"/>
      <c r="F456" s="5" t="s">
        <v>63</v>
      </c>
      <c r="G456" s="7"/>
      <c r="H456" s="7"/>
      <c r="I456" s="7"/>
      <c r="J456" s="7"/>
      <c r="K456" s="7"/>
    </row>
    <row r="457" spans="1:11" x14ac:dyDescent="0.3">
      <c r="A457" s="6">
        <v>452</v>
      </c>
      <c r="B457" s="6" t="s">
        <v>1544</v>
      </c>
      <c r="C457" s="6" t="s">
        <v>401</v>
      </c>
      <c r="D457" s="6" t="s">
        <v>1186</v>
      </c>
      <c r="E457" s="8"/>
      <c r="F457" s="6" t="s">
        <v>46</v>
      </c>
      <c r="G457" s="8"/>
      <c r="H457" s="8"/>
      <c r="I457" s="8"/>
      <c r="J457" s="8"/>
      <c r="K457" s="8"/>
    </row>
    <row r="458" spans="1:11" x14ac:dyDescent="0.3">
      <c r="A458" s="5">
        <v>453</v>
      </c>
      <c r="B458" s="5" t="s">
        <v>1545</v>
      </c>
      <c r="C458" s="5" t="s">
        <v>401</v>
      </c>
      <c r="D458" s="5" t="s">
        <v>990</v>
      </c>
      <c r="E458" s="7"/>
      <c r="F458" s="5" t="s">
        <v>54</v>
      </c>
      <c r="G458" s="7"/>
      <c r="H458" s="7"/>
      <c r="I458" s="7"/>
      <c r="J458" s="7"/>
      <c r="K458" s="7"/>
    </row>
    <row r="459" spans="1:11" x14ac:dyDescent="0.3">
      <c r="A459" s="6">
        <v>454</v>
      </c>
      <c r="B459" s="6" t="s">
        <v>1546</v>
      </c>
      <c r="C459" s="6" t="s">
        <v>401</v>
      </c>
      <c r="D459" s="6" t="s">
        <v>1186</v>
      </c>
      <c r="E459" s="8"/>
      <c r="F459" s="6" t="s">
        <v>108</v>
      </c>
      <c r="G459" s="8"/>
      <c r="H459" s="8"/>
      <c r="I459" s="8"/>
      <c r="J459" s="8"/>
      <c r="K459" s="8"/>
    </row>
    <row r="460" spans="1:11" x14ac:dyDescent="0.3">
      <c r="A460" s="5">
        <v>455</v>
      </c>
      <c r="B460" s="5" t="s">
        <v>1547</v>
      </c>
      <c r="C460" s="5" t="s">
        <v>401</v>
      </c>
      <c r="D460" s="5" t="s">
        <v>1312</v>
      </c>
      <c r="E460" s="7"/>
      <c r="F460" s="5" t="s">
        <v>280</v>
      </c>
      <c r="G460" s="7"/>
      <c r="H460" s="7"/>
      <c r="I460" s="7"/>
      <c r="J460" s="7"/>
      <c r="K460" s="7"/>
    </row>
    <row r="461" spans="1:11" x14ac:dyDescent="0.3">
      <c r="A461" s="6">
        <v>456</v>
      </c>
      <c r="B461" s="6" t="s">
        <v>1548</v>
      </c>
      <c r="C461" s="6" t="s">
        <v>401</v>
      </c>
      <c r="D461" s="6" t="s">
        <v>990</v>
      </c>
      <c r="E461" s="8"/>
      <c r="F461" s="6" t="s">
        <v>63</v>
      </c>
      <c r="G461" s="8"/>
      <c r="H461" s="8"/>
      <c r="I461" s="8"/>
      <c r="J461" s="8"/>
      <c r="K461" s="8"/>
    </row>
    <row r="462" spans="1:11" x14ac:dyDescent="0.3">
      <c r="A462" s="5">
        <v>457</v>
      </c>
      <c r="B462" s="5" t="s">
        <v>1549</v>
      </c>
      <c r="C462" s="5" t="s">
        <v>106</v>
      </c>
      <c r="D462" s="5" t="s">
        <v>1186</v>
      </c>
      <c r="E462" s="7"/>
      <c r="F462" s="5" t="s">
        <v>46</v>
      </c>
      <c r="G462" s="7"/>
      <c r="H462" s="7"/>
      <c r="I462" s="7"/>
      <c r="J462" s="7"/>
      <c r="K462" s="7"/>
    </row>
    <row r="463" spans="1:11" x14ac:dyDescent="0.3">
      <c r="A463" s="6">
        <v>458</v>
      </c>
      <c r="B463" s="6" t="s">
        <v>1550</v>
      </c>
      <c r="C463" s="6" t="s">
        <v>106</v>
      </c>
      <c r="D463" s="6" t="s">
        <v>990</v>
      </c>
      <c r="E463" s="8"/>
      <c r="F463" s="6" t="s">
        <v>54</v>
      </c>
      <c r="G463" s="8"/>
      <c r="H463" s="8"/>
      <c r="I463" s="8"/>
      <c r="J463" s="8"/>
      <c r="K463" s="8"/>
    </row>
    <row r="464" spans="1:11" x14ac:dyDescent="0.3">
      <c r="A464" s="5">
        <v>459</v>
      </c>
      <c r="B464" s="5" t="s">
        <v>1551</v>
      </c>
      <c r="C464" s="5" t="s">
        <v>1033</v>
      </c>
      <c r="D464" s="5" t="s">
        <v>1312</v>
      </c>
      <c r="E464" s="7"/>
      <c r="F464" s="5" t="s">
        <v>46</v>
      </c>
      <c r="G464" s="7"/>
      <c r="H464" s="7"/>
      <c r="I464" s="7"/>
      <c r="J464" s="7"/>
      <c r="K464" s="7"/>
    </row>
    <row r="465" spans="1:11" x14ac:dyDescent="0.3">
      <c r="A465" s="6">
        <v>460</v>
      </c>
      <c r="B465" s="6" t="s">
        <v>1552</v>
      </c>
      <c r="C465" s="6" t="s">
        <v>1033</v>
      </c>
      <c r="D465" s="6" t="s">
        <v>1186</v>
      </c>
      <c r="E465" s="8"/>
      <c r="F465" s="6" t="s">
        <v>201</v>
      </c>
      <c r="G465" s="8"/>
      <c r="H465" s="8"/>
      <c r="I465" s="8"/>
      <c r="J465" s="8"/>
      <c r="K465" s="8"/>
    </row>
    <row r="466" spans="1:11" x14ac:dyDescent="0.3">
      <c r="A466" s="5">
        <v>461</v>
      </c>
      <c r="B466" s="5" t="s">
        <v>1553</v>
      </c>
      <c r="C466" s="5" t="s">
        <v>1033</v>
      </c>
      <c r="D466" s="5" t="s">
        <v>1312</v>
      </c>
      <c r="E466" s="7"/>
      <c r="F466" s="5" t="s">
        <v>201</v>
      </c>
      <c r="G466" s="7"/>
      <c r="H466" s="7"/>
      <c r="I466" s="7"/>
      <c r="J466" s="7"/>
      <c r="K466" s="7"/>
    </row>
    <row r="467" spans="1:11" x14ac:dyDescent="0.3">
      <c r="A467" s="6">
        <v>462</v>
      </c>
      <c r="B467" s="6" t="s">
        <v>1554</v>
      </c>
      <c r="C467" s="6" t="s">
        <v>1033</v>
      </c>
      <c r="D467" s="6" t="s">
        <v>1186</v>
      </c>
      <c r="E467" s="8"/>
      <c r="F467" s="6" t="s">
        <v>63</v>
      </c>
      <c r="G467" s="8"/>
      <c r="H467" s="8"/>
      <c r="I467" s="8"/>
      <c r="J467" s="8"/>
      <c r="K467" s="8"/>
    </row>
    <row r="468" spans="1:11" x14ac:dyDescent="0.3">
      <c r="A468" s="5">
        <v>463</v>
      </c>
      <c r="B468" s="5" t="s">
        <v>1555</v>
      </c>
      <c r="C468" s="5" t="s">
        <v>1033</v>
      </c>
      <c r="D468" s="5" t="s">
        <v>1186</v>
      </c>
      <c r="E468" s="7"/>
      <c r="F468" s="5" t="s">
        <v>63</v>
      </c>
      <c r="G468" s="7"/>
      <c r="H468" s="7"/>
      <c r="I468" s="7"/>
      <c r="J468" s="7"/>
      <c r="K468" s="7"/>
    </row>
    <row r="469" spans="1:11" x14ac:dyDescent="0.3">
      <c r="A469" s="6">
        <v>464</v>
      </c>
      <c r="B469" s="6" t="s">
        <v>1556</v>
      </c>
      <c r="C469" s="6" t="s">
        <v>1033</v>
      </c>
      <c r="D469" s="6" t="s">
        <v>1186</v>
      </c>
      <c r="E469" s="8"/>
      <c r="F469" s="6" t="s">
        <v>63</v>
      </c>
      <c r="G469" s="8"/>
      <c r="H469" s="8"/>
      <c r="I469" s="8"/>
      <c r="J469" s="8"/>
      <c r="K469" s="8"/>
    </row>
    <row r="470" spans="1:11" x14ac:dyDescent="0.3">
      <c r="A470" s="5">
        <v>465</v>
      </c>
      <c r="B470" s="5" t="s">
        <v>1557</v>
      </c>
      <c r="C470" s="5" t="s">
        <v>1033</v>
      </c>
      <c r="D470" s="5" t="s">
        <v>1186</v>
      </c>
      <c r="E470" s="7"/>
      <c r="F470" s="5" t="s">
        <v>63</v>
      </c>
      <c r="G470" s="7"/>
      <c r="H470" s="7"/>
      <c r="I470" s="7"/>
      <c r="J470" s="7"/>
      <c r="K470" s="7"/>
    </row>
    <row r="471" spans="1:11" x14ac:dyDescent="0.3">
      <c r="A471" s="6">
        <v>466</v>
      </c>
      <c r="B471" s="6" t="s">
        <v>1558</v>
      </c>
      <c r="C471" s="6" t="s">
        <v>1033</v>
      </c>
      <c r="D471" s="6" t="s">
        <v>1186</v>
      </c>
      <c r="E471" s="8"/>
      <c r="F471" s="6" t="s">
        <v>63</v>
      </c>
      <c r="G471" s="8"/>
      <c r="H471" s="8"/>
      <c r="I471" s="8"/>
      <c r="J471" s="8"/>
      <c r="K471" s="8"/>
    </row>
    <row r="472" spans="1:11" x14ac:dyDescent="0.3">
      <c r="A472" s="5">
        <v>467</v>
      </c>
      <c r="B472" s="5" t="s">
        <v>1559</v>
      </c>
      <c r="C472" s="5" t="s">
        <v>1033</v>
      </c>
      <c r="D472" s="5" t="s">
        <v>1186</v>
      </c>
      <c r="E472" s="7"/>
      <c r="F472" s="5" t="s">
        <v>63</v>
      </c>
      <c r="G472" s="7"/>
      <c r="H472" s="7"/>
      <c r="I472" s="7"/>
      <c r="J472" s="7"/>
      <c r="K472" s="7"/>
    </row>
    <row r="473" spans="1:11" x14ac:dyDescent="0.3">
      <c r="A473" s="6">
        <v>468</v>
      </c>
      <c r="B473" s="6" t="s">
        <v>1560</v>
      </c>
      <c r="C473" s="6" t="s">
        <v>1033</v>
      </c>
      <c r="D473" s="6" t="s">
        <v>1186</v>
      </c>
      <c r="E473" s="8"/>
      <c r="F473" s="6" t="s">
        <v>63</v>
      </c>
      <c r="G473" s="8"/>
      <c r="H473" s="8"/>
      <c r="I473" s="8"/>
      <c r="J473" s="8"/>
      <c r="K473" s="8"/>
    </row>
    <row r="474" spans="1:11" x14ac:dyDescent="0.3">
      <c r="A474" s="5">
        <v>469</v>
      </c>
      <c r="B474" s="5" t="s">
        <v>1561</v>
      </c>
      <c r="C474" s="5" t="s">
        <v>1033</v>
      </c>
      <c r="D474" s="5" t="s">
        <v>1312</v>
      </c>
      <c r="E474" s="7"/>
      <c r="F474" s="5" t="s">
        <v>63</v>
      </c>
      <c r="G474" s="7"/>
      <c r="H474" s="7"/>
      <c r="I474" s="7"/>
      <c r="J474" s="7"/>
      <c r="K474" s="7"/>
    </row>
    <row r="475" spans="1:11" x14ac:dyDescent="0.3">
      <c r="A475" s="6">
        <v>470</v>
      </c>
      <c r="B475" s="6" t="s">
        <v>1562</v>
      </c>
      <c r="C475" s="6" t="s">
        <v>1033</v>
      </c>
      <c r="D475" s="6" t="s">
        <v>1312</v>
      </c>
      <c r="E475" s="8"/>
      <c r="F475" s="6" t="s">
        <v>63</v>
      </c>
      <c r="G475" s="8"/>
      <c r="H475" s="8"/>
      <c r="I475" s="8"/>
      <c r="J475" s="8"/>
      <c r="K475" s="8"/>
    </row>
    <row r="476" spans="1:11" x14ac:dyDescent="0.3">
      <c r="A476" s="5">
        <v>471</v>
      </c>
      <c r="B476" s="5" t="s">
        <v>1563</v>
      </c>
      <c r="C476" s="5" t="s">
        <v>480</v>
      </c>
      <c r="D476" s="5" t="s">
        <v>1186</v>
      </c>
      <c r="E476" s="7"/>
      <c r="F476" s="5" t="s">
        <v>54</v>
      </c>
      <c r="G476" s="7"/>
      <c r="H476" s="7"/>
      <c r="I476" s="7"/>
      <c r="J476" s="7"/>
      <c r="K476" s="7"/>
    </row>
    <row r="477" spans="1:11" x14ac:dyDescent="0.3">
      <c r="A477" s="6">
        <v>472</v>
      </c>
      <c r="B477" s="6" t="s">
        <v>1564</v>
      </c>
      <c r="C477" s="6" t="s">
        <v>480</v>
      </c>
      <c r="D477" s="6" t="s">
        <v>1186</v>
      </c>
      <c r="E477" s="8"/>
      <c r="F477" s="6" t="s">
        <v>46</v>
      </c>
      <c r="G477" s="8"/>
      <c r="H477" s="8"/>
      <c r="I477" s="8"/>
      <c r="J477" s="8"/>
      <c r="K477" s="8"/>
    </row>
    <row r="478" spans="1:11" x14ac:dyDescent="0.3">
      <c r="A478" s="5">
        <v>473</v>
      </c>
      <c r="B478" s="5" t="s">
        <v>1565</v>
      </c>
      <c r="C478" s="5" t="s">
        <v>480</v>
      </c>
      <c r="D478" s="5" t="s">
        <v>990</v>
      </c>
      <c r="E478" s="7"/>
      <c r="F478" s="5" t="s">
        <v>46</v>
      </c>
      <c r="G478" s="7"/>
      <c r="H478" s="7"/>
      <c r="I478" s="7"/>
      <c r="J478" s="7"/>
      <c r="K478" s="7"/>
    </row>
    <row r="479" spans="1:11" x14ac:dyDescent="0.3">
      <c r="A479" s="6">
        <v>474</v>
      </c>
      <c r="B479" s="6" t="s">
        <v>1566</v>
      </c>
      <c r="C479" s="6" t="s">
        <v>480</v>
      </c>
      <c r="D479" s="6" t="s">
        <v>1186</v>
      </c>
      <c r="E479" s="8"/>
      <c r="F479" s="6" t="s">
        <v>337</v>
      </c>
      <c r="G479" s="8"/>
      <c r="H479" s="8"/>
      <c r="I479" s="8"/>
      <c r="J479" s="8"/>
      <c r="K479" s="8"/>
    </row>
    <row r="480" spans="1:11" x14ac:dyDescent="0.3">
      <c r="A480" s="5">
        <v>475</v>
      </c>
      <c r="B480" s="5" t="s">
        <v>1567</v>
      </c>
      <c r="C480" s="5" t="s">
        <v>480</v>
      </c>
      <c r="D480" s="5" t="s">
        <v>1186</v>
      </c>
      <c r="E480" s="7"/>
      <c r="F480" s="5" t="s">
        <v>72</v>
      </c>
      <c r="G480" s="7"/>
      <c r="H480" s="7"/>
      <c r="I480" s="7"/>
      <c r="J480" s="7"/>
      <c r="K480" s="7"/>
    </row>
    <row r="481" spans="1:11" x14ac:dyDescent="0.3">
      <c r="A481" s="6">
        <v>476</v>
      </c>
      <c r="B481" s="6" t="s">
        <v>1568</v>
      </c>
      <c r="C481" s="6" t="s">
        <v>480</v>
      </c>
      <c r="D481" s="6" t="s">
        <v>1186</v>
      </c>
      <c r="E481" s="8"/>
      <c r="F481" s="6" t="s">
        <v>46</v>
      </c>
      <c r="G481" s="8"/>
      <c r="H481" s="8"/>
      <c r="I481" s="8"/>
      <c r="J481" s="8"/>
      <c r="K481" s="8"/>
    </row>
    <row r="482" spans="1:11" x14ac:dyDescent="0.3">
      <c r="A482" s="5">
        <v>477</v>
      </c>
      <c r="B482" s="5" t="s">
        <v>1569</v>
      </c>
      <c r="C482" s="5" t="s">
        <v>480</v>
      </c>
      <c r="D482" s="5" t="s">
        <v>1312</v>
      </c>
      <c r="E482" s="7"/>
      <c r="F482" s="5" t="s">
        <v>37</v>
      </c>
      <c r="G482" s="7"/>
      <c r="H482" s="7"/>
      <c r="I482" s="7"/>
      <c r="J482" s="7"/>
      <c r="K482" s="7"/>
    </row>
    <row r="483" spans="1:11" x14ac:dyDescent="0.3">
      <c r="A483" s="6">
        <v>478</v>
      </c>
      <c r="B483" s="6" t="s">
        <v>1570</v>
      </c>
      <c r="C483" s="6" t="s">
        <v>480</v>
      </c>
      <c r="D483" s="6" t="s">
        <v>1312</v>
      </c>
      <c r="E483" s="8"/>
      <c r="F483" s="6" t="s">
        <v>280</v>
      </c>
      <c r="G483" s="8"/>
      <c r="H483" s="8"/>
      <c r="I483" s="8"/>
      <c r="J483" s="8"/>
      <c r="K483" s="8"/>
    </row>
    <row r="484" spans="1:11" x14ac:dyDescent="0.3">
      <c r="A484" s="5">
        <v>479</v>
      </c>
      <c r="B484" s="5" t="s">
        <v>1571</v>
      </c>
      <c r="C484" s="5" t="s">
        <v>480</v>
      </c>
      <c r="D484" s="5" t="s">
        <v>1186</v>
      </c>
      <c r="E484" s="7"/>
      <c r="F484" s="5" t="s">
        <v>63</v>
      </c>
      <c r="G484" s="7"/>
      <c r="H484" s="7"/>
      <c r="I484" s="7"/>
      <c r="J484" s="7"/>
      <c r="K484" s="7"/>
    </row>
    <row r="485" spans="1:11" x14ac:dyDescent="0.3">
      <c r="A485" s="6">
        <v>480</v>
      </c>
      <c r="B485" s="6" t="s">
        <v>1572</v>
      </c>
      <c r="C485" s="6" t="s">
        <v>480</v>
      </c>
      <c r="D485" s="6" t="s">
        <v>1312</v>
      </c>
      <c r="E485" s="8"/>
      <c r="F485" s="6" t="s">
        <v>63</v>
      </c>
      <c r="G485" s="8"/>
      <c r="H485" s="8"/>
      <c r="I485" s="8"/>
      <c r="J485" s="8"/>
      <c r="K485" s="8"/>
    </row>
    <row r="486" spans="1:11" x14ac:dyDescent="0.3">
      <c r="A486" s="5">
        <v>481</v>
      </c>
      <c r="B486" s="5" t="s">
        <v>1573</v>
      </c>
      <c r="C486" s="5" t="s">
        <v>480</v>
      </c>
      <c r="D486" s="5" t="s">
        <v>1312</v>
      </c>
      <c r="E486" s="7"/>
      <c r="F486" s="5" t="s">
        <v>63</v>
      </c>
      <c r="G486" s="7"/>
      <c r="H486" s="7"/>
      <c r="I486" s="7"/>
      <c r="J486" s="7"/>
      <c r="K486" s="7"/>
    </row>
    <row r="487" spans="1:11" x14ac:dyDescent="0.3">
      <c r="A487" s="6">
        <v>482</v>
      </c>
      <c r="B487" s="6" t="s">
        <v>1574</v>
      </c>
      <c r="C487" s="6" t="s">
        <v>480</v>
      </c>
      <c r="D487" s="6" t="s">
        <v>1312</v>
      </c>
      <c r="E487" s="8"/>
      <c r="F487" s="6" t="s">
        <v>63</v>
      </c>
      <c r="G487" s="8"/>
      <c r="H487" s="8"/>
      <c r="I487" s="8"/>
      <c r="J487" s="8"/>
      <c r="K487" s="8"/>
    </row>
    <row r="488" spans="1:11" x14ac:dyDescent="0.3">
      <c r="A488" s="5">
        <v>483</v>
      </c>
      <c r="B488" s="5" t="s">
        <v>1575</v>
      </c>
      <c r="C488" s="5" t="s">
        <v>480</v>
      </c>
      <c r="D488" s="5" t="s">
        <v>1312</v>
      </c>
      <c r="E488" s="7"/>
      <c r="F488" s="5" t="s">
        <v>63</v>
      </c>
      <c r="G488" s="7"/>
      <c r="H488" s="7"/>
      <c r="I488" s="7"/>
      <c r="J488" s="7"/>
      <c r="K488" s="7"/>
    </row>
    <row r="489" spans="1:11" x14ac:dyDescent="0.3">
      <c r="A489" s="6">
        <v>484</v>
      </c>
      <c r="B489" s="6" t="s">
        <v>1576</v>
      </c>
      <c r="C489" s="6" t="s">
        <v>480</v>
      </c>
      <c r="D489" s="6" t="s">
        <v>1312</v>
      </c>
      <c r="E489" s="8"/>
      <c r="F489" s="6" t="s">
        <v>280</v>
      </c>
      <c r="G489" s="8"/>
      <c r="H489" s="8"/>
      <c r="I489" s="8"/>
      <c r="J489" s="8"/>
      <c r="K489" s="8"/>
    </row>
    <row r="490" spans="1:11" x14ac:dyDescent="0.3">
      <c r="A490" s="5">
        <v>485</v>
      </c>
      <c r="B490" s="5" t="s">
        <v>1577</v>
      </c>
      <c r="C490" s="5" t="s">
        <v>480</v>
      </c>
      <c r="D490" s="5" t="s">
        <v>1312</v>
      </c>
      <c r="E490" s="7"/>
      <c r="F490" s="5" t="s">
        <v>280</v>
      </c>
      <c r="G490" s="7"/>
      <c r="H490" s="7"/>
      <c r="I490" s="7"/>
      <c r="J490" s="7"/>
      <c r="K490" s="7"/>
    </row>
    <row r="491" spans="1:11" x14ac:dyDescent="0.3">
      <c r="A491" s="6">
        <v>486</v>
      </c>
      <c r="B491" s="6" t="s">
        <v>1578</v>
      </c>
      <c r="C491" s="6" t="s">
        <v>480</v>
      </c>
      <c r="D491" s="6" t="s">
        <v>1186</v>
      </c>
      <c r="E491" s="8"/>
      <c r="F491" s="6" t="s">
        <v>54</v>
      </c>
      <c r="G491" s="8"/>
      <c r="H491" s="8"/>
      <c r="I491" s="8"/>
      <c r="J491" s="8"/>
      <c r="K491" s="8"/>
    </row>
    <row r="492" spans="1:11" x14ac:dyDescent="0.3">
      <c r="A492" s="5">
        <v>487</v>
      </c>
      <c r="B492" s="5" t="s">
        <v>1579</v>
      </c>
      <c r="C492" s="5" t="s">
        <v>34</v>
      </c>
      <c r="D492" s="5" t="s">
        <v>826</v>
      </c>
      <c r="E492" s="7"/>
      <c r="F492" s="5" t="s">
        <v>37</v>
      </c>
      <c r="G492" s="7"/>
      <c r="H492" s="7"/>
      <c r="I492" s="7"/>
      <c r="J492" s="7"/>
      <c r="K492" s="7"/>
    </row>
    <row r="493" spans="1:11" x14ac:dyDescent="0.3">
      <c r="A493" s="6">
        <v>488</v>
      </c>
      <c r="B493" s="6" t="s">
        <v>1580</v>
      </c>
      <c r="C493" s="6" t="s">
        <v>34</v>
      </c>
      <c r="D493" s="6" t="s">
        <v>1312</v>
      </c>
      <c r="E493" s="8"/>
      <c r="F493" s="6" t="s">
        <v>72</v>
      </c>
      <c r="G493" s="8"/>
      <c r="H493" s="8"/>
      <c r="I493" s="8"/>
      <c r="J493" s="8"/>
      <c r="K493" s="8"/>
    </row>
    <row r="494" spans="1:11" x14ac:dyDescent="0.3">
      <c r="A494" s="5">
        <v>489</v>
      </c>
      <c r="B494" s="5" t="s">
        <v>1581</v>
      </c>
      <c r="C494" s="5" t="s">
        <v>34</v>
      </c>
      <c r="D494" s="5" t="s">
        <v>1186</v>
      </c>
      <c r="E494" s="7"/>
      <c r="F494" s="5" t="s">
        <v>72</v>
      </c>
      <c r="G494" s="7"/>
      <c r="H494" s="7"/>
      <c r="I494" s="7"/>
      <c r="J494" s="7"/>
      <c r="K494" s="7"/>
    </row>
    <row r="495" spans="1:11" x14ac:dyDescent="0.3">
      <c r="A495" s="6">
        <v>490</v>
      </c>
      <c r="B495" s="6" t="s">
        <v>1582</v>
      </c>
      <c r="C495" s="6" t="s">
        <v>34</v>
      </c>
      <c r="D495" s="6" t="s">
        <v>1312</v>
      </c>
      <c r="E495" s="8"/>
      <c r="F495" s="6" t="s">
        <v>72</v>
      </c>
      <c r="G495" s="8"/>
      <c r="H495" s="8"/>
      <c r="I495" s="8"/>
      <c r="J495" s="8"/>
      <c r="K495" s="8"/>
    </row>
    <row r="496" spans="1:11" x14ac:dyDescent="0.3">
      <c r="A496" s="5">
        <v>491</v>
      </c>
      <c r="B496" s="5" t="s">
        <v>1583</v>
      </c>
      <c r="C496" s="5" t="s">
        <v>34</v>
      </c>
      <c r="D496" s="5" t="s">
        <v>1312</v>
      </c>
      <c r="E496" s="7"/>
      <c r="F496" s="5" t="s">
        <v>37</v>
      </c>
      <c r="G496" s="7"/>
      <c r="H496" s="7"/>
      <c r="I496" s="7"/>
      <c r="J496" s="7"/>
      <c r="K496" s="7"/>
    </row>
    <row r="497" spans="1:11" x14ac:dyDescent="0.3">
      <c r="A497" s="6">
        <v>492</v>
      </c>
      <c r="B497" s="6" t="s">
        <v>1584</v>
      </c>
      <c r="C497" s="6" t="s">
        <v>34</v>
      </c>
      <c r="D497" s="6" t="s">
        <v>1186</v>
      </c>
      <c r="E497" s="8"/>
      <c r="F497" s="6" t="s">
        <v>54</v>
      </c>
      <c r="G497" s="8"/>
      <c r="H497" s="8"/>
      <c r="I497" s="8"/>
      <c r="J497" s="8"/>
      <c r="K497" s="8"/>
    </row>
    <row r="498" spans="1:11" x14ac:dyDescent="0.3">
      <c r="A498" s="5">
        <v>493</v>
      </c>
      <c r="B498" s="5" t="s">
        <v>1585</v>
      </c>
      <c r="C498" s="5" t="s">
        <v>34</v>
      </c>
      <c r="D498" s="5" t="s">
        <v>990</v>
      </c>
      <c r="E498" s="7"/>
      <c r="F498" s="5" t="s">
        <v>18</v>
      </c>
      <c r="G498" s="7"/>
      <c r="H498" s="7"/>
      <c r="I498" s="7"/>
      <c r="J498" s="7"/>
      <c r="K498" s="7"/>
    </row>
    <row r="499" spans="1:11" x14ac:dyDescent="0.3">
      <c r="A499" s="6">
        <v>494</v>
      </c>
      <c r="B499" s="6" t="s">
        <v>1586</v>
      </c>
      <c r="C499" s="6" t="s">
        <v>34</v>
      </c>
      <c r="D499" s="6" t="s">
        <v>1186</v>
      </c>
      <c r="E499" s="8"/>
      <c r="F499" s="6" t="s">
        <v>72</v>
      </c>
      <c r="G499" s="8"/>
      <c r="H499" s="8"/>
      <c r="I499" s="8"/>
      <c r="J499" s="8"/>
      <c r="K499" s="8"/>
    </row>
    <row r="500" spans="1:11" x14ac:dyDescent="0.3">
      <c r="A500" s="5">
        <v>495</v>
      </c>
      <c r="B500" s="5" t="s">
        <v>1587</v>
      </c>
      <c r="C500" s="5" t="s">
        <v>34</v>
      </c>
      <c r="D500" s="5" t="s">
        <v>990</v>
      </c>
      <c r="E500" s="7"/>
      <c r="F500" s="5" t="s">
        <v>37</v>
      </c>
      <c r="G500" s="7"/>
      <c r="H500" s="7"/>
      <c r="I500" s="7"/>
      <c r="J500" s="7"/>
      <c r="K500" s="7"/>
    </row>
    <row r="501" spans="1:11" x14ac:dyDescent="0.3">
      <c r="A501" s="6">
        <v>496</v>
      </c>
      <c r="B501" s="6" t="s">
        <v>1588</v>
      </c>
      <c r="C501" s="6" t="s">
        <v>34</v>
      </c>
      <c r="D501" s="6" t="s">
        <v>1186</v>
      </c>
      <c r="E501" s="8"/>
      <c r="F501" s="6" t="s">
        <v>37</v>
      </c>
      <c r="G501" s="8"/>
      <c r="H501" s="8"/>
      <c r="I501" s="8"/>
      <c r="J501" s="8"/>
      <c r="K501" s="8"/>
    </row>
    <row r="502" spans="1:11" x14ac:dyDescent="0.3">
      <c r="A502" s="5">
        <v>497</v>
      </c>
      <c r="B502" s="5" t="s">
        <v>1589</v>
      </c>
      <c r="C502" s="5" t="s">
        <v>34</v>
      </c>
      <c r="D502" s="5" t="s">
        <v>1186</v>
      </c>
      <c r="E502" s="7"/>
      <c r="F502" s="5" t="s">
        <v>72</v>
      </c>
      <c r="G502" s="7"/>
      <c r="H502" s="7"/>
      <c r="I502" s="7"/>
      <c r="J502" s="7"/>
      <c r="K502" s="7"/>
    </row>
    <row r="503" spans="1:11" x14ac:dyDescent="0.3">
      <c r="A503" s="6">
        <v>498</v>
      </c>
      <c r="B503" s="6" t="s">
        <v>1590</v>
      </c>
      <c r="C503" s="6" t="s">
        <v>34</v>
      </c>
      <c r="D503" s="6" t="s">
        <v>1312</v>
      </c>
      <c r="E503" s="8"/>
      <c r="F503" s="6" t="s">
        <v>37</v>
      </c>
      <c r="G503" s="8"/>
      <c r="H503" s="8"/>
      <c r="I503" s="8"/>
      <c r="J503" s="8"/>
      <c r="K503" s="8"/>
    </row>
    <row r="504" spans="1:11" x14ac:dyDescent="0.3">
      <c r="A504" s="5">
        <v>499</v>
      </c>
      <c r="B504" s="5" t="s">
        <v>1591</v>
      </c>
      <c r="C504" s="5" t="s">
        <v>34</v>
      </c>
      <c r="D504" s="5" t="s">
        <v>826</v>
      </c>
      <c r="E504" s="7"/>
      <c r="F504" s="5" t="s">
        <v>18</v>
      </c>
      <c r="G504" s="7"/>
      <c r="H504" s="7"/>
      <c r="I504" s="7"/>
      <c r="J504" s="7"/>
      <c r="K504" s="7"/>
    </row>
    <row r="505" spans="1:11" x14ac:dyDescent="0.3">
      <c r="A505" s="6">
        <v>500</v>
      </c>
      <c r="B505" s="6" t="s">
        <v>1592</v>
      </c>
      <c r="C505" s="6" t="s">
        <v>34</v>
      </c>
      <c r="D505" s="6" t="s">
        <v>1312</v>
      </c>
      <c r="E505" s="8"/>
      <c r="F505" s="6" t="s">
        <v>54</v>
      </c>
      <c r="G505" s="8"/>
      <c r="H505" s="8"/>
      <c r="I505" s="8"/>
      <c r="J505" s="8"/>
      <c r="K505" s="8"/>
    </row>
    <row r="506" spans="1:11" x14ac:dyDescent="0.3">
      <c r="A506" s="5">
        <v>501</v>
      </c>
      <c r="B506" s="5" t="s">
        <v>1593</v>
      </c>
      <c r="C506" s="5" t="s">
        <v>34</v>
      </c>
      <c r="D506" s="5" t="s">
        <v>1186</v>
      </c>
      <c r="E506" s="7"/>
      <c r="F506" s="5" t="s">
        <v>54</v>
      </c>
      <c r="G506" s="7"/>
      <c r="H506" s="7"/>
      <c r="I506" s="7"/>
      <c r="J506" s="7"/>
      <c r="K506" s="7"/>
    </row>
    <row r="507" spans="1:11" x14ac:dyDescent="0.3">
      <c r="A507" s="6">
        <v>502</v>
      </c>
      <c r="B507" s="6" t="s">
        <v>1594</v>
      </c>
      <c r="C507" s="6" t="s">
        <v>34</v>
      </c>
      <c r="D507" s="6" t="s">
        <v>990</v>
      </c>
      <c r="E507" s="8"/>
      <c r="F507" s="6" t="s">
        <v>72</v>
      </c>
      <c r="G507" s="8"/>
      <c r="H507" s="8"/>
      <c r="I507" s="8"/>
      <c r="J507" s="8"/>
      <c r="K507" s="8"/>
    </row>
    <row r="508" spans="1:11" x14ac:dyDescent="0.3">
      <c r="A508" s="5">
        <v>503</v>
      </c>
      <c r="B508" s="5" t="s">
        <v>1595</v>
      </c>
      <c r="C508" s="5" t="s">
        <v>173</v>
      </c>
      <c r="D508" s="5" t="s">
        <v>990</v>
      </c>
      <c r="E508" s="7"/>
      <c r="F508" s="5" t="s">
        <v>54</v>
      </c>
      <c r="G508" s="7"/>
      <c r="H508" s="7"/>
      <c r="I508" s="7"/>
      <c r="J508" s="7"/>
      <c r="K508" s="7"/>
    </row>
    <row r="509" spans="1:11" x14ac:dyDescent="0.3">
      <c r="A509" s="6">
        <v>504</v>
      </c>
      <c r="B509" s="6" t="s">
        <v>1596</v>
      </c>
      <c r="C509" s="6" t="s">
        <v>173</v>
      </c>
      <c r="D509" s="6" t="s">
        <v>1186</v>
      </c>
      <c r="E509" s="8"/>
      <c r="F509" s="6" t="s">
        <v>108</v>
      </c>
      <c r="G509" s="8"/>
      <c r="H509" s="8"/>
      <c r="I509" s="8"/>
      <c r="J509" s="8"/>
      <c r="K509" s="8"/>
    </row>
    <row r="510" spans="1:11" x14ac:dyDescent="0.3">
      <c r="A510" s="5">
        <v>505</v>
      </c>
      <c r="B510" s="5" t="s">
        <v>1597</v>
      </c>
      <c r="C510" s="5" t="s">
        <v>34</v>
      </c>
      <c r="D510" s="5" t="s">
        <v>1312</v>
      </c>
      <c r="E510" s="7"/>
      <c r="F510" s="5" t="s">
        <v>108</v>
      </c>
      <c r="G510" s="7"/>
      <c r="H510" s="7"/>
      <c r="I510" s="7"/>
      <c r="J510" s="7"/>
      <c r="K510" s="7"/>
    </row>
    <row r="511" spans="1:11" x14ac:dyDescent="0.3">
      <c r="A511" s="6">
        <v>506</v>
      </c>
      <c r="B511" s="6" t="s">
        <v>1598</v>
      </c>
      <c r="C511" s="6" t="s">
        <v>34</v>
      </c>
      <c r="D511" s="6" t="s">
        <v>1186</v>
      </c>
      <c r="E511" s="8"/>
      <c r="F511" s="6" t="s">
        <v>46</v>
      </c>
      <c r="G511" s="8"/>
      <c r="H511" s="8"/>
      <c r="I511" s="8"/>
      <c r="J511" s="8"/>
      <c r="K511" s="8"/>
    </row>
    <row r="512" spans="1:11" x14ac:dyDescent="0.3">
      <c r="A512" s="5">
        <v>507</v>
      </c>
      <c r="B512" s="5" t="s">
        <v>1599</v>
      </c>
      <c r="C512" s="5" t="s">
        <v>115</v>
      </c>
      <c r="D512" s="5" t="s">
        <v>826</v>
      </c>
      <c r="E512" s="7"/>
      <c r="F512" s="5" t="s">
        <v>54</v>
      </c>
      <c r="G512" s="7"/>
      <c r="H512" s="7"/>
      <c r="I512" s="7"/>
      <c r="J512" s="7"/>
      <c r="K512" s="7"/>
    </row>
    <row r="513" spans="1:11" x14ac:dyDescent="0.3">
      <c r="A513" s="6">
        <v>508</v>
      </c>
      <c r="B513" s="6" t="s">
        <v>1600</v>
      </c>
      <c r="C513" s="6" t="s">
        <v>115</v>
      </c>
      <c r="D513" s="6" t="s">
        <v>1186</v>
      </c>
      <c r="E513" s="8"/>
      <c r="F513" s="6" t="s">
        <v>72</v>
      </c>
      <c r="G513" s="8"/>
      <c r="H513" s="8"/>
      <c r="I513" s="8"/>
      <c r="J513" s="8"/>
      <c r="K513" s="8"/>
    </row>
    <row r="514" spans="1:11" x14ac:dyDescent="0.3">
      <c r="A514" s="5">
        <v>509</v>
      </c>
      <c r="B514" s="5" t="s">
        <v>1601</v>
      </c>
      <c r="C514" s="5" t="s">
        <v>115</v>
      </c>
      <c r="D514" s="5" t="s">
        <v>1312</v>
      </c>
      <c r="E514" s="7"/>
      <c r="F514" s="5" t="s">
        <v>72</v>
      </c>
      <c r="G514" s="7"/>
      <c r="H514" s="7"/>
      <c r="I514" s="7"/>
      <c r="J514" s="7"/>
      <c r="K514" s="7"/>
    </row>
    <row r="515" spans="1:11" x14ac:dyDescent="0.3">
      <c r="A515" s="6">
        <v>510</v>
      </c>
      <c r="B515" s="6" t="s">
        <v>1602</v>
      </c>
      <c r="C515" s="6" t="s">
        <v>115</v>
      </c>
      <c r="D515" s="6" t="s">
        <v>1186</v>
      </c>
      <c r="E515" s="8"/>
      <c r="F515" s="6" t="s">
        <v>72</v>
      </c>
      <c r="G515" s="8"/>
      <c r="H515" s="8"/>
      <c r="I515" s="8"/>
      <c r="J515" s="8"/>
      <c r="K515" s="8"/>
    </row>
    <row r="516" spans="1:11" x14ac:dyDescent="0.3">
      <c r="A516" s="5">
        <v>511</v>
      </c>
      <c r="B516" s="5" t="s">
        <v>1603</v>
      </c>
      <c r="C516" s="5" t="s">
        <v>106</v>
      </c>
      <c r="D516" s="5" t="s">
        <v>826</v>
      </c>
      <c r="E516" s="7"/>
      <c r="F516" s="5" t="s">
        <v>117</v>
      </c>
      <c r="G516" s="7"/>
      <c r="H516" s="7"/>
      <c r="I516" s="7"/>
      <c r="J516" s="7"/>
      <c r="K516" s="7"/>
    </row>
    <row r="517" spans="1:11" x14ac:dyDescent="0.3">
      <c r="A517" s="6">
        <v>512</v>
      </c>
      <c r="B517" s="6" t="s">
        <v>1604</v>
      </c>
      <c r="C517" s="6" t="s">
        <v>106</v>
      </c>
      <c r="D517" s="6" t="s">
        <v>990</v>
      </c>
      <c r="E517" s="8"/>
      <c r="F517" s="6" t="s">
        <v>108</v>
      </c>
      <c r="G517" s="8"/>
      <c r="H517" s="8"/>
      <c r="I517" s="8"/>
      <c r="J517" s="8"/>
      <c r="K517" s="8"/>
    </row>
    <row r="518" spans="1:11" x14ac:dyDescent="0.3">
      <c r="A518" s="5">
        <v>513</v>
      </c>
      <c r="B518" s="5" t="s">
        <v>1605</v>
      </c>
      <c r="C518" s="5" t="s">
        <v>173</v>
      </c>
      <c r="D518" s="5" t="s">
        <v>990</v>
      </c>
      <c r="E518" s="7"/>
      <c r="F518" s="5" t="s">
        <v>46</v>
      </c>
      <c r="G518" s="7"/>
      <c r="H518" s="7"/>
      <c r="I518" s="7"/>
      <c r="J518" s="7"/>
      <c r="K518" s="7"/>
    </row>
    <row r="519" spans="1:11" x14ac:dyDescent="0.3">
      <c r="A519" s="6">
        <v>514</v>
      </c>
      <c r="B519" s="6" t="s">
        <v>1606</v>
      </c>
      <c r="C519" s="6" t="s">
        <v>173</v>
      </c>
      <c r="D519" s="6" t="s">
        <v>1186</v>
      </c>
      <c r="E519" s="8"/>
      <c r="F519" s="6" t="s">
        <v>54</v>
      </c>
      <c r="G519" s="8"/>
      <c r="H519" s="8"/>
      <c r="I519" s="8"/>
      <c r="J519" s="8"/>
      <c r="K519" s="8"/>
    </row>
    <row r="520" spans="1:11" x14ac:dyDescent="0.3">
      <c r="A520" s="5">
        <v>515</v>
      </c>
      <c r="B520" s="5" t="s">
        <v>1607</v>
      </c>
      <c r="C520" s="5" t="s">
        <v>173</v>
      </c>
      <c r="D520" s="5" t="s">
        <v>1186</v>
      </c>
      <c r="E520" s="7"/>
      <c r="F520" s="5" t="s">
        <v>108</v>
      </c>
      <c r="G520" s="7"/>
      <c r="H520" s="7"/>
      <c r="I520" s="7"/>
      <c r="J520" s="7"/>
      <c r="K520" s="7"/>
    </row>
    <row r="521" spans="1:11" x14ac:dyDescent="0.3">
      <c r="A521" s="6">
        <v>516</v>
      </c>
      <c r="B521" s="6" t="s">
        <v>1608</v>
      </c>
      <c r="C521" s="6" t="s">
        <v>173</v>
      </c>
      <c r="D521" s="6" t="s">
        <v>990</v>
      </c>
      <c r="E521" s="8"/>
      <c r="F521" s="6" t="s">
        <v>46</v>
      </c>
      <c r="G521" s="8"/>
      <c r="H521" s="8"/>
      <c r="I521" s="8"/>
      <c r="J521" s="8"/>
      <c r="K521" s="8"/>
    </row>
    <row r="522" spans="1:11" x14ac:dyDescent="0.3">
      <c r="A522" s="5">
        <v>517</v>
      </c>
      <c r="B522" s="5" t="s">
        <v>1609</v>
      </c>
      <c r="C522" s="5" t="s">
        <v>173</v>
      </c>
      <c r="D522" s="5" t="s">
        <v>990</v>
      </c>
      <c r="E522" s="7"/>
      <c r="F522" s="5" t="s">
        <v>280</v>
      </c>
      <c r="G522" s="7"/>
      <c r="H522" s="7"/>
      <c r="I522" s="7"/>
      <c r="J522" s="7"/>
      <c r="K522" s="7"/>
    </row>
    <row r="523" spans="1:11" x14ac:dyDescent="0.3">
      <c r="A523" s="6">
        <v>518</v>
      </c>
      <c r="B523" s="6" t="s">
        <v>1610</v>
      </c>
      <c r="C523" s="6" t="s">
        <v>173</v>
      </c>
      <c r="D523" s="6" t="s">
        <v>1186</v>
      </c>
      <c r="E523" s="8"/>
      <c r="F523" s="6" t="s">
        <v>46</v>
      </c>
      <c r="G523" s="8"/>
      <c r="H523" s="8"/>
      <c r="I523" s="8"/>
      <c r="J523" s="8"/>
      <c r="K523" s="8"/>
    </row>
    <row r="524" spans="1:11" x14ac:dyDescent="0.3">
      <c r="A524" s="5">
        <v>519</v>
      </c>
      <c r="B524" s="5" t="s">
        <v>1611</v>
      </c>
      <c r="C524" s="5" t="s">
        <v>106</v>
      </c>
      <c r="D524" s="5" t="s">
        <v>990</v>
      </c>
      <c r="E524" s="7"/>
      <c r="F524" s="5" t="s">
        <v>46</v>
      </c>
      <c r="G524" s="7"/>
      <c r="H524" s="7"/>
      <c r="I524" s="7"/>
      <c r="J524" s="7"/>
      <c r="K524" s="7"/>
    </row>
    <row r="525" spans="1:11" x14ac:dyDescent="0.3">
      <c r="A525" s="6">
        <v>520</v>
      </c>
      <c r="B525" s="6" t="s">
        <v>1612</v>
      </c>
      <c r="C525" s="6" t="s">
        <v>106</v>
      </c>
      <c r="D525" s="6" t="s">
        <v>1186</v>
      </c>
      <c r="E525" s="8"/>
      <c r="F525" s="6" t="s">
        <v>46</v>
      </c>
      <c r="G525" s="8"/>
      <c r="H525" s="8"/>
      <c r="I525" s="8"/>
      <c r="J525" s="8"/>
      <c r="K525" s="8"/>
    </row>
    <row r="526" spans="1:11" x14ac:dyDescent="0.3">
      <c r="A526" s="5">
        <v>521</v>
      </c>
      <c r="B526" s="5" t="s">
        <v>1613</v>
      </c>
      <c r="C526" s="5" t="s">
        <v>106</v>
      </c>
      <c r="D526" s="5" t="s">
        <v>1186</v>
      </c>
      <c r="E526" s="7"/>
      <c r="F526" s="5" t="s">
        <v>54</v>
      </c>
      <c r="G526" s="7"/>
      <c r="H526" s="7"/>
      <c r="I526" s="7"/>
      <c r="J526" s="7"/>
      <c r="K526" s="7"/>
    </row>
    <row r="527" spans="1:11" x14ac:dyDescent="0.3">
      <c r="A527" s="6">
        <v>522</v>
      </c>
      <c r="B527" s="6" t="s">
        <v>1614</v>
      </c>
      <c r="C527" s="6" t="s">
        <v>106</v>
      </c>
      <c r="D527" s="6" t="s">
        <v>1312</v>
      </c>
      <c r="E527" s="8"/>
      <c r="F527" s="6" t="s">
        <v>46</v>
      </c>
      <c r="G527" s="8"/>
      <c r="H527" s="8"/>
      <c r="I527" s="8"/>
      <c r="J527" s="8"/>
      <c r="K527" s="8"/>
    </row>
    <row r="528" spans="1:11" x14ac:dyDescent="0.3">
      <c r="A528" s="5">
        <v>523</v>
      </c>
      <c r="B528" s="5" t="s">
        <v>1615</v>
      </c>
      <c r="C528" s="5" t="s">
        <v>106</v>
      </c>
      <c r="D528" s="5" t="s">
        <v>1186</v>
      </c>
      <c r="E528" s="7"/>
      <c r="F528" s="5" t="s">
        <v>108</v>
      </c>
      <c r="G528" s="7"/>
      <c r="H528" s="7"/>
      <c r="I528" s="7"/>
      <c r="J528" s="7"/>
      <c r="K528" s="7"/>
    </row>
    <row r="529" spans="1:11" x14ac:dyDescent="0.3">
      <c r="A529" s="6">
        <v>524</v>
      </c>
      <c r="B529" s="6" t="s">
        <v>1616</v>
      </c>
      <c r="C529" s="6" t="s">
        <v>106</v>
      </c>
      <c r="D529" s="6" t="s">
        <v>1186</v>
      </c>
      <c r="E529" s="8"/>
      <c r="F529" s="6" t="s">
        <v>46</v>
      </c>
      <c r="G529" s="8"/>
      <c r="H529" s="8"/>
      <c r="I529" s="8"/>
      <c r="J529" s="8"/>
      <c r="K529" s="8"/>
    </row>
    <row r="530" spans="1:11" x14ac:dyDescent="0.3">
      <c r="A530" s="5">
        <v>525</v>
      </c>
      <c r="B530" s="5" t="s">
        <v>1617</v>
      </c>
      <c r="C530" s="5" t="s">
        <v>106</v>
      </c>
      <c r="D530" s="5" t="s">
        <v>1312</v>
      </c>
      <c r="E530" s="7"/>
      <c r="F530" s="5" t="s">
        <v>108</v>
      </c>
      <c r="G530" s="7"/>
      <c r="H530" s="7"/>
      <c r="I530" s="7"/>
      <c r="J530" s="7"/>
      <c r="K530" s="7"/>
    </row>
    <row r="531" spans="1:11" x14ac:dyDescent="0.3">
      <c r="A531" s="6">
        <v>526</v>
      </c>
      <c r="B531" s="6" t="s">
        <v>1618</v>
      </c>
      <c r="C531" s="6" t="s">
        <v>70</v>
      </c>
      <c r="D531" s="6" t="s">
        <v>1186</v>
      </c>
      <c r="E531" s="8"/>
      <c r="F531" s="6" t="s">
        <v>46</v>
      </c>
      <c r="G531" s="8"/>
      <c r="H531" s="8"/>
      <c r="I531" s="8"/>
      <c r="J531" s="8"/>
      <c r="K531" s="8"/>
    </row>
    <row r="532" spans="1:11" x14ac:dyDescent="0.3">
      <c r="A532" s="5">
        <v>527</v>
      </c>
      <c r="B532" s="5" t="s">
        <v>1619</v>
      </c>
      <c r="C532" s="5" t="s">
        <v>15</v>
      </c>
      <c r="D532" s="5" t="s">
        <v>1186</v>
      </c>
      <c r="E532" s="7"/>
      <c r="F532" s="5" t="s">
        <v>54</v>
      </c>
      <c r="G532" s="7"/>
      <c r="H532" s="7"/>
      <c r="I532" s="7"/>
      <c r="J532" s="7"/>
      <c r="K532" s="7"/>
    </row>
    <row r="533" spans="1:11" x14ac:dyDescent="0.3">
      <c r="A533" s="6">
        <v>528</v>
      </c>
      <c r="B533" s="6" t="s">
        <v>1620</v>
      </c>
      <c r="C533" s="6" t="s">
        <v>15</v>
      </c>
      <c r="D533" s="6" t="s">
        <v>826</v>
      </c>
      <c r="E533" s="8"/>
      <c r="F533" s="6" t="s">
        <v>46</v>
      </c>
      <c r="G533" s="8"/>
      <c r="H533" s="8"/>
      <c r="I533" s="8"/>
      <c r="J533" s="8"/>
      <c r="K533" s="8"/>
    </row>
    <row r="534" spans="1:11" x14ac:dyDescent="0.3">
      <c r="A534" s="5">
        <v>529</v>
      </c>
      <c r="B534" s="5" t="s">
        <v>1621</v>
      </c>
      <c r="C534" s="5" t="s">
        <v>15</v>
      </c>
      <c r="D534" s="5" t="s">
        <v>990</v>
      </c>
      <c r="E534" s="7"/>
      <c r="F534" s="5" t="s">
        <v>201</v>
      </c>
      <c r="G534" s="7"/>
      <c r="H534" s="7"/>
      <c r="I534" s="7"/>
      <c r="J534" s="7"/>
      <c r="K534" s="7"/>
    </row>
    <row r="535" spans="1:11" x14ac:dyDescent="0.3">
      <c r="A535" s="6">
        <v>530</v>
      </c>
      <c r="B535" s="6" t="s">
        <v>1622</v>
      </c>
      <c r="C535" s="6" t="s">
        <v>15</v>
      </c>
      <c r="D535" s="6" t="s">
        <v>1186</v>
      </c>
      <c r="E535" s="8"/>
      <c r="F535" s="6" t="s">
        <v>54</v>
      </c>
      <c r="G535" s="8"/>
      <c r="H535" s="8"/>
      <c r="I535" s="8"/>
      <c r="J535" s="8"/>
      <c r="K535" s="8"/>
    </row>
    <row r="536" spans="1:11" x14ac:dyDescent="0.3">
      <c r="A536" s="5">
        <v>531</v>
      </c>
      <c r="B536" s="5" t="s">
        <v>1623</v>
      </c>
      <c r="C536" s="5" t="s">
        <v>15</v>
      </c>
      <c r="D536" s="5" t="s">
        <v>1186</v>
      </c>
      <c r="E536" s="7"/>
      <c r="F536" s="5" t="s">
        <v>46</v>
      </c>
      <c r="G536" s="7"/>
      <c r="H536" s="7"/>
      <c r="I536" s="7"/>
      <c r="J536" s="7"/>
      <c r="K536" s="7"/>
    </row>
    <row r="537" spans="1:11" x14ac:dyDescent="0.3">
      <c r="A537" s="6">
        <v>532</v>
      </c>
      <c r="B537" s="6" t="s">
        <v>1624</v>
      </c>
      <c r="C537" s="6" t="s">
        <v>15</v>
      </c>
      <c r="D537" s="6" t="s">
        <v>1312</v>
      </c>
      <c r="E537" s="8"/>
      <c r="F537" s="6" t="s">
        <v>108</v>
      </c>
      <c r="G537" s="8"/>
      <c r="H537" s="8"/>
      <c r="I537" s="8"/>
      <c r="J537" s="8"/>
      <c r="K537" s="8"/>
    </row>
    <row r="538" spans="1:11" x14ac:dyDescent="0.3">
      <c r="A538" s="5">
        <v>533</v>
      </c>
      <c r="B538" s="5" t="s">
        <v>1625</v>
      </c>
      <c r="C538" s="5" t="s">
        <v>414</v>
      </c>
      <c r="D538" s="5" t="s">
        <v>990</v>
      </c>
      <c r="E538" s="7"/>
      <c r="F538" s="5" t="s">
        <v>72</v>
      </c>
      <c r="G538" s="7"/>
      <c r="H538" s="7"/>
      <c r="I538" s="7"/>
      <c r="J538" s="7"/>
      <c r="K538" s="7"/>
    </row>
    <row r="539" spans="1:11" x14ac:dyDescent="0.3">
      <c r="A539" s="6">
        <v>534</v>
      </c>
      <c r="B539" s="6" t="s">
        <v>1626</v>
      </c>
      <c r="C539" s="6" t="s">
        <v>414</v>
      </c>
      <c r="D539" s="6" t="s">
        <v>1186</v>
      </c>
      <c r="E539" s="8"/>
      <c r="F539" s="6" t="s">
        <v>72</v>
      </c>
      <c r="G539" s="8"/>
      <c r="H539" s="8"/>
      <c r="I539" s="8"/>
      <c r="J539" s="8"/>
      <c r="K539" s="8"/>
    </row>
    <row r="540" spans="1:11" x14ac:dyDescent="0.3">
      <c r="A540" s="5">
        <v>535</v>
      </c>
      <c r="B540" s="5" t="s">
        <v>1627</v>
      </c>
      <c r="C540" s="5" t="s">
        <v>15</v>
      </c>
      <c r="D540" s="5" t="s">
        <v>1186</v>
      </c>
      <c r="E540" s="7"/>
      <c r="F540" s="5" t="s">
        <v>54</v>
      </c>
      <c r="G540" s="7"/>
      <c r="H540" s="7"/>
      <c r="I540" s="7"/>
      <c r="J540" s="7"/>
      <c r="K540" s="7"/>
    </row>
    <row r="541" spans="1:11" x14ac:dyDescent="0.3">
      <c r="A541" s="6">
        <v>536</v>
      </c>
      <c r="B541" s="6" t="s">
        <v>1628</v>
      </c>
      <c r="C541" s="6" t="s">
        <v>15</v>
      </c>
      <c r="D541" s="6" t="s">
        <v>1186</v>
      </c>
      <c r="E541" s="8"/>
      <c r="F541" s="6" t="s">
        <v>108</v>
      </c>
      <c r="G541" s="8"/>
      <c r="H541" s="8"/>
      <c r="I541" s="8"/>
      <c r="J541" s="8"/>
      <c r="K541" s="8"/>
    </row>
    <row r="542" spans="1:11" x14ac:dyDescent="0.3">
      <c r="A542" s="5">
        <v>537</v>
      </c>
      <c r="B542" s="5" t="s">
        <v>1629</v>
      </c>
      <c r="C542" s="5" t="s">
        <v>401</v>
      </c>
      <c r="D542" s="5" t="s">
        <v>826</v>
      </c>
      <c r="E542" s="7"/>
      <c r="F542" s="5" t="s">
        <v>54</v>
      </c>
      <c r="G542" s="7"/>
      <c r="H542" s="7"/>
      <c r="I542" s="7"/>
      <c r="J542" s="7"/>
      <c r="K542" s="7"/>
    </row>
    <row r="543" spans="1:11" x14ac:dyDescent="0.3">
      <c r="A543" s="6">
        <v>538</v>
      </c>
      <c r="B543" s="6" t="s">
        <v>1630</v>
      </c>
      <c r="C543" s="6" t="s">
        <v>401</v>
      </c>
      <c r="D543" s="6" t="s">
        <v>990</v>
      </c>
      <c r="E543" s="8"/>
      <c r="F543" s="6" t="s">
        <v>54</v>
      </c>
      <c r="G543" s="8"/>
      <c r="H543" s="8"/>
      <c r="I543" s="8"/>
      <c r="J543" s="8"/>
      <c r="K543" s="8"/>
    </row>
    <row r="544" spans="1:11" x14ac:dyDescent="0.3">
      <c r="A544" s="5">
        <v>539</v>
      </c>
      <c r="B544" s="5" t="s">
        <v>1631</v>
      </c>
      <c r="C544" s="5" t="s">
        <v>401</v>
      </c>
      <c r="D544" s="5" t="s">
        <v>990</v>
      </c>
      <c r="E544" s="7"/>
      <c r="F544" s="5" t="s">
        <v>37</v>
      </c>
      <c r="G544" s="7"/>
      <c r="H544" s="7"/>
      <c r="I544" s="7"/>
      <c r="J544" s="7"/>
      <c r="K544" s="7"/>
    </row>
    <row r="545" spans="1:11" x14ac:dyDescent="0.3">
      <c r="A545" s="6">
        <v>540</v>
      </c>
      <c r="B545" s="6" t="s">
        <v>1632</v>
      </c>
      <c r="C545" s="6" t="s">
        <v>401</v>
      </c>
      <c r="D545" s="6" t="s">
        <v>826</v>
      </c>
      <c r="E545" s="8"/>
      <c r="F545" s="6" t="s">
        <v>117</v>
      </c>
      <c r="G545" s="8"/>
      <c r="H545" s="8"/>
      <c r="I545" s="8"/>
      <c r="J545" s="8"/>
      <c r="K545" s="8"/>
    </row>
    <row r="546" spans="1:11" x14ac:dyDescent="0.3">
      <c r="A546" s="5">
        <v>541</v>
      </c>
      <c r="B546" s="5" t="s">
        <v>1633</v>
      </c>
      <c r="C546" s="5" t="s">
        <v>401</v>
      </c>
      <c r="D546" s="5" t="s">
        <v>716</v>
      </c>
      <c r="E546" s="7"/>
      <c r="F546" s="5" t="s">
        <v>46</v>
      </c>
      <c r="G546" s="7"/>
      <c r="H546" s="7"/>
      <c r="I546" s="7"/>
      <c r="J546" s="7"/>
      <c r="K546" s="7"/>
    </row>
    <row r="547" spans="1:11" x14ac:dyDescent="0.3">
      <c r="A547" s="6">
        <v>542</v>
      </c>
      <c r="B547" s="6" t="s">
        <v>1634</v>
      </c>
      <c r="C547" s="6" t="s">
        <v>401</v>
      </c>
      <c r="D547" s="6" t="s">
        <v>1186</v>
      </c>
      <c r="E547" s="8"/>
      <c r="F547" s="6" t="s">
        <v>280</v>
      </c>
      <c r="G547" s="8"/>
      <c r="H547" s="8"/>
      <c r="I547" s="8"/>
      <c r="J547" s="8"/>
      <c r="K547" s="8"/>
    </row>
    <row r="548" spans="1:11" x14ac:dyDescent="0.3">
      <c r="A548" s="5">
        <v>543</v>
      </c>
      <c r="B548" s="5" t="s">
        <v>1635</v>
      </c>
      <c r="C548" s="5" t="s">
        <v>61</v>
      </c>
      <c r="D548" s="5" t="s">
        <v>826</v>
      </c>
      <c r="E548" s="7"/>
      <c r="F548" s="5" t="s">
        <v>166</v>
      </c>
      <c r="G548" s="7"/>
      <c r="H548" s="7"/>
      <c r="I548" s="7"/>
      <c r="J548" s="7"/>
      <c r="K548" s="7"/>
    </row>
    <row r="549" spans="1:11" x14ac:dyDescent="0.3">
      <c r="A549" s="6">
        <v>544</v>
      </c>
      <c r="B549" s="6" t="s">
        <v>1636</v>
      </c>
      <c r="C549" s="6" t="s">
        <v>61</v>
      </c>
      <c r="D549" s="6" t="s">
        <v>1186</v>
      </c>
      <c r="E549" s="8"/>
      <c r="F549" s="6" t="s">
        <v>63</v>
      </c>
      <c r="G549" s="8"/>
      <c r="H549" s="8"/>
      <c r="I549" s="8"/>
      <c r="J549" s="8"/>
      <c r="K549" s="8"/>
    </row>
    <row r="550" spans="1:11" x14ac:dyDescent="0.3">
      <c r="A550" s="5">
        <v>545</v>
      </c>
      <c r="B550" s="5" t="s">
        <v>1637</v>
      </c>
      <c r="C550" s="5" t="s">
        <v>106</v>
      </c>
      <c r="D550" s="5" t="s">
        <v>990</v>
      </c>
      <c r="E550" s="7"/>
      <c r="F550" s="5" t="s">
        <v>54</v>
      </c>
      <c r="G550" s="7"/>
      <c r="H550" s="7"/>
      <c r="I550" s="7"/>
      <c r="J550" s="7"/>
      <c r="K550" s="7"/>
    </row>
    <row r="551" spans="1:11" x14ac:dyDescent="0.3">
      <c r="A551" s="6">
        <v>546</v>
      </c>
      <c r="B551" s="6" t="s">
        <v>1638</v>
      </c>
      <c r="C551" s="6" t="s">
        <v>106</v>
      </c>
      <c r="D551" s="6" t="s">
        <v>716</v>
      </c>
      <c r="E551" s="8"/>
      <c r="F551" s="6" t="s">
        <v>54</v>
      </c>
      <c r="G551" s="8"/>
      <c r="H551" s="8"/>
      <c r="I551" s="8"/>
      <c r="J551" s="8"/>
      <c r="K551" s="8"/>
    </row>
    <row r="552" spans="1:11" x14ac:dyDescent="0.3">
      <c r="A552" s="5">
        <v>547</v>
      </c>
      <c r="B552" s="5" t="s">
        <v>1639</v>
      </c>
      <c r="C552" s="5" t="s">
        <v>1033</v>
      </c>
      <c r="D552" s="5" t="s">
        <v>990</v>
      </c>
      <c r="E552" s="7"/>
      <c r="F552" s="5" t="s">
        <v>37</v>
      </c>
      <c r="G552" s="7"/>
      <c r="H552" s="7"/>
      <c r="I552" s="7"/>
      <c r="J552" s="7"/>
      <c r="K552" s="7"/>
    </row>
    <row r="553" spans="1:11" x14ac:dyDescent="0.3">
      <c r="A553" s="6">
        <v>548</v>
      </c>
      <c r="B553" s="6" t="s">
        <v>1640</v>
      </c>
      <c r="C553" s="6" t="s">
        <v>1033</v>
      </c>
      <c r="D553" s="6" t="s">
        <v>990</v>
      </c>
      <c r="E553" s="8"/>
      <c r="F553" s="6" t="s">
        <v>72</v>
      </c>
      <c r="G553" s="8"/>
      <c r="H553" s="8"/>
      <c r="I553" s="8"/>
      <c r="J553" s="8"/>
      <c r="K553" s="8"/>
    </row>
    <row r="554" spans="1:11" x14ac:dyDescent="0.3">
      <c r="A554" s="5">
        <v>549</v>
      </c>
      <c r="B554" s="5" t="s">
        <v>1641</v>
      </c>
      <c r="C554" s="5" t="s">
        <v>1033</v>
      </c>
      <c r="D554" s="5" t="s">
        <v>1186</v>
      </c>
      <c r="E554" s="7"/>
      <c r="F554" s="5" t="s">
        <v>37</v>
      </c>
      <c r="G554" s="7"/>
      <c r="H554" s="7"/>
      <c r="I554" s="7"/>
      <c r="J554" s="7"/>
      <c r="K554" s="7"/>
    </row>
    <row r="555" spans="1:11" x14ac:dyDescent="0.3">
      <c r="A555" s="6">
        <v>550</v>
      </c>
      <c r="B555" s="6" t="s">
        <v>1642</v>
      </c>
      <c r="C555" s="6" t="s">
        <v>34</v>
      </c>
      <c r="D555" s="6" t="s">
        <v>1186</v>
      </c>
      <c r="E555" s="8"/>
      <c r="F555" s="6" t="s">
        <v>37</v>
      </c>
      <c r="G555" s="8"/>
      <c r="H555" s="8"/>
      <c r="I555" s="8"/>
      <c r="J555" s="8"/>
      <c r="K555" s="8"/>
    </row>
    <row r="556" spans="1:11" x14ac:dyDescent="0.3">
      <c r="A556" s="5">
        <v>551</v>
      </c>
      <c r="B556" s="5" t="s">
        <v>1643</v>
      </c>
      <c r="C556" s="5" t="s">
        <v>401</v>
      </c>
      <c r="D556" s="5" t="s">
        <v>1186</v>
      </c>
      <c r="E556" s="7"/>
      <c r="F556" s="5" t="s">
        <v>37</v>
      </c>
      <c r="G556" s="7"/>
      <c r="H556" s="7"/>
      <c r="I556" s="7"/>
      <c r="J556" s="7"/>
      <c r="K556" s="7"/>
    </row>
    <row r="557" spans="1:11" x14ac:dyDescent="0.3">
      <c r="A557" s="6">
        <v>552</v>
      </c>
      <c r="B557" s="6" t="s">
        <v>1644</v>
      </c>
      <c r="C557" s="6" t="s">
        <v>401</v>
      </c>
      <c r="D557" s="6" t="s">
        <v>1312</v>
      </c>
      <c r="E557" s="8"/>
      <c r="F557" s="6" t="s">
        <v>37</v>
      </c>
      <c r="G557" s="8"/>
      <c r="H557" s="8"/>
      <c r="I557" s="8"/>
      <c r="J557" s="8"/>
      <c r="K557" s="8"/>
    </row>
    <row r="558" spans="1:11" x14ac:dyDescent="0.3">
      <c r="A558" s="5">
        <v>553</v>
      </c>
      <c r="B558" s="5" t="s">
        <v>1645</v>
      </c>
      <c r="C558" s="5" t="s">
        <v>34</v>
      </c>
      <c r="D558" s="5" t="s">
        <v>1312</v>
      </c>
      <c r="E558" s="7"/>
      <c r="F558" s="5" t="s">
        <v>37</v>
      </c>
      <c r="G558" s="7"/>
      <c r="H558" s="7"/>
      <c r="I558" s="7"/>
      <c r="J558" s="7"/>
      <c r="K558" s="7"/>
    </row>
    <row r="559" spans="1:11" x14ac:dyDescent="0.3">
      <c r="A559" s="6">
        <v>554</v>
      </c>
      <c r="B559" s="6" t="s">
        <v>1646</v>
      </c>
      <c r="C559" s="6" t="s">
        <v>1088</v>
      </c>
      <c r="D559" s="6" t="s">
        <v>1186</v>
      </c>
      <c r="E559" s="8"/>
      <c r="F559" s="6" t="s">
        <v>37</v>
      </c>
      <c r="G559" s="8"/>
      <c r="H559" s="8"/>
      <c r="I559" s="8"/>
      <c r="J559" s="8"/>
      <c r="K559" s="8"/>
    </row>
    <row r="560" spans="1:11" x14ac:dyDescent="0.3">
      <c r="A560" s="5">
        <v>555</v>
      </c>
      <c r="B560" s="5" t="s">
        <v>1647</v>
      </c>
      <c r="C560" s="5" t="s">
        <v>1088</v>
      </c>
      <c r="D560" s="5" t="s">
        <v>990</v>
      </c>
      <c r="E560" s="7"/>
      <c r="F560" s="5" t="s">
        <v>37</v>
      </c>
      <c r="G560" s="7"/>
      <c r="H560" s="7"/>
      <c r="I560" s="7"/>
      <c r="J560" s="7"/>
      <c r="K560" s="7"/>
    </row>
    <row r="561" spans="1:11" x14ac:dyDescent="0.3">
      <c r="A561" s="6">
        <v>556</v>
      </c>
      <c r="B561" s="6" t="s">
        <v>1648</v>
      </c>
      <c r="C561" s="6" t="s">
        <v>34</v>
      </c>
      <c r="D561" s="6" t="s">
        <v>1312</v>
      </c>
      <c r="E561" s="8"/>
      <c r="F561" s="6" t="s">
        <v>337</v>
      </c>
      <c r="G561" s="8"/>
      <c r="H561" s="8"/>
      <c r="I561" s="8"/>
      <c r="J561" s="8"/>
      <c r="K561" s="8"/>
    </row>
  </sheetData>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workbookViewId="0"/>
  </sheetViews>
  <sheetFormatPr defaultRowHeight="14.4" x14ac:dyDescent="0.3"/>
  <cols>
    <col min="1" max="1" width="22" customWidth="1"/>
    <col min="2" max="2" width="10" customWidth="1"/>
    <col min="3" max="3" width="18" customWidth="1"/>
    <col min="4" max="4" width="15" customWidth="1"/>
    <col min="5" max="5" width="50" customWidth="1"/>
  </cols>
  <sheetData>
    <row r="1" spans="1:5" ht="17.399999999999999" x14ac:dyDescent="0.3">
      <c r="A1" s="1" t="s">
        <v>1649</v>
      </c>
    </row>
    <row r="3" spans="1:5" x14ac:dyDescent="0.3">
      <c r="A3" s="9" t="s">
        <v>5</v>
      </c>
      <c r="B3" s="9" t="s">
        <v>1650</v>
      </c>
      <c r="C3" s="9" t="s">
        <v>1651</v>
      </c>
      <c r="D3" s="9" t="s">
        <v>1652</v>
      </c>
      <c r="E3" s="9" t="s">
        <v>1653</v>
      </c>
    </row>
    <row r="4" spans="1:5" ht="26.4" x14ac:dyDescent="0.3">
      <c r="A4" s="5" t="s">
        <v>152</v>
      </c>
      <c r="B4" s="5" t="s">
        <v>1654</v>
      </c>
      <c r="C4" s="5" t="s">
        <v>1655</v>
      </c>
      <c r="D4" s="5" t="s">
        <v>46</v>
      </c>
      <c r="E4" s="5" t="s">
        <v>1656</v>
      </c>
    </row>
    <row r="5" spans="1:5" ht="26.4" x14ac:dyDescent="0.3">
      <c r="A5" s="6" t="s">
        <v>1657</v>
      </c>
      <c r="B5" s="6" t="s">
        <v>1658</v>
      </c>
      <c r="C5" s="6" t="s">
        <v>1659</v>
      </c>
      <c r="D5" s="6" t="s">
        <v>280</v>
      </c>
      <c r="E5" s="6" t="s">
        <v>1660</v>
      </c>
    </row>
    <row r="6" spans="1:5" x14ac:dyDescent="0.3">
      <c r="A6" s="5" t="s">
        <v>15</v>
      </c>
      <c r="B6" s="5" t="s">
        <v>1661</v>
      </c>
      <c r="C6" s="5" t="s">
        <v>1662</v>
      </c>
      <c r="D6" s="5" t="s">
        <v>117</v>
      </c>
      <c r="E6" s="5" t="s">
        <v>1663</v>
      </c>
    </row>
    <row r="7" spans="1:5" ht="26.4" x14ac:dyDescent="0.3">
      <c r="A7" s="6" t="s">
        <v>173</v>
      </c>
      <c r="B7" s="6" t="s">
        <v>1664</v>
      </c>
      <c r="C7" s="6" t="s">
        <v>1655</v>
      </c>
      <c r="D7" s="6" t="s">
        <v>117</v>
      </c>
      <c r="E7" s="6" t="s">
        <v>1665</v>
      </c>
    </row>
    <row r="8" spans="1:5" x14ac:dyDescent="0.3">
      <c r="A8" s="5" t="s">
        <v>106</v>
      </c>
      <c r="B8" s="5" t="s">
        <v>1664</v>
      </c>
      <c r="C8" s="5" t="s">
        <v>1655</v>
      </c>
      <c r="D8" s="5" t="s">
        <v>117</v>
      </c>
      <c r="E8" s="5" t="s">
        <v>1666</v>
      </c>
    </row>
    <row r="9" spans="1:5" ht="26.4" x14ac:dyDescent="0.3">
      <c r="A9" s="6" t="s">
        <v>1667</v>
      </c>
      <c r="B9" s="6" t="s">
        <v>1668</v>
      </c>
      <c r="C9" s="6" t="s">
        <v>1669</v>
      </c>
      <c r="D9" s="6" t="s">
        <v>905</v>
      </c>
      <c r="E9" s="6" t="s">
        <v>1670</v>
      </c>
    </row>
    <row r="10" spans="1:5" x14ac:dyDescent="0.3">
      <c r="A10" s="5" t="s">
        <v>124</v>
      </c>
      <c r="B10" s="5" t="s">
        <v>1671</v>
      </c>
      <c r="C10" s="5" t="s">
        <v>1672</v>
      </c>
      <c r="D10" s="5" t="s">
        <v>166</v>
      </c>
      <c r="E10" s="5" t="s">
        <v>1673</v>
      </c>
    </row>
    <row r="11" spans="1:5" ht="26.4" x14ac:dyDescent="0.3">
      <c r="A11" s="6" t="s">
        <v>115</v>
      </c>
      <c r="B11" s="6" t="s">
        <v>1674</v>
      </c>
      <c r="C11" s="6" t="s">
        <v>1675</v>
      </c>
      <c r="D11" s="6" t="s">
        <v>466</v>
      </c>
      <c r="E11" s="6" t="s">
        <v>1676</v>
      </c>
    </row>
    <row r="12" spans="1:5" x14ac:dyDescent="0.3">
      <c r="A12" s="5" t="s">
        <v>1677</v>
      </c>
      <c r="B12" s="5" t="s">
        <v>1674</v>
      </c>
      <c r="C12" s="5" t="s">
        <v>1675</v>
      </c>
      <c r="D12" s="5" t="s">
        <v>18</v>
      </c>
      <c r="E12" s="5" t="s">
        <v>1678</v>
      </c>
    </row>
    <row r="13" spans="1:5" x14ac:dyDescent="0.3">
      <c r="A13" s="6" t="s">
        <v>1679</v>
      </c>
      <c r="B13" s="6" t="s">
        <v>1680</v>
      </c>
      <c r="C13" s="6" t="s">
        <v>1681</v>
      </c>
      <c r="D13" s="6" t="s">
        <v>166</v>
      </c>
      <c r="E13" s="6" t="s">
        <v>1682</v>
      </c>
    </row>
    <row r="14" spans="1:5" ht="26.4" x14ac:dyDescent="0.3">
      <c r="A14" s="5" t="s">
        <v>401</v>
      </c>
      <c r="B14" s="5" t="s">
        <v>1683</v>
      </c>
      <c r="C14" s="5" t="s">
        <v>1681</v>
      </c>
      <c r="D14" s="5" t="s">
        <v>117</v>
      </c>
      <c r="E14" s="5" t="s">
        <v>1684</v>
      </c>
    </row>
    <row r="15" spans="1:5" x14ac:dyDescent="0.3">
      <c r="A15" s="6" t="s">
        <v>1088</v>
      </c>
      <c r="B15" s="6" t="s">
        <v>1683</v>
      </c>
      <c r="C15" s="6" t="s">
        <v>1681</v>
      </c>
      <c r="D15" s="6" t="s">
        <v>117</v>
      </c>
      <c r="E15" s="6" t="s">
        <v>1685</v>
      </c>
    </row>
    <row r="16" spans="1:5" x14ac:dyDescent="0.3">
      <c r="A16" s="5" t="s">
        <v>1033</v>
      </c>
      <c r="B16" s="5" t="s">
        <v>1686</v>
      </c>
      <c r="C16" s="5" t="s">
        <v>1687</v>
      </c>
      <c r="D16" s="5" t="s">
        <v>280</v>
      </c>
      <c r="E16" s="5" t="s">
        <v>1688</v>
      </c>
    </row>
    <row r="17" spans="1:5" x14ac:dyDescent="0.3">
      <c r="A17" s="6" t="s">
        <v>414</v>
      </c>
      <c r="B17" s="6" t="s">
        <v>1686</v>
      </c>
      <c r="C17" s="6" t="s">
        <v>1687</v>
      </c>
      <c r="D17" s="6" t="s">
        <v>117</v>
      </c>
      <c r="E17" s="6" t="s">
        <v>1689</v>
      </c>
    </row>
    <row r="18" spans="1:5" x14ac:dyDescent="0.3">
      <c r="A18" s="5" t="s">
        <v>70</v>
      </c>
      <c r="B18" s="5" t="s">
        <v>1686</v>
      </c>
      <c r="C18" s="5" t="s">
        <v>1687</v>
      </c>
      <c r="D18" s="5" t="s">
        <v>166</v>
      </c>
      <c r="E18" s="5" t="s">
        <v>1690</v>
      </c>
    </row>
    <row r="19" spans="1:5" x14ac:dyDescent="0.3">
      <c r="A19" s="6" t="s">
        <v>1691</v>
      </c>
      <c r="B19" s="6" t="s">
        <v>1686</v>
      </c>
      <c r="C19" s="6" t="s">
        <v>1692</v>
      </c>
      <c r="D19" s="6" t="s">
        <v>466</v>
      </c>
      <c r="E19" s="6" t="s">
        <v>1693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4"/>
  <sheetViews>
    <sheetView workbookViewId="0"/>
  </sheetViews>
  <sheetFormatPr defaultRowHeight="14.4" x14ac:dyDescent="0.3"/>
  <cols>
    <col min="1" max="1" width="120" customWidth="1"/>
  </cols>
  <sheetData>
    <row r="1" spans="1:1" ht="17.399999999999999" x14ac:dyDescent="0.3">
      <c r="A1" s="1" t="s">
        <v>1694</v>
      </c>
    </row>
    <row r="2" spans="1:1" x14ac:dyDescent="0.3">
      <c r="A2" s="2" t="s">
        <v>1695</v>
      </c>
    </row>
    <row r="4" spans="1:1" x14ac:dyDescent="0.3">
      <c r="A4" s="10" t="s">
        <v>1696</v>
      </c>
    </row>
    <row r="5" spans="1:1" ht="27" x14ac:dyDescent="0.3">
      <c r="A5" s="11" t="s">
        <v>1697</v>
      </c>
    </row>
    <row r="6" spans="1:1" ht="27" x14ac:dyDescent="0.3">
      <c r="A6" s="11" t="s">
        <v>1698</v>
      </c>
    </row>
    <row r="7" spans="1:1" ht="27" x14ac:dyDescent="0.3">
      <c r="A7" s="11" t="s">
        <v>1699</v>
      </c>
    </row>
    <row r="8" spans="1:1" ht="27" x14ac:dyDescent="0.3">
      <c r="A8" s="11" t="s">
        <v>1700</v>
      </c>
    </row>
    <row r="9" spans="1:1" ht="27" x14ac:dyDescent="0.3">
      <c r="A9" s="11" t="s">
        <v>1701</v>
      </c>
    </row>
    <row r="10" spans="1:1" ht="27" x14ac:dyDescent="0.3">
      <c r="A10" s="11" t="s">
        <v>1702</v>
      </c>
    </row>
    <row r="11" spans="1:1" ht="27" x14ac:dyDescent="0.3">
      <c r="A11" s="11" t="s">
        <v>1703</v>
      </c>
    </row>
    <row r="12" spans="1:1" ht="27" x14ac:dyDescent="0.3">
      <c r="A12" s="11" t="s">
        <v>1704</v>
      </c>
    </row>
    <row r="13" spans="1:1" ht="27" x14ac:dyDescent="0.3">
      <c r="A13" s="11" t="s">
        <v>1705</v>
      </c>
    </row>
    <row r="14" spans="1:1" ht="27" x14ac:dyDescent="0.3">
      <c r="A14" s="11" t="s">
        <v>1706</v>
      </c>
    </row>
    <row r="15" spans="1:1" ht="27" x14ac:dyDescent="0.3">
      <c r="A15" s="11" t="s">
        <v>1707</v>
      </c>
    </row>
    <row r="16" spans="1:1" ht="27" x14ac:dyDescent="0.3">
      <c r="A16" s="11" t="s">
        <v>1708</v>
      </c>
    </row>
    <row r="17" spans="1:1" ht="27" x14ac:dyDescent="0.3">
      <c r="A17" s="11" t="s">
        <v>1709</v>
      </c>
    </row>
    <row r="18" spans="1:1" ht="27" x14ac:dyDescent="0.3">
      <c r="A18" s="11" t="s">
        <v>1710</v>
      </c>
    </row>
    <row r="19" spans="1:1" ht="27" x14ac:dyDescent="0.3">
      <c r="A19" s="11" t="s">
        <v>1711</v>
      </c>
    </row>
    <row r="20" spans="1:1" ht="27" x14ac:dyDescent="0.3">
      <c r="A20" s="11" t="s">
        <v>1712</v>
      </c>
    </row>
    <row r="21" spans="1:1" ht="27" x14ac:dyDescent="0.3">
      <c r="A21" s="11" t="s">
        <v>1713</v>
      </c>
    </row>
    <row r="22" spans="1:1" ht="27" x14ac:dyDescent="0.3">
      <c r="A22" s="11" t="s">
        <v>1714</v>
      </c>
    </row>
    <row r="23" spans="1:1" ht="27" x14ac:dyDescent="0.3">
      <c r="A23" s="11" t="s">
        <v>1715</v>
      </c>
    </row>
    <row r="24" spans="1:1" ht="27" x14ac:dyDescent="0.3">
      <c r="A24" s="11" t="s">
        <v>1716</v>
      </c>
    </row>
    <row r="25" spans="1:1" ht="27" x14ac:dyDescent="0.3">
      <c r="A25" s="11" t="s">
        <v>1717</v>
      </c>
    </row>
    <row r="26" spans="1:1" ht="27" x14ac:dyDescent="0.3">
      <c r="A26" s="11" t="s">
        <v>1718</v>
      </c>
    </row>
    <row r="27" spans="1:1" ht="27" x14ac:dyDescent="0.3">
      <c r="A27" s="11" t="s">
        <v>1719</v>
      </c>
    </row>
    <row r="28" spans="1:1" ht="27" x14ac:dyDescent="0.3">
      <c r="A28" s="11" t="s">
        <v>1720</v>
      </c>
    </row>
    <row r="29" spans="1:1" ht="27" x14ac:dyDescent="0.3">
      <c r="A29" s="11" t="s">
        <v>1721</v>
      </c>
    </row>
    <row r="30" spans="1:1" ht="27" x14ac:dyDescent="0.3">
      <c r="A30" s="11" t="s">
        <v>1722</v>
      </c>
    </row>
    <row r="31" spans="1:1" ht="27" x14ac:dyDescent="0.3">
      <c r="A31" s="11" t="s">
        <v>1723</v>
      </c>
    </row>
    <row r="32" spans="1:1" ht="27" x14ac:dyDescent="0.3">
      <c r="A32" s="11" t="s">
        <v>1724</v>
      </c>
    </row>
    <row r="33" spans="1:1" ht="27" x14ac:dyDescent="0.3">
      <c r="A33" s="11" t="s">
        <v>1725</v>
      </c>
    </row>
    <row r="34" spans="1:1" ht="27" x14ac:dyDescent="0.3">
      <c r="A34" s="11" t="s">
        <v>1726</v>
      </c>
    </row>
    <row r="35" spans="1:1" ht="27" x14ac:dyDescent="0.3">
      <c r="A35" s="11" t="s">
        <v>1727</v>
      </c>
    </row>
    <row r="36" spans="1:1" ht="27" x14ac:dyDescent="0.3">
      <c r="A36" s="11" t="s">
        <v>1728</v>
      </c>
    </row>
    <row r="37" spans="1:1" ht="27" x14ac:dyDescent="0.3">
      <c r="A37" s="11" t="s">
        <v>1729</v>
      </c>
    </row>
    <row r="38" spans="1:1" ht="27" x14ac:dyDescent="0.3">
      <c r="A38" s="11" t="s">
        <v>1730</v>
      </c>
    </row>
    <row r="39" spans="1:1" ht="27" x14ac:dyDescent="0.3">
      <c r="A39" s="11" t="s">
        <v>1731</v>
      </c>
    </row>
    <row r="40" spans="1:1" ht="27" x14ac:dyDescent="0.3">
      <c r="A40" s="11" t="s">
        <v>1732</v>
      </c>
    </row>
    <row r="41" spans="1:1" ht="27" x14ac:dyDescent="0.3">
      <c r="A41" s="11" t="s">
        <v>1733</v>
      </c>
    </row>
    <row r="42" spans="1:1" ht="27" x14ac:dyDescent="0.3">
      <c r="A42" s="11" t="s">
        <v>1734</v>
      </c>
    </row>
    <row r="43" spans="1:1" ht="27" x14ac:dyDescent="0.3">
      <c r="A43" s="11" t="s">
        <v>1735</v>
      </c>
    </row>
    <row r="44" spans="1:1" ht="27" x14ac:dyDescent="0.3">
      <c r="A44" s="11" t="s">
        <v>1736</v>
      </c>
    </row>
    <row r="45" spans="1:1" ht="27" x14ac:dyDescent="0.3">
      <c r="A45" s="11" t="s">
        <v>1737</v>
      </c>
    </row>
    <row r="46" spans="1:1" ht="27" x14ac:dyDescent="0.3">
      <c r="A46" s="11" t="s">
        <v>1738</v>
      </c>
    </row>
    <row r="47" spans="1:1" ht="27" x14ac:dyDescent="0.3">
      <c r="A47" s="11" t="s">
        <v>1739</v>
      </c>
    </row>
    <row r="48" spans="1:1" ht="27" x14ac:dyDescent="0.3">
      <c r="A48" s="11" t="s">
        <v>1740</v>
      </c>
    </row>
    <row r="49" spans="1:1" ht="27" x14ac:dyDescent="0.3">
      <c r="A49" s="11" t="s">
        <v>1741</v>
      </c>
    </row>
    <row r="50" spans="1:1" ht="27" x14ac:dyDescent="0.3">
      <c r="A50" s="11" t="s">
        <v>1742</v>
      </c>
    </row>
    <row r="51" spans="1:1" ht="27" x14ac:dyDescent="0.3">
      <c r="A51" s="11" t="s">
        <v>1743</v>
      </c>
    </row>
    <row r="52" spans="1:1" ht="27" x14ac:dyDescent="0.3">
      <c r="A52" s="11" t="s">
        <v>1744</v>
      </c>
    </row>
    <row r="53" spans="1:1" ht="27" x14ac:dyDescent="0.3">
      <c r="A53" s="11" t="s">
        <v>1745</v>
      </c>
    </row>
    <row r="54" spans="1:1" ht="27" x14ac:dyDescent="0.3">
      <c r="A54" s="11" t="s">
        <v>1746</v>
      </c>
    </row>
    <row r="55" spans="1:1" ht="27" x14ac:dyDescent="0.3">
      <c r="A55" s="11" t="s">
        <v>1747</v>
      </c>
    </row>
    <row r="56" spans="1:1" ht="27" x14ac:dyDescent="0.3">
      <c r="A56" s="11" t="s">
        <v>1748</v>
      </c>
    </row>
    <row r="57" spans="1:1" ht="27" x14ac:dyDescent="0.3">
      <c r="A57" s="11" t="s">
        <v>1749</v>
      </c>
    </row>
    <row r="58" spans="1:1" ht="27" x14ac:dyDescent="0.3">
      <c r="A58" s="11" t="s">
        <v>1750</v>
      </c>
    </row>
    <row r="59" spans="1:1" ht="27" x14ac:dyDescent="0.3">
      <c r="A59" s="11" t="s">
        <v>1751</v>
      </c>
    </row>
    <row r="60" spans="1:1" ht="27" x14ac:dyDescent="0.3">
      <c r="A60" s="11" t="s">
        <v>1752</v>
      </c>
    </row>
    <row r="61" spans="1:1" ht="27" x14ac:dyDescent="0.3">
      <c r="A61" s="11" t="s">
        <v>1753</v>
      </c>
    </row>
    <row r="62" spans="1:1" ht="27" x14ac:dyDescent="0.3">
      <c r="A62" s="11" t="s">
        <v>1754</v>
      </c>
    </row>
    <row r="63" spans="1:1" ht="27" x14ac:dyDescent="0.3">
      <c r="A63" s="11" t="s">
        <v>1755</v>
      </c>
    </row>
    <row r="64" spans="1:1" ht="27" x14ac:dyDescent="0.3">
      <c r="A64" s="11" t="s">
        <v>1756</v>
      </c>
    </row>
    <row r="65" spans="1:1" ht="27" x14ac:dyDescent="0.3">
      <c r="A65" s="11" t="s">
        <v>1757</v>
      </c>
    </row>
    <row r="66" spans="1:1" ht="27" x14ac:dyDescent="0.3">
      <c r="A66" s="11" t="s">
        <v>1758</v>
      </c>
    </row>
    <row r="67" spans="1:1" ht="27" x14ac:dyDescent="0.3">
      <c r="A67" s="11" t="s">
        <v>1759</v>
      </c>
    </row>
    <row r="68" spans="1:1" ht="27" x14ac:dyDescent="0.3">
      <c r="A68" s="11" t="s">
        <v>1760</v>
      </c>
    </row>
    <row r="69" spans="1:1" ht="27" x14ac:dyDescent="0.3">
      <c r="A69" s="11" t="s">
        <v>1761</v>
      </c>
    </row>
    <row r="70" spans="1:1" ht="27" x14ac:dyDescent="0.3">
      <c r="A70" s="11" t="s">
        <v>1762</v>
      </c>
    </row>
    <row r="71" spans="1:1" ht="27" x14ac:dyDescent="0.3">
      <c r="A71" s="11" t="s">
        <v>1763</v>
      </c>
    </row>
    <row r="72" spans="1:1" ht="27" x14ac:dyDescent="0.3">
      <c r="A72" s="11" t="s">
        <v>1764</v>
      </c>
    </row>
    <row r="73" spans="1:1" ht="27" x14ac:dyDescent="0.3">
      <c r="A73" s="11" t="s">
        <v>1765</v>
      </c>
    </row>
    <row r="74" spans="1:1" ht="27" x14ac:dyDescent="0.3">
      <c r="A74" s="11" t="s">
        <v>1766</v>
      </c>
    </row>
    <row r="75" spans="1:1" ht="27" x14ac:dyDescent="0.3">
      <c r="A75" s="11" t="s">
        <v>1767</v>
      </c>
    </row>
    <row r="76" spans="1:1" ht="27" x14ac:dyDescent="0.3">
      <c r="A76" s="11" t="s">
        <v>1768</v>
      </c>
    </row>
    <row r="77" spans="1:1" ht="27" x14ac:dyDescent="0.3">
      <c r="A77" s="11" t="s">
        <v>1769</v>
      </c>
    </row>
    <row r="78" spans="1:1" ht="27" x14ac:dyDescent="0.3">
      <c r="A78" s="11" t="s">
        <v>1770</v>
      </c>
    </row>
    <row r="79" spans="1:1" ht="27" x14ac:dyDescent="0.3">
      <c r="A79" s="11" t="s">
        <v>1771</v>
      </c>
    </row>
    <row r="80" spans="1:1" ht="27" x14ac:dyDescent="0.3">
      <c r="A80" s="11" t="s">
        <v>1772</v>
      </c>
    </row>
    <row r="81" spans="1:1" ht="27" x14ac:dyDescent="0.3">
      <c r="A81" s="11" t="s">
        <v>1773</v>
      </c>
    </row>
    <row r="82" spans="1:1" ht="27" x14ac:dyDescent="0.3">
      <c r="A82" s="11" t="s">
        <v>1774</v>
      </c>
    </row>
    <row r="83" spans="1:1" ht="27" x14ac:dyDescent="0.3">
      <c r="A83" s="11" t="s">
        <v>1775</v>
      </c>
    </row>
    <row r="84" spans="1:1" ht="27" x14ac:dyDescent="0.3">
      <c r="A84" s="11" t="s">
        <v>1776</v>
      </c>
    </row>
    <row r="85" spans="1:1" ht="27" x14ac:dyDescent="0.3">
      <c r="A85" s="11" t="s">
        <v>1777</v>
      </c>
    </row>
    <row r="86" spans="1:1" ht="27" x14ac:dyDescent="0.3">
      <c r="A86" s="11" t="s">
        <v>1778</v>
      </c>
    </row>
    <row r="87" spans="1:1" ht="27" x14ac:dyDescent="0.3">
      <c r="A87" s="11" t="s">
        <v>1779</v>
      </c>
    </row>
    <row r="88" spans="1:1" ht="27" x14ac:dyDescent="0.3">
      <c r="A88" s="11" t="s">
        <v>1780</v>
      </c>
    </row>
    <row r="89" spans="1:1" ht="27" x14ac:dyDescent="0.3">
      <c r="A89" s="11" t="s">
        <v>1781</v>
      </c>
    </row>
    <row r="90" spans="1:1" ht="27" x14ac:dyDescent="0.3">
      <c r="A90" s="11" t="s">
        <v>1782</v>
      </c>
    </row>
    <row r="91" spans="1:1" ht="27" x14ac:dyDescent="0.3">
      <c r="A91" s="11" t="s">
        <v>1783</v>
      </c>
    </row>
    <row r="92" spans="1:1" ht="27" x14ac:dyDescent="0.3">
      <c r="A92" s="11" t="s">
        <v>1784</v>
      </c>
    </row>
    <row r="93" spans="1:1" ht="27" x14ac:dyDescent="0.3">
      <c r="A93" s="11" t="s">
        <v>1785</v>
      </c>
    </row>
    <row r="94" spans="1:1" ht="27" x14ac:dyDescent="0.3">
      <c r="A94" s="11" t="s">
        <v>1786</v>
      </c>
    </row>
    <row r="95" spans="1:1" ht="27" x14ac:dyDescent="0.3">
      <c r="A95" s="11" t="s">
        <v>1787</v>
      </c>
    </row>
    <row r="96" spans="1:1" ht="27" x14ac:dyDescent="0.3">
      <c r="A96" s="11" t="s">
        <v>1788</v>
      </c>
    </row>
    <row r="97" spans="1:1" ht="27" x14ac:dyDescent="0.3">
      <c r="A97" s="11" t="s">
        <v>1789</v>
      </c>
    </row>
    <row r="98" spans="1:1" ht="27" x14ac:dyDescent="0.3">
      <c r="A98" s="11" t="s">
        <v>1790</v>
      </c>
    </row>
    <row r="99" spans="1:1" ht="27" x14ac:dyDescent="0.3">
      <c r="A99" s="11" t="s">
        <v>1791</v>
      </c>
    </row>
    <row r="100" spans="1:1" ht="27" x14ac:dyDescent="0.3">
      <c r="A100" s="11" t="s">
        <v>1792</v>
      </c>
    </row>
    <row r="101" spans="1:1" ht="27" x14ac:dyDescent="0.3">
      <c r="A101" s="11" t="s">
        <v>1793</v>
      </c>
    </row>
    <row r="102" spans="1:1" ht="27" x14ac:dyDescent="0.3">
      <c r="A102" s="11" t="s">
        <v>1794</v>
      </c>
    </row>
    <row r="103" spans="1:1" ht="27" x14ac:dyDescent="0.3">
      <c r="A103" s="11" t="s">
        <v>1795</v>
      </c>
    </row>
    <row r="104" spans="1:1" ht="27" x14ac:dyDescent="0.3">
      <c r="A104" s="11" t="s">
        <v>1796</v>
      </c>
    </row>
    <row r="105" spans="1:1" ht="27" x14ac:dyDescent="0.3">
      <c r="A105" s="11" t="s">
        <v>1797</v>
      </c>
    </row>
    <row r="106" spans="1:1" ht="27" x14ac:dyDescent="0.3">
      <c r="A106" s="11" t="s">
        <v>1798</v>
      </c>
    </row>
    <row r="107" spans="1:1" ht="27" x14ac:dyDescent="0.3">
      <c r="A107" s="11" t="s">
        <v>1799</v>
      </c>
    </row>
    <row r="108" spans="1:1" ht="27" x14ac:dyDescent="0.3">
      <c r="A108" s="11" t="s">
        <v>1800</v>
      </c>
    </row>
    <row r="109" spans="1:1" ht="27" x14ac:dyDescent="0.3">
      <c r="A109" s="11" t="s">
        <v>1801</v>
      </c>
    </row>
    <row r="110" spans="1:1" ht="27" x14ac:dyDescent="0.3">
      <c r="A110" s="11" t="s">
        <v>1802</v>
      </c>
    </row>
    <row r="111" spans="1:1" ht="27" x14ac:dyDescent="0.3">
      <c r="A111" s="11" t="s">
        <v>1803</v>
      </c>
    </row>
    <row r="112" spans="1:1" ht="27" x14ac:dyDescent="0.3">
      <c r="A112" s="11" t="s">
        <v>1804</v>
      </c>
    </row>
    <row r="113" spans="1:1" ht="27" x14ac:dyDescent="0.3">
      <c r="A113" s="11" t="s">
        <v>1805</v>
      </c>
    </row>
    <row r="114" spans="1:1" ht="27" x14ac:dyDescent="0.3">
      <c r="A114" s="11" t="s">
        <v>1806</v>
      </c>
    </row>
    <row r="115" spans="1:1" ht="27" x14ac:dyDescent="0.3">
      <c r="A115" s="11" t="s">
        <v>1807</v>
      </c>
    </row>
    <row r="116" spans="1:1" ht="27" x14ac:dyDescent="0.3">
      <c r="A116" s="11" t="s">
        <v>1808</v>
      </c>
    </row>
    <row r="117" spans="1:1" ht="27" x14ac:dyDescent="0.3">
      <c r="A117" s="11" t="s">
        <v>1809</v>
      </c>
    </row>
    <row r="118" spans="1:1" ht="27" x14ac:dyDescent="0.3">
      <c r="A118" s="11" t="s">
        <v>1810</v>
      </c>
    </row>
    <row r="119" spans="1:1" ht="27" x14ac:dyDescent="0.3">
      <c r="A119" s="11" t="s">
        <v>1811</v>
      </c>
    </row>
    <row r="120" spans="1:1" ht="27" x14ac:dyDescent="0.3">
      <c r="A120" s="11" t="s">
        <v>1812</v>
      </c>
    </row>
    <row r="121" spans="1:1" ht="27" x14ac:dyDescent="0.3">
      <c r="A121" s="11" t="s">
        <v>1813</v>
      </c>
    </row>
    <row r="122" spans="1:1" ht="27" x14ac:dyDescent="0.3">
      <c r="A122" s="11" t="s">
        <v>1814</v>
      </c>
    </row>
    <row r="123" spans="1:1" ht="27" x14ac:dyDescent="0.3">
      <c r="A123" s="11" t="s">
        <v>1815</v>
      </c>
    </row>
    <row r="124" spans="1:1" ht="27" x14ac:dyDescent="0.3">
      <c r="A124" s="11" t="s">
        <v>1816</v>
      </c>
    </row>
    <row r="125" spans="1:1" ht="27" x14ac:dyDescent="0.3">
      <c r="A125" s="11" t="s">
        <v>1817</v>
      </c>
    </row>
    <row r="126" spans="1:1" ht="27" x14ac:dyDescent="0.3">
      <c r="A126" s="11" t="s">
        <v>1818</v>
      </c>
    </row>
    <row r="127" spans="1:1" ht="27" x14ac:dyDescent="0.3">
      <c r="A127" s="11" t="s">
        <v>1819</v>
      </c>
    </row>
    <row r="128" spans="1:1" ht="27" x14ac:dyDescent="0.3">
      <c r="A128" s="11" t="s">
        <v>1820</v>
      </c>
    </row>
    <row r="129" spans="1:1" ht="27" x14ac:dyDescent="0.3">
      <c r="A129" s="11" t="s">
        <v>1821</v>
      </c>
    </row>
    <row r="130" spans="1:1" ht="27" x14ac:dyDescent="0.3">
      <c r="A130" s="11" t="s">
        <v>1822</v>
      </c>
    </row>
    <row r="131" spans="1:1" ht="27" x14ac:dyDescent="0.3">
      <c r="A131" s="11" t="s">
        <v>1823</v>
      </c>
    </row>
    <row r="132" spans="1:1" ht="27" x14ac:dyDescent="0.3">
      <c r="A132" s="11" t="s">
        <v>1824</v>
      </c>
    </row>
    <row r="133" spans="1:1" ht="27" x14ac:dyDescent="0.3">
      <c r="A133" s="11" t="s">
        <v>1825</v>
      </c>
    </row>
    <row r="134" spans="1:1" ht="27" x14ac:dyDescent="0.3">
      <c r="A134" s="11" t="s">
        <v>1826</v>
      </c>
    </row>
    <row r="135" spans="1:1" ht="27" x14ac:dyDescent="0.3">
      <c r="A135" s="11" t="s">
        <v>1827</v>
      </c>
    </row>
    <row r="136" spans="1:1" ht="27" x14ac:dyDescent="0.3">
      <c r="A136" s="11" t="s">
        <v>1828</v>
      </c>
    </row>
    <row r="137" spans="1:1" ht="27" x14ac:dyDescent="0.3">
      <c r="A137" s="11" t="s">
        <v>1829</v>
      </c>
    </row>
    <row r="138" spans="1:1" ht="27" x14ac:dyDescent="0.3">
      <c r="A138" s="11" t="s">
        <v>1830</v>
      </c>
    </row>
    <row r="139" spans="1:1" ht="27" x14ac:dyDescent="0.3">
      <c r="A139" s="11" t="s">
        <v>1831</v>
      </c>
    </row>
    <row r="140" spans="1:1" ht="27" x14ac:dyDescent="0.3">
      <c r="A140" s="11" t="s">
        <v>1832</v>
      </c>
    </row>
    <row r="141" spans="1:1" ht="27" x14ac:dyDescent="0.3">
      <c r="A141" s="11" t="s">
        <v>1833</v>
      </c>
    </row>
    <row r="142" spans="1:1" ht="27" x14ac:dyDescent="0.3">
      <c r="A142" s="11" t="s">
        <v>1834</v>
      </c>
    </row>
    <row r="143" spans="1:1" ht="27" x14ac:dyDescent="0.3">
      <c r="A143" s="11" t="s">
        <v>1835</v>
      </c>
    </row>
    <row r="144" spans="1:1" ht="27" x14ac:dyDescent="0.3">
      <c r="A144" s="11" t="s">
        <v>1836</v>
      </c>
    </row>
    <row r="145" spans="1:1" ht="27" x14ac:dyDescent="0.3">
      <c r="A145" s="11" t="s">
        <v>1837</v>
      </c>
    </row>
    <row r="146" spans="1:1" ht="27" x14ac:dyDescent="0.3">
      <c r="A146" s="11" t="s">
        <v>1838</v>
      </c>
    </row>
    <row r="147" spans="1:1" ht="27" x14ac:dyDescent="0.3">
      <c r="A147" s="11" t="s">
        <v>1839</v>
      </c>
    </row>
    <row r="148" spans="1:1" ht="27" x14ac:dyDescent="0.3">
      <c r="A148" s="11" t="s">
        <v>1840</v>
      </c>
    </row>
    <row r="149" spans="1:1" ht="27" x14ac:dyDescent="0.3">
      <c r="A149" s="11" t="s">
        <v>1841</v>
      </c>
    </row>
    <row r="150" spans="1:1" ht="27" x14ac:dyDescent="0.3">
      <c r="A150" s="11" t="s">
        <v>1842</v>
      </c>
    </row>
    <row r="151" spans="1:1" ht="27" x14ac:dyDescent="0.3">
      <c r="A151" s="11" t="s">
        <v>1843</v>
      </c>
    </row>
    <row r="152" spans="1:1" ht="27" x14ac:dyDescent="0.3">
      <c r="A152" s="11" t="s">
        <v>1844</v>
      </c>
    </row>
    <row r="153" spans="1:1" ht="27" x14ac:dyDescent="0.3">
      <c r="A153" s="11" t="s">
        <v>1845</v>
      </c>
    </row>
    <row r="154" spans="1:1" ht="27" x14ac:dyDescent="0.3">
      <c r="A154" s="11" t="s">
        <v>1846</v>
      </c>
    </row>
    <row r="155" spans="1:1" ht="27" x14ac:dyDescent="0.3">
      <c r="A155" s="11" t="s">
        <v>1847</v>
      </c>
    </row>
    <row r="156" spans="1:1" ht="27" x14ac:dyDescent="0.3">
      <c r="A156" s="11" t="s">
        <v>1848</v>
      </c>
    </row>
    <row r="157" spans="1:1" ht="27" x14ac:dyDescent="0.3">
      <c r="A157" s="11" t="s">
        <v>1849</v>
      </c>
    </row>
    <row r="158" spans="1:1" ht="27" x14ac:dyDescent="0.3">
      <c r="A158" s="11" t="s">
        <v>1850</v>
      </c>
    </row>
    <row r="159" spans="1:1" ht="27" x14ac:dyDescent="0.3">
      <c r="A159" s="11" t="s">
        <v>1851</v>
      </c>
    </row>
    <row r="160" spans="1:1" ht="27" x14ac:dyDescent="0.3">
      <c r="A160" s="11" t="s">
        <v>1852</v>
      </c>
    </row>
    <row r="161" spans="1:1" ht="27" x14ac:dyDescent="0.3">
      <c r="A161" s="11" t="s">
        <v>1853</v>
      </c>
    </row>
    <row r="162" spans="1:1" ht="27" x14ac:dyDescent="0.3">
      <c r="A162" s="11" t="s">
        <v>1854</v>
      </c>
    </row>
    <row r="163" spans="1:1" ht="27" x14ac:dyDescent="0.3">
      <c r="A163" s="11" t="s">
        <v>1855</v>
      </c>
    </row>
    <row r="164" spans="1:1" ht="27" x14ac:dyDescent="0.3">
      <c r="A164" s="11" t="s">
        <v>1856</v>
      </c>
    </row>
    <row r="165" spans="1:1" ht="27" x14ac:dyDescent="0.3">
      <c r="A165" s="11" t="s">
        <v>1857</v>
      </c>
    </row>
    <row r="166" spans="1:1" ht="27" x14ac:dyDescent="0.3">
      <c r="A166" s="11" t="s">
        <v>1858</v>
      </c>
    </row>
    <row r="167" spans="1:1" ht="27" x14ac:dyDescent="0.3">
      <c r="A167" s="11" t="s">
        <v>1859</v>
      </c>
    </row>
    <row r="168" spans="1:1" ht="27" x14ac:dyDescent="0.3">
      <c r="A168" s="11" t="s">
        <v>1860</v>
      </c>
    </row>
    <row r="169" spans="1:1" ht="27" x14ac:dyDescent="0.3">
      <c r="A169" s="11" t="s">
        <v>1861</v>
      </c>
    </row>
    <row r="170" spans="1:1" ht="27" x14ac:dyDescent="0.3">
      <c r="A170" s="11" t="s">
        <v>1862</v>
      </c>
    </row>
    <row r="171" spans="1:1" ht="27" x14ac:dyDescent="0.3">
      <c r="A171" s="11" t="s">
        <v>1863</v>
      </c>
    </row>
    <row r="172" spans="1:1" ht="27" x14ac:dyDescent="0.3">
      <c r="A172" s="11" t="s">
        <v>1864</v>
      </c>
    </row>
    <row r="173" spans="1:1" ht="27" x14ac:dyDescent="0.3">
      <c r="A173" s="11" t="s">
        <v>1865</v>
      </c>
    </row>
    <row r="174" spans="1:1" ht="27" x14ac:dyDescent="0.3">
      <c r="A174" s="11" t="s">
        <v>1866</v>
      </c>
    </row>
    <row r="175" spans="1:1" ht="27" x14ac:dyDescent="0.3">
      <c r="A175" s="11" t="s">
        <v>1867</v>
      </c>
    </row>
    <row r="176" spans="1:1" ht="27" x14ac:dyDescent="0.3">
      <c r="A176" s="11" t="s">
        <v>1868</v>
      </c>
    </row>
    <row r="177" spans="1:1" ht="27" x14ac:dyDescent="0.3">
      <c r="A177" s="11" t="s">
        <v>1869</v>
      </c>
    </row>
    <row r="178" spans="1:1" ht="27" x14ac:dyDescent="0.3">
      <c r="A178" s="11" t="s">
        <v>1870</v>
      </c>
    </row>
    <row r="179" spans="1:1" ht="27" x14ac:dyDescent="0.3">
      <c r="A179" s="11" t="s">
        <v>1871</v>
      </c>
    </row>
    <row r="180" spans="1:1" ht="27" x14ac:dyDescent="0.3">
      <c r="A180" s="11" t="s">
        <v>1872</v>
      </c>
    </row>
    <row r="181" spans="1:1" ht="27" x14ac:dyDescent="0.3">
      <c r="A181" s="11" t="s">
        <v>1873</v>
      </c>
    </row>
    <row r="182" spans="1:1" ht="27" x14ac:dyDescent="0.3">
      <c r="A182" s="11" t="s">
        <v>1874</v>
      </c>
    </row>
    <row r="183" spans="1:1" ht="27" x14ac:dyDescent="0.3">
      <c r="A183" s="11" t="s">
        <v>1875</v>
      </c>
    </row>
    <row r="184" spans="1:1" ht="27" x14ac:dyDescent="0.3">
      <c r="A184" s="11" t="s">
        <v>1876</v>
      </c>
    </row>
    <row r="185" spans="1:1" ht="27" x14ac:dyDescent="0.3">
      <c r="A185" s="11" t="s">
        <v>1877</v>
      </c>
    </row>
    <row r="186" spans="1:1" ht="27" x14ac:dyDescent="0.3">
      <c r="A186" s="11" t="s">
        <v>1878</v>
      </c>
    </row>
    <row r="187" spans="1:1" ht="27" x14ac:dyDescent="0.3">
      <c r="A187" s="11" t="s">
        <v>1879</v>
      </c>
    </row>
    <row r="188" spans="1:1" ht="27" x14ac:dyDescent="0.3">
      <c r="A188" s="11" t="s">
        <v>1880</v>
      </c>
    </row>
    <row r="189" spans="1:1" ht="27" x14ac:dyDescent="0.3">
      <c r="A189" s="11" t="s">
        <v>1881</v>
      </c>
    </row>
    <row r="190" spans="1:1" ht="27" x14ac:dyDescent="0.3">
      <c r="A190" s="11" t="s">
        <v>1882</v>
      </c>
    </row>
    <row r="191" spans="1:1" ht="27" x14ac:dyDescent="0.3">
      <c r="A191" s="11" t="s">
        <v>1883</v>
      </c>
    </row>
    <row r="192" spans="1:1" ht="27" x14ac:dyDescent="0.3">
      <c r="A192" s="11" t="s">
        <v>1884</v>
      </c>
    </row>
    <row r="193" spans="1:1" ht="27" x14ac:dyDescent="0.3">
      <c r="A193" s="11" t="s">
        <v>1885</v>
      </c>
    </row>
    <row r="194" spans="1:1" ht="27" x14ac:dyDescent="0.3">
      <c r="A194" s="11" t="s">
        <v>1886</v>
      </c>
    </row>
    <row r="195" spans="1:1" ht="27" x14ac:dyDescent="0.3">
      <c r="A195" s="11" t="s">
        <v>1887</v>
      </c>
    </row>
    <row r="196" spans="1:1" ht="27" x14ac:dyDescent="0.3">
      <c r="A196" s="11" t="s">
        <v>1888</v>
      </c>
    </row>
    <row r="197" spans="1:1" ht="27" x14ac:dyDescent="0.3">
      <c r="A197" s="11" t="s">
        <v>1889</v>
      </c>
    </row>
    <row r="198" spans="1:1" ht="27" x14ac:dyDescent="0.3">
      <c r="A198" s="11" t="s">
        <v>1890</v>
      </c>
    </row>
    <row r="199" spans="1:1" ht="27" x14ac:dyDescent="0.3">
      <c r="A199" s="11" t="s">
        <v>1891</v>
      </c>
    </row>
    <row r="200" spans="1:1" ht="27" x14ac:dyDescent="0.3">
      <c r="A200" s="11" t="s">
        <v>1892</v>
      </c>
    </row>
    <row r="201" spans="1:1" ht="27" x14ac:dyDescent="0.3">
      <c r="A201" s="11" t="s">
        <v>1893</v>
      </c>
    </row>
    <row r="202" spans="1:1" ht="27" x14ac:dyDescent="0.3">
      <c r="A202" s="11" t="s">
        <v>1894</v>
      </c>
    </row>
    <row r="203" spans="1:1" ht="27" x14ac:dyDescent="0.3">
      <c r="A203" s="11" t="s">
        <v>1895</v>
      </c>
    </row>
    <row r="204" spans="1:1" ht="27" x14ac:dyDescent="0.3">
      <c r="A204" s="11" t="s">
        <v>1896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22B5C-0B9E-439F-BF35-C96DD89BDC87}">
  <dimension ref="A1:I366"/>
  <sheetViews>
    <sheetView topLeftCell="F1" workbookViewId="0">
      <pane ySplit="2" topLeftCell="A142" activePane="bottomLeft" state="frozen"/>
      <selection pane="bottomLeft" activeCell="M157" sqref="M157"/>
    </sheetView>
  </sheetViews>
  <sheetFormatPr defaultRowHeight="14.4" x14ac:dyDescent="0.3"/>
  <cols>
    <col min="1" max="1" width="42.5546875" customWidth="1"/>
    <col min="2" max="2" width="37" customWidth="1"/>
    <col min="3" max="4" width="33.33203125" customWidth="1"/>
    <col min="5" max="5" width="29.6640625" customWidth="1"/>
    <col min="6" max="6" width="25.88671875" customWidth="1"/>
    <col min="7" max="7" width="14.77734375" customWidth="1"/>
    <col min="8" max="8" width="22.21875" customWidth="1"/>
    <col min="9" max="9" width="40.77734375" customWidth="1"/>
  </cols>
  <sheetData>
    <row r="1" spans="1:9" ht="28.05" customHeight="1" x14ac:dyDescent="0.4">
      <c r="A1" s="12" t="s">
        <v>1897</v>
      </c>
      <c r="B1" s="13"/>
      <c r="C1" s="13"/>
      <c r="D1" s="13"/>
      <c r="E1" s="13"/>
      <c r="F1" s="13"/>
      <c r="G1" s="13"/>
      <c r="H1" s="13"/>
      <c r="I1" s="13"/>
    </row>
    <row r="2" spans="1:9" ht="19.95" customHeight="1" x14ac:dyDescent="0.3">
      <c r="A2" s="99" t="s">
        <v>1898</v>
      </c>
      <c r="B2" s="100"/>
      <c r="C2" s="100"/>
      <c r="D2" s="100"/>
      <c r="E2" s="100"/>
      <c r="F2" s="100"/>
      <c r="G2" s="100"/>
      <c r="H2" s="100"/>
      <c r="I2" s="100"/>
    </row>
    <row r="3" spans="1:9" ht="19.95" customHeight="1" x14ac:dyDescent="0.3"/>
    <row r="4" spans="1:9" ht="28.05" customHeight="1" x14ac:dyDescent="0.3">
      <c r="A4" s="14" t="s">
        <v>1899</v>
      </c>
      <c r="B4" s="15"/>
      <c r="C4" s="15"/>
      <c r="D4" s="16" t="s">
        <v>1900</v>
      </c>
      <c r="E4" s="15"/>
      <c r="F4" s="15"/>
      <c r="G4" s="15"/>
      <c r="H4" s="17" t="s">
        <v>1901</v>
      </c>
      <c r="I4" s="17" t="s">
        <v>1902</v>
      </c>
    </row>
    <row r="5" spans="1:9" ht="19.95" customHeight="1" x14ac:dyDescent="0.3">
      <c r="A5" s="19" t="s">
        <v>1903</v>
      </c>
      <c r="B5" s="26"/>
      <c r="H5" s="21" t="s">
        <v>1904</v>
      </c>
      <c r="I5" s="22" t="s">
        <v>1905</v>
      </c>
    </row>
    <row r="6" spans="1:9" ht="19.95" customHeight="1" x14ac:dyDescent="0.3">
      <c r="A6" s="19" t="s">
        <v>1906</v>
      </c>
      <c r="B6" s="26"/>
      <c r="H6" s="21" t="s">
        <v>1907</v>
      </c>
      <c r="I6" s="22" t="s">
        <v>1908</v>
      </c>
    </row>
    <row r="7" spans="1:9" ht="19.95" customHeight="1" x14ac:dyDescent="0.3">
      <c r="A7" s="19" t="s">
        <v>1909</v>
      </c>
      <c r="B7" s="23"/>
      <c r="H7" s="21" t="s">
        <v>1910</v>
      </c>
      <c r="I7" s="22" t="s">
        <v>1911</v>
      </c>
    </row>
    <row r="8" spans="1:9" ht="19.95" customHeight="1" x14ac:dyDescent="0.3">
      <c r="A8" s="19" t="s">
        <v>1912</v>
      </c>
      <c r="B8" s="26"/>
      <c r="H8" s="21" t="s">
        <v>1913</v>
      </c>
      <c r="I8" s="27" t="s">
        <v>1914</v>
      </c>
    </row>
    <row r="9" spans="1:9" ht="19.95" customHeight="1" x14ac:dyDescent="0.3">
      <c r="A9" s="19" t="s">
        <v>1915</v>
      </c>
      <c r="B9" s="26"/>
      <c r="C9" s="28" t="s">
        <v>1916</v>
      </c>
      <c r="H9" s="21" t="s">
        <v>1917</v>
      </c>
    </row>
    <row r="10" spans="1:9" ht="19.95" customHeight="1" x14ac:dyDescent="0.3">
      <c r="A10" s="19" t="s">
        <v>1918</v>
      </c>
      <c r="B10" s="20"/>
      <c r="H10" s="21" t="s">
        <v>1919</v>
      </c>
      <c r="I10" s="22" t="s">
        <v>1920</v>
      </c>
    </row>
    <row r="11" spans="1:9" ht="19.95" customHeight="1" x14ac:dyDescent="0.3"/>
    <row r="12" spans="1:9" ht="24" customHeight="1" x14ac:dyDescent="0.3">
      <c r="A12" s="29" t="s">
        <v>1921</v>
      </c>
      <c r="B12" s="30"/>
      <c r="C12" s="30"/>
      <c r="D12" s="30"/>
      <c r="E12" s="30"/>
      <c r="F12" s="30"/>
      <c r="G12" s="30"/>
      <c r="H12" s="30"/>
      <c r="I12" s="30"/>
    </row>
    <row r="13" spans="1:9" ht="19.95" customHeight="1" x14ac:dyDescent="0.3">
      <c r="A13" s="19" t="s">
        <v>1922</v>
      </c>
      <c r="B13" s="20"/>
      <c r="H13" s="21" t="s">
        <v>1923</v>
      </c>
      <c r="I13" s="22" t="s">
        <v>1924</v>
      </c>
    </row>
    <row r="14" spans="1:9" ht="19.95" customHeight="1" x14ac:dyDescent="0.3">
      <c r="A14" s="19" t="s">
        <v>1925</v>
      </c>
      <c r="B14" s="20"/>
      <c r="H14" s="21" t="s">
        <v>1919</v>
      </c>
    </row>
    <row r="15" spans="1:9" ht="19.95" customHeight="1" x14ac:dyDescent="0.3">
      <c r="A15" s="19" t="s">
        <v>1926</v>
      </c>
      <c r="B15" s="121"/>
      <c r="C15" s="31" t="s">
        <v>1927</v>
      </c>
      <c r="D15" s="119"/>
      <c r="H15" s="21" t="s">
        <v>1928</v>
      </c>
    </row>
    <row r="16" spans="1:9" ht="19.95" customHeight="1" x14ac:dyDescent="0.3">
      <c r="A16" s="19" t="s">
        <v>1929</v>
      </c>
      <c r="B16" s="20"/>
      <c r="H16" s="21" t="s">
        <v>1930</v>
      </c>
    </row>
    <row r="17" spans="1:9" ht="19.95" customHeight="1" x14ac:dyDescent="0.3">
      <c r="A17" s="19" t="s">
        <v>1931</v>
      </c>
      <c r="B17" s="20"/>
      <c r="H17" s="21" t="s">
        <v>1919</v>
      </c>
    </row>
    <row r="18" spans="1:9" ht="19.95" customHeight="1" x14ac:dyDescent="0.3">
      <c r="A18" s="19" t="s">
        <v>1932</v>
      </c>
      <c r="B18" s="119"/>
      <c r="H18" s="21" t="s">
        <v>1933</v>
      </c>
      <c r="I18" s="22" t="s">
        <v>1934</v>
      </c>
    </row>
    <row r="19" spans="1:9" ht="19.95" customHeight="1" x14ac:dyDescent="0.3">
      <c r="A19" s="101" t="s">
        <v>1935</v>
      </c>
      <c r="B19" s="102"/>
      <c r="C19" s="103"/>
      <c r="D19" s="103"/>
      <c r="E19" s="103"/>
      <c r="F19" s="103"/>
      <c r="G19" s="103"/>
      <c r="H19" s="104" t="s">
        <v>1936</v>
      </c>
      <c r="I19" s="105" t="s">
        <v>1937</v>
      </c>
    </row>
    <row r="20" spans="1:9" ht="19.95" customHeight="1" x14ac:dyDescent="0.3"/>
    <row r="21" spans="1:9" ht="28.05" customHeight="1" x14ac:dyDescent="0.3">
      <c r="A21" s="14" t="s">
        <v>1938</v>
      </c>
      <c r="B21" s="15"/>
      <c r="C21" s="15"/>
      <c r="D21" s="15"/>
      <c r="E21" s="15"/>
      <c r="F21" s="15"/>
      <c r="G21" s="15"/>
      <c r="H21" s="15"/>
      <c r="I21" s="15"/>
    </row>
    <row r="22" spans="1:9" ht="19.95" customHeight="1" x14ac:dyDescent="0.3"/>
    <row r="23" spans="1:9" ht="24" customHeight="1" x14ac:dyDescent="0.3">
      <c r="A23" s="29" t="s">
        <v>1939</v>
      </c>
      <c r="B23" s="32" t="s">
        <v>1940</v>
      </c>
      <c r="C23" s="32" t="s">
        <v>1941</v>
      </c>
      <c r="D23" s="32" t="s">
        <v>1942</v>
      </c>
      <c r="E23" s="32" t="s">
        <v>1943</v>
      </c>
      <c r="F23" s="32" t="s">
        <v>8</v>
      </c>
      <c r="G23" s="30"/>
      <c r="H23" s="33" t="s">
        <v>1944</v>
      </c>
      <c r="I23" s="34" t="s">
        <v>1945</v>
      </c>
    </row>
    <row r="24" spans="1:9" ht="19.95" customHeight="1" x14ac:dyDescent="0.3">
      <c r="A24">
        <v>1</v>
      </c>
      <c r="B24" s="120"/>
      <c r="C24" s="20"/>
      <c r="D24" s="20"/>
      <c r="E24" s="20"/>
      <c r="F24" s="20"/>
    </row>
    <row r="25" spans="1:9" ht="19.95" customHeight="1" x14ac:dyDescent="0.3">
      <c r="A25">
        <v>2</v>
      </c>
      <c r="B25" s="20"/>
      <c r="C25" s="20"/>
      <c r="D25" s="20"/>
      <c r="E25" s="20"/>
      <c r="F25" s="20"/>
    </row>
    <row r="26" spans="1:9" ht="19.95" customHeight="1" x14ac:dyDescent="0.3">
      <c r="A26">
        <v>3</v>
      </c>
      <c r="B26" s="20"/>
      <c r="C26" s="20"/>
      <c r="D26" s="20"/>
      <c r="E26" s="20"/>
      <c r="F26" s="20"/>
    </row>
    <row r="27" spans="1:9" ht="19.95" customHeight="1" x14ac:dyDescent="0.3">
      <c r="A27">
        <v>4</v>
      </c>
      <c r="B27" s="120"/>
      <c r="C27" s="20"/>
      <c r="D27" s="20"/>
      <c r="E27" s="20"/>
      <c r="F27" s="20"/>
    </row>
    <row r="28" spans="1:9" ht="19.95" customHeight="1" x14ac:dyDescent="0.3">
      <c r="A28">
        <v>5</v>
      </c>
      <c r="B28" s="20"/>
      <c r="C28" s="20"/>
      <c r="D28" s="20"/>
      <c r="E28" s="20"/>
      <c r="F28" s="20"/>
    </row>
    <row r="29" spans="1:9" ht="19.95" customHeight="1" x14ac:dyDescent="0.3">
      <c r="A29">
        <v>6</v>
      </c>
      <c r="B29" s="20"/>
      <c r="C29" s="20"/>
      <c r="D29" s="20"/>
      <c r="E29" s="20"/>
      <c r="F29" s="20"/>
    </row>
    <row r="30" spans="1:9" ht="19.95" customHeight="1" x14ac:dyDescent="0.3">
      <c r="A30">
        <v>7</v>
      </c>
      <c r="B30" s="20"/>
      <c r="C30" s="20"/>
      <c r="D30" s="20"/>
      <c r="E30" s="20"/>
      <c r="F30" s="20"/>
    </row>
    <row r="31" spans="1:9" ht="19.95" customHeight="1" x14ac:dyDescent="0.3">
      <c r="A31">
        <v>8</v>
      </c>
      <c r="B31" s="20"/>
      <c r="C31" s="20"/>
      <c r="D31" s="20"/>
      <c r="E31" s="20"/>
      <c r="F31" s="20"/>
    </row>
    <row r="32" spans="1:9" ht="19.95" customHeight="1" x14ac:dyDescent="0.3">
      <c r="A32">
        <v>9</v>
      </c>
      <c r="B32" s="20"/>
      <c r="C32" s="20"/>
      <c r="D32" s="20"/>
      <c r="E32" s="20"/>
      <c r="F32" s="20"/>
    </row>
    <row r="33" spans="1:9" ht="19.95" customHeight="1" x14ac:dyDescent="0.3">
      <c r="A33" s="103">
        <v>10</v>
      </c>
      <c r="B33" s="106"/>
      <c r="C33" s="106"/>
      <c r="D33" s="106"/>
      <c r="E33" s="106"/>
      <c r="F33" s="106"/>
      <c r="G33" s="103"/>
      <c r="H33" s="103"/>
      <c r="I33" s="103"/>
    </row>
    <row r="34" spans="1:9" ht="19.95" customHeight="1" x14ac:dyDescent="0.3"/>
    <row r="35" spans="1:9" ht="24" customHeight="1" x14ac:dyDescent="0.3">
      <c r="A35" s="29" t="s">
        <v>1946</v>
      </c>
      <c r="B35" s="32" t="s">
        <v>1947</v>
      </c>
      <c r="C35" s="32" t="s">
        <v>1948</v>
      </c>
      <c r="D35" s="32" t="s">
        <v>1949</v>
      </c>
      <c r="E35" s="32" t="s">
        <v>1950</v>
      </c>
      <c r="F35" s="32" t="s">
        <v>1951</v>
      </c>
      <c r="G35" s="30"/>
      <c r="H35" s="33" t="s">
        <v>1952</v>
      </c>
      <c r="I35" s="34" t="s">
        <v>1953</v>
      </c>
    </row>
    <row r="36" spans="1:9" ht="19.95" customHeight="1" x14ac:dyDescent="0.3">
      <c r="A36">
        <v>1</v>
      </c>
      <c r="B36" s="20"/>
      <c r="C36" s="20"/>
      <c r="D36" s="20"/>
      <c r="E36" s="20"/>
      <c r="F36" s="20"/>
    </row>
    <row r="37" spans="1:9" ht="19.95" customHeight="1" x14ac:dyDescent="0.3">
      <c r="A37">
        <v>2</v>
      </c>
      <c r="B37" s="20"/>
      <c r="C37" s="20"/>
      <c r="D37" s="20"/>
      <c r="E37" s="20"/>
      <c r="F37" s="20"/>
    </row>
    <row r="38" spans="1:9" ht="19.95" customHeight="1" x14ac:dyDescent="0.3">
      <c r="A38">
        <v>3</v>
      </c>
      <c r="B38" s="20"/>
      <c r="C38" s="20"/>
      <c r="D38" s="20"/>
      <c r="E38" s="20"/>
      <c r="F38" s="20"/>
    </row>
    <row r="39" spans="1:9" ht="19.95" customHeight="1" x14ac:dyDescent="0.3">
      <c r="A39">
        <v>4</v>
      </c>
      <c r="B39" s="20"/>
      <c r="C39" s="20"/>
      <c r="D39" s="20"/>
      <c r="E39" s="20"/>
      <c r="F39" s="20"/>
    </row>
    <row r="40" spans="1:9" ht="19.95" customHeight="1" x14ac:dyDescent="0.3">
      <c r="A40">
        <v>5</v>
      </c>
      <c r="B40" s="20"/>
      <c r="C40" s="20"/>
      <c r="D40" s="20"/>
      <c r="E40" s="20"/>
      <c r="F40" s="20"/>
    </row>
    <row r="41" spans="1:9" ht="19.95" customHeight="1" x14ac:dyDescent="0.3"/>
    <row r="42" spans="1:9" ht="24" customHeight="1" x14ac:dyDescent="0.3">
      <c r="A42" s="29" t="s">
        <v>1954</v>
      </c>
      <c r="B42" s="32" t="s">
        <v>1955</v>
      </c>
      <c r="C42" s="32" t="s">
        <v>1956</v>
      </c>
      <c r="D42" s="32" t="s">
        <v>1957</v>
      </c>
      <c r="E42" s="32" t="s">
        <v>1958</v>
      </c>
      <c r="F42" s="32" t="s">
        <v>1959</v>
      </c>
      <c r="G42" s="30"/>
      <c r="H42" s="33" t="s">
        <v>1960</v>
      </c>
      <c r="I42" s="34" t="s">
        <v>1961</v>
      </c>
    </row>
    <row r="43" spans="1:9" ht="19.95" customHeight="1" x14ac:dyDescent="0.3">
      <c r="A43">
        <v>1</v>
      </c>
      <c r="B43" s="20"/>
      <c r="C43" s="20"/>
      <c r="D43" s="20"/>
      <c r="E43" s="20"/>
      <c r="F43" s="20"/>
    </row>
    <row r="44" spans="1:9" ht="19.95" customHeight="1" x14ac:dyDescent="0.3">
      <c r="A44">
        <v>2</v>
      </c>
      <c r="B44" s="20"/>
      <c r="C44" s="20"/>
      <c r="D44" s="20"/>
      <c r="E44" s="20"/>
      <c r="F44" s="20"/>
    </row>
    <row r="45" spans="1:9" ht="19.95" customHeight="1" x14ac:dyDescent="0.3">
      <c r="A45">
        <v>3</v>
      </c>
      <c r="B45" s="20"/>
      <c r="C45" s="20"/>
      <c r="D45" s="20"/>
      <c r="E45" s="20"/>
      <c r="F45" s="20"/>
    </row>
    <row r="46" spans="1:9" ht="19.95" customHeight="1" x14ac:dyDescent="0.3">
      <c r="A46">
        <v>4</v>
      </c>
      <c r="B46" s="20"/>
      <c r="C46" s="20"/>
      <c r="D46" s="20"/>
      <c r="E46" s="20"/>
      <c r="F46" s="20"/>
    </row>
    <row r="47" spans="1:9" ht="19.95" customHeight="1" x14ac:dyDescent="0.3">
      <c r="A47">
        <v>5</v>
      </c>
      <c r="B47" s="20"/>
      <c r="C47" s="20"/>
      <c r="D47" s="20"/>
      <c r="E47" s="20"/>
      <c r="F47" s="20"/>
    </row>
    <row r="48" spans="1:9" ht="19.95" customHeight="1" x14ac:dyDescent="0.3">
      <c r="A48">
        <v>6</v>
      </c>
      <c r="B48" s="20"/>
      <c r="C48" s="20"/>
      <c r="D48" s="20"/>
      <c r="E48" s="20"/>
      <c r="F48" s="20"/>
    </row>
    <row r="49" spans="1:9" ht="19.95" customHeight="1" x14ac:dyDescent="0.3">
      <c r="A49">
        <v>7</v>
      </c>
      <c r="B49" s="20"/>
      <c r="C49" s="20"/>
      <c r="D49" s="20"/>
      <c r="E49" s="20"/>
      <c r="F49" s="20"/>
    </row>
    <row r="50" spans="1:9" ht="19.95" customHeight="1" x14ac:dyDescent="0.3">
      <c r="A50" s="103">
        <v>8</v>
      </c>
      <c r="B50" s="106"/>
      <c r="C50" s="106"/>
      <c r="D50" s="106"/>
      <c r="E50" s="106"/>
      <c r="F50" s="106"/>
      <c r="G50" s="103"/>
      <c r="H50" s="103"/>
      <c r="I50" s="103"/>
    </row>
    <row r="51" spans="1:9" ht="19.95" customHeight="1" x14ac:dyDescent="0.3"/>
    <row r="52" spans="1:9" ht="24" customHeight="1" x14ac:dyDescent="0.3">
      <c r="A52" s="29" t="s">
        <v>1962</v>
      </c>
      <c r="B52" s="32" t="s">
        <v>1963</v>
      </c>
      <c r="C52" s="32" t="s">
        <v>1964</v>
      </c>
      <c r="D52" s="32" t="s">
        <v>1965</v>
      </c>
      <c r="E52" s="32" t="s">
        <v>1966</v>
      </c>
      <c r="F52" s="32" t="s">
        <v>1967</v>
      </c>
      <c r="G52" s="30"/>
      <c r="H52" s="33" t="s">
        <v>1968</v>
      </c>
      <c r="I52" s="34" t="s">
        <v>1969</v>
      </c>
    </row>
    <row r="53" spans="1:9" ht="19.95" customHeight="1" x14ac:dyDescent="0.3">
      <c r="A53">
        <v>1</v>
      </c>
      <c r="B53" s="20"/>
      <c r="C53" s="20"/>
      <c r="D53" s="20"/>
      <c r="E53" s="20"/>
      <c r="F53" s="20"/>
    </row>
    <row r="54" spans="1:9" ht="19.95" customHeight="1" x14ac:dyDescent="0.3">
      <c r="A54">
        <v>2</v>
      </c>
      <c r="B54" s="20"/>
      <c r="C54" s="20"/>
      <c r="D54" s="20"/>
      <c r="E54" s="20"/>
      <c r="F54" s="20"/>
    </row>
    <row r="55" spans="1:9" ht="19.95" customHeight="1" x14ac:dyDescent="0.3">
      <c r="A55" s="103">
        <v>3</v>
      </c>
      <c r="B55" s="106"/>
      <c r="C55" s="106"/>
      <c r="D55" s="106"/>
      <c r="E55" s="106"/>
      <c r="F55" s="106"/>
      <c r="G55" s="103"/>
      <c r="H55" s="103"/>
      <c r="I55" s="103"/>
    </row>
    <row r="56" spans="1:9" ht="19.95" customHeight="1" x14ac:dyDescent="0.3"/>
    <row r="57" spans="1:9" ht="24" customHeight="1" x14ac:dyDescent="0.3">
      <c r="A57" s="29" t="s">
        <v>1970</v>
      </c>
      <c r="B57" s="30"/>
      <c r="C57" s="30"/>
      <c r="D57" s="30"/>
      <c r="E57" s="30"/>
      <c r="F57" s="30"/>
      <c r="G57" s="30"/>
      <c r="H57" s="35" t="s">
        <v>1971</v>
      </c>
      <c r="I57" s="37" t="s">
        <v>1972</v>
      </c>
    </row>
    <row r="58" spans="1:9" ht="19.95" customHeight="1" x14ac:dyDescent="0.3">
      <c r="A58" t="s">
        <v>1973</v>
      </c>
      <c r="B58" s="20"/>
    </row>
    <row r="59" spans="1:9" ht="19.95" customHeight="1" x14ac:dyDescent="0.3">
      <c r="A59" t="s">
        <v>1974</v>
      </c>
      <c r="B59" s="20"/>
    </row>
    <row r="60" spans="1:9" ht="19.95" customHeight="1" x14ac:dyDescent="0.3">
      <c r="A60" t="s">
        <v>1975</v>
      </c>
      <c r="B60" s="20"/>
    </row>
    <row r="61" spans="1:9" ht="19.95" customHeight="1" x14ac:dyDescent="0.3">
      <c r="A61" t="s">
        <v>1976</v>
      </c>
      <c r="B61" s="20"/>
    </row>
    <row r="62" spans="1:9" ht="19.95" customHeight="1" x14ac:dyDescent="0.3">
      <c r="A62" t="s">
        <v>1977</v>
      </c>
      <c r="B62" s="20"/>
    </row>
    <row r="63" spans="1:9" ht="19.95" customHeight="1" x14ac:dyDescent="0.3">
      <c r="A63" s="103" t="s">
        <v>1978</v>
      </c>
      <c r="B63" s="106"/>
      <c r="C63" s="103"/>
      <c r="D63" s="103"/>
      <c r="E63" s="103"/>
      <c r="F63" s="103"/>
      <c r="G63" s="103"/>
      <c r="H63" s="103"/>
      <c r="I63" s="103"/>
    </row>
    <row r="64" spans="1:9" ht="19.95" customHeight="1" x14ac:dyDescent="0.3"/>
    <row r="65" spans="1:9" ht="24" customHeight="1" x14ac:dyDescent="0.3">
      <c r="A65" s="29" t="s">
        <v>1979</v>
      </c>
      <c r="B65" s="30"/>
      <c r="C65" s="30"/>
      <c r="D65" s="30"/>
      <c r="E65" s="30"/>
      <c r="F65" s="30"/>
      <c r="G65" s="30"/>
      <c r="H65" s="35" t="s">
        <v>1980</v>
      </c>
      <c r="I65" s="37" t="s">
        <v>1981</v>
      </c>
    </row>
    <row r="66" spans="1:9" ht="19.95" customHeight="1" x14ac:dyDescent="0.3">
      <c r="A66" t="s">
        <v>1982</v>
      </c>
      <c r="B66" s="20"/>
    </row>
    <row r="67" spans="1:9" ht="19.95" customHeight="1" x14ac:dyDescent="0.3">
      <c r="A67" t="s">
        <v>1983</v>
      </c>
      <c r="B67" s="20"/>
    </row>
    <row r="68" spans="1:9" ht="19.95" customHeight="1" x14ac:dyDescent="0.3">
      <c r="A68" s="103" t="s">
        <v>1984</v>
      </c>
      <c r="B68" s="106"/>
      <c r="C68" s="103"/>
      <c r="D68" s="103"/>
      <c r="E68" s="103"/>
      <c r="F68" s="103"/>
      <c r="G68" s="103"/>
      <c r="H68" s="103"/>
      <c r="I68" s="103"/>
    </row>
    <row r="69" spans="1:9" ht="19.95" customHeight="1" x14ac:dyDescent="0.3"/>
    <row r="70" spans="1:9" ht="24" customHeight="1" x14ac:dyDescent="0.3">
      <c r="A70" s="29" t="s">
        <v>1985</v>
      </c>
      <c r="B70" s="32" t="s">
        <v>1986</v>
      </c>
      <c r="C70" s="32" t="s">
        <v>1942</v>
      </c>
      <c r="D70" s="32" t="s">
        <v>1987</v>
      </c>
      <c r="E70" s="30"/>
      <c r="F70" s="30"/>
      <c r="G70" s="30"/>
      <c r="H70" s="35" t="s">
        <v>1988</v>
      </c>
      <c r="I70" s="37" t="s">
        <v>1989</v>
      </c>
    </row>
    <row r="71" spans="1:9" ht="19.95" customHeight="1" x14ac:dyDescent="0.3">
      <c r="A71">
        <v>1</v>
      </c>
      <c r="B71" s="20"/>
      <c r="C71" s="20"/>
      <c r="D71" s="20"/>
    </row>
    <row r="72" spans="1:9" ht="19.95" customHeight="1" x14ac:dyDescent="0.3">
      <c r="A72">
        <v>2</v>
      </c>
      <c r="B72" s="20"/>
      <c r="C72" s="20"/>
      <c r="D72" s="20"/>
    </row>
    <row r="73" spans="1:9" ht="19.95" customHeight="1" x14ac:dyDescent="0.3">
      <c r="A73">
        <v>3</v>
      </c>
      <c r="B73" s="20"/>
      <c r="C73" s="20"/>
      <c r="D73" s="20"/>
    </row>
    <row r="74" spans="1:9" ht="19.95" customHeight="1" x14ac:dyDescent="0.3">
      <c r="A74">
        <v>4</v>
      </c>
      <c r="B74" s="20"/>
      <c r="C74" s="20"/>
      <c r="D74" s="20"/>
    </row>
    <row r="75" spans="1:9" ht="19.95" customHeight="1" x14ac:dyDescent="0.3">
      <c r="A75">
        <v>5</v>
      </c>
      <c r="B75" s="20"/>
      <c r="C75" s="20"/>
      <c r="D75" s="20"/>
    </row>
    <row r="76" spans="1:9" ht="19.95" customHeight="1" x14ac:dyDescent="0.3">
      <c r="A76">
        <v>6</v>
      </c>
      <c r="B76" s="20"/>
      <c r="C76" s="20"/>
      <c r="D76" s="20"/>
    </row>
    <row r="77" spans="1:9" ht="19.95" customHeight="1" x14ac:dyDescent="0.3">
      <c r="A77">
        <v>7</v>
      </c>
      <c r="B77" s="20"/>
      <c r="C77" s="20"/>
      <c r="D77" s="20"/>
    </row>
    <row r="78" spans="1:9" ht="19.95" customHeight="1" x14ac:dyDescent="0.3">
      <c r="A78">
        <v>8</v>
      </c>
      <c r="B78" s="20"/>
      <c r="C78" s="20"/>
      <c r="D78" s="20"/>
    </row>
    <row r="79" spans="1:9" ht="19.95" customHeight="1" x14ac:dyDescent="0.3">
      <c r="A79">
        <v>9</v>
      </c>
      <c r="B79" s="20"/>
      <c r="C79" s="20"/>
      <c r="D79" s="20"/>
    </row>
    <row r="80" spans="1:9" ht="19.95" customHeight="1" x14ac:dyDescent="0.3">
      <c r="A80" s="103">
        <v>10</v>
      </c>
      <c r="B80" s="106"/>
      <c r="C80" s="106"/>
      <c r="D80" s="106"/>
      <c r="E80" s="103"/>
      <c r="F80" s="103"/>
      <c r="G80" s="103"/>
      <c r="H80" s="103"/>
      <c r="I80" s="103"/>
    </row>
    <row r="81" spans="1:9" ht="19.95" customHeight="1" x14ac:dyDescent="0.3">
      <c r="B81" s="20"/>
      <c r="C81" s="20"/>
      <c r="D81" s="20"/>
    </row>
    <row r="82" spans="1:9" ht="24" customHeight="1" x14ac:dyDescent="0.3">
      <c r="A82" s="29" t="s">
        <v>1990</v>
      </c>
      <c r="B82" s="32" t="s">
        <v>1991</v>
      </c>
      <c r="C82" s="32" t="s">
        <v>1992</v>
      </c>
      <c r="D82" s="32" t="s">
        <v>1993</v>
      </c>
      <c r="E82" s="32" t="s">
        <v>1994</v>
      </c>
      <c r="F82" s="32" t="s">
        <v>1995</v>
      </c>
      <c r="G82" s="30"/>
      <c r="H82" s="33" t="s">
        <v>1996</v>
      </c>
      <c r="I82" s="34" t="s">
        <v>1997</v>
      </c>
    </row>
    <row r="83" spans="1:9" ht="19.95" customHeight="1" x14ac:dyDescent="0.3">
      <c r="A83">
        <v>1</v>
      </c>
      <c r="B83" s="20"/>
      <c r="C83" s="20"/>
      <c r="D83" s="20"/>
      <c r="E83" s="20"/>
      <c r="F83" s="20"/>
    </row>
    <row r="84" spans="1:9" ht="19.95" customHeight="1" x14ac:dyDescent="0.3">
      <c r="A84">
        <v>2</v>
      </c>
      <c r="B84" s="20"/>
      <c r="C84" s="20"/>
      <c r="D84" s="20"/>
      <c r="E84" s="20"/>
      <c r="F84" s="20"/>
    </row>
    <row r="85" spans="1:9" ht="19.95" customHeight="1" x14ac:dyDescent="0.3">
      <c r="A85">
        <v>3</v>
      </c>
      <c r="B85" s="20"/>
      <c r="C85" s="20"/>
      <c r="D85" s="20"/>
      <c r="E85" s="20"/>
      <c r="F85" s="20"/>
    </row>
    <row r="86" spans="1:9" ht="19.95" customHeight="1" x14ac:dyDescent="0.3">
      <c r="A86">
        <v>4</v>
      </c>
      <c r="B86" s="20"/>
      <c r="C86" s="20"/>
      <c r="D86" s="20"/>
      <c r="E86" s="20"/>
      <c r="F86" s="20"/>
    </row>
    <row r="87" spans="1:9" ht="19.95" customHeight="1" x14ac:dyDescent="0.3">
      <c r="A87" s="103">
        <v>5</v>
      </c>
      <c r="B87" s="106"/>
      <c r="C87" s="106"/>
      <c r="D87" s="106"/>
      <c r="E87" s="106"/>
      <c r="F87" s="106"/>
      <c r="G87" s="103"/>
      <c r="H87" s="103"/>
      <c r="I87" s="103"/>
    </row>
    <row r="88" spans="1:9" ht="19.95" customHeight="1" x14ac:dyDescent="0.3"/>
    <row r="89" spans="1:9" ht="28.05" customHeight="1" x14ac:dyDescent="0.3">
      <c r="A89" s="14" t="s">
        <v>1998</v>
      </c>
      <c r="B89" s="15"/>
      <c r="C89" s="15"/>
      <c r="D89" s="15"/>
      <c r="E89" s="15"/>
      <c r="F89" s="17" t="s">
        <v>1999</v>
      </c>
      <c r="G89" s="15"/>
      <c r="H89" s="15"/>
      <c r="I89" s="38" t="s">
        <v>2000</v>
      </c>
    </row>
    <row r="90" spans="1:9" ht="19.95" customHeight="1" x14ac:dyDescent="0.3"/>
    <row r="91" spans="1:9" ht="24" customHeight="1" x14ac:dyDescent="0.3">
      <c r="A91" s="29" t="s">
        <v>2001</v>
      </c>
      <c r="B91" s="30"/>
      <c r="C91" s="30"/>
      <c r="D91" s="30"/>
      <c r="E91" s="30"/>
      <c r="F91" s="91" t="str">
        <f>IF(OR($B$8="EVENT",$B$8="PROGRAM",$B$8="INSTITUTION"),"✅ ACTIVE","❌")</f>
        <v>❌</v>
      </c>
      <c r="G91" s="30"/>
      <c r="H91" s="35" t="s">
        <v>1971</v>
      </c>
      <c r="I91" s="39" t="s">
        <v>2002</v>
      </c>
    </row>
    <row r="92" spans="1:9" ht="19.95" customHeight="1" x14ac:dyDescent="0.3">
      <c r="A92" t="s">
        <v>2003</v>
      </c>
      <c r="B92" s="20"/>
    </row>
    <row r="93" spans="1:9" ht="19.95" customHeight="1" x14ac:dyDescent="0.3">
      <c r="A93" t="s">
        <v>2004</v>
      </c>
      <c r="B93" s="20"/>
      <c r="C93" s="31" t="s">
        <v>1942</v>
      </c>
      <c r="D93" s="20"/>
    </row>
    <row r="94" spans="1:9" ht="19.95" customHeight="1" x14ac:dyDescent="0.3">
      <c r="A94" t="s">
        <v>2005</v>
      </c>
      <c r="B94" s="20"/>
      <c r="C94" s="31" t="s">
        <v>1942</v>
      </c>
      <c r="D94" s="20"/>
    </row>
    <row r="95" spans="1:9" ht="19.95" customHeight="1" x14ac:dyDescent="0.3">
      <c r="A95" t="s">
        <v>2006</v>
      </c>
      <c r="B95" s="20"/>
      <c r="C95" s="31" t="s">
        <v>1942</v>
      </c>
      <c r="D95" s="20"/>
    </row>
    <row r="96" spans="1:9" ht="19.95" customHeight="1" x14ac:dyDescent="0.3">
      <c r="A96" s="103" t="s">
        <v>2007</v>
      </c>
      <c r="B96" s="106"/>
      <c r="C96" s="103"/>
      <c r="D96" s="103"/>
      <c r="E96" s="103"/>
      <c r="F96" s="103"/>
      <c r="G96" s="103"/>
      <c r="H96" s="103"/>
      <c r="I96" s="103"/>
    </row>
    <row r="97" spans="1:9" ht="19.95" customHeight="1" x14ac:dyDescent="0.3">
      <c r="B97" s="20"/>
    </row>
    <row r="98" spans="1:9" ht="24" customHeight="1" x14ac:dyDescent="0.3">
      <c r="A98" s="29" t="s">
        <v>2008</v>
      </c>
      <c r="B98" s="32" t="s">
        <v>2009</v>
      </c>
      <c r="C98" s="40" t="s">
        <v>2010</v>
      </c>
      <c r="D98" s="32" t="s">
        <v>2011</v>
      </c>
      <c r="E98" s="32" t="s">
        <v>2012</v>
      </c>
      <c r="F98" s="92" t="str">
        <f>IF(OR($B$8="EVENT",$B$8="PROGRAM"),"✅ ACTIVE","❌")</f>
        <v>❌</v>
      </c>
      <c r="G98" s="30"/>
      <c r="H98" s="33" t="s">
        <v>2013</v>
      </c>
      <c r="I98" s="39" t="s">
        <v>2014</v>
      </c>
    </row>
    <row r="99" spans="1:9" ht="19.95" customHeight="1" x14ac:dyDescent="0.3">
      <c r="A99">
        <v>1</v>
      </c>
      <c r="B99" s="20"/>
      <c r="C99" s="20"/>
      <c r="D99" s="20"/>
      <c r="E99" s="20"/>
      <c r="F99" s="20"/>
    </row>
    <row r="100" spans="1:9" ht="19.95" customHeight="1" x14ac:dyDescent="0.3">
      <c r="A100">
        <v>2</v>
      </c>
      <c r="B100" s="20"/>
      <c r="C100" s="20"/>
      <c r="D100" s="20"/>
      <c r="E100" s="20"/>
      <c r="F100" s="20"/>
    </row>
    <row r="101" spans="1:9" ht="19.95" customHeight="1" x14ac:dyDescent="0.3">
      <c r="A101">
        <v>3</v>
      </c>
      <c r="B101" s="20"/>
      <c r="C101" s="20"/>
      <c r="D101" s="20"/>
      <c r="E101" s="20"/>
      <c r="F101" s="20"/>
    </row>
    <row r="102" spans="1:9" ht="19.95" customHeight="1" x14ac:dyDescent="0.3">
      <c r="A102">
        <v>4</v>
      </c>
      <c r="B102" s="20"/>
      <c r="C102" s="20"/>
      <c r="D102" s="20"/>
      <c r="E102" s="20"/>
      <c r="F102" s="20"/>
    </row>
    <row r="103" spans="1:9" ht="19.95" customHeight="1" x14ac:dyDescent="0.3">
      <c r="A103" s="103">
        <v>5</v>
      </c>
      <c r="B103" s="106"/>
      <c r="C103" s="106"/>
      <c r="D103" s="106"/>
      <c r="E103" s="106"/>
      <c r="F103" s="106"/>
      <c r="G103" s="103"/>
      <c r="H103" s="103"/>
      <c r="I103" s="103"/>
    </row>
    <row r="104" spans="1:9" ht="19.95" customHeight="1" x14ac:dyDescent="0.3">
      <c r="B104" s="20"/>
      <c r="C104" s="20"/>
      <c r="D104" s="20"/>
      <c r="E104" s="20"/>
    </row>
    <row r="105" spans="1:9" ht="24" customHeight="1" x14ac:dyDescent="0.3">
      <c r="A105" s="29" t="s">
        <v>2015</v>
      </c>
      <c r="B105" s="32" t="s">
        <v>2016</v>
      </c>
      <c r="C105" s="32" t="s">
        <v>2017</v>
      </c>
      <c r="D105" s="32" t="s">
        <v>2018</v>
      </c>
      <c r="E105" s="32" t="s">
        <v>2019</v>
      </c>
      <c r="F105" s="92" t="str">
        <f>IF(OR($B$8="PROGRAM",$B$8="EVENT"),"✅ ACTIVE","❌")</f>
        <v>❌</v>
      </c>
      <c r="G105" s="30"/>
      <c r="H105" s="33" t="s">
        <v>2020</v>
      </c>
      <c r="I105" s="39" t="s">
        <v>2021</v>
      </c>
    </row>
    <row r="106" spans="1:9" ht="19.95" customHeight="1" x14ac:dyDescent="0.3">
      <c r="A106">
        <v>1</v>
      </c>
      <c r="B106" s="20"/>
      <c r="C106" s="20"/>
      <c r="D106" s="20"/>
      <c r="E106" s="20"/>
      <c r="F106" s="20"/>
    </row>
    <row r="107" spans="1:9" ht="19.95" customHeight="1" x14ac:dyDescent="0.3">
      <c r="A107">
        <v>2</v>
      </c>
      <c r="B107" s="20"/>
      <c r="C107" s="20"/>
      <c r="D107" s="20"/>
      <c r="E107" s="20"/>
      <c r="F107" s="20"/>
    </row>
    <row r="108" spans="1:9" ht="19.95" customHeight="1" x14ac:dyDescent="0.3">
      <c r="A108">
        <v>3</v>
      </c>
      <c r="B108" s="20"/>
      <c r="C108" s="20"/>
      <c r="D108" s="20"/>
      <c r="E108" s="20"/>
      <c r="F108" s="20"/>
    </row>
    <row r="109" spans="1:9" ht="19.95" customHeight="1" x14ac:dyDescent="0.3">
      <c r="A109">
        <v>4</v>
      </c>
      <c r="B109" s="20"/>
      <c r="C109" s="20"/>
      <c r="D109" s="20"/>
      <c r="E109" s="20"/>
      <c r="F109" s="20"/>
    </row>
    <row r="110" spans="1:9" ht="19.95" customHeight="1" x14ac:dyDescent="0.3">
      <c r="A110" s="103">
        <v>5</v>
      </c>
      <c r="B110" s="106"/>
      <c r="C110" s="106"/>
      <c r="D110" s="106"/>
      <c r="E110" s="106"/>
      <c r="F110" s="106"/>
      <c r="G110" s="103"/>
      <c r="H110" s="103"/>
      <c r="I110" s="103"/>
    </row>
    <row r="111" spans="1:9" ht="19.95" customHeight="1" x14ac:dyDescent="0.3">
      <c r="B111" s="20"/>
      <c r="C111" s="20"/>
      <c r="D111" s="20"/>
      <c r="E111" s="20"/>
    </row>
    <row r="112" spans="1:9" ht="24" customHeight="1" x14ac:dyDescent="0.3">
      <c r="A112" s="29" t="s">
        <v>2022</v>
      </c>
      <c r="B112" s="32" t="s">
        <v>1947</v>
      </c>
      <c r="C112" s="32" t="s">
        <v>2023</v>
      </c>
      <c r="D112" s="32" t="s">
        <v>2024</v>
      </c>
      <c r="E112" s="32" t="s">
        <v>2025</v>
      </c>
      <c r="F112" s="92" t="str">
        <f>IF(OR($B$8="EVENT",$B$8="PHENOMENON"),"✅ ACTIVE","❌")</f>
        <v>❌</v>
      </c>
      <c r="G112" s="30"/>
      <c r="H112" s="33" t="s">
        <v>2026</v>
      </c>
      <c r="I112" s="39" t="s">
        <v>2027</v>
      </c>
    </row>
    <row r="113" spans="1:9" ht="19.95" customHeight="1" x14ac:dyDescent="0.3">
      <c r="A113">
        <v>1</v>
      </c>
      <c r="B113" s="20"/>
      <c r="C113" s="20"/>
      <c r="D113" s="20"/>
      <c r="E113" s="20"/>
      <c r="F113" s="20"/>
    </row>
    <row r="114" spans="1:9" ht="19.95" customHeight="1" x14ac:dyDescent="0.3">
      <c r="A114">
        <v>2</v>
      </c>
      <c r="B114" s="20"/>
      <c r="C114" s="20"/>
      <c r="D114" s="20"/>
      <c r="E114" s="20"/>
      <c r="F114" s="20"/>
    </row>
    <row r="115" spans="1:9" ht="19.95" customHeight="1" x14ac:dyDescent="0.3">
      <c r="A115">
        <v>3</v>
      </c>
      <c r="B115" s="20"/>
      <c r="C115" s="20"/>
      <c r="D115" s="20"/>
      <c r="E115" s="20"/>
      <c r="F115" s="20"/>
    </row>
    <row r="116" spans="1:9" ht="19.95" customHeight="1" x14ac:dyDescent="0.3">
      <c r="A116">
        <v>4</v>
      </c>
      <c r="B116" s="20"/>
      <c r="C116" s="20"/>
      <c r="D116" s="20"/>
      <c r="E116" s="20"/>
      <c r="F116" s="20"/>
    </row>
    <row r="117" spans="1:9" ht="19.95" customHeight="1" x14ac:dyDescent="0.3">
      <c r="A117" s="103">
        <v>5</v>
      </c>
      <c r="B117" s="106"/>
      <c r="C117" s="106"/>
      <c r="D117" s="106"/>
      <c r="E117" s="106"/>
      <c r="F117" s="106"/>
      <c r="G117" s="103"/>
      <c r="H117" s="103"/>
      <c r="I117" s="103"/>
    </row>
    <row r="118" spans="1:9" ht="19.95" customHeight="1" x14ac:dyDescent="0.3"/>
    <row r="119" spans="1:9" ht="24" customHeight="1" x14ac:dyDescent="0.3">
      <c r="A119" s="29" t="s">
        <v>2028</v>
      </c>
      <c r="B119" s="32" t="s">
        <v>2029</v>
      </c>
      <c r="C119" s="32" t="s">
        <v>2030</v>
      </c>
      <c r="D119" s="32" t="s">
        <v>2031</v>
      </c>
      <c r="E119" s="32" t="s">
        <v>2032</v>
      </c>
      <c r="F119" s="92" t="str">
        <f>IF(OR($B$8="INSTITUTION",$B$8="PROPAGANDA",$B$8="PROGRAM"),"✅ ACTIVE","❌")</f>
        <v>❌</v>
      </c>
      <c r="G119" s="30"/>
      <c r="H119" s="33" t="s">
        <v>2033</v>
      </c>
      <c r="I119" s="39" t="s">
        <v>2034</v>
      </c>
    </row>
    <row r="120" spans="1:9" ht="19.95" customHeight="1" x14ac:dyDescent="0.3">
      <c r="A120">
        <v>1</v>
      </c>
      <c r="B120" s="20"/>
      <c r="C120" s="20"/>
      <c r="D120" s="20"/>
      <c r="E120" s="20"/>
      <c r="F120" s="20"/>
    </row>
    <row r="121" spans="1:9" ht="19.95" customHeight="1" x14ac:dyDescent="0.3">
      <c r="A121">
        <v>2</v>
      </c>
      <c r="B121" s="20"/>
      <c r="C121" s="20"/>
      <c r="D121" s="20"/>
      <c r="E121" s="20"/>
      <c r="F121" s="20"/>
    </row>
    <row r="122" spans="1:9" ht="19.95" customHeight="1" x14ac:dyDescent="0.3">
      <c r="A122">
        <v>3</v>
      </c>
      <c r="B122" s="20"/>
      <c r="C122" s="20"/>
      <c r="D122" s="20"/>
      <c r="E122" s="20"/>
      <c r="F122" s="20"/>
    </row>
    <row r="123" spans="1:9" ht="19.95" customHeight="1" x14ac:dyDescent="0.3">
      <c r="A123">
        <v>4</v>
      </c>
      <c r="B123" s="20"/>
      <c r="C123" s="20"/>
      <c r="D123" s="20"/>
      <c r="E123" s="20"/>
      <c r="F123" s="20"/>
    </row>
    <row r="124" spans="1:9" ht="19.95" customHeight="1" x14ac:dyDescent="0.3">
      <c r="A124" s="103">
        <v>5</v>
      </c>
      <c r="B124" s="106"/>
      <c r="C124" s="106"/>
      <c r="D124" s="106"/>
      <c r="E124" s="106"/>
      <c r="F124" s="106"/>
      <c r="G124" s="103"/>
      <c r="H124" s="103"/>
      <c r="I124" s="103"/>
    </row>
    <row r="125" spans="1:9" ht="19.95" customHeight="1" x14ac:dyDescent="0.3"/>
    <row r="126" spans="1:9" ht="24" customHeight="1" x14ac:dyDescent="0.3">
      <c r="A126" s="41" t="s">
        <v>2035</v>
      </c>
      <c r="B126" s="42"/>
      <c r="C126" s="42"/>
      <c r="D126" s="42"/>
      <c r="E126" s="42"/>
      <c r="F126" s="93" t="str">
        <f>IF($B$8="PROPAGANDA","✅ ACTIVE","❌")</f>
        <v>❌</v>
      </c>
      <c r="G126" s="42"/>
      <c r="H126" s="43" t="s">
        <v>2036</v>
      </c>
      <c r="I126" s="44" t="s">
        <v>2037</v>
      </c>
    </row>
    <row r="127" spans="1:9" ht="19.95" customHeight="1" x14ac:dyDescent="0.3">
      <c r="A127" t="s">
        <v>2038</v>
      </c>
      <c r="B127" s="20"/>
      <c r="C127" s="31" t="s">
        <v>2039</v>
      </c>
      <c r="D127" s="20"/>
    </row>
    <row r="128" spans="1:9" ht="19.95" customHeight="1" x14ac:dyDescent="0.3">
      <c r="A128" t="s">
        <v>2040</v>
      </c>
      <c r="B128" s="23"/>
      <c r="I128" s="27" t="s">
        <v>2041</v>
      </c>
    </row>
    <row r="129" spans="1:9" ht="19.95" customHeight="1" x14ac:dyDescent="0.3">
      <c r="A129" t="s">
        <v>2042</v>
      </c>
      <c r="B129" s="20"/>
      <c r="C129" s="31" t="s">
        <v>2043</v>
      </c>
      <c r="D129" s="20"/>
    </row>
    <row r="130" spans="1:9" ht="19.95" customHeight="1" x14ac:dyDescent="0.3">
      <c r="A130" t="s">
        <v>2044</v>
      </c>
      <c r="B130" s="31"/>
      <c r="C130" s="31" t="s">
        <v>2046</v>
      </c>
      <c r="D130" s="31"/>
      <c r="E130" s="31" t="s">
        <v>2048</v>
      </c>
      <c r="F130" s="31" t="s">
        <v>2049</v>
      </c>
    </row>
    <row r="131" spans="1:9" ht="19.95" customHeight="1" x14ac:dyDescent="0.3">
      <c r="B131" s="20"/>
      <c r="C131" s="20"/>
      <c r="D131" s="20"/>
      <c r="E131" s="20"/>
      <c r="F131" s="20"/>
    </row>
    <row r="132" spans="1:9" ht="19.95" customHeight="1" x14ac:dyDescent="0.3">
      <c r="A132" t="s">
        <v>2050</v>
      </c>
      <c r="B132" s="20"/>
      <c r="C132" s="31" t="s">
        <v>2051</v>
      </c>
      <c r="D132" s="20"/>
    </row>
    <row r="133" spans="1:9" ht="19.95" customHeight="1" x14ac:dyDescent="0.3">
      <c r="A133" t="s">
        <v>2052</v>
      </c>
      <c r="B133" s="31"/>
      <c r="C133" s="20"/>
    </row>
    <row r="134" spans="1:9" ht="19.95" customHeight="1" x14ac:dyDescent="0.3">
      <c r="B134" s="31"/>
      <c r="C134" s="20"/>
    </row>
    <row r="135" spans="1:9" ht="19.95" customHeight="1" x14ac:dyDescent="0.3">
      <c r="A135" s="103"/>
      <c r="B135" s="107"/>
      <c r="C135" s="106"/>
      <c r="D135" s="103"/>
      <c r="E135" s="103"/>
      <c r="F135" s="103"/>
      <c r="G135" s="103"/>
      <c r="H135" s="103"/>
      <c r="I135" s="103"/>
    </row>
    <row r="136" spans="1:9" ht="19.95" customHeight="1" x14ac:dyDescent="0.3"/>
    <row r="137" spans="1:9" ht="24" customHeight="1" x14ac:dyDescent="0.3">
      <c r="A137" s="41" t="s">
        <v>2056</v>
      </c>
      <c r="B137" s="45" t="s">
        <v>2057</v>
      </c>
      <c r="C137" s="46" t="s">
        <v>2058</v>
      </c>
      <c r="D137" s="46" t="s">
        <v>1940</v>
      </c>
      <c r="E137" s="46" t="s">
        <v>2059</v>
      </c>
      <c r="F137" s="94" t="str">
        <f>IF(OR($B$8="PROPAGANDA",$B$8="PROGRAM"),"✅ ACTIVE","❌")</f>
        <v>❌</v>
      </c>
      <c r="G137" s="42"/>
      <c r="H137" s="47" t="s">
        <v>2060</v>
      </c>
      <c r="I137" s="44" t="s">
        <v>2061</v>
      </c>
    </row>
    <row r="138" spans="1:9" ht="19.95" customHeight="1" x14ac:dyDescent="0.3">
      <c r="A138">
        <v>1</v>
      </c>
      <c r="B138" s="20"/>
      <c r="C138" s="20"/>
      <c r="D138" s="20"/>
      <c r="E138" s="20"/>
      <c r="F138" s="20"/>
    </row>
    <row r="139" spans="1:9" ht="19.95" customHeight="1" x14ac:dyDescent="0.3">
      <c r="A139">
        <v>2</v>
      </c>
      <c r="B139" s="20"/>
      <c r="C139" s="20"/>
      <c r="D139" s="20"/>
      <c r="E139" s="20"/>
      <c r="F139" s="20"/>
    </row>
    <row r="140" spans="1:9" ht="19.95" customHeight="1" x14ac:dyDescent="0.3">
      <c r="A140">
        <v>3</v>
      </c>
      <c r="B140" s="20"/>
      <c r="C140" s="20"/>
      <c r="D140" s="20"/>
      <c r="E140" s="20"/>
      <c r="F140" s="20"/>
    </row>
    <row r="141" spans="1:9" ht="19.95" customHeight="1" x14ac:dyDescent="0.3">
      <c r="A141">
        <v>4</v>
      </c>
      <c r="B141" s="20"/>
      <c r="C141" s="20"/>
      <c r="D141" s="20"/>
      <c r="E141" s="20"/>
      <c r="F141" s="20"/>
    </row>
    <row r="142" spans="1:9" ht="19.95" customHeight="1" x14ac:dyDescent="0.3">
      <c r="A142" s="103">
        <v>5</v>
      </c>
      <c r="B142" s="106"/>
      <c r="C142" s="106"/>
      <c r="D142" s="106"/>
      <c r="E142" s="106"/>
      <c r="F142" s="106"/>
      <c r="G142" s="103"/>
      <c r="H142" s="103"/>
      <c r="I142" s="103"/>
    </row>
    <row r="143" spans="1:9" ht="19.95" customHeight="1" x14ac:dyDescent="0.3">
      <c r="A143" t="s">
        <v>2062</v>
      </c>
      <c r="B143" s="48"/>
      <c r="C143" s="20"/>
      <c r="E143" s="20"/>
      <c r="I143" s="27" t="s">
        <v>2063</v>
      </c>
    </row>
    <row r="144" spans="1:9" ht="19.95" customHeight="1" x14ac:dyDescent="0.3">
      <c r="B144" s="25"/>
    </row>
    <row r="145" spans="1:9" ht="24" customHeight="1" x14ac:dyDescent="0.3">
      <c r="A145" s="41" t="s">
        <v>2064</v>
      </c>
      <c r="B145" s="42"/>
      <c r="C145" s="42"/>
      <c r="D145" s="42"/>
      <c r="E145" s="42"/>
      <c r="F145" s="93" t="str">
        <f>IF($B$8="PROPAGANDA","✅ ACTIVE","❌")</f>
        <v>❌</v>
      </c>
      <c r="G145" s="42"/>
      <c r="H145" s="43" t="s">
        <v>2065</v>
      </c>
      <c r="I145" s="44" t="s">
        <v>2037</v>
      </c>
    </row>
    <row r="146" spans="1:9" ht="19.95" customHeight="1" x14ac:dyDescent="0.3">
      <c r="A146" t="s">
        <v>2066</v>
      </c>
      <c r="B146" s="20"/>
    </row>
    <row r="147" spans="1:9" ht="19.95" customHeight="1" x14ac:dyDescent="0.3">
      <c r="A147" t="s">
        <v>2067</v>
      </c>
      <c r="B147" s="31" t="s">
        <v>2068</v>
      </c>
      <c r="C147" s="31" t="s">
        <v>2069</v>
      </c>
      <c r="D147" s="31" t="s">
        <v>2070</v>
      </c>
      <c r="E147" s="31" t="s">
        <v>2071</v>
      </c>
    </row>
    <row r="148" spans="1:9" ht="19.95" customHeight="1" x14ac:dyDescent="0.3">
      <c r="B148" s="20"/>
      <c r="C148" s="20"/>
      <c r="D148" s="20"/>
      <c r="E148" s="20"/>
    </row>
    <row r="149" spans="1:9" ht="19.95" customHeight="1" x14ac:dyDescent="0.3">
      <c r="A149" t="s">
        <v>2072</v>
      </c>
      <c r="B149" s="31"/>
      <c r="C149" s="31" t="s">
        <v>2074</v>
      </c>
      <c r="D149" s="31" t="s">
        <v>2075</v>
      </c>
    </row>
    <row r="150" spans="1:9" ht="19.95" customHeight="1" x14ac:dyDescent="0.3">
      <c r="B150" s="20"/>
      <c r="C150" s="20"/>
      <c r="D150" s="20"/>
    </row>
    <row r="151" spans="1:9" ht="19.95" customHeight="1" x14ac:dyDescent="0.3">
      <c r="A151" t="s">
        <v>2076</v>
      </c>
      <c r="B151" s="20"/>
      <c r="I151" s="27" t="s">
        <v>2077</v>
      </c>
    </row>
    <row r="152" spans="1:9" ht="19.95" customHeight="1" x14ac:dyDescent="0.3">
      <c r="A152" t="s">
        <v>2078</v>
      </c>
      <c r="B152" s="20"/>
    </row>
    <row r="153" spans="1:9" ht="19.95" customHeight="1" x14ac:dyDescent="0.3">
      <c r="A153" s="103" t="s">
        <v>2079</v>
      </c>
      <c r="B153" s="106"/>
      <c r="C153" s="103"/>
      <c r="D153" s="103"/>
      <c r="E153" s="103"/>
      <c r="F153" s="103"/>
      <c r="G153" s="103"/>
      <c r="H153" s="103"/>
      <c r="I153" s="103"/>
    </row>
    <row r="154" spans="1:9" ht="19.95" customHeight="1" x14ac:dyDescent="0.3"/>
    <row r="155" spans="1:9" ht="24" customHeight="1" x14ac:dyDescent="0.3">
      <c r="A155" s="49" t="s">
        <v>2080</v>
      </c>
      <c r="B155" s="50" t="s">
        <v>2081</v>
      </c>
      <c r="C155" s="50" t="s">
        <v>2082</v>
      </c>
      <c r="D155" s="50" t="s">
        <v>2083</v>
      </c>
      <c r="E155" s="50" t="s">
        <v>2084</v>
      </c>
      <c r="F155" s="95" t="str">
        <f>IF($B$8="PROPHETIC","✅ ACTIVE","❌")</f>
        <v>❌</v>
      </c>
      <c r="G155" s="51"/>
      <c r="H155" s="52" t="s">
        <v>2085</v>
      </c>
      <c r="I155" s="53" t="s">
        <v>2086</v>
      </c>
    </row>
    <row r="156" spans="1:9" ht="19.95" customHeight="1" x14ac:dyDescent="0.3">
      <c r="A156">
        <v>1</v>
      </c>
      <c r="B156" s="20"/>
      <c r="C156" s="20"/>
      <c r="D156" s="20"/>
      <c r="E156" s="20"/>
      <c r="F156" s="20"/>
    </row>
    <row r="157" spans="1:9" ht="19.95" customHeight="1" x14ac:dyDescent="0.3">
      <c r="A157">
        <v>2</v>
      </c>
      <c r="B157" s="20"/>
      <c r="C157" s="20"/>
      <c r="D157" s="20"/>
      <c r="E157" s="20"/>
      <c r="F157" s="20"/>
    </row>
    <row r="158" spans="1:9" ht="19.95" customHeight="1" x14ac:dyDescent="0.3">
      <c r="A158">
        <v>3</v>
      </c>
      <c r="B158" s="20"/>
      <c r="C158" s="20"/>
      <c r="D158" s="20"/>
      <c r="E158" s="20"/>
      <c r="F158" s="20"/>
    </row>
    <row r="159" spans="1:9" ht="19.95" customHeight="1" x14ac:dyDescent="0.3">
      <c r="A159">
        <v>4</v>
      </c>
      <c r="B159" s="20"/>
      <c r="C159" s="20"/>
      <c r="D159" s="20"/>
      <c r="E159" s="20"/>
      <c r="F159" s="20"/>
    </row>
    <row r="160" spans="1:9" ht="19.95" customHeight="1" x14ac:dyDescent="0.3">
      <c r="A160" s="103">
        <v>5</v>
      </c>
      <c r="B160" s="106"/>
      <c r="C160" s="106"/>
      <c r="D160" s="106"/>
      <c r="E160" s="106"/>
      <c r="F160" s="106"/>
      <c r="G160" s="103"/>
      <c r="H160" s="103"/>
      <c r="I160" s="103"/>
    </row>
    <row r="161" spans="1:9" ht="19.95" customHeight="1" x14ac:dyDescent="0.3"/>
    <row r="162" spans="1:9" ht="24" customHeight="1" x14ac:dyDescent="0.3">
      <c r="A162" s="49" t="s">
        <v>2087</v>
      </c>
      <c r="B162" s="50" t="s">
        <v>2088</v>
      </c>
      <c r="C162" s="50" t="s">
        <v>2089</v>
      </c>
      <c r="D162" s="50" t="s">
        <v>2090</v>
      </c>
      <c r="E162" s="50" t="s">
        <v>2091</v>
      </c>
      <c r="F162" s="95" t="str">
        <f>IF($B$8="PROPHETIC","✅ ACTIVE","❌")</f>
        <v>❌</v>
      </c>
      <c r="G162" s="51"/>
      <c r="H162" s="52" t="s">
        <v>2092</v>
      </c>
      <c r="I162" s="53" t="s">
        <v>2093</v>
      </c>
    </row>
    <row r="163" spans="1:9" ht="19.95" customHeight="1" x14ac:dyDescent="0.3">
      <c r="A163">
        <v>1</v>
      </c>
      <c r="B163" s="20"/>
      <c r="C163" s="20"/>
      <c r="D163" s="20"/>
      <c r="E163" s="20"/>
      <c r="F163" s="20"/>
    </row>
    <row r="164" spans="1:9" ht="19.95" customHeight="1" x14ac:dyDescent="0.3">
      <c r="A164">
        <v>2</v>
      </c>
      <c r="B164" s="20"/>
      <c r="C164" s="20"/>
      <c r="D164" s="20"/>
      <c r="E164" s="20"/>
      <c r="F164" s="20"/>
    </row>
    <row r="165" spans="1:9" ht="19.95" customHeight="1" x14ac:dyDescent="0.3">
      <c r="A165" s="103">
        <v>3</v>
      </c>
      <c r="B165" s="106"/>
      <c r="C165" s="106"/>
      <c r="D165" s="106"/>
      <c r="E165" s="106"/>
      <c r="F165" s="106"/>
      <c r="G165" s="103"/>
      <c r="H165" s="103"/>
      <c r="I165" s="103"/>
    </row>
    <row r="166" spans="1:9" ht="19.95" customHeight="1" x14ac:dyDescent="0.3"/>
    <row r="167" spans="1:9" ht="24" customHeight="1" x14ac:dyDescent="0.3">
      <c r="A167" s="54" t="s">
        <v>2094</v>
      </c>
      <c r="B167" s="55" t="s">
        <v>2095</v>
      </c>
      <c r="C167" s="55" t="s">
        <v>1940</v>
      </c>
      <c r="D167" s="55" t="s">
        <v>2096</v>
      </c>
      <c r="E167" s="55" t="s">
        <v>1956</v>
      </c>
      <c r="F167" s="96" t="str">
        <f>IF($B$8="PHENOMENON","✅ ACTIVE","❌")</f>
        <v>❌</v>
      </c>
      <c r="G167" s="56"/>
      <c r="H167" s="57" t="s">
        <v>2097</v>
      </c>
      <c r="I167" s="58" t="s">
        <v>2098</v>
      </c>
    </row>
    <row r="168" spans="1:9" ht="19.95" customHeight="1" x14ac:dyDescent="0.3">
      <c r="A168">
        <v>1</v>
      </c>
      <c r="B168" s="20"/>
      <c r="C168" s="20"/>
      <c r="D168" s="20"/>
      <c r="E168" s="20"/>
      <c r="F168" s="20"/>
    </row>
    <row r="169" spans="1:9" ht="19.95" customHeight="1" x14ac:dyDescent="0.3">
      <c r="A169">
        <v>2</v>
      </c>
      <c r="B169" s="20"/>
      <c r="C169" s="20"/>
      <c r="D169" s="20"/>
      <c r="E169" s="20"/>
      <c r="F169" s="20"/>
    </row>
    <row r="170" spans="1:9" ht="19.95" customHeight="1" x14ac:dyDescent="0.3">
      <c r="A170">
        <v>3</v>
      </c>
      <c r="B170" s="20"/>
      <c r="C170" s="20"/>
      <c r="D170" s="20"/>
      <c r="E170" s="20"/>
      <c r="F170" s="20"/>
    </row>
    <row r="171" spans="1:9" ht="19.95" customHeight="1" x14ac:dyDescent="0.3">
      <c r="A171">
        <v>4</v>
      </c>
      <c r="B171" s="20"/>
      <c r="C171" s="20"/>
      <c r="D171" s="20"/>
      <c r="E171" s="20"/>
      <c r="F171" s="20"/>
    </row>
    <row r="172" spans="1:9" ht="19.95" customHeight="1" x14ac:dyDescent="0.3">
      <c r="A172" s="103">
        <v>5</v>
      </c>
      <c r="B172" s="106"/>
      <c r="C172" s="106"/>
      <c r="D172" s="106"/>
      <c r="E172" s="106"/>
      <c r="F172" s="106"/>
      <c r="G172" s="103"/>
      <c r="H172" s="103"/>
      <c r="I172" s="103"/>
    </row>
    <row r="173" spans="1:9" ht="19.95" customHeight="1" x14ac:dyDescent="0.3"/>
    <row r="174" spans="1:9" ht="24" customHeight="1" x14ac:dyDescent="0.3">
      <c r="A174" s="54" t="s">
        <v>2099</v>
      </c>
      <c r="B174" s="55" t="s">
        <v>2100</v>
      </c>
      <c r="C174" s="55" t="s">
        <v>2101</v>
      </c>
      <c r="D174" s="55" t="s">
        <v>2102</v>
      </c>
      <c r="E174" s="55" t="s">
        <v>2103</v>
      </c>
      <c r="F174" s="96" t="str">
        <f>IF(OR($B$8="PHENOMENON",$B$8="EVENT"),"✅ ACTIVE","❌")</f>
        <v>❌</v>
      </c>
      <c r="G174" s="56"/>
      <c r="H174" s="57" t="s">
        <v>2104</v>
      </c>
      <c r="I174" s="58" t="s">
        <v>2105</v>
      </c>
    </row>
    <row r="175" spans="1:9" ht="19.95" customHeight="1" x14ac:dyDescent="0.3">
      <c r="A175">
        <v>1</v>
      </c>
      <c r="B175" s="20"/>
      <c r="C175" s="20"/>
      <c r="D175" s="20"/>
      <c r="E175" s="20"/>
      <c r="F175" s="20"/>
    </row>
    <row r="176" spans="1:9" ht="19.95" customHeight="1" x14ac:dyDescent="0.3">
      <c r="A176">
        <v>2</v>
      </c>
      <c r="B176" s="20"/>
      <c r="C176" s="20"/>
      <c r="D176" s="20"/>
      <c r="E176" s="20"/>
      <c r="F176" s="20"/>
    </row>
    <row r="177" spans="1:9" ht="19.95" customHeight="1" x14ac:dyDescent="0.3">
      <c r="A177" s="103">
        <v>3</v>
      </c>
      <c r="B177" s="106"/>
      <c r="C177" s="106"/>
      <c r="D177" s="106"/>
      <c r="E177" s="106"/>
      <c r="F177" s="106"/>
      <c r="G177" s="103"/>
      <c r="H177" s="103"/>
      <c r="I177" s="103"/>
    </row>
    <row r="178" spans="1:9" ht="19.95" customHeight="1" x14ac:dyDescent="0.3"/>
    <row r="179" spans="1:9" ht="24" customHeight="1" x14ac:dyDescent="0.3">
      <c r="A179" s="59" t="s">
        <v>2106</v>
      </c>
      <c r="B179" s="60"/>
      <c r="C179" s="60"/>
      <c r="D179" s="60"/>
      <c r="E179" s="60"/>
      <c r="F179" s="97" t="str">
        <f>IF($B$8="SYMBOL","✅ ACTIVE","❌")</f>
        <v>❌</v>
      </c>
      <c r="G179" s="60"/>
      <c r="H179" s="61" t="s">
        <v>2107</v>
      </c>
      <c r="I179" s="62" t="s">
        <v>2108</v>
      </c>
    </row>
    <row r="180" spans="1:9" ht="19.95" customHeight="1" x14ac:dyDescent="0.3">
      <c r="A180" t="s">
        <v>2109</v>
      </c>
      <c r="B180" s="20"/>
    </row>
    <row r="181" spans="1:9" ht="19.95" customHeight="1" x14ac:dyDescent="0.3">
      <c r="A181" t="s">
        <v>2110</v>
      </c>
      <c r="B181" s="20"/>
      <c r="C181" s="31" t="s">
        <v>1942</v>
      </c>
      <c r="D181" s="20"/>
    </row>
    <row r="182" spans="1:9" ht="19.95" customHeight="1" x14ac:dyDescent="0.3">
      <c r="A182" t="s">
        <v>2111</v>
      </c>
      <c r="B182" s="20"/>
    </row>
    <row r="183" spans="1:9" ht="19.95" customHeight="1" x14ac:dyDescent="0.3">
      <c r="A183" t="s">
        <v>2112</v>
      </c>
      <c r="B183" s="20"/>
      <c r="C183" s="31" t="s">
        <v>1942</v>
      </c>
      <c r="D183" s="20"/>
    </row>
    <row r="184" spans="1:9" ht="19.95" customHeight="1" x14ac:dyDescent="0.3">
      <c r="A184" t="s">
        <v>2113</v>
      </c>
      <c r="B184" s="20"/>
      <c r="C184" s="31" t="s">
        <v>1942</v>
      </c>
      <c r="D184" s="20"/>
    </row>
    <row r="185" spans="1:9" ht="19.95" customHeight="1" x14ac:dyDescent="0.3">
      <c r="A185" s="103" t="s">
        <v>2114</v>
      </c>
      <c r="B185" s="106"/>
      <c r="C185" s="107" t="s">
        <v>2115</v>
      </c>
      <c r="D185" s="106"/>
      <c r="E185" s="103"/>
      <c r="F185" s="103"/>
      <c r="G185" s="103"/>
      <c r="H185" s="103"/>
      <c r="I185" s="103"/>
    </row>
    <row r="186" spans="1:9" ht="19.95" customHeight="1" x14ac:dyDescent="0.3"/>
    <row r="187" spans="1:9" ht="24" customHeight="1" x14ac:dyDescent="0.3">
      <c r="A187" s="63" t="s">
        <v>2116</v>
      </c>
      <c r="B187" s="64"/>
      <c r="C187" s="64"/>
      <c r="D187" s="64"/>
      <c r="E187" s="64"/>
      <c r="F187" s="98" t="str">
        <f>IF($B$8="PATTERN","✅ ACTIVE","❌")</f>
        <v>❌</v>
      </c>
      <c r="G187" s="64"/>
      <c r="H187" s="65" t="s">
        <v>2117</v>
      </c>
      <c r="I187" s="66" t="s">
        <v>2118</v>
      </c>
    </row>
    <row r="188" spans="1:9" ht="19.95" customHeight="1" x14ac:dyDescent="0.3">
      <c r="A188" t="s">
        <v>2119</v>
      </c>
      <c r="B188" s="20"/>
    </row>
    <row r="189" spans="1:9" ht="19.95" customHeight="1" x14ac:dyDescent="0.3">
      <c r="A189" t="s">
        <v>2120</v>
      </c>
      <c r="B189" s="20"/>
    </row>
    <row r="190" spans="1:9" ht="19.95" customHeight="1" x14ac:dyDescent="0.3">
      <c r="A190" t="s">
        <v>2121</v>
      </c>
      <c r="B190" s="20"/>
      <c r="C190" s="31" t="s">
        <v>2122</v>
      </c>
      <c r="D190" s="20"/>
    </row>
    <row r="191" spans="1:9" ht="19.95" customHeight="1" x14ac:dyDescent="0.3">
      <c r="A191" t="s">
        <v>2123</v>
      </c>
      <c r="B191" s="20"/>
    </row>
    <row r="192" spans="1:9" ht="19.95" customHeight="1" x14ac:dyDescent="0.3">
      <c r="A192" t="s">
        <v>2124</v>
      </c>
      <c r="B192" s="20"/>
    </row>
    <row r="193" spans="1:9" ht="19.95" customHeight="1" x14ac:dyDescent="0.3">
      <c r="A193" t="s">
        <v>2125</v>
      </c>
      <c r="B193" s="31"/>
      <c r="C193" s="31" t="s">
        <v>2127</v>
      </c>
      <c r="D193" s="31" t="s">
        <v>2128</v>
      </c>
      <c r="E193" s="31" t="s">
        <v>2129</v>
      </c>
    </row>
    <row r="194" spans="1:9" ht="19.95" customHeight="1" x14ac:dyDescent="0.3">
      <c r="A194">
        <v>1</v>
      </c>
      <c r="B194" s="20"/>
      <c r="C194" s="20"/>
      <c r="D194" s="20"/>
      <c r="E194" s="20"/>
    </row>
    <row r="195" spans="1:9" ht="19.95" customHeight="1" x14ac:dyDescent="0.3">
      <c r="A195">
        <v>2</v>
      </c>
      <c r="B195" s="20"/>
      <c r="C195" s="20"/>
      <c r="D195" s="20"/>
      <c r="E195" s="20"/>
    </row>
    <row r="196" spans="1:9" ht="19.95" customHeight="1" x14ac:dyDescent="0.3">
      <c r="A196">
        <v>3</v>
      </c>
      <c r="B196" s="20"/>
      <c r="C196" s="20"/>
      <c r="D196" s="20"/>
      <c r="E196" s="20"/>
    </row>
    <row r="197" spans="1:9" ht="19.95" customHeight="1" x14ac:dyDescent="0.3">
      <c r="A197" t="s">
        <v>2130</v>
      </c>
      <c r="B197" s="20"/>
    </row>
    <row r="198" spans="1:9" ht="19.95" customHeight="1" x14ac:dyDescent="0.3">
      <c r="A198" t="s">
        <v>2131</v>
      </c>
      <c r="B198" s="20"/>
    </row>
    <row r="199" spans="1:9" ht="19.95" customHeight="1" x14ac:dyDescent="0.3">
      <c r="A199" s="103" t="s">
        <v>2132</v>
      </c>
      <c r="B199" s="106"/>
      <c r="C199" s="103"/>
      <c r="D199" s="103"/>
      <c r="E199" s="103"/>
      <c r="F199" s="103"/>
      <c r="G199" s="103"/>
      <c r="H199" s="103"/>
      <c r="I199" s="103"/>
    </row>
    <row r="200" spans="1:9" ht="19.95" customHeight="1" x14ac:dyDescent="0.3">
      <c r="A200" s="169" t="s">
        <v>2882</v>
      </c>
      <c r="B200" s="170" t="s">
        <v>2883</v>
      </c>
      <c r="C200" s="170" t="s">
        <v>2884</v>
      </c>
      <c r="D200" s="170" t="s">
        <v>2885</v>
      </c>
      <c r="E200" s="170" t="s">
        <v>2886</v>
      </c>
      <c r="F200" s="170" t="s">
        <v>2887</v>
      </c>
      <c r="G200" s="170" t="s">
        <v>2888</v>
      </c>
      <c r="H200" s="172" t="s">
        <v>2889</v>
      </c>
      <c r="I200" s="171" t="s">
        <v>2890</v>
      </c>
    </row>
    <row r="201" spans="1:9" ht="19.95" customHeight="1" x14ac:dyDescent="0.3">
      <c r="A201" s="125">
        <v>1</v>
      </c>
    </row>
    <row r="202" spans="1:9" ht="19.95" customHeight="1" x14ac:dyDescent="0.3">
      <c r="A202" s="125">
        <v>2</v>
      </c>
    </row>
    <row r="203" spans="1:9" ht="19.95" customHeight="1" x14ac:dyDescent="0.3">
      <c r="A203" s="125">
        <v>3</v>
      </c>
    </row>
    <row r="204" spans="1:9" ht="19.95" customHeight="1" x14ac:dyDescent="0.3">
      <c r="A204" s="125">
        <v>4</v>
      </c>
    </row>
    <row r="205" spans="1:9" ht="19.95" customHeight="1" x14ac:dyDescent="0.3">
      <c r="A205" s="125">
        <v>5</v>
      </c>
    </row>
    <row r="206" spans="1:9" ht="19.95" customHeight="1" x14ac:dyDescent="0.3">
      <c r="A206" s="125">
        <v>6</v>
      </c>
    </row>
    <row r="207" spans="1:9" ht="19.95" customHeight="1" x14ac:dyDescent="0.3">
      <c r="A207" s="125">
        <v>7</v>
      </c>
    </row>
    <row r="208" spans="1:9" ht="19.95" customHeight="1" x14ac:dyDescent="0.3">
      <c r="A208" s="125">
        <v>8</v>
      </c>
    </row>
    <row r="209" spans="1:9" ht="19.95" customHeight="1" x14ac:dyDescent="0.3">
      <c r="A209" s="125">
        <v>9</v>
      </c>
    </row>
    <row r="210" spans="1:9" ht="19.95" customHeight="1" x14ac:dyDescent="0.3">
      <c r="A210" s="125">
        <v>10</v>
      </c>
    </row>
    <row r="211" spans="1:9" ht="19.95" customHeight="1" x14ac:dyDescent="0.3">
      <c r="A211" s="177" t="s">
        <v>10416</v>
      </c>
      <c r="B211" s="178" t="s">
        <v>10417</v>
      </c>
      <c r="C211" s="178" t="s">
        <v>10418</v>
      </c>
      <c r="D211" s="178" t="s">
        <v>10419</v>
      </c>
      <c r="E211" s="178" t="s">
        <v>10420</v>
      </c>
      <c r="F211" s="179"/>
      <c r="G211" s="179"/>
      <c r="H211" s="180" t="s">
        <v>10421</v>
      </c>
      <c r="I211" s="181" t="s">
        <v>10422</v>
      </c>
    </row>
    <row r="212" spans="1:9" ht="19.95" customHeight="1" x14ac:dyDescent="0.3">
      <c r="A212" s="18" t="s">
        <v>10423</v>
      </c>
      <c r="B212" s="184"/>
      <c r="C212" s="184"/>
      <c r="E212" t="s">
        <v>10424</v>
      </c>
    </row>
    <row r="213" spans="1:9" ht="19.95" customHeight="1" x14ac:dyDescent="0.3">
      <c r="A213" s="18" t="s">
        <v>10425</v>
      </c>
      <c r="B213" s="184"/>
      <c r="C213" s="184"/>
      <c r="E213" t="s">
        <v>10426</v>
      </c>
    </row>
    <row r="214" spans="1:9" ht="19.95" customHeight="1" x14ac:dyDescent="0.3">
      <c r="A214" s="18" t="s">
        <v>10427</v>
      </c>
      <c r="B214" s="184"/>
      <c r="C214" s="184"/>
      <c r="E214" t="s">
        <v>10428</v>
      </c>
    </row>
    <row r="215" spans="1:9" ht="19.95" customHeight="1" x14ac:dyDescent="0.3">
      <c r="A215" s="18" t="s">
        <v>10429</v>
      </c>
      <c r="B215" s="184"/>
      <c r="C215" s="184"/>
      <c r="E215" t="s">
        <v>10430</v>
      </c>
    </row>
    <row r="216" spans="1:9" ht="19.95" customHeight="1" x14ac:dyDescent="0.3">
      <c r="A216" s="18" t="s">
        <v>10431</v>
      </c>
      <c r="B216" s="184"/>
      <c r="C216" s="184"/>
      <c r="E216" t="s">
        <v>10432</v>
      </c>
    </row>
    <row r="217" spans="1:9" ht="19.95" customHeight="1" x14ac:dyDescent="0.3">
      <c r="A217" s="18" t="s">
        <v>10433</v>
      </c>
      <c r="B217" s="184"/>
      <c r="C217" s="184"/>
      <c r="E217" t="s">
        <v>10434</v>
      </c>
    </row>
    <row r="218" spans="1:9" ht="19.95" customHeight="1" x14ac:dyDescent="0.3">
      <c r="A218" s="18" t="s">
        <v>10435</v>
      </c>
      <c r="B218" s="184"/>
      <c r="C218" s="184"/>
      <c r="E218" t="s">
        <v>10436</v>
      </c>
    </row>
    <row r="219" spans="1:9" ht="19.95" customHeight="1" x14ac:dyDescent="0.3">
      <c r="A219" s="18" t="s">
        <v>10437</v>
      </c>
      <c r="B219" s="184"/>
      <c r="C219" s="184"/>
      <c r="E219" t="s">
        <v>10438</v>
      </c>
    </row>
    <row r="220" spans="1:9" ht="19.95" customHeight="1" x14ac:dyDescent="0.3">
      <c r="A220" s="18" t="s">
        <v>10439</v>
      </c>
      <c r="B220" s="184"/>
      <c r="C220" s="184"/>
      <c r="E220" t="s">
        <v>10440</v>
      </c>
    </row>
    <row r="221" spans="1:9" ht="19.95" customHeight="1" x14ac:dyDescent="0.3">
      <c r="A221" s="18" t="s">
        <v>10441</v>
      </c>
      <c r="B221" s="184"/>
      <c r="C221" s="184"/>
      <c r="E221" t="s">
        <v>10442</v>
      </c>
    </row>
    <row r="222" spans="1:9" ht="19.95" customHeight="1" x14ac:dyDescent="0.3">
      <c r="A222" s="18" t="s">
        <v>10443</v>
      </c>
      <c r="B222" s="184"/>
      <c r="C222" s="184"/>
      <c r="E222" t="s">
        <v>10444</v>
      </c>
    </row>
    <row r="223" spans="1:9" ht="19.95" customHeight="1" x14ac:dyDescent="0.3">
      <c r="A223" s="18" t="s">
        <v>10445</v>
      </c>
      <c r="B223" s="184"/>
      <c r="C223" s="184"/>
      <c r="E223" t="s">
        <v>10446</v>
      </c>
    </row>
    <row r="224" spans="1:9" ht="19.95" customHeight="1" x14ac:dyDescent="0.3">
      <c r="A224" s="182" t="s">
        <v>10447</v>
      </c>
      <c r="B224" s="184"/>
      <c r="C224" s="184"/>
      <c r="E224" t="s">
        <v>10448</v>
      </c>
    </row>
    <row r="225" spans="1:9" ht="19.95" customHeight="1" x14ac:dyDescent="0.3">
      <c r="A225" s="182" t="s">
        <v>10449</v>
      </c>
      <c r="B225" s="184"/>
      <c r="C225" s="184"/>
      <c r="E225" t="s">
        <v>10450</v>
      </c>
    </row>
    <row r="226" spans="1:9" ht="19.95" customHeight="1" x14ac:dyDescent="0.3"/>
    <row r="227" spans="1:9" ht="19.95" customHeight="1" x14ac:dyDescent="0.35">
      <c r="A227" s="186" t="s">
        <v>10451</v>
      </c>
      <c r="B227" s="187">
        <f>IF(COUNTA(B212:B225)&gt;0,AVERAGE(B212:B225),0)</f>
        <v>0</v>
      </c>
      <c r="C227" s="188" t="s">
        <v>10452</v>
      </c>
      <c r="D227" s="189" t="str">
        <f>IF(B227&gt;=0.7,"EXTREME — Demands attention",IF(B227&gt;=0.5,"STRONG — Formal investigation warranted",IF(B227&gt;=0.3,"PATTERN FORMING — Run base-rate analysis",IF(B227&gt;=0.15,"MILD — Note and watch","NOTHING UNUSUAL"))))</f>
        <v>NOTHING UNUSUAL</v>
      </c>
      <c r="E227" s="158"/>
      <c r="F227" s="158"/>
      <c r="G227" s="158"/>
      <c r="H227" s="158"/>
      <c r="I227" s="158"/>
    </row>
    <row r="228" spans="1:9" ht="19.95" customHeight="1" x14ac:dyDescent="0.3">
      <c r="A228" s="125" t="s">
        <v>10453</v>
      </c>
      <c r="B228" s="185">
        <f>COUNTA(B212:B225)</f>
        <v>0</v>
      </c>
      <c r="C228" t="s">
        <v>10454</v>
      </c>
      <c r="D228" s="125" t="s">
        <v>10455</v>
      </c>
      <c r="E228" s="190">
        <f>IF(COUNTA(C212:C225)&gt;0,AVERAGE(C212:C225),0)</f>
        <v>0</v>
      </c>
    </row>
    <row r="229" spans="1:9" ht="19.95" customHeight="1" x14ac:dyDescent="0.3"/>
    <row r="230" spans="1:9" ht="19.95" customHeight="1" x14ac:dyDescent="0.3">
      <c r="A230" s="132" t="s">
        <v>10456</v>
      </c>
    </row>
    <row r="231" spans="1:9" ht="19.95" customHeight="1" x14ac:dyDescent="0.3">
      <c r="A231" s="125" t="s">
        <v>10457</v>
      </c>
      <c r="B231" s="191" t="str">
        <f>IF(COUNTA('Case Template'!B43:B50)&gt;=6,"MATURE",IF(COUNTA('Case Template'!B43:B50)&gt;=3,"MID","EARLY"))</f>
        <v>EARLY</v>
      </c>
      <c r="C231" t="s">
        <v>10458</v>
      </c>
    </row>
    <row r="232" spans="1:9" ht="19.95" customHeight="1" x14ac:dyDescent="0.3">
      <c r="A232" s="192" t="s">
        <v>10459</v>
      </c>
      <c r="B232" s="183">
        <f>IF(B231="EARLY",0.7,IF(B231="MID",0.2,0.1))</f>
        <v>0.7</v>
      </c>
    </row>
    <row r="233" spans="1:9" ht="19.95" customHeight="1" x14ac:dyDescent="0.3">
      <c r="A233" s="135" t="s">
        <v>10460</v>
      </c>
      <c r="B233" s="183">
        <f>IF(B231="EARLY",0.2,IF(B231="MID",0.5,0.2))</f>
        <v>0.2</v>
      </c>
    </row>
    <row r="234" spans="1:9" ht="19.95" customHeight="1" x14ac:dyDescent="0.3">
      <c r="A234" s="142" t="s">
        <v>10461</v>
      </c>
      <c r="B234" s="183">
        <f>IF(B231="EARLY",0.1,IF(B231="MID",0.3,0.7))</f>
        <v>0.1</v>
      </c>
    </row>
    <row r="235" spans="1:9" ht="19.95" customHeight="1" x14ac:dyDescent="0.3"/>
    <row r="236" spans="1:9" ht="19.95" customHeight="1" x14ac:dyDescent="0.3">
      <c r="A236" s="204" t="s">
        <v>10543</v>
      </c>
      <c r="B236" s="205" t="s">
        <v>10417</v>
      </c>
      <c r="C236" s="205" t="s">
        <v>1650</v>
      </c>
      <c r="D236" s="205" t="s">
        <v>10544</v>
      </c>
      <c r="E236" s="206"/>
      <c r="F236" s="206"/>
      <c r="G236" s="206"/>
      <c r="H236" s="207" t="s">
        <v>10545</v>
      </c>
      <c r="I236" s="208" t="s">
        <v>10546</v>
      </c>
    </row>
    <row r="237" spans="1:9" ht="19.95" customHeight="1" x14ac:dyDescent="0.3">
      <c r="A237" s="209" t="s">
        <v>10547</v>
      </c>
    </row>
    <row r="238" spans="1:9" ht="19.95" customHeight="1" x14ac:dyDescent="0.3">
      <c r="A238" t="s">
        <v>10548</v>
      </c>
      <c r="B238" s="184"/>
      <c r="C238" s="210"/>
      <c r="D238" t="s">
        <v>10549</v>
      </c>
    </row>
    <row r="239" spans="1:9" ht="19.95" customHeight="1" x14ac:dyDescent="0.3">
      <c r="A239" t="s">
        <v>10550</v>
      </c>
      <c r="B239" s="184"/>
      <c r="C239" s="210"/>
      <c r="D239" t="s">
        <v>10551</v>
      </c>
    </row>
    <row r="240" spans="1:9" ht="19.95" customHeight="1" x14ac:dyDescent="0.3">
      <c r="A240" t="s">
        <v>10552</v>
      </c>
      <c r="B240" s="184"/>
      <c r="C240" s="210"/>
      <c r="D240" t="s">
        <v>10553</v>
      </c>
    </row>
    <row r="241" spans="1:9" ht="19.95" customHeight="1" x14ac:dyDescent="0.3">
      <c r="A241" t="s">
        <v>10554</v>
      </c>
      <c r="B241" s="184"/>
      <c r="C241" s="210"/>
      <c r="D241" t="s">
        <v>10555</v>
      </c>
    </row>
    <row r="242" spans="1:9" ht="19.95" customHeight="1" x14ac:dyDescent="0.3">
      <c r="A242" t="s">
        <v>10556</v>
      </c>
      <c r="B242" s="184"/>
      <c r="C242" s="210"/>
      <c r="D242" t="s">
        <v>10557</v>
      </c>
    </row>
    <row r="243" spans="1:9" ht="19.95" customHeight="1" x14ac:dyDescent="0.3"/>
    <row r="244" spans="1:9" ht="19.95" customHeight="1" x14ac:dyDescent="0.35">
      <c r="A244" s="211" t="s">
        <v>10558</v>
      </c>
      <c r="B244" s="212">
        <f>IF(COUNTA(B238:B242)&gt;0,AVERAGE(B238:B242),0)</f>
        <v>0</v>
      </c>
      <c r="C244" s="213" t="s">
        <v>10452</v>
      </c>
      <c r="D244" s="214" t="str">
        <f>IF(B244&gt;=0.7,"UNSTABLE — Narrative structurally compromised",IF(B244&gt;=0.5,"SIGNIFICANT DRIFT — Multiple unresolved contradictions",IF(B244&gt;=0.3,"MODERATE — Some inconsistencies",IF(B244&gt;=0.15,"MINOR — Normal narrative evolution","STABLE — No significant contradictions"))))</f>
        <v>STABLE — No significant contradictions</v>
      </c>
      <c r="E244" s="215"/>
      <c r="F244" s="215"/>
      <c r="G244" s="215"/>
      <c r="H244" s="215"/>
      <c r="I244" s="215"/>
    </row>
    <row r="245" spans="1:9" ht="19.95" customHeight="1" x14ac:dyDescent="0.3">
      <c r="A245" t="s">
        <v>10559</v>
      </c>
      <c r="B245">
        <f>SUM(C238:C242)</f>
        <v>0</v>
      </c>
      <c r="C245" t="s">
        <v>10560</v>
      </c>
      <c r="D245" s="24"/>
    </row>
    <row r="246" spans="1:9" ht="19.95" customHeight="1" x14ac:dyDescent="0.3"/>
    <row r="247" spans="1:9" ht="19.95" customHeight="1" x14ac:dyDescent="0.3">
      <c r="A247" s="182" t="s">
        <v>10561</v>
      </c>
      <c r="D247" t="s">
        <v>10562</v>
      </c>
    </row>
    <row r="248" spans="1:9" ht="19.95" customHeight="1" x14ac:dyDescent="0.3">
      <c r="A248" s="126" t="s">
        <v>10563</v>
      </c>
      <c r="D248" t="s">
        <v>10564</v>
      </c>
    </row>
    <row r="249" spans="1:9" ht="19.95" customHeight="1" x14ac:dyDescent="0.3"/>
    <row r="250" spans="1:9" ht="19.95" customHeight="1" x14ac:dyDescent="0.3"/>
    <row r="251" spans="1:9" ht="19.95" customHeight="1" x14ac:dyDescent="0.3"/>
    <row r="252" spans="1:9" ht="19.95" customHeight="1" x14ac:dyDescent="0.3"/>
    <row r="253" spans="1:9" ht="19.95" customHeight="1" x14ac:dyDescent="0.3"/>
    <row r="254" spans="1:9" ht="19.95" customHeight="1" x14ac:dyDescent="0.3">
      <c r="A254" s="193" t="s">
        <v>10462</v>
      </c>
      <c r="B254" s="194"/>
      <c r="C254" s="194"/>
      <c r="D254" s="194"/>
      <c r="E254" s="194"/>
      <c r="F254" s="194"/>
      <c r="G254" s="194"/>
      <c r="H254" s="195" t="s">
        <v>10463</v>
      </c>
      <c r="I254" s="196" t="s">
        <v>10464</v>
      </c>
    </row>
    <row r="255" spans="1:9" ht="19.95" customHeight="1" x14ac:dyDescent="0.3">
      <c r="A255" s="198" t="s">
        <v>10465</v>
      </c>
    </row>
    <row r="256" spans="1:9" ht="19.95" customHeight="1" x14ac:dyDescent="0.3">
      <c r="A256" t="s">
        <v>10466</v>
      </c>
      <c r="B256" s="24"/>
    </row>
    <row r="257" spans="1:4" ht="19.95" customHeight="1" x14ac:dyDescent="0.3">
      <c r="A257" t="s">
        <v>10467</v>
      </c>
      <c r="B257" s="24"/>
    </row>
    <row r="258" spans="1:4" ht="19.95" customHeight="1" x14ac:dyDescent="0.3">
      <c r="A258" t="s">
        <v>10468</v>
      </c>
      <c r="B258" s="24"/>
    </row>
    <row r="259" spans="1:4" ht="19.95" customHeight="1" x14ac:dyDescent="0.3">
      <c r="A259" t="s">
        <v>10469</v>
      </c>
      <c r="B259" s="24"/>
    </row>
    <row r="260" spans="1:4" ht="19.95" customHeight="1" x14ac:dyDescent="0.3">
      <c r="A260" s="198" t="s">
        <v>10470</v>
      </c>
    </row>
    <row r="261" spans="1:4" ht="19.95" customHeight="1" x14ac:dyDescent="0.3">
      <c r="A261" t="s">
        <v>10471</v>
      </c>
      <c r="B261" s="24"/>
    </row>
    <row r="262" spans="1:4" ht="19.95" customHeight="1" x14ac:dyDescent="0.3">
      <c r="A262" t="s">
        <v>10472</v>
      </c>
      <c r="B262" s="24"/>
    </row>
    <row r="263" spans="1:4" ht="19.95" customHeight="1" x14ac:dyDescent="0.3">
      <c r="A263" t="s">
        <v>10473</v>
      </c>
      <c r="B263" s="24"/>
    </row>
    <row r="264" spans="1:4" ht="19.95" customHeight="1" x14ac:dyDescent="0.3">
      <c r="A264" s="198" t="s">
        <v>10474</v>
      </c>
    </row>
    <row r="265" spans="1:4" ht="19.95" customHeight="1" x14ac:dyDescent="0.3">
      <c r="A265" t="s">
        <v>10475</v>
      </c>
      <c r="B265" s="24"/>
    </row>
    <row r="266" spans="1:4" ht="19.95" customHeight="1" x14ac:dyDescent="0.3">
      <c r="A266" t="s">
        <v>10476</v>
      </c>
      <c r="B266" s="24"/>
    </row>
    <row r="267" spans="1:4" ht="19.95" customHeight="1" x14ac:dyDescent="0.3">
      <c r="A267" t="s">
        <v>10477</v>
      </c>
      <c r="B267" s="24"/>
    </row>
    <row r="268" spans="1:4" ht="19.95" customHeight="1" x14ac:dyDescent="0.3">
      <c r="A268" t="s">
        <v>10478</v>
      </c>
      <c r="B268" s="24"/>
    </row>
    <row r="269" spans="1:4" ht="19.95" customHeight="1" x14ac:dyDescent="0.3">
      <c r="A269" s="198" t="s">
        <v>10479</v>
      </c>
    </row>
    <row r="270" spans="1:4" ht="19.95" customHeight="1" x14ac:dyDescent="0.3">
      <c r="A270" t="s">
        <v>10480</v>
      </c>
      <c r="B270" s="24"/>
    </row>
    <row r="271" spans="1:4" ht="19.95" customHeight="1" x14ac:dyDescent="0.3">
      <c r="A271" t="s">
        <v>10481</v>
      </c>
      <c r="B271" s="24"/>
      <c r="C271" t="s">
        <v>10482</v>
      </c>
      <c r="D271" s="24"/>
    </row>
    <row r="272" spans="1:4" ht="19.95" customHeight="1" x14ac:dyDescent="0.3">
      <c r="A272" t="s">
        <v>10483</v>
      </c>
      <c r="B272" t="str">
        <f>IF(AND(B266&lt;&gt;"",B267&lt;&gt;""),YEARFRAC(B266,B267),"")</f>
        <v/>
      </c>
    </row>
    <row r="273" spans="1:9" ht="19.95" customHeight="1" x14ac:dyDescent="0.3">
      <c r="A273" t="s">
        <v>10484</v>
      </c>
      <c r="B273" s="18" t="str">
        <f>IF(AND(ISNUMBER(B258),ISNUMBER(B271),ISNUMBER(B272)),B258*B271*B272,"")</f>
        <v/>
      </c>
    </row>
    <row r="274" spans="1:9" ht="19.95" customHeight="1" x14ac:dyDescent="0.35">
      <c r="A274" t="s">
        <v>10485</v>
      </c>
      <c r="B274" s="199" t="str">
        <f>IF(AND(ISNUMBER(B270),ISNUMBER(B273),B273&gt;0),(B270-B273)/SQRT(B273),"")</f>
        <v/>
      </c>
    </row>
    <row r="275" spans="1:9" ht="19.95" customHeight="1" x14ac:dyDescent="0.3">
      <c r="A275" t="s">
        <v>10486</v>
      </c>
      <c r="B275" s="18" t="str">
        <f>IF(ISNUMBER(B274),IF(B274&gt;5,"&lt; 0.000001",IF(B274&gt;3,"&lt; 0.003",IF(B274&gt;2,"&lt; 0.05","&gt; 0.05"))),"")</f>
        <v/>
      </c>
    </row>
    <row r="276" spans="1:9" ht="19.95" customHeight="1" x14ac:dyDescent="0.3">
      <c r="A276" t="s">
        <v>10487</v>
      </c>
      <c r="B276" s="18" t="str">
        <f>IF(ISNUMBER(B274),IF(B274&gt;=5,"T2 — Strong Statistical Anomaly",IF(B274&gt;=3,"T3 — Credible Anomaly",IF(B274&gt;=2,"T4 — Marginal","T5 — Within noise"))),"")</f>
        <v/>
      </c>
    </row>
    <row r="277" spans="1:9" ht="19.95" customHeight="1" x14ac:dyDescent="0.3"/>
    <row r="278" spans="1:9" ht="19.95" customHeight="1" x14ac:dyDescent="0.3">
      <c r="A278" s="182" t="s">
        <v>10488</v>
      </c>
      <c r="B278" t="str">
        <f>IF(B256="","⚠️ Population source undefined",IF(OR(B256="conspiracy_author",B256="self_compiled"),"⚠️ BIAS WARNING: Population from "&amp;B256,"✅ Population source: "&amp;B256))</f>
        <v>⚠️ Population source undefined</v>
      </c>
    </row>
    <row r="279" spans="1:9" ht="19.95" customHeight="1" x14ac:dyDescent="0.3">
      <c r="B279" t="str">
        <f>IF(B257="","⚠️ List type undefined",IF(B257="SELECTIVE","⚠️ SELECTION BIAS: List is selective, not exhaustive","✅ List is exhaustive"))</f>
        <v>⚠️ List type undefined</v>
      </c>
    </row>
    <row r="280" spans="1:9" ht="19.95" customHeight="1" x14ac:dyDescent="0.3">
      <c r="B280" t="str">
        <f>IF(B268="","⚠️ Time window justification missing","✅ Window justified: "&amp;LEFT(B268,50))</f>
        <v>⚠️ Time window justification missing</v>
      </c>
    </row>
    <row r="281" spans="1:9" ht="28.05" customHeight="1" x14ac:dyDescent="0.3">
      <c r="A281" s="67" t="s">
        <v>2133</v>
      </c>
      <c r="B281" s="68"/>
      <c r="C281" s="68"/>
      <c r="D281" s="68"/>
      <c r="E281" s="68"/>
      <c r="F281" s="68"/>
      <c r="G281" s="68"/>
      <c r="H281" s="68"/>
      <c r="I281" s="69" t="s">
        <v>2134</v>
      </c>
    </row>
    <row r="282" spans="1:9" ht="19.95" customHeight="1" x14ac:dyDescent="0.3">
      <c r="A282" s="70" t="s">
        <v>2135</v>
      </c>
    </row>
    <row r="283" spans="1:9" ht="19.95" customHeight="1" x14ac:dyDescent="0.3"/>
    <row r="284" spans="1:9" ht="24" customHeight="1" x14ac:dyDescent="0.3">
      <c r="A284" s="72" t="s">
        <v>2136</v>
      </c>
      <c r="B284" s="73" t="s">
        <v>2137</v>
      </c>
      <c r="C284" s="73" t="s">
        <v>2138</v>
      </c>
      <c r="D284" s="73" t="s">
        <v>2139</v>
      </c>
      <c r="E284" s="73" t="s">
        <v>2140</v>
      </c>
      <c r="F284" s="73" t="s">
        <v>2141</v>
      </c>
      <c r="G284" s="74"/>
      <c r="H284" s="74"/>
      <c r="I284" s="75" t="s">
        <v>2142</v>
      </c>
    </row>
    <row r="285" spans="1:9" ht="19.95" customHeight="1" x14ac:dyDescent="0.3">
      <c r="A285" s="18" t="s">
        <v>2143</v>
      </c>
      <c r="B285">
        <f>COUNTA(B43:B50)</f>
        <v>0</v>
      </c>
      <c r="C285" s="76">
        <v>8</v>
      </c>
      <c r="D285" s="77">
        <f>IF(C285=0,0,B285/C285)</f>
        <v>0</v>
      </c>
      <c r="E285" s="77">
        <v>0.4</v>
      </c>
      <c r="F285" s="84">
        <f>D285*0.4</f>
        <v>0</v>
      </c>
      <c r="I285" s="36" t="s">
        <v>2144</v>
      </c>
    </row>
    <row r="286" spans="1:9" ht="19.95" customHeight="1" x14ac:dyDescent="0.3">
      <c r="A286" s="18" t="s">
        <v>2145</v>
      </c>
      <c r="B286">
        <f>MAX(0,COUNTA(D43:D50))</f>
        <v>0</v>
      </c>
      <c r="C286" s="76">
        <v>5</v>
      </c>
      <c r="D286" s="77">
        <f>IF(OR(C286=0,B286=0),0,MIN(1,B286/C286))</f>
        <v>0</v>
      </c>
      <c r="E286" s="77">
        <v>0.15</v>
      </c>
      <c r="F286" s="84">
        <f>D286*0.15</f>
        <v>0</v>
      </c>
      <c r="I286" s="36" t="s">
        <v>2146</v>
      </c>
    </row>
    <row r="287" spans="1:9" ht="19.95" customHeight="1" x14ac:dyDescent="0.3">
      <c r="A287" s="18" t="s">
        <v>2147</v>
      </c>
      <c r="B287">
        <f>COUNTA(B36:B40)</f>
        <v>0</v>
      </c>
      <c r="C287" s="76">
        <v>5</v>
      </c>
      <c r="D287" s="77">
        <f>IF(C287=0,0,B287/C287)</f>
        <v>0</v>
      </c>
      <c r="E287" s="77">
        <v>0.1</v>
      </c>
      <c r="F287" s="84">
        <f>D287*0.1</f>
        <v>0</v>
      </c>
      <c r="I287" s="36" t="s">
        <v>2148</v>
      </c>
    </row>
    <row r="288" spans="1:9" ht="19.95" customHeight="1" x14ac:dyDescent="0.3">
      <c r="A288" s="18" t="s">
        <v>2149</v>
      </c>
      <c r="B288">
        <f>COUNTA(B24:B33)</f>
        <v>0</v>
      </c>
      <c r="C288" s="76">
        <v>10</v>
      </c>
      <c r="D288" s="77">
        <f>IF(C288=0,0,B288/C288)</f>
        <v>0</v>
      </c>
      <c r="E288" s="77">
        <v>0.1</v>
      </c>
      <c r="F288" s="84">
        <f>D288*0.1</f>
        <v>0</v>
      </c>
      <c r="I288" s="36" t="s">
        <v>2150</v>
      </c>
    </row>
    <row r="289" spans="1:9" ht="19.95" customHeight="1" x14ac:dyDescent="0.3">
      <c r="A289" s="18" t="s">
        <v>2151</v>
      </c>
      <c r="B289">
        <f>COUNTA(B83:B87)</f>
        <v>0</v>
      </c>
      <c r="C289" s="76">
        <v>5</v>
      </c>
      <c r="D289" s="77">
        <f>IF(C289=0,0,B289/C289)</f>
        <v>0</v>
      </c>
      <c r="E289" s="77">
        <v>0.1</v>
      </c>
      <c r="F289" s="84">
        <f>D289*0.1</f>
        <v>0</v>
      </c>
      <c r="I289" s="36" t="s">
        <v>2152</v>
      </c>
    </row>
    <row r="290" spans="1:9" ht="19.95" customHeight="1" x14ac:dyDescent="0.3">
      <c r="A290" s="18" t="s">
        <v>2153</v>
      </c>
      <c r="B290">
        <f>COUNTA(B99:B103)</f>
        <v>0</v>
      </c>
      <c r="C290" s="76">
        <v>5</v>
      </c>
      <c r="D290" s="77">
        <f>IF(C290=0,0,B290/C290)</f>
        <v>0</v>
      </c>
      <c r="E290" s="77">
        <v>0.05</v>
      </c>
      <c r="F290" s="84">
        <f>D290*0.05</f>
        <v>0</v>
      </c>
      <c r="I290" s="36" t="s">
        <v>2154</v>
      </c>
    </row>
    <row r="291" spans="1:9" ht="19.95" customHeight="1" x14ac:dyDescent="0.3">
      <c r="A291" s="18" t="s">
        <v>2155</v>
      </c>
      <c r="B291">
        <f>COUNTA(B66:B68)</f>
        <v>0</v>
      </c>
      <c r="C291" s="76">
        <v>3</v>
      </c>
      <c r="D291" s="77">
        <f>IF(C291=0,0,B291/C291)</f>
        <v>0</v>
      </c>
      <c r="E291" s="77">
        <v>0.1</v>
      </c>
      <c r="F291" s="84">
        <f>D291*0.1</f>
        <v>0</v>
      </c>
      <c r="I291" s="36" t="s">
        <v>2156</v>
      </c>
    </row>
    <row r="292" spans="1:9" ht="19.95" customHeight="1" x14ac:dyDescent="0.3"/>
    <row r="293" spans="1:9" ht="31.95" customHeight="1" x14ac:dyDescent="0.35">
      <c r="A293" s="79" t="s">
        <v>2157</v>
      </c>
      <c r="B293" s="80">
        <f>MAX(0,ROUND(SUM(F285:F291)*100,1))</f>
        <v>0</v>
      </c>
      <c r="C293" s="79" t="s">
        <v>2158</v>
      </c>
      <c r="D293" s="74"/>
      <c r="E293" s="74"/>
      <c r="F293" s="74"/>
      <c r="G293" s="74"/>
      <c r="H293" s="74"/>
      <c r="I293" s="81" t="s">
        <v>2159</v>
      </c>
    </row>
    <row r="294" spans="1:9" ht="19.95" customHeight="1" x14ac:dyDescent="0.3"/>
    <row r="295" spans="1:9" ht="31.95" customHeight="1" x14ac:dyDescent="0.35">
      <c r="A295" s="79" t="s">
        <v>2160</v>
      </c>
      <c r="B295" s="80" t="str">
        <f>IF(B293&gt;=80,"T1 — PROVEN",IF(B293&gt;=60,"T2 — STRONG EVIDENCE",IF(B293&gt;=40,"T3 — CREDIBLE",IF(B293&gt;=20,"T4 — WEAK","T5 — SPECULATIVE"))))</f>
        <v>T5 — SPECULATIVE</v>
      </c>
      <c r="C295" s="74"/>
      <c r="D295" s="74"/>
      <c r="E295" s="74"/>
      <c r="F295" s="74"/>
      <c r="G295" s="74"/>
      <c r="H295" s="74"/>
      <c r="I295" s="81" t="s">
        <v>2161</v>
      </c>
    </row>
    <row r="296" spans="1:9" ht="19.95" customHeight="1" x14ac:dyDescent="0.3"/>
    <row r="297" spans="1:9" ht="19.95" customHeight="1" x14ac:dyDescent="0.35">
      <c r="A297" s="79" t="s">
        <v>2162</v>
      </c>
      <c r="B297" s="82"/>
      <c r="C297" s="74"/>
      <c r="D297" s="74"/>
      <c r="E297" s="74"/>
      <c r="F297" s="74"/>
      <c r="G297" s="74"/>
      <c r="H297" s="74"/>
      <c r="I297" s="81" t="s">
        <v>2163</v>
      </c>
    </row>
    <row r="298" spans="1:9" ht="19.95" customHeight="1" x14ac:dyDescent="0.3">
      <c r="A298" t="s">
        <v>2164</v>
      </c>
      <c r="B298" s="20"/>
    </row>
    <row r="299" spans="1:9" ht="19.95" customHeight="1" x14ac:dyDescent="0.3"/>
    <row r="300" spans="1:9" ht="24" customHeight="1" x14ac:dyDescent="0.3">
      <c r="A300" s="83" t="s">
        <v>2165</v>
      </c>
      <c r="B300" s="74"/>
      <c r="C300" s="74"/>
      <c r="D300" s="74"/>
      <c r="E300" s="74"/>
      <c r="F300" s="74"/>
      <c r="G300" s="74"/>
      <c r="H300" s="74"/>
      <c r="I300" s="81" t="s">
        <v>2166</v>
      </c>
    </row>
    <row r="301" spans="1:9" ht="19.95" customHeight="1" x14ac:dyDescent="0.3">
      <c r="A301" t="s">
        <v>2167</v>
      </c>
      <c r="B301" s="119"/>
      <c r="I301" s="36" t="s">
        <v>2168</v>
      </c>
    </row>
    <row r="302" spans="1:9" ht="19.95" customHeight="1" x14ac:dyDescent="0.3">
      <c r="A302" t="s">
        <v>2169</v>
      </c>
      <c r="B302" s="119"/>
      <c r="I302" s="36" t="s">
        <v>2170</v>
      </c>
    </row>
    <row r="303" spans="1:9" ht="19.95" customHeight="1" x14ac:dyDescent="0.3">
      <c r="A303" t="s">
        <v>2171</v>
      </c>
      <c r="B303" s="119"/>
      <c r="I303" s="36" t="s">
        <v>2172</v>
      </c>
    </row>
    <row r="304" spans="1:9" ht="19.95" customHeight="1" x14ac:dyDescent="0.3">
      <c r="A304" t="s">
        <v>2173</v>
      </c>
      <c r="B304" s="119"/>
      <c r="I304" s="36" t="s">
        <v>2174</v>
      </c>
    </row>
    <row r="305" spans="1:9" ht="24" customHeight="1" x14ac:dyDescent="0.3">
      <c r="A305" s="108" t="s">
        <v>2175</v>
      </c>
      <c r="B305" s="122">
        <f>(1-B301)*(1-B302)*(1-B303)*(1+B304)</f>
        <v>1</v>
      </c>
      <c r="C305" s="109" t="s">
        <v>2176</v>
      </c>
      <c r="D305" s="110"/>
      <c r="E305" s="110"/>
      <c r="F305" s="110"/>
      <c r="G305" s="110"/>
      <c r="H305" s="110"/>
      <c r="I305" s="110"/>
    </row>
    <row r="306" spans="1:9" ht="19.95" customHeight="1" x14ac:dyDescent="0.3"/>
    <row r="307" spans="1:9" ht="28.05" customHeight="1" x14ac:dyDescent="0.3">
      <c r="A307" s="85" t="s">
        <v>2177</v>
      </c>
      <c r="B307" s="86"/>
      <c r="C307" s="86"/>
      <c r="D307" s="86"/>
      <c r="E307" s="86"/>
      <c r="F307" s="86"/>
      <c r="G307" s="86"/>
      <c r="H307" s="86"/>
      <c r="I307" s="87" t="s">
        <v>2178</v>
      </c>
    </row>
    <row r="308" spans="1:9" ht="19.95" customHeight="1" x14ac:dyDescent="0.3">
      <c r="A308" s="71" t="str">
        <f>IF(AND(B305&lt;&gt;"(fill V,C,S,N above)",B293&gt;0),IF(AND(B305&gt;0.5,B293&gt;=60),"⚠️ HIGH FICTIONALITY + HIGH CREDIBILITY SCORE — Something is wrong with your assessment. Re-examine evidence quality.",IF(AND(B305&lt;0.2,B293&lt;40),"🔍 LOW FICTIONALITY + LOW CREDIBILITY — This case may deserve deeper investigation. Evidence gap, not evidence absence.",IF(AND(B305&lt;0.3,B293&gt;=60),"✅ CONSISTENT: Low fictionality aligns with high credibility. Assessment looks sound.","Scores are in a grey zone. Review the specific metrics above for insights."))),"Fill in both the Evidence Cards and the V/C/S/N inputs to see the diagnostic.")</f>
        <v>Fill in both the Evidence Cards and the V/C/S/N inputs to see the diagnostic.</v>
      </c>
    </row>
    <row r="309" spans="1:9" ht="19.95" customHeight="1" x14ac:dyDescent="0.3"/>
    <row r="310" spans="1:9" ht="19.95" customHeight="1" x14ac:dyDescent="0.3">
      <c r="A310" s="221" t="s">
        <v>10607</v>
      </c>
      <c r="B310" s="134"/>
      <c r="C310" s="134"/>
      <c r="D310" s="134"/>
      <c r="E310" s="222" t="s">
        <v>10608</v>
      </c>
      <c r="F310" s="134"/>
      <c r="G310" s="134"/>
      <c r="H310" s="134"/>
      <c r="I310" s="134"/>
    </row>
    <row r="311" spans="1:9" ht="19.95" customHeight="1" x14ac:dyDescent="0.35">
      <c r="A311" s="191" t="s">
        <v>10609</v>
      </c>
      <c r="B311" s="223">
        <f>B227</f>
        <v>0</v>
      </c>
      <c r="D311" t="str">
        <f>D227</f>
        <v>NOTHING UNUSUAL</v>
      </c>
    </row>
    <row r="312" spans="1:9" ht="19.95" customHeight="1" x14ac:dyDescent="0.35">
      <c r="A312" s="224" t="s">
        <v>10610</v>
      </c>
      <c r="B312" s="225">
        <f>B244</f>
        <v>0</v>
      </c>
      <c r="D312" t="str">
        <f>D244</f>
        <v>STABLE — No significant contradictions</v>
      </c>
    </row>
    <row r="313" spans="1:9" ht="19.95" customHeight="1" x14ac:dyDescent="0.35">
      <c r="A313" s="198" t="s">
        <v>10611</v>
      </c>
      <c r="B313" s="226" t="str">
        <f>IF(ISNUMBER(B274),B274,"N/A")</f>
        <v>N/A</v>
      </c>
      <c r="C313" t="s">
        <v>10612</v>
      </c>
      <c r="D313" t="str">
        <f>IF(ISNUMBER(B274),B276,"Run base-rate analysis")</f>
        <v>Run base-rate analysis</v>
      </c>
    </row>
    <row r="314" spans="1:9" ht="19.95" customHeight="1" x14ac:dyDescent="0.35">
      <c r="A314" s="165" t="s">
        <v>10613</v>
      </c>
      <c r="B314" s="227">
        <f>B293</f>
        <v>0</v>
      </c>
      <c r="D314" t="str">
        <f>IF(B295&lt;&gt;"","Override: "&amp;B295,B293)</f>
        <v>Override: T5 — SPECULATIVE</v>
      </c>
    </row>
    <row r="315" spans="1:9" ht="19.95" customHeight="1" x14ac:dyDescent="0.3"/>
    <row r="316" spans="1:9" ht="19.95" customHeight="1" x14ac:dyDescent="0.3">
      <c r="A316" s="125" t="s">
        <v>10614</v>
      </c>
      <c r="B316" s="191" t="str">
        <f>B231</f>
        <v>EARLY</v>
      </c>
      <c r="C316" t="s">
        <v>10615</v>
      </c>
      <c r="D316" s="138" t="str">
        <f>"α="&amp;TEXT(B232,"0.0")&amp;" | β="&amp;TEXT(B233,"0.0")&amp;" | γ="&amp;TEXT(B234,"0.0")</f>
        <v>α=0.7 | β=0.2 | γ=0.1</v>
      </c>
    </row>
    <row r="317" spans="1:9" ht="19.95" customHeight="1" x14ac:dyDescent="0.3"/>
    <row r="318" spans="1:9" ht="28.05" customHeight="1" x14ac:dyDescent="0.3">
      <c r="A318" s="67" t="s">
        <v>2179</v>
      </c>
      <c r="B318" s="68"/>
      <c r="C318" s="68"/>
      <c r="D318" s="68"/>
      <c r="E318" s="68"/>
      <c r="F318" s="68"/>
      <c r="G318" s="68"/>
      <c r="H318" s="68"/>
      <c r="I318" s="68"/>
    </row>
    <row r="319" spans="1:9" ht="19.95" customHeight="1" x14ac:dyDescent="0.3">
      <c r="A319" s="88" t="s">
        <v>2180</v>
      </c>
      <c r="B319" s="89" t="s">
        <v>2181</v>
      </c>
      <c r="C319" s="89" t="s">
        <v>2182</v>
      </c>
      <c r="D319" s="89" t="s">
        <v>2183</v>
      </c>
    </row>
    <row r="320" spans="1:9" ht="19.95" customHeight="1" x14ac:dyDescent="0.3">
      <c r="A320" t="s">
        <v>2184</v>
      </c>
      <c r="B320">
        <f>COUNTA(B5:B10,B13:B19)-COUNTBLANK(B5:B10)</f>
        <v>-6</v>
      </c>
      <c r="C320">
        <v>11</v>
      </c>
      <c r="D320" s="77">
        <f t="shared" ref="D320:D328" si="0">IF(C320=0,0,B320/C320)</f>
        <v>-0.54545454545454541</v>
      </c>
    </row>
    <row r="321" spans="1:9" ht="19.95" customHeight="1" x14ac:dyDescent="0.3">
      <c r="A321" t="s">
        <v>2185</v>
      </c>
      <c r="B321">
        <f>COUNTA(B24:B33)</f>
        <v>0</v>
      </c>
      <c r="C321">
        <v>10</v>
      </c>
      <c r="D321" s="77">
        <f t="shared" si="0"/>
        <v>0</v>
      </c>
    </row>
    <row r="322" spans="1:9" ht="19.95" customHeight="1" x14ac:dyDescent="0.3">
      <c r="A322" t="s">
        <v>2186</v>
      </c>
      <c r="B322">
        <f>COUNTA(B36:B40)</f>
        <v>0</v>
      </c>
      <c r="C322">
        <v>5</v>
      </c>
      <c r="D322" s="77">
        <f t="shared" si="0"/>
        <v>0</v>
      </c>
    </row>
    <row r="323" spans="1:9" ht="19.95" customHeight="1" x14ac:dyDescent="0.3">
      <c r="A323" t="s">
        <v>2187</v>
      </c>
      <c r="B323">
        <f>COUNTA(B43:B50)</f>
        <v>0</v>
      </c>
      <c r="C323">
        <v>8</v>
      </c>
      <c r="D323" s="77">
        <f t="shared" si="0"/>
        <v>0</v>
      </c>
    </row>
    <row r="324" spans="1:9" ht="19.95" customHeight="1" x14ac:dyDescent="0.3">
      <c r="A324" t="s">
        <v>2188</v>
      </c>
      <c r="B324">
        <f>COUNTA(B53:B55)</f>
        <v>0</v>
      </c>
      <c r="C324">
        <v>3</v>
      </c>
      <c r="D324" s="77">
        <f t="shared" si="0"/>
        <v>0</v>
      </c>
    </row>
    <row r="325" spans="1:9" ht="19.95" customHeight="1" x14ac:dyDescent="0.3">
      <c r="A325" t="s">
        <v>2189</v>
      </c>
      <c r="B325">
        <f>COUNTA(B58:B63)</f>
        <v>0</v>
      </c>
      <c r="C325">
        <v>6</v>
      </c>
      <c r="D325" s="77">
        <f t="shared" si="0"/>
        <v>0</v>
      </c>
    </row>
    <row r="326" spans="1:9" ht="19.95" customHeight="1" x14ac:dyDescent="0.3">
      <c r="A326" t="s">
        <v>2190</v>
      </c>
      <c r="B326">
        <f>COUNTA(B66:B68)</f>
        <v>0</v>
      </c>
      <c r="C326">
        <v>3</v>
      </c>
      <c r="D326" s="77">
        <f t="shared" si="0"/>
        <v>0</v>
      </c>
    </row>
    <row r="327" spans="1:9" ht="19.95" customHeight="1" x14ac:dyDescent="0.3">
      <c r="A327" t="s">
        <v>2191</v>
      </c>
      <c r="B327">
        <f>COUNTA(B71:B80)</f>
        <v>0</v>
      </c>
      <c r="C327">
        <v>10</v>
      </c>
      <c r="D327" s="77">
        <f t="shared" si="0"/>
        <v>0</v>
      </c>
    </row>
    <row r="328" spans="1:9" ht="19.95" customHeight="1" x14ac:dyDescent="0.3">
      <c r="A328" t="s">
        <v>2192</v>
      </c>
      <c r="B328">
        <f>COUNTA(B83:B87)</f>
        <v>0</v>
      </c>
      <c r="C328">
        <v>5</v>
      </c>
      <c r="D328" s="77">
        <f t="shared" si="0"/>
        <v>0</v>
      </c>
    </row>
    <row r="329" spans="1:9" ht="19.95" customHeight="1" x14ac:dyDescent="0.3"/>
    <row r="330" spans="1:9" ht="19.95" customHeight="1" x14ac:dyDescent="0.35">
      <c r="A330" s="79" t="s">
        <v>2193</v>
      </c>
      <c r="B330" s="89">
        <f>SUM(B320:B328)</f>
        <v>-6</v>
      </c>
      <c r="C330" s="89">
        <f>SUM(C320:C328)</f>
        <v>61</v>
      </c>
      <c r="D330" s="90">
        <f>IF(C330=0,0,B330/C330)</f>
        <v>-9.8360655737704916E-2</v>
      </c>
    </row>
    <row r="331" spans="1:9" ht="19.95" customHeight="1" x14ac:dyDescent="0.3"/>
    <row r="332" spans="1:9" ht="19.95" customHeight="1" x14ac:dyDescent="0.35">
      <c r="A332" s="108" t="s">
        <v>2194</v>
      </c>
      <c r="B332" s="111">
        <v>131</v>
      </c>
      <c r="C332" s="112" t="s">
        <v>2195</v>
      </c>
      <c r="D332" s="103"/>
      <c r="E332" s="103"/>
      <c r="F332" s="103"/>
      <c r="G332" s="103"/>
      <c r="H332" s="103"/>
      <c r="I332" s="103"/>
    </row>
    <row r="334" spans="1:9" ht="15.6" x14ac:dyDescent="0.3">
      <c r="A334" s="113" t="s">
        <v>2196</v>
      </c>
      <c r="B334" s="114"/>
      <c r="C334" s="114"/>
      <c r="D334" s="114"/>
      <c r="E334" s="114"/>
      <c r="F334" s="114"/>
      <c r="G334" s="114"/>
      <c r="H334" s="114"/>
      <c r="I334" s="114"/>
    </row>
    <row r="336" spans="1:9" x14ac:dyDescent="0.3">
      <c r="A336" s="115" t="s">
        <v>2197</v>
      </c>
      <c r="B336" s="116" t="s">
        <v>1956</v>
      </c>
      <c r="C336" s="116" t="s">
        <v>2198</v>
      </c>
      <c r="D336" s="116" t="s">
        <v>2199</v>
      </c>
    </row>
    <row r="337" spans="1:4" x14ac:dyDescent="0.3">
      <c r="A337" s="117" t="s">
        <v>1904</v>
      </c>
      <c r="B337" t="s">
        <v>2200</v>
      </c>
      <c r="C337" t="s">
        <v>2201</v>
      </c>
      <c r="D337" t="s">
        <v>2202</v>
      </c>
    </row>
    <row r="338" spans="1:4" x14ac:dyDescent="0.3">
      <c r="A338" s="117" t="s">
        <v>1944</v>
      </c>
      <c r="B338" t="s">
        <v>2203</v>
      </c>
      <c r="C338" t="s">
        <v>2204</v>
      </c>
      <c r="D338" t="s">
        <v>2205</v>
      </c>
    </row>
    <row r="339" spans="1:4" x14ac:dyDescent="0.3">
      <c r="A339" s="117" t="s">
        <v>1952</v>
      </c>
      <c r="B339" t="s">
        <v>2206</v>
      </c>
      <c r="C339" t="s">
        <v>2207</v>
      </c>
      <c r="D339" t="s">
        <v>2208</v>
      </c>
    </row>
    <row r="340" spans="1:4" x14ac:dyDescent="0.3">
      <c r="A340" s="117" t="s">
        <v>1960</v>
      </c>
      <c r="B340" t="s">
        <v>2209</v>
      </c>
      <c r="C340" t="s">
        <v>2210</v>
      </c>
      <c r="D340" t="s">
        <v>2211</v>
      </c>
    </row>
    <row r="341" spans="1:4" x14ac:dyDescent="0.3">
      <c r="A341" s="117" t="s">
        <v>1968</v>
      </c>
      <c r="B341" t="s">
        <v>2212</v>
      </c>
      <c r="C341" t="s">
        <v>2213</v>
      </c>
      <c r="D341" t="s">
        <v>2214</v>
      </c>
    </row>
    <row r="342" spans="1:4" x14ac:dyDescent="0.3">
      <c r="A342" s="117" t="s">
        <v>1971</v>
      </c>
      <c r="B342" t="s">
        <v>2215</v>
      </c>
      <c r="C342" t="s">
        <v>2216</v>
      </c>
      <c r="D342" t="s">
        <v>2217</v>
      </c>
    </row>
    <row r="343" spans="1:4" x14ac:dyDescent="0.3">
      <c r="A343" s="117" t="s">
        <v>2020</v>
      </c>
      <c r="B343" t="s">
        <v>2218</v>
      </c>
      <c r="C343" t="s">
        <v>2219</v>
      </c>
      <c r="D343" t="s">
        <v>2220</v>
      </c>
    </row>
    <row r="344" spans="1:4" x14ac:dyDescent="0.3">
      <c r="A344" s="117" t="s">
        <v>2026</v>
      </c>
      <c r="B344" t="s">
        <v>2221</v>
      </c>
      <c r="C344" t="s">
        <v>2222</v>
      </c>
      <c r="D344" t="s">
        <v>2223</v>
      </c>
    </row>
    <row r="345" spans="1:4" x14ac:dyDescent="0.3">
      <c r="A345" s="117" t="s">
        <v>2033</v>
      </c>
      <c r="B345" t="s">
        <v>2224</v>
      </c>
      <c r="C345" t="s">
        <v>2225</v>
      </c>
      <c r="D345" t="s">
        <v>2226</v>
      </c>
    </row>
    <row r="346" spans="1:4" x14ac:dyDescent="0.3">
      <c r="A346" s="117" t="s">
        <v>2036</v>
      </c>
      <c r="B346" t="s">
        <v>2227</v>
      </c>
      <c r="C346" t="s">
        <v>2228</v>
      </c>
      <c r="D346" t="s">
        <v>2229</v>
      </c>
    </row>
    <row r="347" spans="1:4" x14ac:dyDescent="0.3">
      <c r="A347" s="117" t="s">
        <v>2060</v>
      </c>
      <c r="B347" t="s">
        <v>2230</v>
      </c>
      <c r="C347" t="s">
        <v>2231</v>
      </c>
      <c r="D347" t="s">
        <v>2232</v>
      </c>
    </row>
    <row r="348" spans="1:4" x14ac:dyDescent="0.3">
      <c r="A348" s="117" t="s">
        <v>2085</v>
      </c>
      <c r="B348" t="s">
        <v>2233</v>
      </c>
      <c r="C348" t="s">
        <v>2234</v>
      </c>
      <c r="D348" t="s">
        <v>2235</v>
      </c>
    </row>
    <row r="349" spans="1:4" x14ac:dyDescent="0.3">
      <c r="A349" s="117" t="s">
        <v>2092</v>
      </c>
      <c r="B349" t="s">
        <v>2236</v>
      </c>
      <c r="C349" t="s">
        <v>2237</v>
      </c>
      <c r="D349" t="s">
        <v>2238</v>
      </c>
    </row>
    <row r="350" spans="1:4" x14ac:dyDescent="0.3">
      <c r="A350" s="117" t="s">
        <v>2097</v>
      </c>
      <c r="B350" t="s">
        <v>2239</v>
      </c>
      <c r="C350" t="s">
        <v>2240</v>
      </c>
      <c r="D350" t="s">
        <v>2241</v>
      </c>
    </row>
    <row r="351" spans="1:4" x14ac:dyDescent="0.3">
      <c r="A351" s="117" t="s">
        <v>2104</v>
      </c>
      <c r="B351" t="s">
        <v>2242</v>
      </c>
      <c r="C351" t="s">
        <v>2243</v>
      </c>
      <c r="D351" t="s">
        <v>2244</v>
      </c>
    </row>
    <row r="352" spans="1:4" x14ac:dyDescent="0.3">
      <c r="A352" s="117" t="s">
        <v>2107</v>
      </c>
      <c r="B352" t="s">
        <v>2245</v>
      </c>
      <c r="C352" t="s">
        <v>2246</v>
      </c>
      <c r="D352" t="s">
        <v>2247</v>
      </c>
    </row>
    <row r="353" spans="1:4" x14ac:dyDescent="0.3">
      <c r="A353" s="117" t="s">
        <v>2117</v>
      </c>
      <c r="B353" t="s">
        <v>2248</v>
      </c>
      <c r="C353" t="s">
        <v>2249</v>
      </c>
      <c r="D353" t="s">
        <v>2250</v>
      </c>
    </row>
    <row r="355" spans="1:4" x14ac:dyDescent="0.3">
      <c r="A355" s="118" t="s">
        <v>2251</v>
      </c>
      <c r="B355" s="116" t="s">
        <v>2252</v>
      </c>
      <c r="C355" s="116" t="s">
        <v>2253</v>
      </c>
    </row>
    <row r="356" spans="1:4" x14ac:dyDescent="0.3">
      <c r="A356" s="117" t="s">
        <v>2254</v>
      </c>
      <c r="B356" t="s">
        <v>2255</v>
      </c>
      <c r="C356" t="s">
        <v>2256</v>
      </c>
    </row>
    <row r="357" spans="1:4" x14ac:dyDescent="0.3">
      <c r="A357" s="117" t="s">
        <v>2257</v>
      </c>
      <c r="B357" t="s">
        <v>2258</v>
      </c>
      <c r="C357" t="s">
        <v>2259</v>
      </c>
    </row>
    <row r="358" spans="1:4" x14ac:dyDescent="0.3">
      <c r="A358" s="117" t="s">
        <v>2260</v>
      </c>
      <c r="B358" t="s">
        <v>2261</v>
      </c>
      <c r="C358" t="s">
        <v>2262</v>
      </c>
    </row>
    <row r="359" spans="1:4" x14ac:dyDescent="0.3">
      <c r="A359" s="117" t="s">
        <v>2263</v>
      </c>
      <c r="B359" t="s">
        <v>2264</v>
      </c>
      <c r="C359" t="s">
        <v>2265</v>
      </c>
    </row>
    <row r="360" spans="1:4" x14ac:dyDescent="0.3">
      <c r="A360" s="117" t="s">
        <v>2266</v>
      </c>
      <c r="B360" t="s">
        <v>2267</v>
      </c>
      <c r="C360" t="s">
        <v>2268</v>
      </c>
    </row>
    <row r="361" spans="1:4" x14ac:dyDescent="0.3">
      <c r="A361" s="117" t="s">
        <v>2269</v>
      </c>
      <c r="B361" t="s">
        <v>2270</v>
      </c>
      <c r="C361" t="s">
        <v>2271</v>
      </c>
    </row>
    <row r="362" spans="1:4" x14ac:dyDescent="0.3">
      <c r="A362" s="117" t="s">
        <v>2272</v>
      </c>
      <c r="B362" t="s">
        <v>2273</v>
      </c>
      <c r="C362" t="s">
        <v>2274</v>
      </c>
    </row>
    <row r="363" spans="1:4" x14ac:dyDescent="0.3">
      <c r="A363" s="117" t="s">
        <v>2275</v>
      </c>
      <c r="B363" t="s">
        <v>2261</v>
      </c>
      <c r="C363" t="s">
        <v>2276</v>
      </c>
    </row>
    <row r="364" spans="1:4" x14ac:dyDescent="0.3">
      <c r="A364" s="117" t="s">
        <v>2277</v>
      </c>
      <c r="B364" t="s">
        <v>2278</v>
      </c>
      <c r="C364" t="s">
        <v>2279</v>
      </c>
    </row>
    <row r="365" spans="1:4" x14ac:dyDescent="0.3">
      <c r="A365" s="117" t="s">
        <v>2280</v>
      </c>
      <c r="B365" t="s">
        <v>2281</v>
      </c>
      <c r="C365" t="s">
        <v>2282</v>
      </c>
    </row>
    <row r="366" spans="1:4" x14ac:dyDescent="0.3">
      <c r="A366" s="117" t="s">
        <v>2283</v>
      </c>
      <c r="B366" t="s">
        <v>2284</v>
      </c>
      <c r="C366" t="s">
        <v>2285</v>
      </c>
    </row>
  </sheetData>
  <dataValidations count="18">
    <dataValidation type="list" allowBlank="1" showInputMessage="1" showErrorMessage="1" sqref="B8" xr:uid="{ABF6BDD8-EE01-4548-8122-F65350437B66}">
      <formula1>"DROPDOWNS!$A$17:$A$25"</formula1>
    </dataValidation>
    <dataValidation type="list" allowBlank="1" showInputMessage="1" showErrorMessage="1" sqref="B9" xr:uid="{1E7624E3-A4AB-4F3D-9418-5D53E7D64813}">
      <formula1>"DROPDOWNS!$B$5:$B$14"</formula1>
    </dataValidation>
    <dataValidation type="list" allowBlank="1" showInputMessage="1" showErrorMessage="1" sqref="E24:E33" xr:uid="{4FF93C8E-BDBE-44CA-A376-EEEE12405BB3}">
      <formula1>"VERIFIED,UNVERIFIED,DISPUTED,PARTIAL"</formula1>
    </dataValidation>
    <dataValidation type="list" allowBlank="1" showInputMessage="1" showErrorMessage="1" sqref="E43:E50" xr:uid="{DE797131-7A66-4D9D-A3E8-C21555FBA07E}">
      <formula1>"T1,T2,T3,T4,T5"</formula1>
    </dataValidation>
    <dataValidation type="list" allowBlank="1" showInputMessage="1" showErrorMessage="1" sqref="F43:F50" xr:uid="{53457C85-5A73-400F-8B9F-2582EAC48E11}">
      <formula1>"VERIFIED,UNVERIFIED,DISPUTED,PENDING"</formula1>
    </dataValidation>
    <dataValidation type="list" allowBlank="1" showInputMessage="1" showErrorMessage="1" sqref="C163:C165" xr:uid="{85023B7A-3FBD-42F0-A1CD-33127BABA5D0}">
      <formula1>"UNFULFILLED,PARTIALLY FULFILLED,FULFILLED,DISPUTED"</formula1>
    </dataValidation>
    <dataValidation type="list" allowBlank="1" showInputMessage="1" showErrorMessage="1" sqref="B297" xr:uid="{86A6EECD-AC0B-4CA8-ABA9-685578C9DA0C}">
      <formula1>"T1,T1-T2,T2,T2-T3,T3,T3-T4,T4,T4-T5,T5"</formula1>
    </dataValidation>
    <dataValidation type="list" allowBlank="1" showInputMessage="1" showErrorMessage="1" sqref="F53:F55" xr:uid="{C3FFF911-6468-4C5C-9D42-A98CE47EC43B}">
      <formula1>"AUTHENTICATED,UNVERIFIED,MANIPULATED,UNKNOWN PROVENANCE"</formula1>
    </dataValidation>
    <dataValidation type="list" allowBlank="1" showInputMessage="1" showErrorMessage="1" sqref="B153" xr:uid="{B8888A50-8EEE-4DBF-A6FE-56CAB68535CD}">
      <formula1>"LOW,MEDIUM,HIGH,CONFIRMED"</formula1>
    </dataValidation>
    <dataValidation type="list" allowBlank="1" showInputMessage="1" showErrorMessage="1" sqref="B201:B210" xr:uid="{8B2261B9-84A6-4CCF-86D4-9CED582D1C60}">
      <formula1>"CORE,SUPPORTING,PERIPHERAL,PREDICTION,ATTRIBUTION"</formula1>
    </dataValidation>
    <dataValidation type="list" allowBlank="1" showInputMessage="1" showErrorMessage="1" sqref="D201:D210" xr:uid="{B8778C4B-E64B-4CDF-A5AE-20A7823F2F7A}">
      <formula1>"T1,T1-T2,T2,T2-T3,T3,T3-T4,T4,T4-T5,T5,MIXED,UNRATED"</formula1>
    </dataValidation>
    <dataValidation type="custom" allowBlank="1" showInputMessage="1" showErrorMessage="1" sqref="B212:B225 C212:C225 B238:B242" xr:uid="{D8463947-13B1-4EE8-A19F-84A9E6FB2D08}">
      <formula1>AND(B212&gt;=0,B212&lt;=1)</formula1>
    </dataValidation>
    <dataValidation type="list" allowBlank="1" showInputMessage="1" showErrorMessage="1" sqref="D212:D225" xr:uid="{70EF4B4A-7B6E-417A-89BF-FEF09A4931F9}">
      <formula1>"PROFESSIONAL,CREDENTIALED,CITIZEN,ANONYMOUS"</formula1>
    </dataValidation>
    <dataValidation type="list" allowBlank="1" showInputMessage="1" showErrorMessage="1" sqref="B256" xr:uid="{4268FA58-77B6-40E6-B19D-1B7A76B3FB74}">
      <formula1>"court_record,congressional_record,FOIA_doc,news_report,official_investigation,conspiracy_author,self_compiled"</formula1>
    </dataValidation>
    <dataValidation type="list" allowBlank="1" showInputMessage="1" showErrorMessage="1" sqref="B257" xr:uid="{62647D5A-F2E1-422A-85CC-3EADE1F16513}">
      <formula1>"EXHAUSTIVE,SELECTIVE"</formula1>
    </dataValidation>
    <dataValidation type="list" allowBlank="1" showInputMessage="1" showErrorMessage="1" sqref="B262" xr:uid="{AFD23D54-94AC-4C00-824E-5DF3B2BFC036}">
      <formula1>"ALL_MALE,ALL_FEMALE,MIXED"</formula1>
    </dataValidation>
    <dataValidation type="list" allowBlank="1" showInputMessage="1" showErrorMessage="1" sqref="B263" xr:uid="{BB25D575-E2D8-44F8-8871-5D2A19F536CF}">
      <formula1>"LOW,MEDIUM,HIGH,MILITARY,LAW_ENFORCEMENT,INTELLIGENCE"</formula1>
    </dataValidation>
    <dataValidation type="list" allowBlank="1" showInputMessage="1" showErrorMessage="1" sqref="B265" xr:uid="{7282C0F4-DAEA-48E0-96AB-0D21D64BFECA}">
      <formula1>"death_any,death_violent,suicide,accident_vehicle,accident_plane,cancer,heart_attack,disappeared,incarcerated"</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E9E1-7004-4679-84AF-11734B3C0828}">
  <dimension ref="A1:F345"/>
  <sheetViews>
    <sheetView workbookViewId="0"/>
  </sheetViews>
  <sheetFormatPr defaultRowHeight="14.4" x14ac:dyDescent="0.3"/>
  <cols>
    <col min="1" max="1" width="37" customWidth="1"/>
    <col min="2" max="2" width="22.21875" customWidth="1"/>
    <col min="3" max="3" width="18.5546875" customWidth="1"/>
    <col min="4" max="4" width="46.33203125" customWidth="1"/>
    <col min="5" max="5" width="33.33203125" customWidth="1"/>
    <col min="6" max="6" width="22.21875" customWidth="1"/>
  </cols>
  <sheetData>
    <row r="1" spans="1:6" ht="21" x14ac:dyDescent="0.4">
      <c r="A1" s="123" t="s">
        <v>2488</v>
      </c>
      <c r="B1" s="124"/>
      <c r="C1" s="124"/>
      <c r="D1" s="124"/>
      <c r="E1" s="124"/>
      <c r="F1" s="124"/>
    </row>
    <row r="2" spans="1:6" x14ac:dyDescent="0.3">
      <c r="A2" s="127" t="s">
        <v>3014</v>
      </c>
      <c r="B2" s="128"/>
      <c r="C2" s="128"/>
      <c r="D2" s="128"/>
      <c r="E2" s="128"/>
      <c r="F2" s="128"/>
    </row>
    <row r="4" spans="1:6" ht="17.399999999999999" x14ac:dyDescent="0.35">
      <c r="A4" s="129" t="s">
        <v>2489</v>
      </c>
      <c r="B4" s="130"/>
      <c r="C4" s="130"/>
      <c r="D4" s="130"/>
      <c r="E4" s="131" t="s">
        <v>2490</v>
      </c>
      <c r="F4" s="131" t="s">
        <v>2491</v>
      </c>
    </row>
    <row r="5" spans="1:6" x14ac:dyDescent="0.3">
      <c r="A5" s="133" t="s">
        <v>2492</v>
      </c>
      <c r="B5" s="133" t="s">
        <v>2493</v>
      </c>
      <c r="C5" s="133" t="s">
        <v>2494</v>
      </c>
      <c r="D5" s="133" t="s">
        <v>1956</v>
      </c>
      <c r="E5" s="134"/>
      <c r="F5" s="134"/>
    </row>
    <row r="6" spans="1:6" x14ac:dyDescent="0.3">
      <c r="A6" s="135" t="s">
        <v>2495</v>
      </c>
      <c r="B6" t="s">
        <v>1919</v>
      </c>
      <c r="C6" t="s">
        <v>2496</v>
      </c>
      <c r="D6" t="s">
        <v>2497</v>
      </c>
      <c r="E6" t="s">
        <v>2498</v>
      </c>
      <c r="F6" t="s">
        <v>2499</v>
      </c>
    </row>
    <row r="7" spans="1:6" x14ac:dyDescent="0.3">
      <c r="A7" s="136" t="s">
        <v>2500</v>
      </c>
      <c r="B7" t="s">
        <v>1919</v>
      </c>
      <c r="C7" t="s">
        <v>2501</v>
      </c>
      <c r="D7" t="s">
        <v>2502</v>
      </c>
    </row>
    <row r="8" spans="1:6" x14ac:dyDescent="0.3">
      <c r="A8" s="136" t="s">
        <v>2503</v>
      </c>
      <c r="B8" t="s">
        <v>1919</v>
      </c>
      <c r="D8" t="s">
        <v>2504</v>
      </c>
    </row>
    <row r="9" spans="1:6" x14ac:dyDescent="0.3">
      <c r="A9" s="136" t="s">
        <v>2505</v>
      </c>
      <c r="B9" t="s">
        <v>1919</v>
      </c>
      <c r="D9" t="s">
        <v>2506</v>
      </c>
    </row>
    <row r="10" spans="1:6" x14ac:dyDescent="0.3">
      <c r="A10" s="136" t="s">
        <v>2507</v>
      </c>
      <c r="B10" t="s">
        <v>1919</v>
      </c>
      <c r="D10" t="s">
        <v>2508</v>
      </c>
      <c r="E10" t="s">
        <v>2509</v>
      </c>
      <c r="F10" t="s">
        <v>2510</v>
      </c>
    </row>
    <row r="12" spans="1:6" ht="18" x14ac:dyDescent="0.4">
      <c r="A12" s="137" t="s">
        <v>2511</v>
      </c>
      <c r="B12" s="130"/>
      <c r="C12" s="130"/>
      <c r="D12" s="130"/>
      <c r="E12" s="130"/>
      <c r="F12" s="130"/>
    </row>
    <row r="13" spans="1:6" x14ac:dyDescent="0.3">
      <c r="A13" s="140" t="s">
        <v>2492</v>
      </c>
      <c r="B13" s="133" t="s">
        <v>2493</v>
      </c>
      <c r="C13" s="133" t="s">
        <v>2494</v>
      </c>
      <c r="D13" s="133" t="s">
        <v>1956</v>
      </c>
      <c r="E13" s="134"/>
      <c r="F13" s="134"/>
    </row>
    <row r="14" spans="1:6" x14ac:dyDescent="0.3">
      <c r="A14" s="135" t="s">
        <v>2512</v>
      </c>
      <c r="B14" t="s">
        <v>2513</v>
      </c>
      <c r="C14" t="s">
        <v>2496</v>
      </c>
      <c r="D14" s="141">
        <v>13881</v>
      </c>
      <c r="E14" t="s">
        <v>2514</v>
      </c>
      <c r="F14" t="s">
        <v>2515</v>
      </c>
    </row>
    <row r="15" spans="1:6" x14ac:dyDescent="0.3">
      <c r="A15" s="136" t="s">
        <v>2516</v>
      </c>
      <c r="B15" t="s">
        <v>1919</v>
      </c>
      <c r="C15" t="s">
        <v>2517</v>
      </c>
      <c r="D15" t="s">
        <v>2518</v>
      </c>
    </row>
    <row r="16" spans="1:6" x14ac:dyDescent="0.3">
      <c r="A16" s="136" t="s">
        <v>2519</v>
      </c>
      <c r="B16" t="s">
        <v>1919</v>
      </c>
      <c r="C16" t="s">
        <v>2501</v>
      </c>
    </row>
    <row r="17" spans="1:6" x14ac:dyDescent="0.3">
      <c r="A17" s="136" t="s">
        <v>2520</v>
      </c>
      <c r="B17" t="s">
        <v>1919</v>
      </c>
      <c r="C17" t="s">
        <v>2501</v>
      </c>
      <c r="D17" t="s">
        <v>2521</v>
      </c>
    </row>
    <row r="18" spans="1:6" x14ac:dyDescent="0.3">
      <c r="A18" s="136" t="s">
        <v>2503</v>
      </c>
      <c r="B18" t="s">
        <v>1919</v>
      </c>
    </row>
    <row r="19" spans="1:6" x14ac:dyDescent="0.3">
      <c r="A19" s="136" t="s">
        <v>2522</v>
      </c>
      <c r="B19" t="s">
        <v>2523</v>
      </c>
      <c r="C19" t="s">
        <v>2524</v>
      </c>
      <c r="D19" t="s">
        <v>2525</v>
      </c>
      <c r="E19" t="s">
        <v>2526</v>
      </c>
      <c r="F19" t="s">
        <v>2527</v>
      </c>
    </row>
    <row r="21" spans="1:6" ht="18" x14ac:dyDescent="0.4">
      <c r="A21" s="143" t="s">
        <v>2528</v>
      </c>
      <c r="B21" s="144"/>
      <c r="C21" s="144"/>
      <c r="D21" s="145" t="s">
        <v>2529</v>
      </c>
      <c r="E21" s="144"/>
      <c r="F21" s="144"/>
    </row>
    <row r="22" spans="1:6" x14ac:dyDescent="0.3">
      <c r="A22" s="140" t="s">
        <v>2492</v>
      </c>
      <c r="B22" s="133" t="s">
        <v>2493</v>
      </c>
      <c r="C22" s="133" t="s">
        <v>2494</v>
      </c>
      <c r="D22" s="133" t="s">
        <v>1956</v>
      </c>
      <c r="E22" s="133" t="s">
        <v>2490</v>
      </c>
      <c r="F22" s="133" t="s">
        <v>2491</v>
      </c>
    </row>
    <row r="23" spans="1:6" x14ac:dyDescent="0.3">
      <c r="A23" s="135" t="s">
        <v>2530</v>
      </c>
      <c r="B23" t="s">
        <v>1919</v>
      </c>
      <c r="C23" t="s">
        <v>2496</v>
      </c>
      <c r="D23" t="s">
        <v>2531</v>
      </c>
      <c r="E23" t="s">
        <v>2532</v>
      </c>
      <c r="F23" t="s">
        <v>2533</v>
      </c>
    </row>
    <row r="24" spans="1:6" x14ac:dyDescent="0.3">
      <c r="A24" s="136" t="s">
        <v>2534</v>
      </c>
      <c r="B24" t="s">
        <v>1919</v>
      </c>
      <c r="C24" t="s">
        <v>2535</v>
      </c>
      <c r="D24" t="s">
        <v>2536</v>
      </c>
      <c r="E24" t="s">
        <v>2537</v>
      </c>
      <c r="F24" t="s">
        <v>2538</v>
      </c>
    </row>
    <row r="25" spans="1:6" x14ac:dyDescent="0.3">
      <c r="A25" s="136" t="s">
        <v>2539</v>
      </c>
      <c r="B25" t="s">
        <v>1919</v>
      </c>
      <c r="C25" t="s">
        <v>2540</v>
      </c>
      <c r="D25" t="s">
        <v>2541</v>
      </c>
      <c r="E25" t="s">
        <v>2542</v>
      </c>
      <c r="F25" t="s">
        <v>2499</v>
      </c>
    </row>
    <row r="26" spans="1:6" x14ac:dyDescent="0.3">
      <c r="A26" s="136" t="s">
        <v>2543</v>
      </c>
      <c r="B26" t="s">
        <v>1919</v>
      </c>
      <c r="C26" t="s">
        <v>2501</v>
      </c>
      <c r="D26" t="s">
        <v>2544</v>
      </c>
      <c r="E26" t="s">
        <v>1903</v>
      </c>
      <c r="F26" t="s">
        <v>2545</v>
      </c>
    </row>
    <row r="27" spans="1:6" x14ac:dyDescent="0.3">
      <c r="A27" s="136" t="s">
        <v>2546</v>
      </c>
      <c r="B27" t="s">
        <v>1919</v>
      </c>
      <c r="C27" t="s">
        <v>2535</v>
      </c>
      <c r="D27" t="s">
        <v>2547</v>
      </c>
    </row>
    <row r="28" spans="1:6" x14ac:dyDescent="0.3">
      <c r="A28" s="136" t="s">
        <v>2548</v>
      </c>
      <c r="B28" t="s">
        <v>1919</v>
      </c>
      <c r="D28" t="s">
        <v>2549</v>
      </c>
      <c r="E28" t="s">
        <v>1918</v>
      </c>
      <c r="F28" t="s">
        <v>2550</v>
      </c>
    </row>
    <row r="29" spans="1:6" x14ac:dyDescent="0.3">
      <c r="A29" s="136" t="s">
        <v>2551</v>
      </c>
      <c r="B29" t="s">
        <v>1919</v>
      </c>
      <c r="C29" t="s">
        <v>2552</v>
      </c>
      <c r="D29" t="s">
        <v>2553</v>
      </c>
      <c r="E29" t="s">
        <v>2554</v>
      </c>
      <c r="F29" t="s">
        <v>2555</v>
      </c>
    </row>
    <row r="30" spans="1:6" x14ac:dyDescent="0.3">
      <c r="A30" s="136" t="s">
        <v>2556</v>
      </c>
      <c r="B30" t="s">
        <v>2523</v>
      </c>
      <c r="C30" t="s">
        <v>2557</v>
      </c>
      <c r="D30" t="s">
        <v>2558</v>
      </c>
      <c r="E30" t="s">
        <v>2559</v>
      </c>
      <c r="F30" t="s">
        <v>2560</v>
      </c>
    </row>
    <row r="31" spans="1:6" x14ac:dyDescent="0.3">
      <c r="A31" s="136" t="s">
        <v>2561</v>
      </c>
      <c r="B31" t="s">
        <v>1919</v>
      </c>
      <c r="C31" t="s">
        <v>2562</v>
      </c>
      <c r="D31" t="s">
        <v>2563</v>
      </c>
    </row>
    <row r="32" spans="1:6" x14ac:dyDescent="0.3">
      <c r="A32" s="136" t="s">
        <v>2564</v>
      </c>
      <c r="B32" t="s">
        <v>1919</v>
      </c>
      <c r="E32" t="s">
        <v>2565</v>
      </c>
      <c r="F32" t="s">
        <v>2566</v>
      </c>
    </row>
    <row r="33" spans="1:6" x14ac:dyDescent="0.3">
      <c r="A33" s="136" t="s">
        <v>2567</v>
      </c>
      <c r="B33" t="s">
        <v>1919</v>
      </c>
      <c r="E33" t="s">
        <v>2568</v>
      </c>
      <c r="F33" t="s">
        <v>2569</v>
      </c>
    </row>
    <row r="34" spans="1:6" x14ac:dyDescent="0.3">
      <c r="A34" s="136" t="s">
        <v>2570</v>
      </c>
      <c r="B34" t="s">
        <v>1919</v>
      </c>
      <c r="E34" t="s">
        <v>2571</v>
      </c>
      <c r="F34" t="s">
        <v>2572</v>
      </c>
    </row>
    <row r="35" spans="1:6" x14ac:dyDescent="0.3">
      <c r="A35" s="136" t="s">
        <v>2573</v>
      </c>
      <c r="B35" t="s">
        <v>1919</v>
      </c>
      <c r="E35" t="s">
        <v>2574</v>
      </c>
      <c r="F35" t="s">
        <v>2575</v>
      </c>
    </row>
    <row r="36" spans="1:6" x14ac:dyDescent="0.3">
      <c r="A36" s="136" t="s">
        <v>2576</v>
      </c>
      <c r="B36" t="s">
        <v>1919</v>
      </c>
      <c r="E36" t="s">
        <v>2577</v>
      </c>
      <c r="F36" t="s">
        <v>2578</v>
      </c>
    </row>
    <row r="37" spans="1:6" x14ac:dyDescent="0.3">
      <c r="A37" s="136" t="s">
        <v>2579</v>
      </c>
      <c r="B37" t="s">
        <v>1919</v>
      </c>
      <c r="E37" t="s">
        <v>1932</v>
      </c>
      <c r="F37" t="s">
        <v>2580</v>
      </c>
    </row>
    <row r="38" spans="1:6" x14ac:dyDescent="0.3">
      <c r="A38" s="136" t="s">
        <v>2581</v>
      </c>
      <c r="B38" t="s">
        <v>1919</v>
      </c>
      <c r="E38" t="s">
        <v>6</v>
      </c>
      <c r="F38" t="s">
        <v>2582</v>
      </c>
    </row>
    <row r="39" spans="1:6" x14ac:dyDescent="0.3">
      <c r="A39" s="136" t="s">
        <v>2583</v>
      </c>
      <c r="B39" t="s">
        <v>1919</v>
      </c>
      <c r="D39" t="s">
        <v>2584</v>
      </c>
      <c r="E39" t="s">
        <v>2585</v>
      </c>
      <c r="F39" t="s">
        <v>2586</v>
      </c>
    </row>
    <row r="40" spans="1:6" x14ac:dyDescent="0.3">
      <c r="A40" s="154" t="s">
        <v>2983</v>
      </c>
      <c r="B40" t="s">
        <v>2523</v>
      </c>
      <c r="C40" t="s">
        <v>2984</v>
      </c>
      <c r="D40" t="s">
        <v>2985</v>
      </c>
      <c r="E40" t="s">
        <v>2986</v>
      </c>
      <c r="F40" t="s">
        <v>2987</v>
      </c>
    </row>
    <row r="41" spans="1:6" x14ac:dyDescent="0.3">
      <c r="A41" s="154" t="s">
        <v>2988</v>
      </c>
      <c r="B41" t="s">
        <v>2523</v>
      </c>
      <c r="C41" t="s">
        <v>2984</v>
      </c>
      <c r="D41" t="s">
        <v>2989</v>
      </c>
      <c r="E41" t="s">
        <v>2990</v>
      </c>
      <c r="F41" t="s">
        <v>2991</v>
      </c>
    </row>
    <row r="42" spans="1:6" x14ac:dyDescent="0.3">
      <c r="A42" s="154" t="s">
        <v>2992</v>
      </c>
      <c r="B42" t="s">
        <v>2523</v>
      </c>
      <c r="C42" t="s">
        <v>2984</v>
      </c>
      <c r="D42" t="s">
        <v>2993</v>
      </c>
      <c r="E42" t="s">
        <v>2994</v>
      </c>
      <c r="F42" t="s">
        <v>2995</v>
      </c>
    </row>
    <row r="43" spans="1:6" x14ac:dyDescent="0.3">
      <c r="A43" s="154" t="s">
        <v>2996</v>
      </c>
      <c r="B43" t="s">
        <v>2523</v>
      </c>
      <c r="C43" t="s">
        <v>2984</v>
      </c>
      <c r="D43" t="s">
        <v>2997</v>
      </c>
      <c r="E43" t="s">
        <v>2998</v>
      </c>
      <c r="F43" t="s">
        <v>2999</v>
      </c>
    </row>
    <row r="44" spans="1:6" x14ac:dyDescent="0.3">
      <c r="A44" s="154" t="s">
        <v>3000</v>
      </c>
      <c r="B44" t="s">
        <v>2523</v>
      </c>
      <c r="D44" t="s">
        <v>3001</v>
      </c>
      <c r="E44" t="s">
        <v>3002</v>
      </c>
      <c r="F44" t="s">
        <v>3003</v>
      </c>
    </row>
    <row r="45" spans="1:6" x14ac:dyDescent="0.3">
      <c r="A45" s="174" t="s">
        <v>3004</v>
      </c>
    </row>
    <row r="46" spans="1:6" x14ac:dyDescent="0.3">
      <c r="A46" s="264" t="s">
        <v>11285</v>
      </c>
    </row>
    <row r="47" spans="1:6" x14ac:dyDescent="0.3">
      <c r="A47" s="154" t="s">
        <v>11286</v>
      </c>
      <c r="B47" t="s">
        <v>2523</v>
      </c>
      <c r="C47" t="s">
        <v>2557</v>
      </c>
      <c r="D47" s="185" t="s">
        <v>11287</v>
      </c>
      <c r="E47" t="s">
        <v>10515</v>
      </c>
      <c r="F47" t="s">
        <v>10516</v>
      </c>
    </row>
    <row r="48" spans="1:6" x14ac:dyDescent="0.3">
      <c r="A48" s="154" t="s">
        <v>11288</v>
      </c>
      <c r="B48" t="s">
        <v>2523</v>
      </c>
      <c r="C48" t="s">
        <v>2557</v>
      </c>
      <c r="D48" s="218" t="s">
        <v>11289</v>
      </c>
      <c r="E48" t="s">
        <v>10601</v>
      </c>
      <c r="F48" t="s">
        <v>10602</v>
      </c>
    </row>
    <row r="49" spans="1:6" x14ac:dyDescent="0.3">
      <c r="A49" s="154" t="s">
        <v>11290</v>
      </c>
      <c r="B49" t="s">
        <v>2523</v>
      </c>
      <c r="C49" t="s">
        <v>11291</v>
      </c>
      <c r="D49" s="197" t="s">
        <v>11292</v>
      </c>
      <c r="E49" t="s">
        <v>11293</v>
      </c>
      <c r="F49" t="s">
        <v>11294</v>
      </c>
    </row>
    <row r="50" spans="1:6" x14ac:dyDescent="0.3">
      <c r="A50" s="142" t="s">
        <v>11295</v>
      </c>
      <c r="B50" t="s">
        <v>2523</v>
      </c>
      <c r="C50" t="s">
        <v>11296</v>
      </c>
      <c r="D50" t="s">
        <v>11297</v>
      </c>
      <c r="E50" t="s">
        <v>11298</v>
      </c>
      <c r="F50" t="s">
        <v>11299</v>
      </c>
    </row>
    <row r="51" spans="1:6" x14ac:dyDescent="0.3">
      <c r="A51" s="154" t="s">
        <v>11300</v>
      </c>
      <c r="B51" t="s">
        <v>2523</v>
      </c>
      <c r="C51" t="s">
        <v>11291</v>
      </c>
      <c r="D51" t="s">
        <v>11301</v>
      </c>
      <c r="E51" t="s">
        <v>11302</v>
      </c>
      <c r="F51" t="s">
        <v>11303</v>
      </c>
    </row>
    <row r="52" spans="1:6" x14ac:dyDescent="0.3">
      <c r="A52" s="156" t="s">
        <v>11304</v>
      </c>
      <c r="B52" t="s">
        <v>1919</v>
      </c>
      <c r="C52" t="s">
        <v>11305</v>
      </c>
      <c r="D52" t="s">
        <v>11306</v>
      </c>
      <c r="E52" t="s">
        <v>11307</v>
      </c>
      <c r="F52" t="s">
        <v>11308</v>
      </c>
    </row>
    <row r="53" spans="1:6" x14ac:dyDescent="0.3">
      <c r="A53" s="154" t="s">
        <v>11309</v>
      </c>
      <c r="B53" t="s">
        <v>1919</v>
      </c>
      <c r="C53" t="s">
        <v>11291</v>
      </c>
      <c r="D53" t="s">
        <v>11310</v>
      </c>
    </row>
    <row r="54" spans="1:6" x14ac:dyDescent="0.3">
      <c r="A54" s="154" t="s">
        <v>11311</v>
      </c>
      <c r="B54" t="s">
        <v>1919</v>
      </c>
      <c r="C54" t="s">
        <v>11291</v>
      </c>
      <c r="D54" t="s">
        <v>11312</v>
      </c>
    </row>
    <row r="55" spans="1:6" x14ac:dyDescent="0.3">
      <c r="A55" s="154" t="s">
        <v>11313</v>
      </c>
      <c r="B55" t="s">
        <v>1919</v>
      </c>
      <c r="C55" t="s">
        <v>11314</v>
      </c>
      <c r="D55" t="s">
        <v>11315</v>
      </c>
    </row>
    <row r="56" spans="1:6" x14ac:dyDescent="0.3">
      <c r="A56" s="154" t="s">
        <v>11316</v>
      </c>
      <c r="B56" t="s">
        <v>1919</v>
      </c>
      <c r="C56" t="s">
        <v>11317</v>
      </c>
      <c r="D56" t="s">
        <v>11318</v>
      </c>
    </row>
    <row r="57" spans="1:6" x14ac:dyDescent="0.3">
      <c r="A57" s="174" t="s">
        <v>11319</v>
      </c>
    </row>
    <row r="60" spans="1:6" ht="18" x14ac:dyDescent="0.4">
      <c r="A60" s="143" t="s">
        <v>2587</v>
      </c>
      <c r="B60" s="144"/>
      <c r="C60" s="144"/>
      <c r="D60" s="145" t="s">
        <v>2588</v>
      </c>
      <c r="E60" s="144"/>
      <c r="F60" s="144"/>
    </row>
    <row r="61" spans="1:6" x14ac:dyDescent="0.3">
      <c r="A61" s="140" t="s">
        <v>2492</v>
      </c>
      <c r="B61" s="133" t="s">
        <v>2493</v>
      </c>
      <c r="C61" s="133" t="s">
        <v>2494</v>
      </c>
      <c r="D61" s="133" t="s">
        <v>1956</v>
      </c>
      <c r="E61" s="133" t="s">
        <v>2490</v>
      </c>
      <c r="F61" s="133" t="s">
        <v>2491</v>
      </c>
    </row>
    <row r="62" spans="1:6" x14ac:dyDescent="0.3">
      <c r="A62" s="135" t="s">
        <v>2530</v>
      </c>
      <c r="B62" t="s">
        <v>1919</v>
      </c>
      <c r="C62" t="s">
        <v>2496</v>
      </c>
      <c r="D62" t="s">
        <v>2207</v>
      </c>
      <c r="E62" t="s">
        <v>2589</v>
      </c>
      <c r="F62" t="s">
        <v>2590</v>
      </c>
    </row>
    <row r="63" spans="1:6" x14ac:dyDescent="0.3">
      <c r="A63" s="136" t="s">
        <v>2520</v>
      </c>
      <c r="B63" t="s">
        <v>1919</v>
      </c>
      <c r="C63" t="s">
        <v>2501</v>
      </c>
      <c r="E63" t="s">
        <v>2591</v>
      </c>
      <c r="F63" t="s">
        <v>2590</v>
      </c>
    </row>
    <row r="64" spans="1:6" x14ac:dyDescent="0.3">
      <c r="A64" s="136" t="s">
        <v>2592</v>
      </c>
      <c r="B64" t="s">
        <v>1919</v>
      </c>
      <c r="C64" t="s">
        <v>2593</v>
      </c>
      <c r="D64" t="s">
        <v>2594</v>
      </c>
    </row>
    <row r="65" spans="1:6" x14ac:dyDescent="0.3">
      <c r="A65" s="136" t="s">
        <v>2595</v>
      </c>
      <c r="B65" t="s">
        <v>1919</v>
      </c>
      <c r="E65" t="s">
        <v>2596</v>
      </c>
      <c r="F65" t="s">
        <v>2590</v>
      </c>
    </row>
    <row r="66" spans="1:6" x14ac:dyDescent="0.3">
      <c r="A66" s="136" t="s">
        <v>2597</v>
      </c>
      <c r="B66" t="s">
        <v>1919</v>
      </c>
      <c r="E66" t="s">
        <v>2598</v>
      </c>
      <c r="F66" t="s">
        <v>2590</v>
      </c>
    </row>
    <row r="67" spans="1:6" x14ac:dyDescent="0.3">
      <c r="A67" s="136" t="s">
        <v>2599</v>
      </c>
      <c r="B67" t="s">
        <v>1919</v>
      </c>
      <c r="E67" t="s">
        <v>2600</v>
      </c>
      <c r="F67" t="s">
        <v>2590</v>
      </c>
    </row>
    <row r="68" spans="1:6" x14ac:dyDescent="0.3">
      <c r="A68" s="136" t="s">
        <v>2503</v>
      </c>
      <c r="B68" t="s">
        <v>1919</v>
      </c>
      <c r="E68" t="s">
        <v>2601</v>
      </c>
      <c r="F68" t="s">
        <v>2590</v>
      </c>
    </row>
    <row r="70" spans="1:6" ht="18" x14ac:dyDescent="0.4">
      <c r="A70" s="147" t="s">
        <v>2602</v>
      </c>
      <c r="B70" s="148"/>
      <c r="C70" s="148"/>
      <c r="D70" s="149" t="s">
        <v>2603</v>
      </c>
      <c r="E70" s="148"/>
      <c r="F70" s="148"/>
    </row>
    <row r="71" spans="1:6" x14ac:dyDescent="0.3">
      <c r="A71" s="136" t="s">
        <v>2604</v>
      </c>
      <c r="B71" t="s">
        <v>1919</v>
      </c>
      <c r="C71" t="s">
        <v>2605</v>
      </c>
      <c r="E71" t="s">
        <v>2606</v>
      </c>
    </row>
    <row r="72" spans="1:6" x14ac:dyDescent="0.3">
      <c r="A72" s="136" t="s">
        <v>2607</v>
      </c>
      <c r="B72" t="s">
        <v>1919</v>
      </c>
      <c r="C72" t="s">
        <v>2608</v>
      </c>
    </row>
    <row r="73" spans="1:6" x14ac:dyDescent="0.3">
      <c r="A73" s="136" t="s">
        <v>2609</v>
      </c>
      <c r="B73" t="s">
        <v>1919</v>
      </c>
      <c r="D73" t="s">
        <v>2610</v>
      </c>
    </row>
    <row r="74" spans="1:6" x14ac:dyDescent="0.3">
      <c r="A74" s="136" t="s">
        <v>2611</v>
      </c>
      <c r="B74" t="s">
        <v>2523</v>
      </c>
      <c r="C74" t="s">
        <v>2524</v>
      </c>
      <c r="D74" t="s">
        <v>2612</v>
      </c>
    </row>
    <row r="76" spans="1:6" ht="18" x14ac:dyDescent="0.4">
      <c r="A76" s="147" t="s">
        <v>2613</v>
      </c>
      <c r="B76" s="148"/>
      <c r="C76" s="148"/>
      <c r="D76" s="149" t="s">
        <v>2614</v>
      </c>
      <c r="E76" s="148"/>
      <c r="F76" s="148"/>
    </row>
    <row r="77" spans="1:6" x14ac:dyDescent="0.3">
      <c r="A77" s="136" t="s">
        <v>2615</v>
      </c>
      <c r="B77" t="s">
        <v>1919</v>
      </c>
      <c r="C77" t="s">
        <v>2608</v>
      </c>
      <c r="D77" t="s">
        <v>2616</v>
      </c>
    </row>
    <row r="78" spans="1:6" x14ac:dyDescent="0.3">
      <c r="A78" s="136" t="s">
        <v>2617</v>
      </c>
      <c r="B78" t="s">
        <v>1919</v>
      </c>
      <c r="D78" t="s">
        <v>2618</v>
      </c>
    </row>
    <row r="79" spans="1:6" x14ac:dyDescent="0.3">
      <c r="A79" s="136" t="s">
        <v>2619</v>
      </c>
      <c r="B79" t="s">
        <v>1919</v>
      </c>
    </row>
    <row r="80" spans="1:6" x14ac:dyDescent="0.3">
      <c r="A80" s="136" t="s">
        <v>2620</v>
      </c>
      <c r="B80" t="s">
        <v>1919</v>
      </c>
    </row>
    <row r="82" spans="1:6" ht="18" x14ac:dyDescent="0.4">
      <c r="A82" s="143" t="s">
        <v>2621</v>
      </c>
      <c r="B82" s="144"/>
      <c r="C82" s="144"/>
      <c r="D82" s="145" t="s">
        <v>2209</v>
      </c>
      <c r="E82" s="144"/>
      <c r="F82" s="144"/>
    </row>
    <row r="83" spans="1:6" x14ac:dyDescent="0.3">
      <c r="A83" s="135" t="s">
        <v>2530</v>
      </c>
      <c r="B83" t="s">
        <v>1919</v>
      </c>
      <c r="C83" t="s">
        <v>2496</v>
      </c>
      <c r="D83" t="s">
        <v>2210</v>
      </c>
    </row>
    <row r="84" spans="1:6" x14ac:dyDescent="0.3">
      <c r="A84" s="136" t="s">
        <v>2604</v>
      </c>
      <c r="B84" t="s">
        <v>1919</v>
      </c>
      <c r="C84" t="s">
        <v>2605</v>
      </c>
    </row>
    <row r="85" spans="1:6" x14ac:dyDescent="0.3">
      <c r="A85" s="136" t="s">
        <v>2622</v>
      </c>
      <c r="B85" t="s">
        <v>2513</v>
      </c>
      <c r="C85" t="s">
        <v>2623</v>
      </c>
      <c r="E85" t="s">
        <v>2624</v>
      </c>
      <c r="F85" t="s">
        <v>2625</v>
      </c>
    </row>
    <row r="86" spans="1:6" x14ac:dyDescent="0.3">
      <c r="A86" s="136" t="s">
        <v>2516</v>
      </c>
      <c r="B86" t="s">
        <v>1919</v>
      </c>
      <c r="C86" t="s">
        <v>2626</v>
      </c>
      <c r="E86" t="s">
        <v>2627</v>
      </c>
      <c r="F86" t="s">
        <v>2625</v>
      </c>
    </row>
    <row r="87" spans="1:6" x14ac:dyDescent="0.3">
      <c r="A87" s="136" t="s">
        <v>2628</v>
      </c>
      <c r="B87" t="s">
        <v>1919</v>
      </c>
      <c r="E87" t="s">
        <v>2629</v>
      </c>
      <c r="F87" t="s">
        <v>2625</v>
      </c>
    </row>
    <row r="88" spans="1:6" x14ac:dyDescent="0.3">
      <c r="A88" s="136" t="s">
        <v>2630</v>
      </c>
      <c r="B88" t="s">
        <v>1919</v>
      </c>
      <c r="E88" t="s">
        <v>2631</v>
      </c>
      <c r="F88" t="s">
        <v>2625</v>
      </c>
    </row>
    <row r="89" spans="1:6" x14ac:dyDescent="0.3">
      <c r="A89" s="136" t="s">
        <v>2632</v>
      </c>
      <c r="B89" t="s">
        <v>2523</v>
      </c>
      <c r="C89" t="s">
        <v>2524</v>
      </c>
      <c r="D89" t="s">
        <v>2633</v>
      </c>
      <c r="E89" t="s">
        <v>2634</v>
      </c>
    </row>
    <row r="90" spans="1:6" x14ac:dyDescent="0.3">
      <c r="A90" s="136" t="s">
        <v>2635</v>
      </c>
      <c r="B90" t="s">
        <v>2523</v>
      </c>
      <c r="C90" t="s">
        <v>2524</v>
      </c>
      <c r="D90" t="s">
        <v>2636</v>
      </c>
      <c r="E90" t="s">
        <v>2637</v>
      </c>
    </row>
    <row r="91" spans="1:6" x14ac:dyDescent="0.3">
      <c r="A91" s="136" t="s">
        <v>2638</v>
      </c>
      <c r="B91" t="s">
        <v>2639</v>
      </c>
      <c r="C91" t="s">
        <v>2640</v>
      </c>
      <c r="D91" t="s">
        <v>2641</v>
      </c>
    </row>
    <row r="93" spans="1:6" ht="18" x14ac:dyDescent="0.4">
      <c r="A93" s="143" t="s">
        <v>2642</v>
      </c>
      <c r="B93" s="144"/>
      <c r="C93" s="144"/>
      <c r="D93" s="145" t="s">
        <v>2643</v>
      </c>
      <c r="E93" s="144"/>
      <c r="F93" s="144"/>
    </row>
    <row r="94" spans="1:6" x14ac:dyDescent="0.3">
      <c r="A94" s="135" t="s">
        <v>2530</v>
      </c>
      <c r="B94" t="s">
        <v>1919</v>
      </c>
      <c r="C94" t="s">
        <v>2496</v>
      </c>
    </row>
    <row r="95" spans="1:6" x14ac:dyDescent="0.3">
      <c r="A95" s="136" t="s">
        <v>2604</v>
      </c>
      <c r="B95" t="s">
        <v>1919</v>
      </c>
      <c r="C95" t="s">
        <v>2605</v>
      </c>
    </row>
    <row r="96" spans="1:6" x14ac:dyDescent="0.3">
      <c r="A96" s="136" t="s">
        <v>2644</v>
      </c>
      <c r="B96" t="s">
        <v>1919</v>
      </c>
      <c r="C96" t="s">
        <v>2501</v>
      </c>
      <c r="D96" t="s">
        <v>2645</v>
      </c>
      <c r="E96" t="s">
        <v>2646</v>
      </c>
      <c r="F96" t="s">
        <v>2647</v>
      </c>
    </row>
    <row r="97" spans="1:6" x14ac:dyDescent="0.3">
      <c r="A97" s="136" t="s">
        <v>2648</v>
      </c>
      <c r="B97" t="s">
        <v>1919</v>
      </c>
      <c r="D97" t="s">
        <v>2649</v>
      </c>
    </row>
    <row r="98" spans="1:6" x14ac:dyDescent="0.3">
      <c r="A98" s="136" t="s">
        <v>2650</v>
      </c>
      <c r="B98" t="s">
        <v>1919</v>
      </c>
      <c r="D98" t="s">
        <v>2651</v>
      </c>
    </row>
    <row r="99" spans="1:6" x14ac:dyDescent="0.3">
      <c r="A99" s="136" t="s">
        <v>2628</v>
      </c>
      <c r="B99" t="s">
        <v>1919</v>
      </c>
      <c r="E99" t="s">
        <v>2652</v>
      </c>
      <c r="F99" t="s">
        <v>2647</v>
      </c>
    </row>
    <row r="100" spans="1:6" x14ac:dyDescent="0.3">
      <c r="A100" s="136" t="s">
        <v>2653</v>
      </c>
      <c r="B100" t="s">
        <v>1919</v>
      </c>
      <c r="C100" t="s">
        <v>2654</v>
      </c>
      <c r="E100" t="s">
        <v>2655</v>
      </c>
      <c r="F100" t="s">
        <v>2647</v>
      </c>
    </row>
    <row r="101" spans="1:6" x14ac:dyDescent="0.3">
      <c r="A101" s="136" t="s">
        <v>2656</v>
      </c>
      <c r="B101" t="s">
        <v>2639</v>
      </c>
      <c r="E101" t="s">
        <v>2657</v>
      </c>
      <c r="F101" t="s">
        <v>2647</v>
      </c>
    </row>
    <row r="103" spans="1:6" ht="18" x14ac:dyDescent="0.4">
      <c r="A103" s="143" t="s">
        <v>2658</v>
      </c>
      <c r="B103" s="144"/>
      <c r="C103" s="144"/>
      <c r="D103" s="145" t="s">
        <v>2659</v>
      </c>
      <c r="E103" s="144"/>
      <c r="F103" s="144"/>
    </row>
    <row r="104" spans="1:6" x14ac:dyDescent="0.3">
      <c r="A104" s="136" t="s">
        <v>2660</v>
      </c>
      <c r="B104" t="s">
        <v>1919</v>
      </c>
      <c r="C104" t="s">
        <v>2661</v>
      </c>
    </row>
    <row r="105" spans="1:6" x14ac:dyDescent="0.3">
      <c r="A105" s="136" t="s">
        <v>2662</v>
      </c>
      <c r="B105" t="s">
        <v>1919</v>
      </c>
      <c r="C105" t="s">
        <v>2501</v>
      </c>
      <c r="D105" t="s">
        <v>2663</v>
      </c>
      <c r="E105" t="s">
        <v>2664</v>
      </c>
      <c r="F105" t="s">
        <v>2665</v>
      </c>
    </row>
    <row r="106" spans="1:6" x14ac:dyDescent="0.3">
      <c r="A106" s="136" t="s">
        <v>2666</v>
      </c>
      <c r="B106" t="s">
        <v>1919</v>
      </c>
      <c r="D106" t="s">
        <v>2667</v>
      </c>
    </row>
    <row r="107" spans="1:6" x14ac:dyDescent="0.3">
      <c r="A107" s="136" t="s">
        <v>2668</v>
      </c>
      <c r="B107" t="s">
        <v>1919</v>
      </c>
      <c r="D107" t="s">
        <v>2669</v>
      </c>
    </row>
    <row r="108" spans="1:6" x14ac:dyDescent="0.3">
      <c r="A108" s="136" t="s">
        <v>2670</v>
      </c>
      <c r="B108" t="s">
        <v>1919</v>
      </c>
      <c r="D108" t="s">
        <v>2671</v>
      </c>
    </row>
    <row r="110" spans="1:6" ht="18" x14ac:dyDescent="0.4">
      <c r="A110" s="147" t="s">
        <v>2672</v>
      </c>
      <c r="B110" s="148"/>
      <c r="C110" s="148"/>
      <c r="D110" s="149" t="s">
        <v>2673</v>
      </c>
      <c r="E110" s="148"/>
      <c r="F110" s="148"/>
    </row>
    <row r="111" spans="1:6" x14ac:dyDescent="0.3">
      <c r="A111" s="136" t="s">
        <v>2674</v>
      </c>
      <c r="B111" t="s">
        <v>1919</v>
      </c>
      <c r="C111" t="s">
        <v>2675</v>
      </c>
    </row>
    <row r="112" spans="1:6" x14ac:dyDescent="0.3">
      <c r="A112" s="136" t="s">
        <v>2609</v>
      </c>
      <c r="B112" t="s">
        <v>1919</v>
      </c>
      <c r="D112" t="s">
        <v>2676</v>
      </c>
    </row>
    <row r="114" spans="1:6" ht="17.399999999999999" x14ac:dyDescent="0.35">
      <c r="A114" s="151" t="s">
        <v>2677</v>
      </c>
      <c r="B114" s="152"/>
      <c r="C114" s="152"/>
      <c r="D114" s="153" t="s">
        <v>2678</v>
      </c>
      <c r="E114" s="152"/>
      <c r="F114" s="152"/>
    </row>
    <row r="115" spans="1:6" x14ac:dyDescent="0.3">
      <c r="A115" s="136" t="s">
        <v>2660</v>
      </c>
      <c r="B115" t="s">
        <v>1919</v>
      </c>
      <c r="C115" t="s">
        <v>2661</v>
      </c>
    </row>
    <row r="116" spans="1:6" x14ac:dyDescent="0.3">
      <c r="A116" s="136" t="s">
        <v>2679</v>
      </c>
      <c r="B116" t="s">
        <v>1919</v>
      </c>
      <c r="C116" t="s">
        <v>2680</v>
      </c>
    </row>
    <row r="117" spans="1:6" x14ac:dyDescent="0.3">
      <c r="A117" s="136" t="s">
        <v>2681</v>
      </c>
      <c r="B117" t="s">
        <v>1919</v>
      </c>
      <c r="D117" t="s">
        <v>2682</v>
      </c>
      <c r="E117" t="s">
        <v>2683</v>
      </c>
      <c r="F117" t="s">
        <v>2684</v>
      </c>
    </row>
    <row r="118" spans="1:6" x14ac:dyDescent="0.3">
      <c r="A118" s="136" t="s">
        <v>2685</v>
      </c>
      <c r="B118" t="s">
        <v>1919</v>
      </c>
      <c r="E118" t="s">
        <v>2686</v>
      </c>
    </row>
    <row r="119" spans="1:6" x14ac:dyDescent="0.3">
      <c r="A119" s="136" t="s">
        <v>2687</v>
      </c>
      <c r="B119" t="s">
        <v>1919</v>
      </c>
      <c r="D119" t="s">
        <v>2688</v>
      </c>
    </row>
    <row r="121" spans="1:6" ht="18" x14ac:dyDescent="0.4">
      <c r="A121" s="147" t="s">
        <v>2689</v>
      </c>
      <c r="B121" s="148"/>
      <c r="C121" s="148"/>
      <c r="D121" s="149" t="s">
        <v>2690</v>
      </c>
      <c r="E121" s="148"/>
      <c r="F121" s="148"/>
    </row>
    <row r="122" spans="1:6" x14ac:dyDescent="0.3">
      <c r="A122" s="136" t="s">
        <v>2660</v>
      </c>
      <c r="B122" t="s">
        <v>1919</v>
      </c>
      <c r="C122" t="s">
        <v>2661</v>
      </c>
    </row>
    <row r="123" spans="1:6" x14ac:dyDescent="0.3">
      <c r="A123" s="136" t="s">
        <v>2691</v>
      </c>
      <c r="B123" t="s">
        <v>1919</v>
      </c>
      <c r="C123" t="s">
        <v>2501</v>
      </c>
      <c r="D123" t="s">
        <v>2692</v>
      </c>
      <c r="E123" t="s">
        <v>2693</v>
      </c>
      <c r="F123" t="s">
        <v>2694</v>
      </c>
    </row>
    <row r="124" spans="1:6" x14ac:dyDescent="0.3">
      <c r="A124" s="136" t="s">
        <v>2695</v>
      </c>
      <c r="B124" t="s">
        <v>1919</v>
      </c>
      <c r="D124" t="s">
        <v>2696</v>
      </c>
      <c r="E124" t="s">
        <v>2697</v>
      </c>
    </row>
    <row r="125" spans="1:6" x14ac:dyDescent="0.3">
      <c r="A125" s="136" t="s">
        <v>2698</v>
      </c>
      <c r="B125" t="s">
        <v>1919</v>
      </c>
      <c r="D125" t="s">
        <v>2699</v>
      </c>
      <c r="E125" t="s">
        <v>2700</v>
      </c>
      <c r="F125" t="s">
        <v>2701</v>
      </c>
    </row>
    <row r="126" spans="1:6" x14ac:dyDescent="0.3">
      <c r="A126" s="136" t="s">
        <v>2702</v>
      </c>
      <c r="B126" t="s">
        <v>1919</v>
      </c>
      <c r="E126" t="s">
        <v>2703</v>
      </c>
    </row>
    <row r="128" spans="1:6" ht="18" x14ac:dyDescent="0.4">
      <c r="A128" s="155" t="s">
        <v>2704</v>
      </c>
      <c r="B128" s="152"/>
      <c r="C128" s="152"/>
      <c r="D128" s="153" t="s">
        <v>2705</v>
      </c>
      <c r="E128" s="152"/>
      <c r="F128" s="152"/>
    </row>
    <row r="129" spans="1:6" x14ac:dyDescent="0.3">
      <c r="A129" s="136" t="s">
        <v>2660</v>
      </c>
      <c r="B129" t="s">
        <v>1919</v>
      </c>
      <c r="C129" t="s">
        <v>2661</v>
      </c>
    </row>
    <row r="130" spans="1:6" x14ac:dyDescent="0.3">
      <c r="A130" s="136" t="s">
        <v>2706</v>
      </c>
      <c r="B130" t="s">
        <v>1919</v>
      </c>
      <c r="D130" t="s">
        <v>2707</v>
      </c>
      <c r="E130" t="s">
        <v>2708</v>
      </c>
      <c r="F130" t="s">
        <v>2709</v>
      </c>
    </row>
    <row r="131" spans="1:6" x14ac:dyDescent="0.3">
      <c r="A131" s="136" t="s">
        <v>2710</v>
      </c>
      <c r="B131" t="s">
        <v>1919</v>
      </c>
      <c r="D131" t="s">
        <v>2711</v>
      </c>
    </row>
    <row r="132" spans="1:6" x14ac:dyDescent="0.3">
      <c r="A132" s="136" t="s">
        <v>2712</v>
      </c>
      <c r="B132" t="s">
        <v>1919</v>
      </c>
      <c r="D132" t="s">
        <v>2713</v>
      </c>
      <c r="E132" t="s">
        <v>2714</v>
      </c>
      <c r="F132" t="s">
        <v>2715</v>
      </c>
    </row>
    <row r="133" spans="1:6" x14ac:dyDescent="0.3">
      <c r="A133" s="136" t="s">
        <v>2716</v>
      </c>
      <c r="B133" t="s">
        <v>2717</v>
      </c>
      <c r="E133" t="s">
        <v>2718</v>
      </c>
    </row>
    <row r="135" spans="1:6" ht="18" x14ac:dyDescent="0.4">
      <c r="A135" s="155" t="s">
        <v>2719</v>
      </c>
      <c r="B135" s="152"/>
      <c r="C135" s="152"/>
      <c r="D135" s="153" t="s">
        <v>2720</v>
      </c>
      <c r="E135" s="152"/>
      <c r="F135" s="152"/>
    </row>
    <row r="136" spans="1:6" x14ac:dyDescent="0.3">
      <c r="A136" s="136" t="s">
        <v>2660</v>
      </c>
      <c r="B136" t="s">
        <v>1919</v>
      </c>
      <c r="C136" t="s">
        <v>2661</v>
      </c>
    </row>
    <row r="137" spans="1:6" x14ac:dyDescent="0.3">
      <c r="A137" s="136" t="s">
        <v>2721</v>
      </c>
      <c r="B137" t="s">
        <v>1919</v>
      </c>
      <c r="D137" t="s">
        <v>2722</v>
      </c>
    </row>
    <row r="138" spans="1:6" x14ac:dyDescent="0.3">
      <c r="A138" s="136" t="s">
        <v>2723</v>
      </c>
      <c r="B138" t="s">
        <v>1919</v>
      </c>
      <c r="D138" t="s">
        <v>2724</v>
      </c>
      <c r="E138" t="s">
        <v>2725</v>
      </c>
      <c r="F138" t="s">
        <v>2726</v>
      </c>
    </row>
    <row r="139" spans="1:6" x14ac:dyDescent="0.3">
      <c r="A139" s="136" t="s">
        <v>2727</v>
      </c>
      <c r="B139" t="s">
        <v>1919</v>
      </c>
      <c r="E139" t="s">
        <v>2728</v>
      </c>
    </row>
    <row r="140" spans="1:6" x14ac:dyDescent="0.3">
      <c r="A140" s="136" t="s">
        <v>2729</v>
      </c>
      <c r="B140" t="s">
        <v>1919</v>
      </c>
    </row>
    <row r="142" spans="1:6" ht="18" x14ac:dyDescent="0.4">
      <c r="A142" s="157" t="s">
        <v>2730</v>
      </c>
      <c r="B142" s="158"/>
      <c r="C142" s="158"/>
      <c r="D142" s="159" t="s">
        <v>2731</v>
      </c>
      <c r="E142" s="158"/>
      <c r="F142" s="158"/>
    </row>
    <row r="143" spans="1:6" x14ac:dyDescent="0.3">
      <c r="A143" s="136" t="s">
        <v>2660</v>
      </c>
      <c r="B143" t="s">
        <v>1919</v>
      </c>
      <c r="C143" t="s">
        <v>2661</v>
      </c>
    </row>
    <row r="144" spans="1:6" x14ac:dyDescent="0.3">
      <c r="A144" s="136" t="s">
        <v>2732</v>
      </c>
      <c r="B144" t="s">
        <v>1919</v>
      </c>
      <c r="D144" t="s">
        <v>2733</v>
      </c>
      <c r="E144" t="s">
        <v>2734</v>
      </c>
      <c r="F144" t="s">
        <v>2735</v>
      </c>
    </row>
    <row r="145" spans="1:6" x14ac:dyDescent="0.3">
      <c r="A145" s="136" t="s">
        <v>2736</v>
      </c>
      <c r="B145" t="s">
        <v>2737</v>
      </c>
      <c r="E145" t="s">
        <v>2738</v>
      </c>
      <c r="F145" t="s">
        <v>2739</v>
      </c>
    </row>
    <row r="146" spans="1:6" x14ac:dyDescent="0.3">
      <c r="A146" s="136" t="s">
        <v>2740</v>
      </c>
      <c r="B146" t="s">
        <v>2523</v>
      </c>
      <c r="E146" t="s">
        <v>2741</v>
      </c>
      <c r="F146" t="s">
        <v>2742</v>
      </c>
    </row>
    <row r="147" spans="1:6" x14ac:dyDescent="0.3">
      <c r="A147" s="136" t="s">
        <v>2551</v>
      </c>
      <c r="B147" t="s">
        <v>1919</v>
      </c>
      <c r="D147" t="s">
        <v>2743</v>
      </c>
    </row>
    <row r="149" spans="1:6" ht="18" x14ac:dyDescent="0.4">
      <c r="A149" s="143" t="s">
        <v>2744</v>
      </c>
      <c r="B149" s="144"/>
      <c r="C149" s="144"/>
      <c r="D149" s="145" t="s">
        <v>2745</v>
      </c>
      <c r="E149" s="144"/>
      <c r="F149" s="144"/>
    </row>
    <row r="150" spans="1:6" x14ac:dyDescent="0.3">
      <c r="A150" s="136" t="s">
        <v>2746</v>
      </c>
      <c r="B150" t="s">
        <v>1919</v>
      </c>
      <c r="C150" t="s">
        <v>2605</v>
      </c>
      <c r="E150" t="s">
        <v>2747</v>
      </c>
      <c r="F150" t="s">
        <v>2748</v>
      </c>
    </row>
    <row r="151" spans="1:6" x14ac:dyDescent="0.3">
      <c r="A151" s="136" t="s">
        <v>2749</v>
      </c>
      <c r="B151" t="s">
        <v>1919</v>
      </c>
      <c r="D151" t="s">
        <v>2750</v>
      </c>
      <c r="E151" t="s">
        <v>2751</v>
      </c>
      <c r="F151" t="s">
        <v>2748</v>
      </c>
    </row>
    <row r="152" spans="1:6" x14ac:dyDescent="0.3">
      <c r="A152" s="136" t="s">
        <v>2611</v>
      </c>
      <c r="B152" t="s">
        <v>2523</v>
      </c>
      <c r="C152" t="s">
        <v>2524</v>
      </c>
      <c r="D152" t="s">
        <v>2752</v>
      </c>
      <c r="E152" t="s">
        <v>2753</v>
      </c>
      <c r="F152" t="s">
        <v>2748</v>
      </c>
    </row>
    <row r="154" spans="1:6" ht="18" x14ac:dyDescent="0.4">
      <c r="A154" s="143" t="s">
        <v>2754</v>
      </c>
      <c r="B154" s="144"/>
      <c r="C154" s="144"/>
      <c r="D154" s="145" t="s">
        <v>2755</v>
      </c>
      <c r="E154" s="144"/>
      <c r="F154" s="144"/>
    </row>
    <row r="155" spans="1:6" x14ac:dyDescent="0.3">
      <c r="A155" s="136" t="s">
        <v>2660</v>
      </c>
      <c r="B155" t="s">
        <v>1919</v>
      </c>
      <c r="C155" t="s">
        <v>2661</v>
      </c>
    </row>
    <row r="156" spans="1:6" x14ac:dyDescent="0.3">
      <c r="A156" s="136" t="s">
        <v>2756</v>
      </c>
      <c r="B156" t="s">
        <v>1919</v>
      </c>
      <c r="D156" t="s">
        <v>2757</v>
      </c>
      <c r="E156" t="s">
        <v>2758</v>
      </c>
      <c r="F156" t="s">
        <v>2759</v>
      </c>
    </row>
    <row r="157" spans="1:6" x14ac:dyDescent="0.3">
      <c r="A157" s="136" t="s">
        <v>2628</v>
      </c>
      <c r="B157" t="s">
        <v>1919</v>
      </c>
      <c r="E157" t="s">
        <v>2760</v>
      </c>
    </row>
    <row r="158" spans="1:6" x14ac:dyDescent="0.3">
      <c r="A158" s="136" t="s">
        <v>2761</v>
      </c>
      <c r="B158" t="s">
        <v>1919</v>
      </c>
      <c r="E158" t="s">
        <v>2762</v>
      </c>
    </row>
    <row r="159" spans="1:6" x14ac:dyDescent="0.3">
      <c r="A159" s="136" t="s">
        <v>2763</v>
      </c>
      <c r="B159" t="s">
        <v>2764</v>
      </c>
    </row>
    <row r="161" spans="1:6" ht="18" x14ac:dyDescent="0.4">
      <c r="A161" s="157" t="s">
        <v>2765</v>
      </c>
      <c r="B161" s="158"/>
      <c r="C161" s="158"/>
      <c r="D161" s="159" t="s">
        <v>2766</v>
      </c>
      <c r="E161" s="158"/>
      <c r="F161" s="158"/>
    </row>
    <row r="162" spans="1:6" x14ac:dyDescent="0.3">
      <c r="A162" s="136" t="s">
        <v>2767</v>
      </c>
      <c r="B162" t="s">
        <v>1919</v>
      </c>
      <c r="D162" t="s">
        <v>2768</v>
      </c>
      <c r="E162" t="s">
        <v>2769</v>
      </c>
      <c r="F162" t="s">
        <v>2770</v>
      </c>
    </row>
    <row r="163" spans="1:6" x14ac:dyDescent="0.3">
      <c r="A163" s="136" t="s">
        <v>2771</v>
      </c>
      <c r="B163" t="s">
        <v>1919</v>
      </c>
      <c r="C163" t="s">
        <v>2675</v>
      </c>
    </row>
    <row r="165" spans="1:6" ht="17.399999999999999" x14ac:dyDescent="0.35">
      <c r="A165" s="160" t="s">
        <v>2772</v>
      </c>
      <c r="B165" s="134"/>
      <c r="C165" s="134"/>
      <c r="D165" s="161" t="s">
        <v>2773</v>
      </c>
      <c r="E165" s="134"/>
      <c r="F165" s="134"/>
    </row>
    <row r="166" spans="1:6" x14ac:dyDescent="0.3">
      <c r="A166" s="136" t="s">
        <v>2774</v>
      </c>
      <c r="B166" t="s">
        <v>2775</v>
      </c>
      <c r="E166" t="s">
        <v>2776</v>
      </c>
      <c r="F166" t="s">
        <v>2560</v>
      </c>
    </row>
    <row r="167" spans="1:6" x14ac:dyDescent="0.3">
      <c r="A167" s="136" t="s">
        <v>2777</v>
      </c>
      <c r="B167" t="s">
        <v>1919</v>
      </c>
      <c r="E167" t="s">
        <v>2778</v>
      </c>
    </row>
    <row r="169" spans="1:6" ht="17.399999999999999" x14ac:dyDescent="0.35">
      <c r="A169" s="173" t="s">
        <v>2924</v>
      </c>
      <c r="B169" s="144"/>
      <c r="C169" s="144"/>
      <c r="D169" s="145" t="s">
        <v>2925</v>
      </c>
      <c r="E169" s="144"/>
      <c r="F169" s="144"/>
    </row>
    <row r="170" spans="1:6" x14ac:dyDescent="0.3">
      <c r="A170" s="133" t="s">
        <v>2492</v>
      </c>
      <c r="B170" s="133" t="s">
        <v>2493</v>
      </c>
      <c r="C170" s="133" t="s">
        <v>2494</v>
      </c>
      <c r="D170" s="133" t="s">
        <v>1956</v>
      </c>
      <c r="E170" s="133" t="s">
        <v>2490</v>
      </c>
      <c r="F170" s="133" t="s">
        <v>2491</v>
      </c>
    </row>
    <row r="171" spans="1:6" x14ac:dyDescent="0.3">
      <c r="A171" s="135" t="s">
        <v>2530</v>
      </c>
      <c r="B171" t="s">
        <v>1919</v>
      </c>
      <c r="C171" t="s">
        <v>2496</v>
      </c>
      <c r="D171" t="s">
        <v>2222</v>
      </c>
    </row>
    <row r="172" spans="1:6" x14ac:dyDescent="0.3">
      <c r="A172" s="136" t="s">
        <v>2604</v>
      </c>
      <c r="B172" t="s">
        <v>1919</v>
      </c>
      <c r="C172" t="s">
        <v>2605</v>
      </c>
    </row>
    <row r="173" spans="1:6" x14ac:dyDescent="0.3">
      <c r="A173" s="136" t="s">
        <v>2607</v>
      </c>
      <c r="B173" t="s">
        <v>1919</v>
      </c>
      <c r="C173" t="s">
        <v>2608</v>
      </c>
      <c r="D173" t="s">
        <v>2926</v>
      </c>
    </row>
    <row r="174" spans="1:6" x14ac:dyDescent="0.3">
      <c r="A174" s="136" t="s">
        <v>2927</v>
      </c>
      <c r="B174" t="s">
        <v>1919</v>
      </c>
      <c r="C174" t="s">
        <v>2501</v>
      </c>
      <c r="E174" t="s">
        <v>2928</v>
      </c>
      <c r="F174" t="s">
        <v>2929</v>
      </c>
    </row>
    <row r="175" spans="1:6" x14ac:dyDescent="0.3">
      <c r="A175" s="136" t="s">
        <v>2930</v>
      </c>
      <c r="B175" t="s">
        <v>1919</v>
      </c>
      <c r="D175" t="s">
        <v>2931</v>
      </c>
      <c r="E175" t="s">
        <v>2932</v>
      </c>
      <c r="F175" t="s">
        <v>2929</v>
      </c>
    </row>
    <row r="176" spans="1:6" x14ac:dyDescent="0.3">
      <c r="A176" s="136" t="s">
        <v>2933</v>
      </c>
      <c r="B176" t="s">
        <v>1919</v>
      </c>
      <c r="E176" t="s">
        <v>2934</v>
      </c>
      <c r="F176" t="s">
        <v>2929</v>
      </c>
    </row>
    <row r="177" spans="1:6" x14ac:dyDescent="0.3">
      <c r="A177" s="136" t="s">
        <v>2935</v>
      </c>
      <c r="B177" t="s">
        <v>1919</v>
      </c>
      <c r="D177" t="s">
        <v>2936</v>
      </c>
    </row>
    <row r="178" spans="1:6" x14ac:dyDescent="0.3">
      <c r="A178" s="136" t="s">
        <v>2937</v>
      </c>
      <c r="B178" t="s">
        <v>1919</v>
      </c>
      <c r="D178" t="s">
        <v>2938</v>
      </c>
      <c r="E178" t="s">
        <v>2939</v>
      </c>
      <c r="F178" t="s">
        <v>2929</v>
      </c>
    </row>
    <row r="179" spans="1:6" x14ac:dyDescent="0.3">
      <c r="A179" s="136" t="s">
        <v>2940</v>
      </c>
      <c r="B179" t="s">
        <v>1919</v>
      </c>
      <c r="C179" t="s">
        <v>2941</v>
      </c>
      <c r="D179" t="s">
        <v>2942</v>
      </c>
    </row>
    <row r="180" spans="1:6" x14ac:dyDescent="0.3">
      <c r="A180" s="136" t="s">
        <v>2943</v>
      </c>
      <c r="B180" t="s">
        <v>2523</v>
      </c>
      <c r="C180" t="s">
        <v>2524</v>
      </c>
      <c r="D180" t="s">
        <v>2944</v>
      </c>
    </row>
    <row r="181" spans="1:6" x14ac:dyDescent="0.3">
      <c r="A181" s="136" t="s">
        <v>2653</v>
      </c>
      <c r="B181" t="s">
        <v>1919</v>
      </c>
      <c r="C181" t="s">
        <v>2654</v>
      </c>
      <c r="D181" t="s">
        <v>2945</v>
      </c>
    </row>
    <row r="182" spans="1:6" x14ac:dyDescent="0.3">
      <c r="A182" s="136" t="s">
        <v>2946</v>
      </c>
      <c r="B182" t="s">
        <v>2639</v>
      </c>
      <c r="C182" t="s">
        <v>2640</v>
      </c>
      <c r="D182" t="s">
        <v>2947</v>
      </c>
    </row>
    <row r="183" spans="1:6" x14ac:dyDescent="0.3">
      <c r="A183" s="136" t="s">
        <v>2948</v>
      </c>
      <c r="B183" t="s">
        <v>1919</v>
      </c>
    </row>
    <row r="185" spans="1:6" ht="18" x14ac:dyDescent="0.4">
      <c r="A185" s="157" t="s">
        <v>2949</v>
      </c>
      <c r="B185" s="158"/>
      <c r="C185" s="158"/>
      <c r="D185" s="159" t="s">
        <v>2950</v>
      </c>
      <c r="E185" s="158"/>
      <c r="F185" s="158"/>
    </row>
    <row r="186" spans="1:6" x14ac:dyDescent="0.3">
      <c r="A186" s="140" t="s">
        <v>2492</v>
      </c>
      <c r="B186" s="133" t="s">
        <v>2493</v>
      </c>
      <c r="C186" s="133" t="s">
        <v>2494</v>
      </c>
      <c r="D186" s="133" t="s">
        <v>1956</v>
      </c>
      <c r="E186" s="133" t="s">
        <v>2490</v>
      </c>
      <c r="F186" s="133" t="s">
        <v>2491</v>
      </c>
    </row>
    <row r="187" spans="1:6" x14ac:dyDescent="0.3">
      <c r="A187" s="135" t="s">
        <v>2530</v>
      </c>
      <c r="B187" t="s">
        <v>1919</v>
      </c>
      <c r="C187" t="s">
        <v>2496</v>
      </c>
      <c r="D187" t="s">
        <v>2951</v>
      </c>
    </row>
    <row r="188" spans="1:6" x14ac:dyDescent="0.3">
      <c r="A188" s="136" t="s">
        <v>2604</v>
      </c>
      <c r="B188" t="s">
        <v>1919</v>
      </c>
      <c r="C188" t="s">
        <v>2952</v>
      </c>
      <c r="D188" t="s">
        <v>2953</v>
      </c>
    </row>
    <row r="189" spans="1:6" x14ac:dyDescent="0.3">
      <c r="A189" s="136" t="s">
        <v>2954</v>
      </c>
      <c r="B189" t="s">
        <v>1919</v>
      </c>
      <c r="E189" t="s">
        <v>2955</v>
      </c>
      <c r="F189" t="s">
        <v>2956</v>
      </c>
    </row>
    <row r="190" spans="1:6" x14ac:dyDescent="0.3">
      <c r="A190" s="136" t="s">
        <v>2957</v>
      </c>
      <c r="B190" t="s">
        <v>1919</v>
      </c>
      <c r="D190" t="s">
        <v>2958</v>
      </c>
      <c r="E190" t="s">
        <v>2959</v>
      </c>
      <c r="F190" t="s">
        <v>2960</v>
      </c>
    </row>
    <row r="191" spans="1:6" x14ac:dyDescent="0.3">
      <c r="A191" s="136" t="s">
        <v>2961</v>
      </c>
      <c r="B191" t="s">
        <v>1919</v>
      </c>
      <c r="D191" t="s">
        <v>2962</v>
      </c>
      <c r="E191" t="s">
        <v>2963</v>
      </c>
      <c r="F191" t="s">
        <v>2964</v>
      </c>
    </row>
    <row r="192" spans="1:6" x14ac:dyDescent="0.3">
      <c r="A192" s="136" t="s">
        <v>2965</v>
      </c>
      <c r="B192" t="s">
        <v>1919</v>
      </c>
      <c r="D192" t="s">
        <v>2966</v>
      </c>
      <c r="E192" t="s">
        <v>2967</v>
      </c>
      <c r="F192" t="s">
        <v>2968</v>
      </c>
    </row>
    <row r="193" spans="1:6" x14ac:dyDescent="0.3">
      <c r="A193" s="136" t="s">
        <v>2969</v>
      </c>
      <c r="B193" t="s">
        <v>1919</v>
      </c>
      <c r="D193" t="s">
        <v>2970</v>
      </c>
      <c r="E193" t="s">
        <v>2971</v>
      </c>
      <c r="F193" t="s">
        <v>2972</v>
      </c>
    </row>
    <row r="194" spans="1:6" x14ac:dyDescent="0.3">
      <c r="A194" s="136" t="s">
        <v>2973</v>
      </c>
      <c r="B194" t="s">
        <v>1919</v>
      </c>
      <c r="E194" t="s">
        <v>2974</v>
      </c>
      <c r="F194" t="s">
        <v>2975</v>
      </c>
    </row>
    <row r="195" spans="1:6" x14ac:dyDescent="0.3">
      <c r="A195" s="136" t="s">
        <v>2976</v>
      </c>
      <c r="B195" t="s">
        <v>2639</v>
      </c>
      <c r="C195" t="s">
        <v>2640</v>
      </c>
      <c r="D195" t="s">
        <v>2977</v>
      </c>
    </row>
    <row r="196" spans="1:6" x14ac:dyDescent="0.3">
      <c r="A196" s="136" t="s">
        <v>2978</v>
      </c>
      <c r="B196" t="s">
        <v>1919</v>
      </c>
      <c r="D196" t="s">
        <v>2979</v>
      </c>
    </row>
    <row r="197" spans="1:6" x14ac:dyDescent="0.3">
      <c r="A197" s="136" t="s">
        <v>2980</v>
      </c>
      <c r="B197" t="s">
        <v>2981</v>
      </c>
      <c r="D197" t="s">
        <v>2982</v>
      </c>
    </row>
    <row r="199" spans="1:6" ht="18" x14ac:dyDescent="0.4">
      <c r="A199" s="200" t="s">
        <v>10489</v>
      </c>
      <c r="B199" s="158"/>
      <c r="C199" s="158"/>
      <c r="D199" s="159" t="s">
        <v>10490</v>
      </c>
      <c r="E199" s="158"/>
      <c r="F199" s="158"/>
    </row>
    <row r="200" spans="1:6" x14ac:dyDescent="0.3">
      <c r="A200" s="140" t="s">
        <v>2492</v>
      </c>
      <c r="B200" s="133" t="s">
        <v>2493</v>
      </c>
      <c r="C200" s="133" t="s">
        <v>2494</v>
      </c>
      <c r="D200" s="133" t="s">
        <v>1956</v>
      </c>
      <c r="E200" s="133" t="s">
        <v>2490</v>
      </c>
      <c r="F200" s="133" t="s">
        <v>2491</v>
      </c>
    </row>
    <row r="201" spans="1:6" x14ac:dyDescent="0.3">
      <c r="A201" s="135" t="s">
        <v>2530</v>
      </c>
      <c r="B201" t="s">
        <v>1919</v>
      </c>
      <c r="C201" t="s">
        <v>2496</v>
      </c>
    </row>
    <row r="202" spans="1:6" x14ac:dyDescent="0.3">
      <c r="A202" s="136" t="s">
        <v>2604</v>
      </c>
      <c r="B202" t="s">
        <v>1919</v>
      </c>
      <c r="C202" t="s">
        <v>2605</v>
      </c>
    </row>
    <row r="203" spans="1:6" x14ac:dyDescent="0.3">
      <c r="A203" s="136" t="s">
        <v>10491</v>
      </c>
      <c r="B203" t="s">
        <v>1919</v>
      </c>
      <c r="C203" t="s">
        <v>10492</v>
      </c>
      <c r="D203" t="s">
        <v>10493</v>
      </c>
      <c r="E203" t="s">
        <v>10494</v>
      </c>
      <c r="F203" t="s">
        <v>10495</v>
      </c>
    </row>
    <row r="204" spans="1:6" x14ac:dyDescent="0.3">
      <c r="A204" s="136" t="s">
        <v>10496</v>
      </c>
      <c r="B204" t="s">
        <v>2523</v>
      </c>
      <c r="C204" t="s">
        <v>10497</v>
      </c>
      <c r="D204" t="s">
        <v>10498</v>
      </c>
      <c r="E204" t="s">
        <v>10499</v>
      </c>
      <c r="F204" t="s">
        <v>10495</v>
      </c>
    </row>
    <row r="205" spans="1:6" x14ac:dyDescent="0.3">
      <c r="A205" s="136" t="s">
        <v>2712</v>
      </c>
      <c r="B205" t="s">
        <v>2523</v>
      </c>
      <c r="C205" t="s">
        <v>2524</v>
      </c>
      <c r="D205" t="s">
        <v>10500</v>
      </c>
      <c r="E205" t="s">
        <v>10501</v>
      </c>
      <c r="F205" t="s">
        <v>10495</v>
      </c>
    </row>
    <row r="206" spans="1:6" x14ac:dyDescent="0.3">
      <c r="A206" s="136" t="s">
        <v>10502</v>
      </c>
      <c r="B206" t="s">
        <v>1919</v>
      </c>
      <c r="C206" t="s">
        <v>2941</v>
      </c>
      <c r="D206" t="s">
        <v>10503</v>
      </c>
      <c r="E206" t="s">
        <v>10504</v>
      </c>
      <c r="F206" t="s">
        <v>10495</v>
      </c>
    </row>
    <row r="207" spans="1:6" x14ac:dyDescent="0.3">
      <c r="A207" s="136" t="s">
        <v>10505</v>
      </c>
      <c r="B207" t="s">
        <v>2513</v>
      </c>
      <c r="C207" t="s">
        <v>10506</v>
      </c>
      <c r="D207" t="s">
        <v>10507</v>
      </c>
    </row>
    <row r="208" spans="1:6" x14ac:dyDescent="0.3">
      <c r="A208" s="136" t="s">
        <v>10508</v>
      </c>
      <c r="B208" t="s">
        <v>2981</v>
      </c>
      <c r="D208" t="s">
        <v>10509</v>
      </c>
    </row>
    <row r="209" spans="1:6" x14ac:dyDescent="0.3">
      <c r="A209" s="136" t="s">
        <v>2503</v>
      </c>
      <c r="B209" t="s">
        <v>1919</v>
      </c>
      <c r="C209" t="s">
        <v>2501</v>
      </c>
      <c r="E209" t="s">
        <v>10510</v>
      </c>
      <c r="F209" t="s">
        <v>10495</v>
      </c>
    </row>
    <row r="210" spans="1:6" x14ac:dyDescent="0.3">
      <c r="A210" s="136" t="s">
        <v>10511</v>
      </c>
      <c r="B210" t="s">
        <v>1919</v>
      </c>
    </row>
    <row r="211" spans="1:6" x14ac:dyDescent="0.3">
      <c r="A211" s="136" t="s">
        <v>2607</v>
      </c>
      <c r="B211" t="s">
        <v>1919</v>
      </c>
      <c r="C211" t="s">
        <v>2608</v>
      </c>
      <c r="D211" t="s">
        <v>10512</v>
      </c>
    </row>
    <row r="213" spans="1:6" x14ac:dyDescent="0.3">
      <c r="A213" s="201" t="s">
        <v>10513</v>
      </c>
    </row>
    <row r="215" spans="1:6" x14ac:dyDescent="0.3">
      <c r="A215" s="202" t="s">
        <v>10514</v>
      </c>
      <c r="E215" t="s">
        <v>10515</v>
      </c>
      <c r="F215" t="s">
        <v>10516</v>
      </c>
    </row>
    <row r="217" spans="1:6" ht="17.399999999999999" x14ac:dyDescent="0.35">
      <c r="A217" s="216" t="s">
        <v>10565</v>
      </c>
      <c r="B217" s="206"/>
      <c r="C217" s="206"/>
      <c r="D217" s="217" t="s">
        <v>10566</v>
      </c>
      <c r="E217" s="206"/>
      <c r="F217" s="206"/>
    </row>
    <row r="218" spans="1:6" x14ac:dyDescent="0.3">
      <c r="A218" s="133" t="s">
        <v>2492</v>
      </c>
      <c r="B218" s="133" t="s">
        <v>2493</v>
      </c>
      <c r="C218" s="133" t="s">
        <v>2494</v>
      </c>
      <c r="D218" s="133" t="s">
        <v>1956</v>
      </c>
      <c r="E218" s="133" t="s">
        <v>2490</v>
      </c>
      <c r="F218" s="133" t="s">
        <v>2491</v>
      </c>
    </row>
    <row r="219" spans="1:6" x14ac:dyDescent="0.3">
      <c r="A219" s="135" t="s">
        <v>2530</v>
      </c>
      <c r="B219" t="s">
        <v>1919</v>
      </c>
      <c r="C219" t="s">
        <v>2496</v>
      </c>
    </row>
    <row r="220" spans="1:6" x14ac:dyDescent="0.3">
      <c r="A220" s="136" t="s">
        <v>2604</v>
      </c>
      <c r="B220" t="s">
        <v>1919</v>
      </c>
      <c r="C220" t="s">
        <v>2605</v>
      </c>
    </row>
    <row r="221" spans="1:6" x14ac:dyDescent="0.3">
      <c r="A221" s="136" t="s">
        <v>2607</v>
      </c>
      <c r="B221" t="s">
        <v>1919</v>
      </c>
      <c r="C221" t="s">
        <v>2608</v>
      </c>
      <c r="D221" t="s">
        <v>10567</v>
      </c>
    </row>
    <row r="222" spans="1:6" x14ac:dyDescent="0.3">
      <c r="A222" s="136" t="s">
        <v>10568</v>
      </c>
      <c r="B222" t="s">
        <v>1919</v>
      </c>
      <c r="C222" t="s">
        <v>2501</v>
      </c>
    </row>
    <row r="223" spans="1:6" x14ac:dyDescent="0.3">
      <c r="A223" s="136" t="s">
        <v>10569</v>
      </c>
      <c r="B223" t="s">
        <v>1919</v>
      </c>
      <c r="C223" t="s">
        <v>10570</v>
      </c>
      <c r="D223" t="s">
        <v>10571</v>
      </c>
    </row>
    <row r="224" spans="1:6" x14ac:dyDescent="0.3">
      <c r="A224" s="136" t="s">
        <v>10572</v>
      </c>
      <c r="B224" t="s">
        <v>2981</v>
      </c>
      <c r="D224" t="s">
        <v>10573</v>
      </c>
    </row>
    <row r="225" spans="1:6" x14ac:dyDescent="0.3">
      <c r="A225" s="136" t="s">
        <v>10574</v>
      </c>
      <c r="B225" t="s">
        <v>1919</v>
      </c>
      <c r="D225" t="s">
        <v>10575</v>
      </c>
    </row>
    <row r="226" spans="1:6" x14ac:dyDescent="0.3">
      <c r="A226" s="136" t="s">
        <v>10576</v>
      </c>
      <c r="B226" t="s">
        <v>1919</v>
      </c>
      <c r="C226" t="s">
        <v>10577</v>
      </c>
      <c r="D226" t="s">
        <v>10578</v>
      </c>
    </row>
    <row r="228" spans="1:6" x14ac:dyDescent="0.3">
      <c r="A228" s="201" t="s">
        <v>10579</v>
      </c>
    </row>
    <row r="230" spans="1:6" ht="17.399999999999999" x14ac:dyDescent="0.35">
      <c r="A230" s="216" t="s">
        <v>10580</v>
      </c>
      <c r="B230" s="206"/>
      <c r="C230" s="206"/>
      <c r="D230" s="217" t="s">
        <v>10581</v>
      </c>
      <c r="E230" s="206"/>
      <c r="F230" s="206"/>
    </row>
    <row r="231" spans="1:6" x14ac:dyDescent="0.3">
      <c r="A231" s="133" t="s">
        <v>2492</v>
      </c>
      <c r="B231" s="133" t="s">
        <v>2493</v>
      </c>
      <c r="C231" s="133" t="s">
        <v>2494</v>
      </c>
      <c r="D231" s="133" t="s">
        <v>1956</v>
      </c>
      <c r="E231" s="133" t="s">
        <v>2490</v>
      </c>
      <c r="F231" s="133" t="s">
        <v>2491</v>
      </c>
    </row>
    <row r="232" spans="1:6" x14ac:dyDescent="0.3">
      <c r="A232" s="135" t="s">
        <v>2530</v>
      </c>
      <c r="B232" t="s">
        <v>1919</v>
      </c>
      <c r="C232" t="s">
        <v>2496</v>
      </c>
    </row>
    <row r="233" spans="1:6" x14ac:dyDescent="0.3">
      <c r="A233" s="136" t="s">
        <v>10582</v>
      </c>
      <c r="B233" t="s">
        <v>1919</v>
      </c>
      <c r="C233" t="s">
        <v>10583</v>
      </c>
      <c r="D233" t="s">
        <v>10584</v>
      </c>
    </row>
    <row r="234" spans="1:6" x14ac:dyDescent="0.3">
      <c r="A234" s="136" t="s">
        <v>10585</v>
      </c>
      <c r="B234" t="s">
        <v>1919</v>
      </c>
      <c r="C234" t="s">
        <v>10583</v>
      </c>
      <c r="D234" t="s">
        <v>10586</v>
      </c>
    </row>
    <row r="235" spans="1:6" x14ac:dyDescent="0.3">
      <c r="A235" s="136" t="s">
        <v>2681</v>
      </c>
      <c r="B235" t="s">
        <v>1919</v>
      </c>
      <c r="C235" t="s">
        <v>10587</v>
      </c>
      <c r="D235" t="s">
        <v>10588</v>
      </c>
      <c r="E235" t="s">
        <v>10589</v>
      </c>
      <c r="F235" t="s">
        <v>10590</v>
      </c>
    </row>
    <row r="236" spans="1:6" x14ac:dyDescent="0.3">
      <c r="A236" s="136" t="s">
        <v>10591</v>
      </c>
      <c r="B236" t="s">
        <v>2523</v>
      </c>
      <c r="C236" t="s">
        <v>10497</v>
      </c>
      <c r="D236" t="s">
        <v>10592</v>
      </c>
      <c r="E236" t="s">
        <v>10593</v>
      </c>
      <c r="F236" t="s">
        <v>10590</v>
      </c>
    </row>
    <row r="237" spans="1:6" x14ac:dyDescent="0.3">
      <c r="A237" s="136" t="s">
        <v>10594</v>
      </c>
      <c r="B237" t="s">
        <v>2639</v>
      </c>
      <c r="C237" t="s">
        <v>10595</v>
      </c>
      <c r="D237" t="s">
        <v>10596</v>
      </c>
    </row>
    <row r="238" spans="1:6" x14ac:dyDescent="0.3">
      <c r="A238" s="136" t="s">
        <v>10597</v>
      </c>
      <c r="B238" t="s">
        <v>2639</v>
      </c>
      <c r="C238" t="s">
        <v>10595</v>
      </c>
      <c r="D238" t="s">
        <v>10598</v>
      </c>
    </row>
    <row r="240" spans="1:6" x14ac:dyDescent="0.3">
      <c r="A240" s="201" t="s">
        <v>10599</v>
      </c>
    </row>
    <row r="242" spans="1:6" x14ac:dyDescent="0.3">
      <c r="A242" s="220" t="s">
        <v>10600</v>
      </c>
      <c r="E242" t="s">
        <v>10601</v>
      </c>
      <c r="F242" t="s">
        <v>10602</v>
      </c>
    </row>
    <row r="245" spans="1:6" ht="17.399999999999999" x14ac:dyDescent="0.35">
      <c r="A245" s="162" t="s">
        <v>2779</v>
      </c>
      <c r="B245" s="124"/>
      <c r="C245" s="124"/>
      <c r="D245" s="124"/>
      <c r="E245" s="124"/>
      <c r="F245" s="124"/>
    </row>
    <row r="246" spans="1:6" x14ac:dyDescent="0.3">
      <c r="A246" s="135" t="s">
        <v>2780</v>
      </c>
      <c r="D246" t="s">
        <v>2781</v>
      </c>
      <c r="E246" t="s">
        <v>2782</v>
      </c>
      <c r="F246" t="s">
        <v>2783</v>
      </c>
    </row>
    <row r="247" spans="1:6" x14ac:dyDescent="0.3">
      <c r="A247" s="135" t="s">
        <v>2784</v>
      </c>
      <c r="D247" t="s">
        <v>2785</v>
      </c>
      <c r="E247" t="s">
        <v>2786</v>
      </c>
      <c r="F247" t="s">
        <v>2787</v>
      </c>
    </row>
    <row r="249" spans="1:6" ht="17.399999999999999" x14ac:dyDescent="0.35">
      <c r="A249" s="162" t="s">
        <v>2788</v>
      </c>
      <c r="B249" s="124"/>
      <c r="C249" s="124"/>
      <c r="D249" s="124"/>
      <c r="E249" s="124"/>
      <c r="F249" s="124"/>
    </row>
    <row r="250" spans="1:6" x14ac:dyDescent="0.3">
      <c r="A250" s="142" t="s">
        <v>2789</v>
      </c>
    </row>
    <row r="251" spans="1:6" x14ac:dyDescent="0.3">
      <c r="A251" s="125" t="s">
        <v>2790</v>
      </c>
      <c r="E251" t="s">
        <v>2786</v>
      </c>
      <c r="F251" t="s">
        <v>2791</v>
      </c>
    </row>
    <row r="252" spans="1:6" x14ac:dyDescent="0.3">
      <c r="A252" s="125" t="s">
        <v>2792</v>
      </c>
      <c r="E252" t="s">
        <v>2793</v>
      </c>
      <c r="F252" t="s">
        <v>2794</v>
      </c>
    </row>
    <row r="253" spans="1:6" x14ac:dyDescent="0.3">
      <c r="A253" s="125" t="s">
        <v>2795</v>
      </c>
    </row>
    <row r="254" spans="1:6" x14ac:dyDescent="0.3">
      <c r="A254" s="125" t="s">
        <v>2796</v>
      </c>
      <c r="E254" t="s">
        <v>2797</v>
      </c>
      <c r="F254" t="s">
        <v>2798</v>
      </c>
    </row>
    <row r="255" spans="1:6" x14ac:dyDescent="0.3">
      <c r="A255" s="125" t="s">
        <v>2799</v>
      </c>
      <c r="E255" t="s">
        <v>2800</v>
      </c>
      <c r="F255" t="s">
        <v>2801</v>
      </c>
    </row>
    <row r="256" spans="1:6" x14ac:dyDescent="0.3">
      <c r="A256" s="125" t="s">
        <v>2802</v>
      </c>
    </row>
    <row r="258" spans="1:6" x14ac:dyDescent="0.3">
      <c r="A258" s="164" t="s">
        <v>2803</v>
      </c>
      <c r="E258" t="s">
        <v>2804</v>
      </c>
      <c r="F258" t="s">
        <v>2805</v>
      </c>
    </row>
    <row r="260" spans="1:6" ht="17.399999999999999" x14ac:dyDescent="0.35">
      <c r="A260" s="162" t="s">
        <v>2806</v>
      </c>
      <c r="B260" s="124"/>
      <c r="C260" s="124"/>
      <c r="D260" s="124"/>
      <c r="E260" s="124"/>
      <c r="F260" s="124"/>
    </row>
    <row r="261" spans="1:6" x14ac:dyDescent="0.3">
      <c r="A261" s="165" t="s">
        <v>10603</v>
      </c>
      <c r="D261" s="125" t="s">
        <v>10604</v>
      </c>
    </row>
    <row r="262" spans="1:6" x14ac:dyDescent="0.3">
      <c r="A262" s="166" t="s">
        <v>2807</v>
      </c>
      <c r="D262" t="s">
        <v>2808</v>
      </c>
    </row>
    <row r="263" spans="1:6" x14ac:dyDescent="0.3">
      <c r="A263" s="132" t="s">
        <v>2809</v>
      </c>
      <c r="D263" t="s">
        <v>2810</v>
      </c>
    </row>
    <row r="264" spans="1:6" x14ac:dyDescent="0.3">
      <c r="A264" s="166" t="s">
        <v>2811</v>
      </c>
      <c r="D264" t="s">
        <v>2812</v>
      </c>
    </row>
    <row r="265" spans="1:6" x14ac:dyDescent="0.3">
      <c r="A265" s="164" t="s">
        <v>10605</v>
      </c>
      <c r="D265" s="125" t="s">
        <v>10606</v>
      </c>
    </row>
    <row r="267" spans="1:6" ht="17.399999999999999" x14ac:dyDescent="0.35">
      <c r="A267" s="167" t="s">
        <v>2813</v>
      </c>
      <c r="B267" s="168"/>
      <c r="C267" s="168"/>
      <c r="D267" s="168"/>
      <c r="E267" s="168"/>
      <c r="F267" s="168"/>
    </row>
    <row r="268" spans="1:6" x14ac:dyDescent="0.3">
      <c r="A268" s="133" t="s">
        <v>2089</v>
      </c>
      <c r="B268" s="133" t="s">
        <v>2814</v>
      </c>
      <c r="C268" s="134"/>
      <c r="D268" s="133" t="s">
        <v>2815</v>
      </c>
      <c r="E268" s="133" t="s">
        <v>2816</v>
      </c>
      <c r="F268" s="134"/>
    </row>
    <row r="269" spans="1:6" x14ac:dyDescent="0.3">
      <c r="A269" s="163" t="s">
        <v>2817</v>
      </c>
      <c r="B269" t="s">
        <v>2818</v>
      </c>
      <c r="D269" t="s">
        <v>2819</v>
      </c>
      <c r="E269" t="s">
        <v>2820</v>
      </c>
    </row>
    <row r="270" spans="1:6" x14ac:dyDescent="0.3">
      <c r="A270" s="163" t="s">
        <v>2817</v>
      </c>
      <c r="B270" t="s">
        <v>2821</v>
      </c>
      <c r="D270" t="s">
        <v>2822</v>
      </c>
      <c r="E270" t="s">
        <v>2823</v>
      </c>
    </row>
    <row r="271" spans="1:6" x14ac:dyDescent="0.3">
      <c r="A271" s="163" t="s">
        <v>2817</v>
      </c>
      <c r="B271" t="s">
        <v>2824</v>
      </c>
      <c r="D271" t="s">
        <v>2825</v>
      </c>
      <c r="E271" t="s">
        <v>2826</v>
      </c>
    </row>
    <row r="272" spans="1:6" x14ac:dyDescent="0.3">
      <c r="A272" s="163" t="s">
        <v>2817</v>
      </c>
      <c r="B272" t="s">
        <v>2827</v>
      </c>
      <c r="D272" t="s">
        <v>2828</v>
      </c>
      <c r="E272" t="s">
        <v>2829</v>
      </c>
    </row>
    <row r="273" spans="1:5" x14ac:dyDescent="0.3">
      <c r="A273" s="163" t="s">
        <v>2817</v>
      </c>
      <c r="B273" t="s">
        <v>2830</v>
      </c>
      <c r="D273" t="s">
        <v>2831</v>
      </c>
      <c r="E273" t="s">
        <v>2832</v>
      </c>
    </row>
    <row r="274" spans="1:5" x14ac:dyDescent="0.3">
      <c r="A274" s="163" t="s">
        <v>2817</v>
      </c>
      <c r="B274" t="s">
        <v>2189</v>
      </c>
      <c r="D274" t="s">
        <v>2833</v>
      </c>
      <c r="E274" t="s">
        <v>2834</v>
      </c>
    </row>
    <row r="275" spans="1:5" x14ac:dyDescent="0.3">
      <c r="A275" s="163" t="s">
        <v>2817</v>
      </c>
      <c r="B275" t="s">
        <v>2585</v>
      </c>
      <c r="D275" t="s">
        <v>2835</v>
      </c>
      <c r="E275" t="s">
        <v>2836</v>
      </c>
    </row>
    <row r="276" spans="1:5" x14ac:dyDescent="0.3">
      <c r="A276" s="163" t="s">
        <v>2817</v>
      </c>
      <c r="B276" t="s">
        <v>2191</v>
      </c>
      <c r="D276" t="s">
        <v>2837</v>
      </c>
      <c r="E276" t="s">
        <v>2838</v>
      </c>
    </row>
    <row r="277" spans="1:5" x14ac:dyDescent="0.3">
      <c r="A277" s="163" t="s">
        <v>2817</v>
      </c>
      <c r="B277" t="s">
        <v>2839</v>
      </c>
      <c r="D277" t="s">
        <v>2840</v>
      </c>
      <c r="E277" t="s">
        <v>2841</v>
      </c>
    </row>
    <row r="278" spans="1:5" x14ac:dyDescent="0.3">
      <c r="A278" s="163" t="s">
        <v>2817</v>
      </c>
      <c r="B278" t="s">
        <v>2842</v>
      </c>
      <c r="D278" t="s">
        <v>2843</v>
      </c>
      <c r="E278" t="s">
        <v>2844</v>
      </c>
    </row>
    <row r="279" spans="1:5" x14ac:dyDescent="0.3">
      <c r="A279" s="163" t="s">
        <v>2817</v>
      </c>
      <c r="B279" t="s">
        <v>2845</v>
      </c>
      <c r="D279" t="s">
        <v>2846</v>
      </c>
      <c r="E279" t="s">
        <v>2847</v>
      </c>
    </row>
    <row r="280" spans="1:5" x14ac:dyDescent="0.3">
      <c r="A280" s="163" t="s">
        <v>2817</v>
      </c>
      <c r="B280" t="s">
        <v>2848</v>
      </c>
      <c r="D280" t="s">
        <v>2849</v>
      </c>
      <c r="E280" t="s">
        <v>2850</v>
      </c>
    </row>
    <row r="281" spans="1:5" x14ac:dyDescent="0.3">
      <c r="A281" s="163" t="s">
        <v>2817</v>
      </c>
      <c r="B281" t="s">
        <v>2851</v>
      </c>
      <c r="D281" t="s">
        <v>2852</v>
      </c>
      <c r="E281" t="s">
        <v>2853</v>
      </c>
    </row>
    <row r="282" spans="1:5" x14ac:dyDescent="0.3">
      <c r="A282" s="163" t="s">
        <v>2817</v>
      </c>
      <c r="B282" t="s">
        <v>2854</v>
      </c>
      <c r="D282" t="s">
        <v>2855</v>
      </c>
      <c r="E282" t="s">
        <v>2856</v>
      </c>
    </row>
    <row r="283" spans="1:5" x14ac:dyDescent="0.3">
      <c r="A283" s="163" t="s">
        <v>2817</v>
      </c>
      <c r="B283" t="s">
        <v>2857</v>
      </c>
      <c r="D283" t="s">
        <v>2858</v>
      </c>
      <c r="E283" t="s">
        <v>2859</v>
      </c>
    </row>
    <row r="284" spans="1:5" x14ac:dyDescent="0.3">
      <c r="A284" s="163" t="s">
        <v>2817</v>
      </c>
      <c r="B284" t="s">
        <v>2860</v>
      </c>
      <c r="D284" t="s">
        <v>2861</v>
      </c>
      <c r="E284" t="s">
        <v>2862</v>
      </c>
    </row>
    <row r="285" spans="1:5" x14ac:dyDescent="0.3">
      <c r="A285" s="163" t="s">
        <v>2817</v>
      </c>
      <c r="B285" t="s">
        <v>2863</v>
      </c>
      <c r="D285" t="s">
        <v>2864</v>
      </c>
      <c r="E285" t="s">
        <v>2832</v>
      </c>
    </row>
    <row r="286" spans="1:5" x14ac:dyDescent="0.3">
      <c r="A286" s="163" t="s">
        <v>2817</v>
      </c>
      <c r="B286" t="s">
        <v>2865</v>
      </c>
      <c r="D286" t="s">
        <v>2866</v>
      </c>
      <c r="E286" t="s">
        <v>2867</v>
      </c>
    </row>
    <row r="287" spans="1:5" x14ac:dyDescent="0.3">
      <c r="A287" s="163" t="s">
        <v>2817</v>
      </c>
      <c r="B287" t="s">
        <v>2868</v>
      </c>
      <c r="D287" t="s">
        <v>2869</v>
      </c>
      <c r="E287" t="s">
        <v>2870</v>
      </c>
    </row>
    <row r="288" spans="1:5" x14ac:dyDescent="0.3">
      <c r="A288" s="163" t="s">
        <v>2817</v>
      </c>
      <c r="B288" t="s">
        <v>2871</v>
      </c>
      <c r="D288" t="s">
        <v>2872</v>
      </c>
      <c r="E288" t="s">
        <v>2873</v>
      </c>
    </row>
    <row r="289" spans="1:6" x14ac:dyDescent="0.3">
      <c r="A289" s="163" t="s">
        <v>2817</v>
      </c>
      <c r="B289" t="s">
        <v>2874</v>
      </c>
      <c r="D289" t="s">
        <v>2875</v>
      </c>
      <c r="E289" t="s">
        <v>2876</v>
      </c>
    </row>
    <row r="291" spans="1:6" x14ac:dyDescent="0.3">
      <c r="A291" s="164" t="s">
        <v>2877</v>
      </c>
    </row>
    <row r="292" spans="1:6" x14ac:dyDescent="0.3">
      <c r="A292" s="165" t="s">
        <v>3005</v>
      </c>
      <c r="B292" t="s">
        <v>2878</v>
      </c>
      <c r="D292" t="s">
        <v>2879</v>
      </c>
      <c r="E292" t="s">
        <v>3006</v>
      </c>
    </row>
    <row r="293" spans="1:6" x14ac:dyDescent="0.3">
      <c r="A293" s="165" t="s">
        <v>3005</v>
      </c>
      <c r="B293" t="s">
        <v>3007</v>
      </c>
      <c r="D293" t="s">
        <v>3008</v>
      </c>
      <c r="E293" t="s">
        <v>3009</v>
      </c>
    </row>
    <row r="294" spans="1:6" x14ac:dyDescent="0.3">
      <c r="A294" s="165" t="s">
        <v>3005</v>
      </c>
      <c r="B294" t="s">
        <v>2880</v>
      </c>
      <c r="D294" t="s">
        <v>3010</v>
      </c>
      <c r="E294" t="s">
        <v>3011</v>
      </c>
    </row>
    <row r="295" spans="1:6" x14ac:dyDescent="0.3">
      <c r="A295" s="165" t="s">
        <v>3005</v>
      </c>
      <c r="B295" t="s">
        <v>2881</v>
      </c>
      <c r="D295" t="s">
        <v>3012</v>
      </c>
      <c r="E295" t="s">
        <v>3013</v>
      </c>
    </row>
    <row r="298" spans="1:6" x14ac:dyDescent="0.3">
      <c r="A298" s="282" t="s">
        <v>11801</v>
      </c>
    </row>
    <row r="300" spans="1:6" ht="17.399999999999999" x14ac:dyDescent="0.35">
      <c r="A300" s="283" t="s">
        <v>11802</v>
      </c>
      <c r="B300" s="284" t="s">
        <v>11803</v>
      </c>
    </row>
    <row r="301" spans="1:6" x14ac:dyDescent="0.3">
      <c r="A301" s="133" t="s">
        <v>2492</v>
      </c>
      <c r="B301" s="133" t="s">
        <v>2493</v>
      </c>
      <c r="C301" s="133" t="s">
        <v>2494</v>
      </c>
      <c r="D301" s="133" t="s">
        <v>1956</v>
      </c>
      <c r="E301" s="133" t="s">
        <v>2490</v>
      </c>
      <c r="F301" s="133" t="s">
        <v>11804</v>
      </c>
    </row>
    <row r="302" spans="1:6" x14ac:dyDescent="0.3">
      <c r="A302" s="136" t="s">
        <v>2530</v>
      </c>
      <c r="B302" t="s">
        <v>1919</v>
      </c>
      <c r="C302" t="s">
        <v>2496</v>
      </c>
      <c r="D302" t="s">
        <v>11805</v>
      </c>
    </row>
    <row r="303" spans="1:6" x14ac:dyDescent="0.3">
      <c r="A303" s="136" t="s">
        <v>2604</v>
      </c>
      <c r="B303" t="s">
        <v>1919</v>
      </c>
      <c r="C303" t="s">
        <v>11806</v>
      </c>
      <c r="D303" t="s">
        <v>11807</v>
      </c>
    </row>
    <row r="304" spans="1:6" x14ac:dyDescent="0.3">
      <c r="A304" s="136" t="s">
        <v>11808</v>
      </c>
      <c r="B304" t="s">
        <v>1919</v>
      </c>
      <c r="C304" t="s">
        <v>2501</v>
      </c>
      <c r="D304" t="s">
        <v>11809</v>
      </c>
      <c r="E304" t="s">
        <v>11810</v>
      </c>
    </row>
    <row r="305" spans="1:6" x14ac:dyDescent="0.3">
      <c r="A305" s="136" t="s">
        <v>3020</v>
      </c>
      <c r="B305" t="s">
        <v>1919</v>
      </c>
      <c r="C305" t="s">
        <v>11811</v>
      </c>
      <c r="D305" t="s">
        <v>11812</v>
      </c>
      <c r="E305" t="s">
        <v>11813</v>
      </c>
      <c r="F305" t="s">
        <v>11814</v>
      </c>
    </row>
    <row r="306" spans="1:6" x14ac:dyDescent="0.3">
      <c r="A306" s="136" t="s">
        <v>11815</v>
      </c>
      <c r="B306" t="s">
        <v>1919</v>
      </c>
      <c r="C306" t="s">
        <v>11816</v>
      </c>
      <c r="D306" t="s">
        <v>11817</v>
      </c>
      <c r="E306" t="s">
        <v>11810</v>
      </c>
      <c r="F306" t="s">
        <v>11818</v>
      </c>
    </row>
    <row r="307" spans="1:6" x14ac:dyDescent="0.3">
      <c r="A307" s="136" t="s">
        <v>11819</v>
      </c>
      <c r="B307" t="s">
        <v>1919</v>
      </c>
      <c r="C307" t="s">
        <v>11820</v>
      </c>
      <c r="D307" t="s">
        <v>11821</v>
      </c>
      <c r="E307" t="s">
        <v>11810</v>
      </c>
      <c r="F307" t="s">
        <v>11822</v>
      </c>
    </row>
    <row r="308" spans="1:6" x14ac:dyDescent="0.3">
      <c r="A308" s="136" t="s">
        <v>11823</v>
      </c>
      <c r="B308" t="s">
        <v>11552</v>
      </c>
      <c r="C308" t="s">
        <v>11291</v>
      </c>
      <c r="D308" t="s">
        <v>11824</v>
      </c>
      <c r="E308" t="s">
        <v>11825</v>
      </c>
    </row>
    <row r="309" spans="1:6" x14ac:dyDescent="0.3">
      <c r="A309" s="136" t="s">
        <v>2648</v>
      </c>
      <c r="B309" t="s">
        <v>1919</v>
      </c>
      <c r="C309" t="s">
        <v>11826</v>
      </c>
      <c r="D309" t="s">
        <v>11827</v>
      </c>
      <c r="E309" t="s">
        <v>11810</v>
      </c>
      <c r="F309" t="s">
        <v>11828</v>
      </c>
    </row>
    <row r="310" spans="1:6" x14ac:dyDescent="0.3">
      <c r="A310" s="136" t="s">
        <v>11829</v>
      </c>
      <c r="B310" t="s">
        <v>11552</v>
      </c>
      <c r="C310" t="s">
        <v>2501</v>
      </c>
      <c r="D310" t="s">
        <v>11830</v>
      </c>
    </row>
    <row r="311" spans="1:6" x14ac:dyDescent="0.3">
      <c r="A311" s="136" t="s">
        <v>11831</v>
      </c>
      <c r="B311" t="s">
        <v>2513</v>
      </c>
      <c r="C311" t="s">
        <v>11314</v>
      </c>
      <c r="D311" t="s">
        <v>11832</v>
      </c>
    </row>
    <row r="312" spans="1:6" x14ac:dyDescent="0.3">
      <c r="A312" s="136" t="s">
        <v>10569</v>
      </c>
      <c r="B312" t="s">
        <v>1919</v>
      </c>
      <c r="C312" t="s">
        <v>10570</v>
      </c>
      <c r="D312" t="s">
        <v>11833</v>
      </c>
    </row>
    <row r="313" spans="1:6" x14ac:dyDescent="0.3">
      <c r="A313" s="136" t="s">
        <v>10568</v>
      </c>
      <c r="B313" t="s">
        <v>1919</v>
      </c>
      <c r="C313" t="s">
        <v>11291</v>
      </c>
      <c r="D313" t="s">
        <v>11834</v>
      </c>
    </row>
    <row r="314" spans="1:6" x14ac:dyDescent="0.3">
      <c r="A314" s="136" t="s">
        <v>11835</v>
      </c>
      <c r="B314" t="s">
        <v>11836</v>
      </c>
      <c r="C314" t="s">
        <v>11291</v>
      </c>
      <c r="D314" t="s">
        <v>11837</v>
      </c>
    </row>
    <row r="315" spans="1:6" x14ac:dyDescent="0.3">
      <c r="A315" s="136" t="s">
        <v>11838</v>
      </c>
      <c r="B315" t="s">
        <v>1919</v>
      </c>
      <c r="C315" t="s">
        <v>11839</v>
      </c>
      <c r="D315" t="s">
        <v>11840</v>
      </c>
      <c r="F315" t="s">
        <v>11841</v>
      </c>
    </row>
    <row r="316" spans="1:6" x14ac:dyDescent="0.3">
      <c r="A316" s="192" t="s">
        <v>11842</v>
      </c>
      <c r="B316" t="s">
        <v>2523</v>
      </c>
      <c r="C316" t="s">
        <v>11843</v>
      </c>
      <c r="D316" t="s">
        <v>11844</v>
      </c>
      <c r="E316" t="s">
        <v>11845</v>
      </c>
    </row>
    <row r="317" spans="1:6" x14ac:dyDescent="0.3">
      <c r="A317" s="192" t="s">
        <v>11846</v>
      </c>
      <c r="B317" t="s">
        <v>2523</v>
      </c>
      <c r="C317" t="s">
        <v>11847</v>
      </c>
      <c r="D317" t="s">
        <v>11848</v>
      </c>
      <c r="E317" t="s">
        <v>11849</v>
      </c>
    </row>
    <row r="318" spans="1:6" x14ac:dyDescent="0.3">
      <c r="A318" s="192" t="s">
        <v>11850</v>
      </c>
      <c r="B318" t="s">
        <v>2513</v>
      </c>
      <c r="C318" t="s">
        <v>11851</v>
      </c>
      <c r="D318" t="s">
        <v>11852</v>
      </c>
      <c r="E318" t="s">
        <v>11853</v>
      </c>
    </row>
    <row r="319" spans="1:6" x14ac:dyDescent="0.3">
      <c r="A319" s="192" t="s">
        <v>11854</v>
      </c>
      <c r="B319" t="s">
        <v>2513</v>
      </c>
      <c r="C319" t="s">
        <v>11851</v>
      </c>
      <c r="D319" t="s">
        <v>11855</v>
      </c>
    </row>
    <row r="320" spans="1:6" x14ac:dyDescent="0.3">
      <c r="A320" s="192" t="s">
        <v>11856</v>
      </c>
      <c r="B320" t="s">
        <v>2513</v>
      </c>
      <c r="C320" t="s">
        <v>11851</v>
      </c>
      <c r="D320" t="s">
        <v>11857</v>
      </c>
      <c r="E320" t="s">
        <v>11845</v>
      </c>
    </row>
    <row r="321" spans="1:4" x14ac:dyDescent="0.3">
      <c r="A321" s="192" t="s">
        <v>11858</v>
      </c>
      <c r="B321" t="s">
        <v>2981</v>
      </c>
      <c r="C321" t="s">
        <v>2501</v>
      </c>
      <c r="D321" t="s">
        <v>11859</v>
      </c>
    </row>
    <row r="322" spans="1:4" x14ac:dyDescent="0.3">
      <c r="A322" s="192" t="s">
        <v>11860</v>
      </c>
      <c r="B322" t="s">
        <v>1919</v>
      </c>
      <c r="C322" t="s">
        <v>11861</v>
      </c>
      <c r="D322" t="s">
        <v>11862</v>
      </c>
    </row>
    <row r="323" spans="1:4" x14ac:dyDescent="0.3">
      <c r="A323" s="192" t="s">
        <v>11863</v>
      </c>
      <c r="B323" t="s">
        <v>1919</v>
      </c>
      <c r="C323" t="s">
        <v>11864</v>
      </c>
      <c r="D323" t="s">
        <v>11865</v>
      </c>
    </row>
    <row r="325" spans="1:4" ht="18" x14ac:dyDescent="0.4">
      <c r="A325" s="285" t="s">
        <v>11866</v>
      </c>
      <c r="B325" s="284" t="s">
        <v>11867</v>
      </c>
    </row>
    <row r="326" spans="1:4" x14ac:dyDescent="0.3">
      <c r="A326" s="140" t="s">
        <v>2492</v>
      </c>
      <c r="B326" s="133" t="s">
        <v>2493</v>
      </c>
      <c r="C326" s="133" t="s">
        <v>2494</v>
      </c>
      <c r="D326" s="133" t="s">
        <v>1956</v>
      </c>
    </row>
    <row r="327" spans="1:4" x14ac:dyDescent="0.3">
      <c r="A327" s="136" t="s">
        <v>2530</v>
      </c>
      <c r="B327" t="s">
        <v>1919</v>
      </c>
      <c r="C327" t="s">
        <v>2496</v>
      </c>
      <c r="D327" t="s">
        <v>11868</v>
      </c>
    </row>
    <row r="328" spans="1:4" x14ac:dyDescent="0.3">
      <c r="A328" s="136" t="s">
        <v>11869</v>
      </c>
      <c r="B328" t="s">
        <v>1919</v>
      </c>
      <c r="C328" t="s">
        <v>11870</v>
      </c>
      <c r="D328" t="s">
        <v>11871</v>
      </c>
    </row>
    <row r="329" spans="1:4" x14ac:dyDescent="0.3">
      <c r="A329" s="136" t="s">
        <v>11872</v>
      </c>
      <c r="B329" t="s">
        <v>2981</v>
      </c>
      <c r="C329" t="s">
        <v>2501</v>
      </c>
      <c r="D329" t="s">
        <v>11873</v>
      </c>
    </row>
    <row r="330" spans="1:4" x14ac:dyDescent="0.3">
      <c r="A330" s="136" t="s">
        <v>11874</v>
      </c>
      <c r="B330" t="s">
        <v>1919</v>
      </c>
      <c r="C330" t="s">
        <v>2501</v>
      </c>
      <c r="D330" t="s">
        <v>11875</v>
      </c>
    </row>
    <row r="331" spans="1:4" x14ac:dyDescent="0.3">
      <c r="A331" s="146" t="s">
        <v>11876</v>
      </c>
      <c r="B331" t="s">
        <v>2523</v>
      </c>
      <c r="C331" t="s">
        <v>2984</v>
      </c>
      <c r="D331" t="s">
        <v>11877</v>
      </c>
    </row>
    <row r="332" spans="1:4" x14ac:dyDescent="0.3">
      <c r="A332" s="146" t="s">
        <v>11878</v>
      </c>
      <c r="B332" t="s">
        <v>2523</v>
      </c>
      <c r="C332" t="s">
        <v>2984</v>
      </c>
      <c r="D332" t="s">
        <v>11879</v>
      </c>
    </row>
    <row r="333" spans="1:4" x14ac:dyDescent="0.3">
      <c r="A333" s="146" t="s">
        <v>11880</v>
      </c>
      <c r="B333" t="s">
        <v>2523</v>
      </c>
      <c r="C333" t="s">
        <v>2984</v>
      </c>
      <c r="D333" t="s">
        <v>11881</v>
      </c>
    </row>
    <row r="334" spans="1:4" x14ac:dyDescent="0.3">
      <c r="A334" s="146" t="s">
        <v>11882</v>
      </c>
      <c r="B334" t="s">
        <v>2523</v>
      </c>
      <c r="C334" t="s">
        <v>2984</v>
      </c>
      <c r="D334" t="s">
        <v>11883</v>
      </c>
    </row>
    <row r="335" spans="1:4" x14ac:dyDescent="0.3">
      <c r="A335" s="146" t="s">
        <v>11884</v>
      </c>
      <c r="B335" t="s">
        <v>2523</v>
      </c>
      <c r="C335" t="s">
        <v>2984</v>
      </c>
      <c r="D335" t="s">
        <v>11885</v>
      </c>
    </row>
    <row r="336" spans="1:4" x14ac:dyDescent="0.3">
      <c r="A336" s="146" t="s">
        <v>11886</v>
      </c>
      <c r="B336" t="s">
        <v>1919</v>
      </c>
      <c r="C336" t="s">
        <v>11887</v>
      </c>
      <c r="D336" t="s">
        <v>11888</v>
      </c>
    </row>
    <row r="337" spans="1:4" x14ac:dyDescent="0.3">
      <c r="A337" s="154" t="s">
        <v>11889</v>
      </c>
      <c r="B337" t="s">
        <v>2639</v>
      </c>
      <c r="C337" t="s">
        <v>2640</v>
      </c>
      <c r="D337" t="s">
        <v>11890</v>
      </c>
    </row>
    <row r="338" spans="1:4" x14ac:dyDescent="0.3">
      <c r="A338" s="154" t="s">
        <v>11891</v>
      </c>
      <c r="B338" t="s">
        <v>1919</v>
      </c>
      <c r="C338" t="s">
        <v>11892</v>
      </c>
      <c r="D338" t="s">
        <v>11893</v>
      </c>
    </row>
    <row r="339" spans="1:4" x14ac:dyDescent="0.3">
      <c r="A339" s="142" t="s">
        <v>11894</v>
      </c>
      <c r="B339" t="s">
        <v>2523</v>
      </c>
      <c r="C339" t="s">
        <v>2984</v>
      </c>
      <c r="D339" t="s">
        <v>11895</v>
      </c>
    </row>
    <row r="340" spans="1:4" x14ac:dyDescent="0.3">
      <c r="A340" s="136" t="s">
        <v>11896</v>
      </c>
      <c r="B340" t="s">
        <v>2523</v>
      </c>
      <c r="C340" t="s">
        <v>2984</v>
      </c>
      <c r="D340" t="s">
        <v>11897</v>
      </c>
    </row>
    <row r="341" spans="1:4" x14ac:dyDescent="0.3">
      <c r="A341" s="154" t="s">
        <v>11898</v>
      </c>
      <c r="B341" t="s">
        <v>1919</v>
      </c>
      <c r="C341" t="s">
        <v>11291</v>
      </c>
      <c r="D341" t="s">
        <v>11899</v>
      </c>
    </row>
    <row r="343" spans="1:4" x14ac:dyDescent="0.3">
      <c r="A343" s="286" t="s">
        <v>11900</v>
      </c>
      <c r="B343" t="s">
        <v>11901</v>
      </c>
    </row>
    <row r="344" spans="1:4" x14ac:dyDescent="0.3">
      <c r="A344" s="286" t="s">
        <v>11902</v>
      </c>
      <c r="B344" t="s">
        <v>11903</v>
      </c>
    </row>
    <row r="345" spans="1:4" x14ac:dyDescent="0.3">
      <c r="A345" s="287" t="s">
        <v>11904</v>
      </c>
      <c r="B345" t="s">
        <v>11905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B48B0-7B6F-4D86-9DAF-14EF4F930999}">
  <dimension ref="A1:I366"/>
  <sheetViews>
    <sheetView workbookViewId="0">
      <pane ySplit="2" topLeftCell="A231" activePane="bottomLeft" state="frozen"/>
      <selection pane="bottomLeft" activeCell="M157" sqref="M157"/>
    </sheetView>
  </sheetViews>
  <sheetFormatPr defaultRowHeight="14.4" x14ac:dyDescent="0.3"/>
  <cols>
    <col min="1" max="1" width="42.5546875" customWidth="1"/>
    <col min="2" max="2" width="37" customWidth="1"/>
    <col min="3" max="4" width="33.33203125" customWidth="1"/>
    <col min="5" max="5" width="29.6640625" customWidth="1"/>
    <col min="6" max="6" width="25.88671875" customWidth="1"/>
    <col min="7" max="7" width="14.77734375" customWidth="1"/>
    <col min="8" max="8" width="22.21875" customWidth="1"/>
    <col min="9" max="9" width="40.77734375" customWidth="1"/>
  </cols>
  <sheetData>
    <row r="1" spans="1:9" ht="28.05" customHeight="1" x14ac:dyDescent="0.4">
      <c r="A1" s="12" t="s">
        <v>1897</v>
      </c>
      <c r="B1" s="13"/>
      <c r="C1" s="13"/>
      <c r="D1" s="13"/>
      <c r="E1" s="13"/>
      <c r="F1" s="13"/>
      <c r="G1" s="13"/>
      <c r="H1" s="13"/>
      <c r="I1" s="13"/>
    </row>
    <row r="2" spans="1:9" ht="19.95" customHeight="1" x14ac:dyDescent="0.3">
      <c r="A2" s="99" t="s">
        <v>1898</v>
      </c>
      <c r="B2" s="100"/>
      <c r="C2" s="100"/>
      <c r="D2" s="100"/>
      <c r="E2" s="100"/>
      <c r="F2" s="100"/>
      <c r="G2" s="100"/>
      <c r="H2" s="100"/>
      <c r="I2" s="100"/>
    </row>
    <row r="3" spans="1:9" ht="19.95" customHeight="1" x14ac:dyDescent="0.3"/>
    <row r="4" spans="1:9" ht="28.05" customHeight="1" x14ac:dyDescent="0.3">
      <c r="A4" s="14" t="s">
        <v>1899</v>
      </c>
      <c r="B4" s="15"/>
      <c r="C4" s="15"/>
      <c r="D4" s="16" t="s">
        <v>1900</v>
      </c>
      <c r="E4" s="15"/>
      <c r="F4" s="15"/>
      <c r="G4" s="15"/>
      <c r="H4" s="17" t="s">
        <v>1901</v>
      </c>
      <c r="I4" s="17" t="s">
        <v>1902</v>
      </c>
    </row>
    <row r="5" spans="1:9" ht="19.95" customHeight="1" x14ac:dyDescent="0.3">
      <c r="A5" s="19" t="s">
        <v>1903</v>
      </c>
      <c r="B5" s="26" t="s">
        <v>2286</v>
      </c>
      <c r="H5" s="21" t="s">
        <v>1904</v>
      </c>
      <c r="I5" s="22" t="s">
        <v>1905</v>
      </c>
    </row>
    <row r="6" spans="1:9" ht="19.95" customHeight="1" x14ac:dyDescent="0.3">
      <c r="A6" s="19" t="s">
        <v>1906</v>
      </c>
      <c r="B6" s="26" t="s">
        <v>2287</v>
      </c>
      <c r="H6" s="21" t="s">
        <v>1907</v>
      </c>
      <c r="I6" s="22" t="s">
        <v>1908</v>
      </c>
    </row>
    <row r="7" spans="1:9" ht="19.95" customHeight="1" x14ac:dyDescent="0.3">
      <c r="A7" s="19" t="s">
        <v>1909</v>
      </c>
      <c r="B7" s="23" t="s">
        <v>2288</v>
      </c>
      <c r="H7" s="21" t="s">
        <v>1910</v>
      </c>
      <c r="I7" s="22" t="s">
        <v>1911</v>
      </c>
    </row>
    <row r="8" spans="1:9" ht="19.95" customHeight="1" x14ac:dyDescent="0.3">
      <c r="A8" s="19" t="s">
        <v>1912</v>
      </c>
      <c r="B8" s="26" t="s">
        <v>2289</v>
      </c>
      <c r="H8" s="21" t="s">
        <v>1913</v>
      </c>
      <c r="I8" s="27" t="s">
        <v>1914</v>
      </c>
    </row>
    <row r="9" spans="1:9" ht="19.95" customHeight="1" x14ac:dyDescent="0.3">
      <c r="A9" s="19" t="s">
        <v>1915</v>
      </c>
      <c r="B9" s="26" t="s">
        <v>63</v>
      </c>
      <c r="C9" s="28" t="s">
        <v>1916</v>
      </c>
      <c r="H9" s="21" t="s">
        <v>1917</v>
      </c>
    </row>
    <row r="10" spans="1:9" ht="19.95" customHeight="1" x14ac:dyDescent="0.3">
      <c r="A10" s="19" t="s">
        <v>1918</v>
      </c>
      <c r="B10" s="20" t="s">
        <v>2290</v>
      </c>
      <c r="H10" s="21" t="s">
        <v>1919</v>
      </c>
      <c r="I10" s="22" t="s">
        <v>1920</v>
      </c>
    </row>
    <row r="11" spans="1:9" ht="19.95" customHeight="1" x14ac:dyDescent="0.3"/>
    <row r="12" spans="1:9" ht="24" customHeight="1" x14ac:dyDescent="0.3">
      <c r="A12" s="29" t="s">
        <v>1921</v>
      </c>
      <c r="B12" s="30"/>
      <c r="C12" s="30"/>
      <c r="D12" s="30"/>
      <c r="E12" s="30"/>
      <c r="F12" s="30"/>
      <c r="G12" s="30"/>
      <c r="H12" s="30"/>
      <c r="I12" s="30"/>
    </row>
    <row r="13" spans="1:9" ht="19.95" customHeight="1" x14ac:dyDescent="0.3">
      <c r="A13" s="19" t="s">
        <v>1922</v>
      </c>
      <c r="B13" s="20" t="s">
        <v>2291</v>
      </c>
      <c r="H13" s="21" t="s">
        <v>1923</v>
      </c>
      <c r="I13" s="22" t="s">
        <v>1924</v>
      </c>
    </row>
    <row r="14" spans="1:9" ht="19.95" customHeight="1" x14ac:dyDescent="0.3">
      <c r="A14" s="19" t="s">
        <v>1925</v>
      </c>
      <c r="B14" s="20" t="s">
        <v>2292</v>
      </c>
      <c r="H14" s="21" t="s">
        <v>1919</v>
      </c>
    </row>
    <row r="15" spans="1:9" ht="19.95" customHeight="1" x14ac:dyDescent="0.3">
      <c r="A15" s="19" t="s">
        <v>1926</v>
      </c>
      <c r="B15" s="121">
        <v>19462</v>
      </c>
      <c r="C15" s="31" t="s">
        <v>1927</v>
      </c>
      <c r="D15" s="119" t="s">
        <v>2293</v>
      </c>
      <c r="H15" s="21" t="s">
        <v>1928</v>
      </c>
    </row>
    <row r="16" spans="1:9" ht="19.95" customHeight="1" x14ac:dyDescent="0.3">
      <c r="A16" s="19" t="s">
        <v>1929</v>
      </c>
      <c r="B16" s="20" t="s">
        <v>2294</v>
      </c>
      <c r="H16" s="21" t="s">
        <v>1930</v>
      </c>
    </row>
    <row r="17" spans="1:9" ht="19.95" customHeight="1" x14ac:dyDescent="0.3">
      <c r="A17" s="19" t="s">
        <v>1931</v>
      </c>
      <c r="B17" s="20" t="s">
        <v>2295</v>
      </c>
      <c r="H17" s="21" t="s">
        <v>1919</v>
      </c>
    </row>
    <row r="18" spans="1:9" ht="19.95" customHeight="1" x14ac:dyDescent="0.3">
      <c r="A18" s="19" t="s">
        <v>1932</v>
      </c>
      <c r="B18" s="119" t="s">
        <v>60</v>
      </c>
      <c r="H18" s="21" t="s">
        <v>1933</v>
      </c>
      <c r="I18" s="22" t="s">
        <v>1934</v>
      </c>
    </row>
    <row r="19" spans="1:9" ht="19.95" customHeight="1" x14ac:dyDescent="0.3">
      <c r="A19" s="101" t="s">
        <v>1935</v>
      </c>
      <c r="B19" s="102" t="s">
        <v>62</v>
      </c>
      <c r="C19" s="103"/>
      <c r="D19" s="103"/>
      <c r="E19" s="103"/>
      <c r="F19" s="103"/>
      <c r="G19" s="103"/>
      <c r="H19" s="104" t="s">
        <v>1936</v>
      </c>
      <c r="I19" s="105" t="s">
        <v>1937</v>
      </c>
    </row>
    <row r="20" spans="1:9" ht="19.95" customHeight="1" x14ac:dyDescent="0.3"/>
    <row r="21" spans="1:9" ht="28.05" customHeight="1" x14ac:dyDescent="0.3">
      <c r="A21" s="14" t="s">
        <v>1938</v>
      </c>
      <c r="B21" s="15"/>
      <c r="C21" s="15"/>
      <c r="D21" s="15"/>
      <c r="E21" s="15"/>
      <c r="F21" s="15"/>
      <c r="G21" s="15"/>
      <c r="H21" s="15"/>
      <c r="I21" s="15"/>
    </row>
    <row r="22" spans="1:9" ht="19.95" customHeight="1" x14ac:dyDescent="0.3"/>
    <row r="23" spans="1:9" ht="24" customHeight="1" x14ac:dyDescent="0.3">
      <c r="A23" s="29" t="s">
        <v>1939</v>
      </c>
      <c r="B23" s="32" t="s">
        <v>1940</v>
      </c>
      <c r="C23" s="32" t="s">
        <v>1941</v>
      </c>
      <c r="D23" s="32" t="s">
        <v>1942</v>
      </c>
      <c r="E23" s="32" t="s">
        <v>1943</v>
      </c>
      <c r="F23" s="32" t="s">
        <v>8</v>
      </c>
      <c r="G23" s="30"/>
      <c r="H23" s="33" t="s">
        <v>1944</v>
      </c>
      <c r="I23" s="34" t="s">
        <v>1945</v>
      </c>
    </row>
    <row r="24" spans="1:9" ht="19.95" customHeight="1" x14ac:dyDescent="0.3">
      <c r="A24">
        <v>1</v>
      </c>
      <c r="B24" s="120">
        <v>19462</v>
      </c>
      <c r="C24" s="20" t="s">
        <v>2296</v>
      </c>
      <c r="D24" s="20" t="s">
        <v>2297</v>
      </c>
      <c r="E24" s="20" t="s">
        <v>2298</v>
      </c>
      <c r="F24" s="20" t="s">
        <v>63</v>
      </c>
    </row>
    <row r="25" spans="1:9" ht="19.95" customHeight="1" x14ac:dyDescent="0.3">
      <c r="A25">
        <v>2</v>
      </c>
      <c r="B25" s="20" t="s">
        <v>2299</v>
      </c>
      <c r="C25" s="20" t="s">
        <v>2300</v>
      </c>
      <c r="D25" s="20" t="s">
        <v>2301</v>
      </c>
      <c r="E25" s="20" t="s">
        <v>2298</v>
      </c>
      <c r="F25" s="20" t="s">
        <v>63</v>
      </c>
    </row>
    <row r="26" spans="1:9" ht="19.95" customHeight="1" x14ac:dyDescent="0.3">
      <c r="A26">
        <v>3</v>
      </c>
      <c r="B26" s="20" t="s">
        <v>2302</v>
      </c>
      <c r="C26" s="20" t="s">
        <v>2303</v>
      </c>
      <c r="D26" s="20" t="s">
        <v>2304</v>
      </c>
      <c r="E26" s="20" t="s">
        <v>2298</v>
      </c>
      <c r="F26" s="20" t="s">
        <v>63</v>
      </c>
    </row>
    <row r="27" spans="1:9" ht="19.95" customHeight="1" x14ac:dyDescent="0.3">
      <c r="A27">
        <v>4</v>
      </c>
      <c r="B27" s="120">
        <v>23343</v>
      </c>
      <c r="C27" s="20" t="s">
        <v>2305</v>
      </c>
      <c r="D27" s="20" t="s">
        <v>2306</v>
      </c>
      <c r="E27" s="20" t="s">
        <v>2298</v>
      </c>
      <c r="F27" s="20" t="s">
        <v>63</v>
      </c>
    </row>
    <row r="28" spans="1:9" ht="19.95" customHeight="1" x14ac:dyDescent="0.3">
      <c r="A28">
        <v>5</v>
      </c>
      <c r="B28" s="20">
        <v>1964</v>
      </c>
      <c r="C28" s="20" t="s">
        <v>2307</v>
      </c>
      <c r="D28" s="20" t="s">
        <v>2308</v>
      </c>
      <c r="E28" s="20" t="s">
        <v>2298</v>
      </c>
      <c r="F28" s="20" t="s">
        <v>63</v>
      </c>
    </row>
    <row r="29" spans="1:9" ht="19.95" customHeight="1" x14ac:dyDescent="0.3">
      <c r="A29">
        <v>6</v>
      </c>
      <c r="B29" s="20">
        <v>1973</v>
      </c>
      <c r="C29" s="20" t="s">
        <v>2309</v>
      </c>
      <c r="D29" s="20" t="s">
        <v>2310</v>
      </c>
      <c r="E29" s="20" t="s">
        <v>2298</v>
      </c>
      <c r="F29" s="20" t="s">
        <v>63</v>
      </c>
    </row>
    <row r="30" spans="1:9" ht="19.95" customHeight="1" x14ac:dyDescent="0.3">
      <c r="A30">
        <v>7</v>
      </c>
      <c r="B30" s="20">
        <v>1975</v>
      </c>
      <c r="C30" s="20" t="s">
        <v>2311</v>
      </c>
      <c r="D30" s="20" t="s">
        <v>2312</v>
      </c>
      <c r="E30" s="20" t="s">
        <v>2298</v>
      </c>
      <c r="F30" s="20" t="s">
        <v>63</v>
      </c>
    </row>
    <row r="31" spans="1:9" ht="19.95" customHeight="1" x14ac:dyDescent="0.3">
      <c r="A31">
        <v>8</v>
      </c>
      <c r="B31" s="20">
        <v>1977</v>
      </c>
      <c r="C31" s="20" t="s">
        <v>2313</v>
      </c>
      <c r="D31" s="20" t="s">
        <v>2314</v>
      </c>
      <c r="E31" s="20" t="s">
        <v>2298</v>
      </c>
      <c r="F31" s="20" t="s">
        <v>63</v>
      </c>
    </row>
    <row r="32" spans="1:9" ht="19.95" customHeight="1" x14ac:dyDescent="0.3">
      <c r="A32">
        <v>9</v>
      </c>
      <c r="B32" s="20" t="s">
        <v>2315</v>
      </c>
      <c r="C32" s="20" t="s">
        <v>2316</v>
      </c>
      <c r="D32" s="20" t="s">
        <v>2317</v>
      </c>
      <c r="E32" s="20" t="s">
        <v>2298</v>
      </c>
      <c r="F32" s="20" t="s">
        <v>63</v>
      </c>
    </row>
    <row r="33" spans="1:9" ht="19.95" customHeight="1" x14ac:dyDescent="0.3">
      <c r="A33" s="103">
        <v>10</v>
      </c>
      <c r="B33" s="106">
        <v>1988</v>
      </c>
      <c r="C33" s="106" t="s">
        <v>2318</v>
      </c>
      <c r="D33" s="106" t="s">
        <v>2319</v>
      </c>
      <c r="E33" s="106" t="s">
        <v>2298</v>
      </c>
      <c r="F33" s="106" t="s">
        <v>63</v>
      </c>
      <c r="G33" s="103"/>
      <c r="H33" s="103"/>
      <c r="I33" s="103"/>
    </row>
    <row r="34" spans="1:9" ht="19.95" customHeight="1" x14ac:dyDescent="0.3"/>
    <row r="35" spans="1:9" ht="24" customHeight="1" x14ac:dyDescent="0.3">
      <c r="A35" s="29" t="s">
        <v>1946</v>
      </c>
      <c r="B35" s="32" t="s">
        <v>1947</v>
      </c>
      <c r="C35" s="32" t="s">
        <v>1948</v>
      </c>
      <c r="D35" s="32" t="s">
        <v>1949</v>
      </c>
      <c r="E35" s="32" t="s">
        <v>1950</v>
      </c>
      <c r="F35" s="32" t="s">
        <v>1951</v>
      </c>
      <c r="G35" s="30"/>
      <c r="H35" s="33" t="s">
        <v>1952</v>
      </c>
      <c r="I35" s="34" t="s">
        <v>1953</v>
      </c>
    </row>
    <row r="36" spans="1:9" ht="19.95" customHeight="1" x14ac:dyDescent="0.3">
      <c r="A36">
        <v>1</v>
      </c>
      <c r="B36" s="20" t="s">
        <v>2320</v>
      </c>
      <c r="C36" s="20" t="s">
        <v>2321</v>
      </c>
      <c r="D36" s="20" t="s">
        <v>2322</v>
      </c>
      <c r="E36" s="20" t="s">
        <v>2323</v>
      </c>
      <c r="F36" s="20" t="s">
        <v>2324</v>
      </c>
    </row>
    <row r="37" spans="1:9" ht="19.95" customHeight="1" x14ac:dyDescent="0.3">
      <c r="A37">
        <v>2</v>
      </c>
      <c r="B37" s="20" t="s">
        <v>2325</v>
      </c>
      <c r="C37" s="20" t="s">
        <v>2326</v>
      </c>
      <c r="D37" s="20" t="s">
        <v>2327</v>
      </c>
      <c r="E37" s="20" t="s">
        <v>2328</v>
      </c>
      <c r="F37" s="20" t="s">
        <v>2329</v>
      </c>
    </row>
    <row r="38" spans="1:9" ht="19.95" customHeight="1" x14ac:dyDescent="0.3">
      <c r="A38">
        <v>3</v>
      </c>
      <c r="B38" s="20" t="s">
        <v>2330</v>
      </c>
      <c r="C38" s="20" t="s">
        <v>2331</v>
      </c>
      <c r="D38" s="20" t="s">
        <v>2332</v>
      </c>
      <c r="E38" s="20" t="s">
        <v>2333</v>
      </c>
      <c r="F38" s="20" t="s">
        <v>2334</v>
      </c>
    </row>
    <row r="39" spans="1:9" ht="19.95" customHeight="1" x14ac:dyDescent="0.3">
      <c r="A39">
        <v>4</v>
      </c>
      <c r="B39" s="20" t="s">
        <v>2335</v>
      </c>
      <c r="C39" s="20" t="s">
        <v>2336</v>
      </c>
      <c r="D39" s="20" t="s">
        <v>2337</v>
      </c>
      <c r="E39" s="20" t="s">
        <v>2338</v>
      </c>
      <c r="F39" s="20" t="s">
        <v>2339</v>
      </c>
    </row>
    <row r="40" spans="1:9" ht="19.95" customHeight="1" x14ac:dyDescent="0.3">
      <c r="A40">
        <v>5</v>
      </c>
      <c r="B40" s="20" t="s">
        <v>2340</v>
      </c>
      <c r="C40" s="20" t="s">
        <v>2341</v>
      </c>
      <c r="D40" s="20" t="s">
        <v>2342</v>
      </c>
      <c r="E40" s="20" t="s">
        <v>2343</v>
      </c>
      <c r="F40" s="20" t="s">
        <v>2344</v>
      </c>
    </row>
    <row r="41" spans="1:9" ht="19.95" customHeight="1" x14ac:dyDescent="0.3"/>
    <row r="42" spans="1:9" ht="24" customHeight="1" x14ac:dyDescent="0.3">
      <c r="A42" s="29" t="s">
        <v>1954</v>
      </c>
      <c r="B42" s="32" t="s">
        <v>1955</v>
      </c>
      <c r="C42" s="32" t="s">
        <v>1956</v>
      </c>
      <c r="D42" s="32" t="s">
        <v>1957</v>
      </c>
      <c r="E42" s="32" t="s">
        <v>1958</v>
      </c>
      <c r="F42" s="32" t="s">
        <v>1959</v>
      </c>
      <c r="G42" s="30"/>
      <c r="H42" s="33" t="s">
        <v>1960</v>
      </c>
      <c r="I42" s="34" t="s">
        <v>1961</v>
      </c>
    </row>
    <row r="43" spans="1:9" ht="19.95" customHeight="1" x14ac:dyDescent="0.3">
      <c r="A43">
        <v>1</v>
      </c>
      <c r="B43" s="20" t="s">
        <v>2345</v>
      </c>
      <c r="C43" s="20" t="s">
        <v>2346</v>
      </c>
      <c r="D43" s="20" t="s">
        <v>2347</v>
      </c>
      <c r="E43" s="20" t="s">
        <v>63</v>
      </c>
      <c r="F43" s="20" t="s">
        <v>2298</v>
      </c>
    </row>
    <row r="44" spans="1:9" ht="19.95" customHeight="1" x14ac:dyDescent="0.3">
      <c r="A44">
        <v>2</v>
      </c>
      <c r="B44" s="20" t="s">
        <v>2317</v>
      </c>
      <c r="C44" s="20" t="s">
        <v>2348</v>
      </c>
      <c r="D44" s="20" t="s">
        <v>2349</v>
      </c>
      <c r="E44" s="20" t="s">
        <v>63</v>
      </c>
      <c r="F44" s="20" t="s">
        <v>2298</v>
      </c>
    </row>
    <row r="45" spans="1:9" ht="19.95" customHeight="1" x14ac:dyDescent="0.3">
      <c r="A45">
        <v>3</v>
      </c>
      <c r="B45" s="20" t="s">
        <v>2350</v>
      </c>
      <c r="C45" s="20" t="s">
        <v>2351</v>
      </c>
      <c r="D45" s="20" t="s">
        <v>2352</v>
      </c>
      <c r="E45" s="20" t="s">
        <v>63</v>
      </c>
      <c r="F45" s="20" t="s">
        <v>2298</v>
      </c>
    </row>
    <row r="46" spans="1:9" ht="19.95" customHeight="1" x14ac:dyDescent="0.3">
      <c r="A46">
        <v>4</v>
      </c>
      <c r="B46" s="20" t="s">
        <v>2353</v>
      </c>
      <c r="C46" s="20" t="s">
        <v>2354</v>
      </c>
      <c r="D46" s="20" t="s">
        <v>2355</v>
      </c>
      <c r="E46" s="20" t="s">
        <v>63</v>
      </c>
      <c r="F46" s="20" t="s">
        <v>2298</v>
      </c>
    </row>
    <row r="47" spans="1:9" ht="19.95" customHeight="1" x14ac:dyDescent="0.3">
      <c r="A47">
        <v>5</v>
      </c>
      <c r="B47" s="20" t="s">
        <v>2356</v>
      </c>
      <c r="C47" s="20" t="s">
        <v>2357</v>
      </c>
      <c r="D47" s="20" t="s">
        <v>2358</v>
      </c>
      <c r="E47" s="20" t="s">
        <v>63</v>
      </c>
      <c r="F47" s="20" t="s">
        <v>2298</v>
      </c>
    </row>
    <row r="48" spans="1:9" ht="19.95" customHeight="1" x14ac:dyDescent="0.3">
      <c r="A48">
        <v>6</v>
      </c>
      <c r="B48" s="20" t="s">
        <v>2359</v>
      </c>
      <c r="C48" s="20" t="s">
        <v>2360</v>
      </c>
      <c r="D48" s="20" t="s">
        <v>2361</v>
      </c>
      <c r="E48" s="20" t="s">
        <v>63</v>
      </c>
      <c r="F48" s="20" t="s">
        <v>2298</v>
      </c>
    </row>
    <row r="49" spans="1:9" ht="19.95" customHeight="1" x14ac:dyDescent="0.3">
      <c r="A49">
        <v>7</v>
      </c>
      <c r="B49" s="20" t="s">
        <v>2362</v>
      </c>
      <c r="C49" s="20" t="s">
        <v>2363</v>
      </c>
      <c r="D49" s="20" t="s">
        <v>2364</v>
      </c>
      <c r="E49" s="20" t="s">
        <v>63</v>
      </c>
      <c r="F49" s="20" t="s">
        <v>2298</v>
      </c>
    </row>
    <row r="50" spans="1:9" ht="19.95" customHeight="1" x14ac:dyDescent="0.3">
      <c r="A50" s="103">
        <v>8</v>
      </c>
      <c r="B50" s="106" t="s">
        <v>2365</v>
      </c>
      <c r="C50" s="106" t="s">
        <v>2366</v>
      </c>
      <c r="D50" s="106" t="s">
        <v>2367</v>
      </c>
      <c r="E50" s="106" t="s">
        <v>63</v>
      </c>
      <c r="F50" s="106" t="s">
        <v>2298</v>
      </c>
      <c r="G50" s="103"/>
      <c r="H50" s="103"/>
      <c r="I50" s="103"/>
    </row>
    <row r="51" spans="1:9" ht="19.95" customHeight="1" x14ac:dyDescent="0.3"/>
    <row r="52" spans="1:9" ht="24" customHeight="1" x14ac:dyDescent="0.3">
      <c r="A52" s="29" t="s">
        <v>1962</v>
      </c>
      <c r="B52" s="32" t="s">
        <v>1963</v>
      </c>
      <c r="C52" s="32" t="s">
        <v>1964</v>
      </c>
      <c r="D52" s="32" t="s">
        <v>1965</v>
      </c>
      <c r="E52" s="32" t="s">
        <v>1966</v>
      </c>
      <c r="F52" s="32" t="s">
        <v>1967</v>
      </c>
      <c r="G52" s="30"/>
      <c r="H52" s="33" t="s">
        <v>1968</v>
      </c>
      <c r="I52" s="34" t="s">
        <v>1969</v>
      </c>
    </row>
    <row r="53" spans="1:9" ht="19.95" customHeight="1" x14ac:dyDescent="0.3">
      <c r="A53">
        <v>1</v>
      </c>
      <c r="B53" s="20"/>
      <c r="C53" s="20"/>
      <c r="D53" s="20"/>
      <c r="E53" s="20"/>
      <c r="F53" s="20"/>
    </row>
    <row r="54" spans="1:9" ht="19.95" customHeight="1" x14ac:dyDescent="0.3">
      <c r="A54">
        <v>2</v>
      </c>
      <c r="B54" s="20"/>
      <c r="C54" s="20"/>
      <c r="D54" s="20"/>
      <c r="E54" s="20"/>
      <c r="F54" s="20"/>
    </row>
    <row r="55" spans="1:9" ht="19.95" customHeight="1" x14ac:dyDescent="0.3">
      <c r="A55" s="103">
        <v>3</v>
      </c>
      <c r="B55" s="106"/>
      <c r="C55" s="106"/>
      <c r="D55" s="106"/>
      <c r="E55" s="106"/>
      <c r="F55" s="106"/>
      <c r="G55" s="103"/>
      <c r="H55" s="103"/>
      <c r="I55" s="103"/>
    </row>
    <row r="56" spans="1:9" ht="19.95" customHeight="1" x14ac:dyDescent="0.3"/>
    <row r="57" spans="1:9" ht="24" customHeight="1" x14ac:dyDescent="0.3">
      <c r="A57" s="29" t="s">
        <v>1970</v>
      </c>
      <c r="B57" s="30"/>
      <c r="C57" s="30"/>
      <c r="D57" s="30"/>
      <c r="E57" s="30"/>
      <c r="F57" s="30"/>
      <c r="G57" s="30"/>
      <c r="H57" s="35" t="s">
        <v>1971</v>
      </c>
      <c r="I57" s="37" t="s">
        <v>1972</v>
      </c>
    </row>
    <row r="58" spans="1:9" ht="19.95" customHeight="1" x14ac:dyDescent="0.3">
      <c r="A58" t="s">
        <v>1973</v>
      </c>
      <c r="B58" s="20" t="s">
        <v>2368</v>
      </c>
    </row>
    <row r="59" spans="1:9" ht="19.95" customHeight="1" x14ac:dyDescent="0.3">
      <c r="A59" t="s">
        <v>1974</v>
      </c>
      <c r="B59" s="20" t="s">
        <v>2369</v>
      </c>
    </row>
    <row r="60" spans="1:9" ht="19.95" customHeight="1" x14ac:dyDescent="0.3">
      <c r="A60" t="s">
        <v>1975</v>
      </c>
      <c r="B60" s="20" t="s">
        <v>2370</v>
      </c>
    </row>
    <row r="61" spans="1:9" ht="19.95" customHeight="1" x14ac:dyDescent="0.3">
      <c r="A61" t="s">
        <v>1976</v>
      </c>
      <c r="B61" s="20" t="s">
        <v>2371</v>
      </c>
    </row>
    <row r="62" spans="1:9" ht="19.95" customHeight="1" x14ac:dyDescent="0.3">
      <c r="A62" t="s">
        <v>1977</v>
      </c>
      <c r="B62" s="20" t="s">
        <v>2372</v>
      </c>
    </row>
    <row r="63" spans="1:9" ht="19.95" customHeight="1" x14ac:dyDescent="0.3">
      <c r="A63" s="103" t="s">
        <v>1978</v>
      </c>
      <c r="B63" s="106" t="s">
        <v>2373</v>
      </c>
      <c r="C63" s="103"/>
      <c r="D63" s="103"/>
      <c r="E63" s="103"/>
      <c r="F63" s="103"/>
      <c r="G63" s="103"/>
      <c r="H63" s="103"/>
      <c r="I63" s="103"/>
    </row>
    <row r="64" spans="1:9" ht="19.95" customHeight="1" x14ac:dyDescent="0.3"/>
    <row r="65" spans="1:9" ht="24" customHeight="1" x14ac:dyDescent="0.3">
      <c r="A65" s="29" t="s">
        <v>1979</v>
      </c>
      <c r="B65" s="30"/>
      <c r="C65" s="30"/>
      <c r="D65" s="30"/>
      <c r="E65" s="30"/>
      <c r="F65" s="30"/>
      <c r="G65" s="30"/>
      <c r="H65" s="35" t="s">
        <v>1980</v>
      </c>
      <c r="I65" s="37" t="s">
        <v>1981</v>
      </c>
    </row>
    <row r="66" spans="1:9" ht="19.95" customHeight="1" x14ac:dyDescent="0.3">
      <c r="A66" t="s">
        <v>1982</v>
      </c>
      <c r="B66" s="20" t="s">
        <v>2374</v>
      </c>
    </row>
    <row r="67" spans="1:9" ht="19.95" customHeight="1" x14ac:dyDescent="0.3">
      <c r="A67" t="s">
        <v>1983</v>
      </c>
      <c r="B67" s="20" t="s">
        <v>2375</v>
      </c>
    </row>
    <row r="68" spans="1:9" ht="19.95" customHeight="1" x14ac:dyDescent="0.3">
      <c r="A68" s="103" t="s">
        <v>1984</v>
      </c>
      <c r="B68" s="106" t="s">
        <v>2376</v>
      </c>
      <c r="C68" s="103"/>
      <c r="D68" s="103" t="s">
        <v>2377</v>
      </c>
      <c r="E68" s="103"/>
      <c r="F68" s="103"/>
      <c r="G68" s="103"/>
      <c r="H68" s="103"/>
      <c r="I68" s="103"/>
    </row>
    <row r="69" spans="1:9" ht="19.95" customHeight="1" x14ac:dyDescent="0.3"/>
    <row r="70" spans="1:9" ht="24" customHeight="1" x14ac:dyDescent="0.3">
      <c r="A70" s="29" t="s">
        <v>1985</v>
      </c>
      <c r="B70" s="32" t="s">
        <v>1986</v>
      </c>
      <c r="C70" s="32" t="s">
        <v>1942</v>
      </c>
      <c r="D70" s="32" t="s">
        <v>1987</v>
      </c>
      <c r="E70" s="30"/>
      <c r="F70" s="30"/>
      <c r="G70" s="30"/>
      <c r="H70" s="35" t="s">
        <v>1988</v>
      </c>
      <c r="I70" s="37" t="s">
        <v>1989</v>
      </c>
    </row>
    <row r="71" spans="1:9" ht="19.95" customHeight="1" x14ac:dyDescent="0.3">
      <c r="A71">
        <v>1</v>
      </c>
      <c r="B71" s="20"/>
      <c r="C71" s="20"/>
      <c r="D71" s="20"/>
    </row>
    <row r="72" spans="1:9" ht="19.95" customHeight="1" x14ac:dyDescent="0.3">
      <c r="A72">
        <v>2</v>
      </c>
      <c r="B72" s="20" t="s">
        <v>2378</v>
      </c>
      <c r="C72" s="20" t="s">
        <v>2379</v>
      </c>
      <c r="D72" s="20" t="s">
        <v>63</v>
      </c>
    </row>
    <row r="73" spans="1:9" ht="19.95" customHeight="1" x14ac:dyDescent="0.3">
      <c r="A73">
        <v>3</v>
      </c>
      <c r="B73" s="20" t="s">
        <v>2380</v>
      </c>
      <c r="C73" s="20" t="s">
        <v>2381</v>
      </c>
      <c r="D73" s="20" t="s">
        <v>63</v>
      </c>
    </row>
    <row r="74" spans="1:9" ht="19.95" customHeight="1" x14ac:dyDescent="0.3">
      <c r="A74">
        <v>4</v>
      </c>
      <c r="B74" s="20" t="s">
        <v>2382</v>
      </c>
      <c r="C74" s="20" t="s">
        <v>2310</v>
      </c>
      <c r="D74" s="20" t="s">
        <v>63</v>
      </c>
    </row>
    <row r="75" spans="1:9" ht="19.95" customHeight="1" x14ac:dyDescent="0.3">
      <c r="A75">
        <v>5</v>
      </c>
      <c r="B75" s="20" t="s">
        <v>2383</v>
      </c>
      <c r="C75" s="20" t="s">
        <v>2384</v>
      </c>
      <c r="D75" s="20" t="s">
        <v>280</v>
      </c>
    </row>
    <row r="76" spans="1:9" ht="19.95" customHeight="1" x14ac:dyDescent="0.3">
      <c r="A76">
        <v>6</v>
      </c>
      <c r="B76" s="20" t="s">
        <v>2385</v>
      </c>
      <c r="C76" s="20" t="s">
        <v>2386</v>
      </c>
      <c r="D76" s="20" t="s">
        <v>63</v>
      </c>
    </row>
    <row r="77" spans="1:9" ht="19.95" customHeight="1" x14ac:dyDescent="0.3">
      <c r="A77">
        <v>7</v>
      </c>
      <c r="B77" s="20" t="s">
        <v>2387</v>
      </c>
      <c r="C77" s="20" t="s">
        <v>2388</v>
      </c>
      <c r="D77" s="20" t="s">
        <v>63</v>
      </c>
    </row>
    <row r="78" spans="1:9" ht="19.95" customHeight="1" x14ac:dyDescent="0.3">
      <c r="A78">
        <v>8</v>
      </c>
      <c r="B78" s="20" t="s">
        <v>2389</v>
      </c>
      <c r="C78" s="20" t="s">
        <v>2390</v>
      </c>
      <c r="D78" s="20" t="s">
        <v>63</v>
      </c>
    </row>
    <row r="79" spans="1:9" ht="19.95" customHeight="1" x14ac:dyDescent="0.3">
      <c r="A79">
        <v>9</v>
      </c>
      <c r="B79" s="20" t="s">
        <v>2391</v>
      </c>
      <c r="C79" s="20" t="s">
        <v>2392</v>
      </c>
      <c r="D79" s="20" t="s">
        <v>63</v>
      </c>
    </row>
    <row r="80" spans="1:9" ht="19.95" customHeight="1" x14ac:dyDescent="0.3">
      <c r="A80" s="103">
        <v>10</v>
      </c>
      <c r="B80" s="106" t="s">
        <v>2393</v>
      </c>
      <c r="C80" s="106" t="s">
        <v>2394</v>
      </c>
      <c r="D80" s="106" t="s">
        <v>63</v>
      </c>
      <c r="E80" s="103"/>
      <c r="F80" s="103"/>
      <c r="G80" s="103"/>
      <c r="H80" s="103"/>
      <c r="I80" s="103"/>
    </row>
    <row r="81" spans="1:9" ht="19.95" customHeight="1" x14ac:dyDescent="0.3">
      <c r="B81" s="20" t="s">
        <v>2395</v>
      </c>
      <c r="C81" s="20" t="s">
        <v>2396</v>
      </c>
      <c r="D81" s="20" t="s">
        <v>201</v>
      </c>
    </row>
    <row r="82" spans="1:9" ht="24" customHeight="1" x14ac:dyDescent="0.3">
      <c r="A82" s="29" t="s">
        <v>1990</v>
      </c>
      <c r="B82" s="32" t="s">
        <v>1991</v>
      </c>
      <c r="C82" s="32" t="s">
        <v>1992</v>
      </c>
      <c r="D82" s="32" t="s">
        <v>1993</v>
      </c>
      <c r="E82" s="32" t="s">
        <v>1994</v>
      </c>
      <c r="F82" s="32" t="s">
        <v>1995</v>
      </c>
      <c r="G82" s="30"/>
      <c r="H82" s="33" t="s">
        <v>1996</v>
      </c>
      <c r="I82" s="34" t="s">
        <v>1997</v>
      </c>
    </row>
    <row r="83" spans="1:9" ht="19.95" customHeight="1" x14ac:dyDescent="0.3">
      <c r="A83">
        <v>1</v>
      </c>
      <c r="B83" s="20" t="s">
        <v>2201</v>
      </c>
      <c r="C83" s="20" t="s">
        <v>368</v>
      </c>
      <c r="D83" s="20" t="s">
        <v>2397</v>
      </c>
      <c r="E83" s="20" t="s">
        <v>2398</v>
      </c>
      <c r="F83" s="20">
        <v>8</v>
      </c>
    </row>
    <row r="84" spans="1:9" ht="19.95" customHeight="1" x14ac:dyDescent="0.3">
      <c r="A84">
        <v>2</v>
      </c>
      <c r="B84" s="20" t="s">
        <v>2201</v>
      </c>
      <c r="C84" s="20" t="s">
        <v>214</v>
      </c>
      <c r="D84" s="20" t="s">
        <v>2399</v>
      </c>
      <c r="E84" s="20" t="s">
        <v>2400</v>
      </c>
      <c r="F84" s="20">
        <v>7</v>
      </c>
    </row>
    <row r="85" spans="1:9" ht="19.95" customHeight="1" x14ac:dyDescent="0.3">
      <c r="A85">
        <v>3</v>
      </c>
      <c r="B85" s="20" t="s">
        <v>2201</v>
      </c>
      <c r="C85" s="20" t="s">
        <v>2401</v>
      </c>
      <c r="D85" s="20" t="s">
        <v>2402</v>
      </c>
      <c r="E85" s="20" t="s">
        <v>2403</v>
      </c>
      <c r="F85" s="20">
        <v>6</v>
      </c>
    </row>
    <row r="86" spans="1:9" ht="19.95" customHeight="1" x14ac:dyDescent="0.3">
      <c r="A86">
        <v>4</v>
      </c>
      <c r="B86" s="20" t="s">
        <v>2201</v>
      </c>
      <c r="C86" s="20" t="s">
        <v>629</v>
      </c>
      <c r="D86" s="20" t="s">
        <v>2404</v>
      </c>
      <c r="E86" s="20" t="s">
        <v>2405</v>
      </c>
      <c r="F86" s="20">
        <v>9</v>
      </c>
    </row>
    <row r="87" spans="1:9" ht="19.95" customHeight="1" x14ac:dyDescent="0.3">
      <c r="A87" s="103">
        <v>5</v>
      </c>
      <c r="B87" s="106" t="s">
        <v>2201</v>
      </c>
      <c r="C87" s="106" t="s">
        <v>2406</v>
      </c>
      <c r="D87" s="106" t="s">
        <v>2397</v>
      </c>
      <c r="E87" s="106" t="s">
        <v>2407</v>
      </c>
      <c r="F87" s="106">
        <v>10</v>
      </c>
      <c r="G87" s="103"/>
      <c r="H87" s="103"/>
      <c r="I87" s="103"/>
    </row>
    <row r="88" spans="1:9" ht="19.95" customHeight="1" x14ac:dyDescent="0.3"/>
    <row r="89" spans="1:9" ht="28.05" customHeight="1" x14ac:dyDescent="0.3">
      <c r="A89" s="14" t="s">
        <v>1998</v>
      </c>
      <c r="B89" s="15"/>
      <c r="C89" s="15"/>
      <c r="D89" s="15"/>
      <c r="E89" s="15"/>
      <c r="F89" s="17" t="s">
        <v>1999</v>
      </c>
      <c r="G89" s="15"/>
      <c r="H89" s="15"/>
      <c r="I89" s="38" t="s">
        <v>2000</v>
      </c>
    </row>
    <row r="90" spans="1:9" ht="19.95" customHeight="1" x14ac:dyDescent="0.3"/>
    <row r="91" spans="1:9" ht="24" customHeight="1" x14ac:dyDescent="0.3">
      <c r="A91" s="29" t="s">
        <v>2001</v>
      </c>
      <c r="B91" s="30"/>
      <c r="C91" s="30"/>
      <c r="D91" s="30"/>
      <c r="E91" s="30"/>
      <c r="F91" s="91" t="str">
        <f>IF(OR($B$8="EVENT",$B$8="PROGRAM",$B$8="INSTITUTION"),"✅ ACTIVE","❌")</f>
        <v>✅ ACTIVE</v>
      </c>
      <c r="G91" s="30"/>
      <c r="H91" s="35" t="s">
        <v>1971</v>
      </c>
      <c r="I91" s="39" t="s">
        <v>2002</v>
      </c>
    </row>
    <row r="92" spans="1:9" ht="19.95" customHeight="1" x14ac:dyDescent="0.3">
      <c r="A92" t="s">
        <v>2003</v>
      </c>
      <c r="B92" s="20"/>
    </row>
    <row r="93" spans="1:9" ht="19.95" customHeight="1" x14ac:dyDescent="0.3">
      <c r="A93" t="s">
        <v>2004</v>
      </c>
      <c r="B93" s="20" t="s">
        <v>2408</v>
      </c>
      <c r="C93" s="31" t="s">
        <v>1942</v>
      </c>
      <c r="D93" s="20"/>
    </row>
    <row r="94" spans="1:9" ht="19.95" customHeight="1" x14ac:dyDescent="0.3">
      <c r="A94" t="s">
        <v>2005</v>
      </c>
      <c r="B94" s="20" t="s">
        <v>2409</v>
      </c>
      <c r="C94" s="31" t="s">
        <v>1942</v>
      </c>
      <c r="D94" s="20" t="s">
        <v>2410</v>
      </c>
    </row>
    <row r="95" spans="1:9" ht="19.95" customHeight="1" x14ac:dyDescent="0.3">
      <c r="A95" t="s">
        <v>2006</v>
      </c>
      <c r="B95" s="20" t="s">
        <v>2411</v>
      </c>
      <c r="C95" s="31" t="s">
        <v>1942</v>
      </c>
      <c r="D95" s="20" t="s">
        <v>2412</v>
      </c>
    </row>
    <row r="96" spans="1:9" ht="19.95" customHeight="1" x14ac:dyDescent="0.3">
      <c r="A96" s="103" t="s">
        <v>2007</v>
      </c>
      <c r="B96" s="106" t="s">
        <v>2413</v>
      </c>
      <c r="C96" s="103"/>
      <c r="D96" s="103" t="s">
        <v>2414</v>
      </c>
      <c r="E96" s="103"/>
      <c r="F96" s="103"/>
      <c r="G96" s="103"/>
      <c r="H96" s="103"/>
      <c r="I96" s="103"/>
    </row>
    <row r="97" spans="1:9" ht="19.95" customHeight="1" x14ac:dyDescent="0.3">
      <c r="B97" s="20" t="s">
        <v>2415</v>
      </c>
    </row>
    <row r="98" spans="1:9" ht="24" customHeight="1" x14ac:dyDescent="0.3">
      <c r="A98" s="29" t="s">
        <v>2008</v>
      </c>
      <c r="B98" s="32" t="s">
        <v>2009</v>
      </c>
      <c r="C98" s="40" t="s">
        <v>2010</v>
      </c>
      <c r="D98" s="32" t="s">
        <v>2011</v>
      </c>
      <c r="E98" s="32" t="s">
        <v>2012</v>
      </c>
      <c r="F98" s="92" t="str">
        <f>IF(OR($B$8="EVENT",$B$8="PROGRAM"),"✅ ACTIVE","❌")</f>
        <v>✅ ACTIVE</v>
      </c>
      <c r="G98" s="30"/>
      <c r="H98" s="33" t="s">
        <v>2013</v>
      </c>
      <c r="I98" s="39" t="s">
        <v>2014</v>
      </c>
    </row>
    <row r="99" spans="1:9" ht="19.95" customHeight="1" x14ac:dyDescent="0.3">
      <c r="A99">
        <v>1</v>
      </c>
      <c r="B99" s="20"/>
      <c r="C99" s="20"/>
      <c r="D99" s="20"/>
      <c r="E99" s="20"/>
      <c r="F99" s="20"/>
    </row>
    <row r="100" spans="1:9" ht="19.95" customHeight="1" x14ac:dyDescent="0.3">
      <c r="A100">
        <v>2</v>
      </c>
      <c r="B100" s="20" t="s">
        <v>2416</v>
      </c>
      <c r="C100" s="20" t="s">
        <v>2417</v>
      </c>
      <c r="D100" s="20" t="s">
        <v>2418</v>
      </c>
      <c r="E100" s="20" t="s">
        <v>2419</v>
      </c>
      <c r="F100" s="20"/>
    </row>
    <row r="101" spans="1:9" ht="19.95" customHeight="1" x14ac:dyDescent="0.3">
      <c r="A101">
        <v>3</v>
      </c>
      <c r="B101" s="20" t="s">
        <v>2420</v>
      </c>
      <c r="C101" s="20" t="s">
        <v>2421</v>
      </c>
      <c r="D101" s="20" t="s">
        <v>2422</v>
      </c>
      <c r="E101" s="20" t="s">
        <v>2358</v>
      </c>
      <c r="F101" s="20"/>
    </row>
    <row r="102" spans="1:9" ht="19.95" customHeight="1" x14ac:dyDescent="0.3">
      <c r="A102">
        <v>4</v>
      </c>
      <c r="B102" s="20" t="s">
        <v>2423</v>
      </c>
      <c r="C102" s="20" t="s">
        <v>2424</v>
      </c>
      <c r="D102" s="20" t="s">
        <v>2425</v>
      </c>
      <c r="E102" s="20" t="s">
        <v>2426</v>
      </c>
      <c r="F102" s="20"/>
    </row>
    <row r="103" spans="1:9" ht="19.95" customHeight="1" x14ac:dyDescent="0.3">
      <c r="A103" s="103">
        <v>5</v>
      </c>
      <c r="B103" s="106" t="s">
        <v>2427</v>
      </c>
      <c r="C103" s="106" t="s">
        <v>2428</v>
      </c>
      <c r="D103" s="106" t="s">
        <v>2429</v>
      </c>
      <c r="E103" s="106" t="s">
        <v>2430</v>
      </c>
      <c r="F103" s="106"/>
      <c r="G103" s="103"/>
      <c r="H103" s="103"/>
      <c r="I103" s="103"/>
    </row>
    <row r="104" spans="1:9" ht="19.95" customHeight="1" x14ac:dyDescent="0.3">
      <c r="B104" s="20" t="s">
        <v>2431</v>
      </c>
      <c r="C104" s="20" t="s">
        <v>2432</v>
      </c>
      <c r="D104" s="20" t="s">
        <v>2433</v>
      </c>
      <c r="E104" s="20" t="s">
        <v>2434</v>
      </c>
    </row>
    <row r="105" spans="1:9" ht="24" customHeight="1" x14ac:dyDescent="0.3">
      <c r="A105" s="29" t="s">
        <v>2015</v>
      </c>
      <c r="B105" s="32" t="s">
        <v>2016</v>
      </c>
      <c r="C105" s="32" t="s">
        <v>2017</v>
      </c>
      <c r="D105" s="32" t="s">
        <v>2018</v>
      </c>
      <c r="E105" s="32" t="s">
        <v>2019</v>
      </c>
      <c r="F105" s="92" t="str">
        <f>IF(OR($B$8="PROGRAM",$B$8="EVENT"),"✅ ACTIVE","❌")</f>
        <v>✅ ACTIVE</v>
      </c>
      <c r="G105" s="30"/>
      <c r="H105" s="33" t="s">
        <v>2020</v>
      </c>
      <c r="I105" s="39" t="s">
        <v>2021</v>
      </c>
    </row>
    <row r="106" spans="1:9" ht="19.95" customHeight="1" x14ac:dyDescent="0.3">
      <c r="A106">
        <v>1</v>
      </c>
      <c r="B106" s="20"/>
      <c r="C106" s="20"/>
      <c r="D106" s="20"/>
      <c r="E106" s="20"/>
      <c r="F106" s="20"/>
    </row>
    <row r="107" spans="1:9" ht="19.95" customHeight="1" x14ac:dyDescent="0.3">
      <c r="A107">
        <v>2</v>
      </c>
      <c r="B107" s="20" t="s">
        <v>2435</v>
      </c>
      <c r="C107" s="20" t="s">
        <v>2436</v>
      </c>
      <c r="D107" s="20" t="s">
        <v>2358</v>
      </c>
      <c r="E107" s="20" t="s">
        <v>2437</v>
      </c>
      <c r="F107" s="20"/>
    </row>
    <row r="108" spans="1:9" ht="19.95" customHeight="1" x14ac:dyDescent="0.3">
      <c r="A108">
        <v>3</v>
      </c>
      <c r="B108" s="20" t="s">
        <v>2438</v>
      </c>
      <c r="C108" s="20" t="s">
        <v>2436</v>
      </c>
      <c r="D108" s="20" t="s">
        <v>2358</v>
      </c>
      <c r="E108" s="20" t="s">
        <v>2439</v>
      </c>
      <c r="F108" s="20"/>
    </row>
    <row r="109" spans="1:9" ht="19.95" customHeight="1" x14ac:dyDescent="0.3">
      <c r="A109">
        <v>4</v>
      </c>
      <c r="B109" s="20" t="s">
        <v>2440</v>
      </c>
      <c r="C109" s="20" t="s">
        <v>2441</v>
      </c>
      <c r="D109" s="20" t="s">
        <v>2442</v>
      </c>
      <c r="E109" s="20" t="s">
        <v>2443</v>
      </c>
      <c r="F109" s="20"/>
    </row>
    <row r="110" spans="1:9" ht="19.95" customHeight="1" x14ac:dyDescent="0.3">
      <c r="A110" s="103">
        <v>5</v>
      </c>
      <c r="B110" s="106" t="s">
        <v>2444</v>
      </c>
      <c r="C110" s="106" t="s">
        <v>2441</v>
      </c>
      <c r="D110" s="106" t="s">
        <v>2367</v>
      </c>
      <c r="E110" s="106" t="s">
        <v>2445</v>
      </c>
      <c r="F110" s="106"/>
      <c r="G110" s="103"/>
      <c r="H110" s="103"/>
      <c r="I110" s="103"/>
    </row>
    <row r="111" spans="1:9" ht="19.95" customHeight="1" x14ac:dyDescent="0.3">
      <c r="B111" s="20" t="s">
        <v>2446</v>
      </c>
      <c r="C111" s="20" t="s">
        <v>2436</v>
      </c>
      <c r="D111" s="20" t="s">
        <v>2447</v>
      </c>
      <c r="E111" s="20" t="s">
        <v>2448</v>
      </c>
    </row>
    <row r="112" spans="1:9" ht="24" customHeight="1" x14ac:dyDescent="0.3">
      <c r="A112" s="29" t="s">
        <v>2022</v>
      </c>
      <c r="B112" s="32" t="s">
        <v>1947</v>
      </c>
      <c r="C112" s="32" t="s">
        <v>2023</v>
      </c>
      <c r="D112" s="32" t="s">
        <v>2024</v>
      </c>
      <c r="E112" s="32" t="s">
        <v>2025</v>
      </c>
      <c r="F112" s="92" t="str">
        <f>IF(OR($B$8="EVENT",$B$8="PHENOMENON"),"✅ ACTIVE","❌")</f>
        <v>❌</v>
      </c>
      <c r="G112" s="30"/>
      <c r="H112" s="33" t="s">
        <v>2026</v>
      </c>
      <c r="I112" s="39" t="s">
        <v>2027</v>
      </c>
    </row>
    <row r="113" spans="1:9" ht="19.95" customHeight="1" x14ac:dyDescent="0.3">
      <c r="A113">
        <v>1</v>
      </c>
      <c r="B113" s="20"/>
      <c r="C113" s="20"/>
      <c r="D113" s="20"/>
      <c r="E113" s="20"/>
      <c r="F113" s="20"/>
    </row>
    <row r="114" spans="1:9" ht="19.95" customHeight="1" x14ac:dyDescent="0.3">
      <c r="A114">
        <v>2</v>
      </c>
      <c r="B114" s="20"/>
      <c r="C114" s="20"/>
      <c r="D114" s="20"/>
      <c r="E114" s="20"/>
      <c r="F114" s="20"/>
    </row>
    <row r="115" spans="1:9" ht="19.95" customHeight="1" x14ac:dyDescent="0.3">
      <c r="A115">
        <v>3</v>
      </c>
      <c r="B115" s="20"/>
      <c r="C115" s="20"/>
      <c r="D115" s="20"/>
      <c r="E115" s="20"/>
      <c r="F115" s="20"/>
    </row>
    <row r="116" spans="1:9" ht="19.95" customHeight="1" x14ac:dyDescent="0.3">
      <c r="A116">
        <v>4</v>
      </c>
      <c r="B116" s="20"/>
      <c r="C116" s="20"/>
      <c r="D116" s="20"/>
      <c r="E116" s="20"/>
      <c r="F116" s="20"/>
    </row>
    <row r="117" spans="1:9" ht="19.95" customHeight="1" x14ac:dyDescent="0.3">
      <c r="A117" s="103">
        <v>5</v>
      </c>
      <c r="B117" s="106"/>
      <c r="C117" s="106"/>
      <c r="D117" s="106"/>
      <c r="E117" s="106"/>
      <c r="F117" s="106"/>
      <c r="G117" s="103"/>
      <c r="H117" s="103"/>
      <c r="I117" s="103"/>
    </row>
    <row r="118" spans="1:9" ht="19.95" customHeight="1" x14ac:dyDescent="0.3"/>
    <row r="119" spans="1:9" ht="24" customHeight="1" x14ac:dyDescent="0.3">
      <c r="A119" s="29" t="s">
        <v>2028</v>
      </c>
      <c r="B119" s="32" t="s">
        <v>2029</v>
      </c>
      <c r="C119" s="32" t="s">
        <v>2030</v>
      </c>
      <c r="D119" s="32" t="s">
        <v>2031</v>
      </c>
      <c r="E119" s="32" t="s">
        <v>2032</v>
      </c>
      <c r="F119" s="92" t="str">
        <f>IF(OR($B$8="INSTITUTION",$B$8="PROPAGANDA",$B$8="PROGRAM"),"✅ ACTIVE","❌")</f>
        <v>✅ ACTIVE</v>
      </c>
      <c r="G119" s="30"/>
      <c r="H119" s="33" t="s">
        <v>2033</v>
      </c>
      <c r="I119" s="39" t="s">
        <v>2034</v>
      </c>
    </row>
    <row r="120" spans="1:9" ht="19.95" customHeight="1" x14ac:dyDescent="0.3">
      <c r="A120">
        <v>1</v>
      </c>
      <c r="B120" s="20" t="s">
        <v>2449</v>
      </c>
      <c r="C120" s="20" t="s">
        <v>2450</v>
      </c>
      <c r="D120" s="20" t="s">
        <v>2451</v>
      </c>
      <c r="E120" s="20" t="s">
        <v>2452</v>
      </c>
      <c r="F120" s="20" t="s">
        <v>2453</v>
      </c>
    </row>
    <row r="121" spans="1:9" ht="19.95" customHeight="1" x14ac:dyDescent="0.3">
      <c r="A121">
        <v>2</v>
      </c>
      <c r="B121" s="20" t="s">
        <v>2454</v>
      </c>
      <c r="C121" s="20" t="s">
        <v>2455</v>
      </c>
      <c r="D121" s="20" t="s">
        <v>2456</v>
      </c>
      <c r="E121" s="20" t="s">
        <v>2457</v>
      </c>
      <c r="F121" s="20" t="s">
        <v>2458</v>
      </c>
    </row>
    <row r="122" spans="1:9" ht="19.95" customHeight="1" x14ac:dyDescent="0.3">
      <c r="A122">
        <v>3</v>
      </c>
      <c r="B122" s="20" t="s">
        <v>2459</v>
      </c>
      <c r="C122" s="20" t="s">
        <v>2460</v>
      </c>
      <c r="D122" s="20" t="s">
        <v>2461</v>
      </c>
      <c r="E122" s="20" t="s">
        <v>2302</v>
      </c>
      <c r="F122" s="20" t="s">
        <v>2462</v>
      </c>
    </row>
    <row r="123" spans="1:9" ht="19.95" customHeight="1" x14ac:dyDescent="0.3">
      <c r="A123">
        <v>4</v>
      </c>
      <c r="B123" s="20" t="s">
        <v>2463</v>
      </c>
      <c r="C123" s="20" t="s">
        <v>2464</v>
      </c>
      <c r="D123" s="20" t="s">
        <v>2465</v>
      </c>
      <c r="E123" s="20">
        <v>1988</v>
      </c>
      <c r="F123" s="20" t="s">
        <v>2466</v>
      </c>
    </row>
    <row r="124" spans="1:9" ht="19.95" customHeight="1" x14ac:dyDescent="0.3">
      <c r="A124" s="103">
        <v>5</v>
      </c>
      <c r="B124" s="106" t="s">
        <v>2454</v>
      </c>
      <c r="C124" s="106" t="s">
        <v>2467</v>
      </c>
      <c r="D124" s="106" t="s">
        <v>2468</v>
      </c>
      <c r="E124" s="106" t="s">
        <v>2469</v>
      </c>
      <c r="F124" s="106" t="s">
        <v>2470</v>
      </c>
      <c r="G124" s="103"/>
      <c r="H124" s="103"/>
      <c r="I124" s="103"/>
    </row>
    <row r="125" spans="1:9" ht="19.95" customHeight="1" x14ac:dyDescent="0.3"/>
    <row r="126" spans="1:9" ht="24" customHeight="1" x14ac:dyDescent="0.3">
      <c r="A126" s="41" t="s">
        <v>2035</v>
      </c>
      <c r="B126" s="42"/>
      <c r="C126" s="42"/>
      <c r="D126" s="42"/>
      <c r="E126" s="42"/>
      <c r="F126" s="93" t="str">
        <f>IF($B$8="PROPAGANDA","✅ ACTIVE","❌")</f>
        <v>❌</v>
      </c>
      <c r="G126" s="42"/>
      <c r="H126" s="43" t="s">
        <v>2036</v>
      </c>
      <c r="I126" s="44" t="s">
        <v>2037</v>
      </c>
    </row>
    <row r="127" spans="1:9" ht="19.95" customHeight="1" x14ac:dyDescent="0.3">
      <c r="A127" t="s">
        <v>2038</v>
      </c>
      <c r="B127" s="20"/>
      <c r="C127" s="31" t="s">
        <v>2039</v>
      </c>
      <c r="D127" s="20"/>
    </row>
    <row r="128" spans="1:9" ht="19.95" customHeight="1" x14ac:dyDescent="0.3">
      <c r="A128" t="s">
        <v>2040</v>
      </c>
      <c r="B128" s="23"/>
      <c r="I128" s="27" t="s">
        <v>2041</v>
      </c>
    </row>
    <row r="129" spans="1:9" ht="19.95" customHeight="1" x14ac:dyDescent="0.3">
      <c r="A129" t="s">
        <v>2042</v>
      </c>
      <c r="B129" s="20"/>
      <c r="C129" s="31" t="s">
        <v>2043</v>
      </c>
      <c r="D129" s="20"/>
    </row>
    <row r="130" spans="1:9" ht="19.95" customHeight="1" x14ac:dyDescent="0.3">
      <c r="A130" t="s">
        <v>2044</v>
      </c>
      <c r="B130" s="31" t="s">
        <v>2045</v>
      </c>
      <c r="C130" s="31" t="s">
        <v>2046</v>
      </c>
      <c r="D130" s="31" t="s">
        <v>2047</v>
      </c>
      <c r="E130" s="31" t="s">
        <v>2048</v>
      </c>
      <c r="F130" s="31" t="s">
        <v>2049</v>
      </c>
    </row>
    <row r="131" spans="1:9" ht="19.95" customHeight="1" x14ac:dyDescent="0.3">
      <c r="B131" s="20"/>
      <c r="C131" s="20"/>
      <c r="D131" s="20"/>
      <c r="E131" s="20"/>
      <c r="F131" s="20"/>
    </row>
    <row r="132" spans="1:9" ht="19.95" customHeight="1" x14ac:dyDescent="0.3">
      <c r="A132" t="s">
        <v>2050</v>
      </c>
      <c r="B132" s="20"/>
      <c r="C132" s="31" t="s">
        <v>2051</v>
      </c>
      <c r="D132" s="20"/>
    </row>
    <row r="133" spans="1:9" ht="19.95" customHeight="1" x14ac:dyDescent="0.3">
      <c r="A133" t="s">
        <v>2052</v>
      </c>
      <c r="B133" s="31" t="s">
        <v>2053</v>
      </c>
      <c r="C133" s="20"/>
    </row>
    <row r="134" spans="1:9" ht="19.95" customHeight="1" x14ac:dyDescent="0.3">
      <c r="B134" s="31" t="s">
        <v>2054</v>
      </c>
      <c r="C134" s="20"/>
    </row>
    <row r="135" spans="1:9" ht="19.95" customHeight="1" x14ac:dyDescent="0.3">
      <c r="A135" s="103"/>
      <c r="B135" s="107" t="s">
        <v>2055</v>
      </c>
      <c r="C135" s="106"/>
      <c r="D135" s="103"/>
      <c r="E135" s="103"/>
      <c r="F135" s="103"/>
      <c r="G135" s="103"/>
      <c r="H135" s="103"/>
      <c r="I135" s="103"/>
    </row>
    <row r="136" spans="1:9" ht="19.95" customHeight="1" x14ac:dyDescent="0.3"/>
    <row r="137" spans="1:9" ht="24" customHeight="1" x14ac:dyDescent="0.3">
      <c r="A137" s="41" t="s">
        <v>2056</v>
      </c>
      <c r="B137" s="45" t="s">
        <v>2057</v>
      </c>
      <c r="C137" s="46" t="s">
        <v>2058</v>
      </c>
      <c r="D137" s="46" t="s">
        <v>1940</v>
      </c>
      <c r="E137" s="46" t="s">
        <v>2059</v>
      </c>
      <c r="F137" s="94" t="str">
        <f>IF(OR($B$8="PROPAGANDA",$B$8="PROGRAM"),"✅ ACTIVE","❌")</f>
        <v>✅ ACTIVE</v>
      </c>
      <c r="G137" s="42"/>
      <c r="H137" s="47" t="s">
        <v>2060</v>
      </c>
      <c r="I137" s="44" t="s">
        <v>2061</v>
      </c>
    </row>
    <row r="138" spans="1:9" ht="19.95" customHeight="1" x14ac:dyDescent="0.3">
      <c r="A138">
        <v>1</v>
      </c>
      <c r="B138" s="20"/>
      <c r="C138" s="20"/>
      <c r="D138" s="20"/>
      <c r="E138" s="20"/>
      <c r="F138" s="20"/>
    </row>
    <row r="139" spans="1:9" ht="19.95" customHeight="1" x14ac:dyDescent="0.3">
      <c r="A139">
        <v>2</v>
      </c>
      <c r="B139" s="20" t="s">
        <v>2471</v>
      </c>
      <c r="C139" s="20" t="s">
        <v>2472</v>
      </c>
      <c r="D139" s="20">
        <v>1973</v>
      </c>
      <c r="E139" s="20" t="s">
        <v>2473</v>
      </c>
      <c r="F139" s="20"/>
    </row>
    <row r="140" spans="1:9" ht="19.95" customHeight="1" x14ac:dyDescent="0.3">
      <c r="A140">
        <v>3</v>
      </c>
      <c r="B140" s="20" t="s">
        <v>2474</v>
      </c>
      <c r="C140" s="20" t="s">
        <v>2475</v>
      </c>
      <c r="D140" s="20" t="s">
        <v>2476</v>
      </c>
      <c r="E140" s="20" t="s">
        <v>2477</v>
      </c>
      <c r="F140" s="20"/>
    </row>
    <row r="141" spans="1:9" ht="19.95" customHeight="1" x14ac:dyDescent="0.3">
      <c r="A141">
        <v>4</v>
      </c>
      <c r="B141" s="20" t="s">
        <v>2478</v>
      </c>
      <c r="C141" s="20" t="s">
        <v>2454</v>
      </c>
      <c r="D141" s="20" t="s">
        <v>2479</v>
      </c>
      <c r="E141" s="20" t="s">
        <v>2480</v>
      </c>
      <c r="F141" s="20"/>
    </row>
    <row r="142" spans="1:9" ht="19.95" customHeight="1" x14ac:dyDescent="0.3">
      <c r="A142" s="103">
        <v>5</v>
      </c>
      <c r="B142" s="106" t="s">
        <v>2481</v>
      </c>
      <c r="C142" s="106" t="s">
        <v>2482</v>
      </c>
      <c r="D142" s="106" t="s">
        <v>2483</v>
      </c>
      <c r="E142" s="106" t="s">
        <v>2484</v>
      </c>
      <c r="F142" s="106"/>
      <c r="G142" s="103"/>
      <c r="H142" s="103"/>
      <c r="I142" s="103"/>
    </row>
    <row r="143" spans="1:9" ht="19.95" customHeight="1" x14ac:dyDescent="0.3">
      <c r="A143" t="s">
        <v>2062</v>
      </c>
      <c r="B143" s="48" t="s">
        <v>2485</v>
      </c>
      <c r="C143" s="20" t="s">
        <v>2486</v>
      </c>
      <c r="D143">
        <v>1975</v>
      </c>
      <c r="E143" s="20" t="s">
        <v>2487</v>
      </c>
      <c r="I143" s="27" t="s">
        <v>2063</v>
      </c>
    </row>
    <row r="144" spans="1:9" ht="19.95" customHeight="1" x14ac:dyDescent="0.3">
      <c r="B144" s="25">
        <v>72</v>
      </c>
    </row>
    <row r="145" spans="1:9" ht="24" customHeight="1" x14ac:dyDescent="0.3">
      <c r="A145" s="41" t="s">
        <v>2064</v>
      </c>
      <c r="B145" s="42"/>
      <c r="C145" s="42"/>
      <c r="D145" s="42"/>
      <c r="E145" s="42"/>
      <c r="F145" s="93" t="str">
        <f>IF($B$8="PROPAGANDA","✅ ACTIVE","❌")</f>
        <v>❌</v>
      </c>
      <c r="G145" s="42"/>
      <c r="H145" s="43" t="s">
        <v>2065</v>
      </c>
      <c r="I145" s="44" t="s">
        <v>2037</v>
      </c>
    </row>
    <row r="146" spans="1:9" ht="19.95" customHeight="1" x14ac:dyDescent="0.3">
      <c r="A146" t="s">
        <v>2066</v>
      </c>
      <c r="B146" s="20"/>
    </row>
    <row r="147" spans="1:9" ht="19.95" customHeight="1" x14ac:dyDescent="0.3">
      <c r="A147" t="s">
        <v>2067</v>
      </c>
      <c r="B147" s="31" t="s">
        <v>2068</v>
      </c>
      <c r="C147" s="31" t="s">
        <v>2069</v>
      </c>
      <c r="D147" s="31" t="s">
        <v>2070</v>
      </c>
      <c r="E147" s="31" t="s">
        <v>2071</v>
      </c>
    </row>
    <row r="148" spans="1:9" ht="19.95" customHeight="1" x14ac:dyDescent="0.3">
      <c r="B148" s="20"/>
      <c r="C148" s="20"/>
      <c r="D148" s="20"/>
      <c r="E148" s="20"/>
    </row>
    <row r="149" spans="1:9" ht="19.95" customHeight="1" x14ac:dyDescent="0.3">
      <c r="A149" t="s">
        <v>2072</v>
      </c>
      <c r="B149" s="31" t="s">
        <v>2073</v>
      </c>
      <c r="C149" s="31" t="s">
        <v>2074</v>
      </c>
      <c r="D149" s="31" t="s">
        <v>2075</v>
      </c>
    </row>
    <row r="150" spans="1:9" ht="19.95" customHeight="1" x14ac:dyDescent="0.3">
      <c r="B150" s="20"/>
      <c r="C150" s="20"/>
      <c r="D150" s="20"/>
    </row>
    <row r="151" spans="1:9" ht="19.95" customHeight="1" x14ac:dyDescent="0.3">
      <c r="A151" t="s">
        <v>2076</v>
      </c>
      <c r="B151" s="20"/>
      <c r="I151" s="27" t="s">
        <v>2077</v>
      </c>
    </row>
    <row r="152" spans="1:9" ht="19.95" customHeight="1" x14ac:dyDescent="0.3">
      <c r="A152" t="s">
        <v>2078</v>
      </c>
      <c r="B152" s="20"/>
    </row>
    <row r="153" spans="1:9" ht="19.95" customHeight="1" x14ac:dyDescent="0.3">
      <c r="A153" s="103" t="s">
        <v>2079</v>
      </c>
      <c r="B153" s="106"/>
      <c r="C153" s="103"/>
      <c r="D153" s="103"/>
      <c r="E153" s="103"/>
      <c r="F153" s="103"/>
      <c r="G153" s="103"/>
      <c r="H153" s="103"/>
      <c r="I153" s="103"/>
    </row>
    <row r="154" spans="1:9" ht="19.95" customHeight="1" x14ac:dyDescent="0.3"/>
    <row r="155" spans="1:9" ht="24" customHeight="1" x14ac:dyDescent="0.3">
      <c r="A155" s="49" t="s">
        <v>2080</v>
      </c>
      <c r="B155" s="50" t="s">
        <v>2081</v>
      </c>
      <c r="C155" s="50" t="s">
        <v>2082</v>
      </c>
      <c r="D155" s="50" t="s">
        <v>2083</v>
      </c>
      <c r="E155" s="50" t="s">
        <v>2084</v>
      </c>
      <c r="F155" s="95" t="str">
        <f>IF($B$8="PROPHETIC","✅ ACTIVE","❌")</f>
        <v>❌</v>
      </c>
      <c r="G155" s="51"/>
      <c r="H155" s="52" t="s">
        <v>2085</v>
      </c>
      <c r="I155" s="53" t="s">
        <v>2086</v>
      </c>
    </row>
    <row r="156" spans="1:9" ht="19.95" customHeight="1" x14ac:dyDescent="0.3">
      <c r="A156">
        <v>1</v>
      </c>
      <c r="B156" s="20"/>
      <c r="C156" s="20"/>
      <c r="D156" s="20"/>
      <c r="E156" s="20"/>
      <c r="F156" s="20"/>
    </row>
    <row r="157" spans="1:9" ht="19.95" customHeight="1" x14ac:dyDescent="0.3">
      <c r="A157">
        <v>2</v>
      </c>
      <c r="B157" s="20"/>
      <c r="C157" s="20"/>
      <c r="D157" s="20"/>
      <c r="E157" s="20"/>
      <c r="F157" s="20"/>
    </row>
    <row r="158" spans="1:9" ht="19.95" customHeight="1" x14ac:dyDescent="0.3">
      <c r="A158">
        <v>3</v>
      </c>
      <c r="B158" s="20"/>
      <c r="C158" s="20"/>
      <c r="D158" s="20"/>
      <c r="E158" s="20"/>
      <c r="F158" s="20"/>
    </row>
    <row r="159" spans="1:9" ht="19.95" customHeight="1" x14ac:dyDescent="0.3">
      <c r="A159">
        <v>4</v>
      </c>
      <c r="B159" s="20"/>
      <c r="C159" s="20"/>
      <c r="D159" s="20"/>
      <c r="E159" s="20"/>
      <c r="F159" s="20"/>
    </row>
    <row r="160" spans="1:9" ht="19.95" customHeight="1" x14ac:dyDescent="0.3">
      <c r="A160" s="103">
        <v>5</v>
      </c>
      <c r="B160" s="106"/>
      <c r="C160" s="106"/>
      <c r="D160" s="106"/>
      <c r="E160" s="106"/>
      <c r="F160" s="106"/>
      <c r="G160" s="103"/>
      <c r="H160" s="103"/>
      <c r="I160" s="103"/>
    </row>
    <row r="161" spans="1:9" ht="19.95" customHeight="1" x14ac:dyDescent="0.3"/>
    <row r="162" spans="1:9" ht="24" customHeight="1" x14ac:dyDescent="0.3">
      <c r="A162" s="49" t="s">
        <v>2087</v>
      </c>
      <c r="B162" s="50" t="s">
        <v>2088</v>
      </c>
      <c r="C162" s="50" t="s">
        <v>2089</v>
      </c>
      <c r="D162" s="50" t="s">
        <v>2090</v>
      </c>
      <c r="E162" s="50" t="s">
        <v>2091</v>
      </c>
      <c r="F162" s="95" t="str">
        <f>IF($B$8="PROPHETIC","✅ ACTIVE","❌")</f>
        <v>❌</v>
      </c>
      <c r="G162" s="51"/>
      <c r="H162" s="52" t="s">
        <v>2092</v>
      </c>
      <c r="I162" s="53" t="s">
        <v>2093</v>
      </c>
    </row>
    <row r="163" spans="1:9" ht="19.95" customHeight="1" x14ac:dyDescent="0.3">
      <c r="A163">
        <v>1</v>
      </c>
      <c r="B163" s="20"/>
      <c r="C163" s="20"/>
      <c r="D163" s="20"/>
      <c r="E163" s="20"/>
      <c r="F163" s="20"/>
    </row>
    <row r="164" spans="1:9" ht="19.95" customHeight="1" x14ac:dyDescent="0.3">
      <c r="A164">
        <v>2</v>
      </c>
      <c r="B164" s="20"/>
      <c r="C164" s="20"/>
      <c r="D164" s="20"/>
      <c r="E164" s="20"/>
      <c r="F164" s="20"/>
    </row>
    <row r="165" spans="1:9" ht="19.95" customHeight="1" x14ac:dyDescent="0.3">
      <c r="A165" s="103">
        <v>3</v>
      </c>
      <c r="B165" s="106"/>
      <c r="C165" s="106"/>
      <c r="D165" s="106"/>
      <c r="E165" s="106"/>
      <c r="F165" s="106"/>
      <c r="G165" s="103"/>
      <c r="H165" s="103"/>
      <c r="I165" s="103"/>
    </row>
    <row r="166" spans="1:9" ht="19.95" customHeight="1" x14ac:dyDescent="0.3"/>
    <row r="167" spans="1:9" ht="24" customHeight="1" x14ac:dyDescent="0.3">
      <c r="A167" s="54" t="s">
        <v>2094</v>
      </c>
      <c r="B167" s="55" t="s">
        <v>2095</v>
      </c>
      <c r="C167" s="55" t="s">
        <v>1940</v>
      </c>
      <c r="D167" s="55" t="s">
        <v>2096</v>
      </c>
      <c r="E167" s="55" t="s">
        <v>1956</v>
      </c>
      <c r="F167" s="96" t="str">
        <f>IF($B$8="PHENOMENON","✅ ACTIVE","❌")</f>
        <v>❌</v>
      </c>
      <c r="G167" s="56"/>
      <c r="H167" s="57" t="s">
        <v>2097</v>
      </c>
      <c r="I167" s="58" t="s">
        <v>2098</v>
      </c>
    </row>
    <row r="168" spans="1:9" ht="19.95" customHeight="1" x14ac:dyDescent="0.3">
      <c r="A168">
        <v>1</v>
      </c>
      <c r="B168" s="20"/>
      <c r="C168" s="20"/>
      <c r="D168" s="20"/>
      <c r="E168" s="20"/>
      <c r="F168" s="20"/>
    </row>
    <row r="169" spans="1:9" ht="19.95" customHeight="1" x14ac:dyDescent="0.3">
      <c r="A169">
        <v>2</v>
      </c>
      <c r="B169" s="20"/>
      <c r="C169" s="20"/>
      <c r="D169" s="20"/>
      <c r="E169" s="20"/>
      <c r="F169" s="20"/>
    </row>
    <row r="170" spans="1:9" ht="19.95" customHeight="1" x14ac:dyDescent="0.3">
      <c r="A170">
        <v>3</v>
      </c>
      <c r="B170" s="20"/>
      <c r="C170" s="20"/>
      <c r="D170" s="20"/>
      <c r="E170" s="20"/>
      <c r="F170" s="20"/>
    </row>
    <row r="171" spans="1:9" ht="19.95" customHeight="1" x14ac:dyDescent="0.3">
      <c r="A171">
        <v>4</v>
      </c>
      <c r="B171" s="20"/>
      <c r="C171" s="20"/>
      <c r="D171" s="20"/>
      <c r="E171" s="20"/>
      <c r="F171" s="20"/>
    </row>
    <row r="172" spans="1:9" ht="19.95" customHeight="1" x14ac:dyDescent="0.3">
      <c r="A172" s="103">
        <v>5</v>
      </c>
      <c r="B172" s="106"/>
      <c r="C172" s="106"/>
      <c r="D172" s="106"/>
      <c r="E172" s="106"/>
      <c r="F172" s="106"/>
      <c r="G172" s="103"/>
      <c r="H172" s="103"/>
      <c r="I172" s="103"/>
    </row>
    <row r="173" spans="1:9" ht="19.95" customHeight="1" x14ac:dyDescent="0.3"/>
    <row r="174" spans="1:9" ht="24" customHeight="1" x14ac:dyDescent="0.3">
      <c r="A174" s="54" t="s">
        <v>2099</v>
      </c>
      <c r="B174" s="55" t="s">
        <v>2100</v>
      </c>
      <c r="C174" s="55" t="s">
        <v>2101</v>
      </c>
      <c r="D174" s="55" t="s">
        <v>2102</v>
      </c>
      <c r="E174" s="55" t="s">
        <v>2103</v>
      </c>
      <c r="F174" s="96" t="str">
        <f>IF(OR($B$8="PHENOMENON",$B$8="EVENT"),"✅ ACTIVE","❌")</f>
        <v>❌</v>
      </c>
      <c r="G174" s="56"/>
      <c r="H174" s="57" t="s">
        <v>2104</v>
      </c>
      <c r="I174" s="58" t="s">
        <v>2105</v>
      </c>
    </row>
    <row r="175" spans="1:9" ht="19.95" customHeight="1" x14ac:dyDescent="0.3">
      <c r="A175">
        <v>1</v>
      </c>
      <c r="B175" s="20"/>
      <c r="C175" s="20"/>
      <c r="D175" s="20"/>
      <c r="E175" s="20"/>
      <c r="F175" s="20"/>
    </row>
    <row r="176" spans="1:9" ht="19.95" customHeight="1" x14ac:dyDescent="0.3">
      <c r="A176">
        <v>2</v>
      </c>
      <c r="B176" s="20"/>
      <c r="C176" s="20"/>
      <c r="D176" s="20"/>
      <c r="E176" s="20"/>
      <c r="F176" s="20"/>
    </row>
    <row r="177" spans="1:9" ht="19.95" customHeight="1" x14ac:dyDescent="0.3">
      <c r="A177" s="103">
        <v>3</v>
      </c>
      <c r="B177" s="106"/>
      <c r="C177" s="106"/>
      <c r="D177" s="106"/>
      <c r="E177" s="106"/>
      <c r="F177" s="106"/>
      <c r="G177" s="103"/>
      <c r="H177" s="103"/>
      <c r="I177" s="103"/>
    </row>
    <row r="178" spans="1:9" ht="19.95" customHeight="1" x14ac:dyDescent="0.3"/>
    <row r="179" spans="1:9" ht="24" customHeight="1" x14ac:dyDescent="0.3">
      <c r="A179" s="59" t="s">
        <v>2106</v>
      </c>
      <c r="B179" s="60"/>
      <c r="C179" s="60"/>
      <c r="D179" s="60"/>
      <c r="E179" s="60"/>
      <c r="F179" s="97" t="str">
        <f>IF($B$8="SYMBOL","✅ ACTIVE","❌")</f>
        <v>❌</v>
      </c>
      <c r="G179" s="60"/>
      <c r="H179" s="61" t="s">
        <v>2107</v>
      </c>
      <c r="I179" s="62" t="s">
        <v>2108</v>
      </c>
    </row>
    <row r="180" spans="1:9" ht="19.95" customHeight="1" x14ac:dyDescent="0.3">
      <c r="A180" t="s">
        <v>2109</v>
      </c>
      <c r="B180" s="20"/>
    </row>
    <row r="181" spans="1:9" ht="19.95" customHeight="1" x14ac:dyDescent="0.3">
      <c r="A181" t="s">
        <v>2110</v>
      </c>
      <c r="B181" s="20"/>
      <c r="C181" s="31" t="s">
        <v>1942</v>
      </c>
      <c r="D181" s="20"/>
    </row>
    <row r="182" spans="1:9" ht="19.95" customHeight="1" x14ac:dyDescent="0.3">
      <c r="A182" t="s">
        <v>2111</v>
      </c>
      <c r="B182" s="20"/>
    </row>
    <row r="183" spans="1:9" ht="19.95" customHeight="1" x14ac:dyDescent="0.3">
      <c r="A183" t="s">
        <v>2112</v>
      </c>
      <c r="B183" s="20"/>
      <c r="C183" s="31" t="s">
        <v>1942</v>
      </c>
      <c r="D183" s="20"/>
    </row>
    <row r="184" spans="1:9" ht="19.95" customHeight="1" x14ac:dyDescent="0.3">
      <c r="A184" t="s">
        <v>2113</v>
      </c>
      <c r="B184" s="20"/>
      <c r="C184" s="31" t="s">
        <v>1942</v>
      </c>
      <c r="D184" s="20"/>
    </row>
    <row r="185" spans="1:9" ht="19.95" customHeight="1" x14ac:dyDescent="0.3">
      <c r="A185" s="103" t="s">
        <v>2114</v>
      </c>
      <c r="B185" s="106"/>
      <c r="C185" s="107" t="s">
        <v>2115</v>
      </c>
      <c r="D185" s="106"/>
      <c r="E185" s="103"/>
      <c r="F185" s="103"/>
      <c r="G185" s="103"/>
      <c r="H185" s="103"/>
      <c r="I185" s="103"/>
    </row>
    <row r="186" spans="1:9" ht="19.95" customHeight="1" x14ac:dyDescent="0.3"/>
    <row r="187" spans="1:9" ht="24" customHeight="1" x14ac:dyDescent="0.3">
      <c r="A187" s="63" t="s">
        <v>2116</v>
      </c>
      <c r="B187" s="64"/>
      <c r="C187" s="64"/>
      <c r="D187" s="64"/>
      <c r="E187" s="64"/>
      <c r="F187" s="98" t="str">
        <f>IF($B$8="PATTERN","✅ ACTIVE","❌")</f>
        <v>❌</v>
      </c>
      <c r="G187" s="64"/>
      <c r="H187" s="65" t="s">
        <v>2117</v>
      </c>
      <c r="I187" s="66" t="s">
        <v>2118</v>
      </c>
    </row>
    <row r="188" spans="1:9" ht="19.95" customHeight="1" x14ac:dyDescent="0.3">
      <c r="A188" t="s">
        <v>2119</v>
      </c>
      <c r="B188" s="20"/>
    </row>
    <row r="189" spans="1:9" ht="19.95" customHeight="1" x14ac:dyDescent="0.3">
      <c r="A189" t="s">
        <v>2120</v>
      </c>
      <c r="B189" s="20"/>
    </row>
    <row r="190" spans="1:9" ht="19.95" customHeight="1" x14ac:dyDescent="0.3">
      <c r="A190" t="s">
        <v>2121</v>
      </c>
      <c r="B190" s="20"/>
      <c r="C190" s="31" t="s">
        <v>2122</v>
      </c>
      <c r="D190" s="20"/>
    </row>
    <row r="191" spans="1:9" ht="19.95" customHeight="1" x14ac:dyDescent="0.3">
      <c r="A191" t="s">
        <v>2123</v>
      </c>
      <c r="B191" s="20"/>
    </row>
    <row r="192" spans="1:9" ht="19.95" customHeight="1" x14ac:dyDescent="0.3">
      <c r="A192" t="s">
        <v>2124</v>
      </c>
      <c r="B192" s="20"/>
    </row>
    <row r="193" spans="1:9" ht="19.95" customHeight="1" x14ac:dyDescent="0.3">
      <c r="A193" t="s">
        <v>2125</v>
      </c>
      <c r="B193" s="31" t="s">
        <v>2126</v>
      </c>
      <c r="C193" s="31" t="s">
        <v>2127</v>
      </c>
      <c r="D193" s="31" t="s">
        <v>2128</v>
      </c>
      <c r="E193" s="31" t="s">
        <v>2129</v>
      </c>
    </row>
    <row r="194" spans="1:9" ht="19.95" customHeight="1" x14ac:dyDescent="0.3">
      <c r="A194">
        <v>1</v>
      </c>
      <c r="B194" s="20"/>
      <c r="C194" s="20"/>
      <c r="D194" s="20"/>
      <c r="E194" s="20"/>
    </row>
    <row r="195" spans="1:9" ht="19.95" customHeight="1" x14ac:dyDescent="0.3">
      <c r="A195">
        <v>2</v>
      </c>
      <c r="B195" s="20"/>
      <c r="C195" s="20"/>
      <c r="D195" s="20"/>
      <c r="E195" s="20"/>
    </row>
    <row r="196" spans="1:9" ht="19.95" customHeight="1" x14ac:dyDescent="0.3">
      <c r="A196">
        <v>3</v>
      </c>
      <c r="B196" s="20"/>
      <c r="C196" s="20"/>
      <c r="D196" s="20"/>
      <c r="E196" s="20"/>
    </row>
    <row r="197" spans="1:9" ht="19.95" customHeight="1" x14ac:dyDescent="0.3">
      <c r="A197" t="s">
        <v>2130</v>
      </c>
      <c r="B197" s="20"/>
    </row>
    <row r="198" spans="1:9" ht="19.95" customHeight="1" x14ac:dyDescent="0.3">
      <c r="A198" t="s">
        <v>2131</v>
      </c>
      <c r="B198" s="20"/>
    </row>
    <row r="199" spans="1:9" ht="19.95" customHeight="1" x14ac:dyDescent="0.3">
      <c r="A199" s="103" t="s">
        <v>2132</v>
      </c>
      <c r="B199" s="106"/>
      <c r="C199" s="103"/>
      <c r="D199" s="103"/>
      <c r="E199" s="103"/>
      <c r="F199" s="103"/>
      <c r="G199" s="103"/>
      <c r="H199" s="103"/>
      <c r="I199" s="103"/>
    </row>
    <row r="200" spans="1:9" ht="19.95" customHeight="1" x14ac:dyDescent="0.3">
      <c r="A200" s="169" t="s">
        <v>2882</v>
      </c>
      <c r="B200" s="170" t="s">
        <v>2883</v>
      </c>
      <c r="C200" s="170" t="s">
        <v>2884</v>
      </c>
      <c r="D200" s="170" t="s">
        <v>2885</v>
      </c>
      <c r="E200" s="170" t="s">
        <v>2886</v>
      </c>
      <c r="F200" s="170" t="s">
        <v>2887</v>
      </c>
      <c r="G200" s="170" t="s">
        <v>2888</v>
      </c>
      <c r="H200" s="172" t="s">
        <v>2889</v>
      </c>
      <c r="I200" s="171" t="s">
        <v>2891</v>
      </c>
    </row>
    <row r="201" spans="1:9" ht="19.95" customHeight="1" x14ac:dyDescent="0.3">
      <c r="A201" s="125">
        <v>1</v>
      </c>
      <c r="B201" t="s">
        <v>2892</v>
      </c>
      <c r="C201" t="s">
        <v>2893</v>
      </c>
      <c r="D201" t="s">
        <v>63</v>
      </c>
      <c r="E201" t="s">
        <v>2894</v>
      </c>
      <c r="G201" t="s">
        <v>2895</v>
      </c>
    </row>
    <row r="202" spans="1:9" ht="19.95" customHeight="1" x14ac:dyDescent="0.3">
      <c r="A202" s="125">
        <v>2</v>
      </c>
      <c r="B202" t="s">
        <v>2892</v>
      </c>
      <c r="C202" t="s">
        <v>2896</v>
      </c>
      <c r="D202" t="s">
        <v>63</v>
      </c>
      <c r="E202" t="s">
        <v>2897</v>
      </c>
      <c r="G202" t="s">
        <v>2895</v>
      </c>
    </row>
    <row r="203" spans="1:9" ht="19.95" customHeight="1" x14ac:dyDescent="0.3">
      <c r="A203" s="125">
        <v>3</v>
      </c>
      <c r="B203" t="s">
        <v>2892</v>
      </c>
      <c r="C203" t="s">
        <v>2898</v>
      </c>
      <c r="D203" t="s">
        <v>63</v>
      </c>
      <c r="E203" t="s">
        <v>2899</v>
      </c>
      <c r="G203" t="s">
        <v>2900</v>
      </c>
    </row>
    <row r="204" spans="1:9" ht="19.95" customHeight="1" x14ac:dyDescent="0.3">
      <c r="A204" s="125">
        <v>4</v>
      </c>
      <c r="B204" t="s">
        <v>2901</v>
      </c>
      <c r="C204" t="s">
        <v>2902</v>
      </c>
      <c r="D204" t="s">
        <v>63</v>
      </c>
      <c r="E204" t="s">
        <v>2903</v>
      </c>
      <c r="G204" t="s">
        <v>2904</v>
      </c>
    </row>
    <row r="205" spans="1:9" ht="19.95" customHeight="1" x14ac:dyDescent="0.3">
      <c r="A205" s="125">
        <v>5</v>
      </c>
      <c r="B205" t="s">
        <v>2901</v>
      </c>
      <c r="C205" t="s">
        <v>2905</v>
      </c>
      <c r="D205" t="s">
        <v>63</v>
      </c>
      <c r="E205" t="s">
        <v>2906</v>
      </c>
      <c r="G205" t="s">
        <v>2895</v>
      </c>
    </row>
    <row r="206" spans="1:9" ht="19.95" customHeight="1" x14ac:dyDescent="0.3">
      <c r="A206" s="125">
        <v>6</v>
      </c>
      <c r="B206" t="s">
        <v>2907</v>
      </c>
      <c r="C206" t="s">
        <v>2908</v>
      </c>
      <c r="D206" t="s">
        <v>46</v>
      </c>
      <c r="E206" t="s">
        <v>2909</v>
      </c>
      <c r="G206" t="s">
        <v>2910</v>
      </c>
    </row>
    <row r="207" spans="1:9" ht="19.95" customHeight="1" x14ac:dyDescent="0.3">
      <c r="A207" s="125">
        <v>7</v>
      </c>
      <c r="B207" t="s">
        <v>2911</v>
      </c>
      <c r="C207" t="s">
        <v>2912</v>
      </c>
      <c r="D207" t="s">
        <v>46</v>
      </c>
      <c r="E207" t="s">
        <v>2913</v>
      </c>
      <c r="G207" t="s">
        <v>2914</v>
      </c>
    </row>
    <row r="208" spans="1:9" ht="19.95" customHeight="1" x14ac:dyDescent="0.3">
      <c r="A208" s="125">
        <v>8</v>
      </c>
      <c r="B208" t="s">
        <v>2915</v>
      </c>
      <c r="C208" t="s">
        <v>2916</v>
      </c>
      <c r="D208" t="s">
        <v>46</v>
      </c>
      <c r="E208" t="s">
        <v>2917</v>
      </c>
      <c r="G208" t="s">
        <v>2918</v>
      </c>
    </row>
    <row r="209" spans="1:9" ht="19.95" customHeight="1" x14ac:dyDescent="0.3">
      <c r="A209" s="125">
        <v>9</v>
      </c>
      <c r="B209" t="s">
        <v>2901</v>
      </c>
      <c r="C209" t="s">
        <v>2919</v>
      </c>
      <c r="D209" t="s">
        <v>63</v>
      </c>
      <c r="E209" t="s">
        <v>2920</v>
      </c>
      <c r="G209" t="s">
        <v>2900</v>
      </c>
    </row>
    <row r="210" spans="1:9" ht="19.95" customHeight="1" x14ac:dyDescent="0.3">
      <c r="A210" s="125">
        <v>10</v>
      </c>
      <c r="B210" t="s">
        <v>2915</v>
      </c>
      <c r="C210" t="s">
        <v>2921</v>
      </c>
      <c r="D210" t="s">
        <v>108</v>
      </c>
      <c r="E210" t="s">
        <v>2922</v>
      </c>
      <c r="G210" t="s">
        <v>2923</v>
      </c>
    </row>
    <row r="211" spans="1:9" ht="19.95" customHeight="1" x14ac:dyDescent="0.3">
      <c r="A211" s="177" t="s">
        <v>10416</v>
      </c>
      <c r="B211" s="178" t="s">
        <v>10417</v>
      </c>
      <c r="C211" s="178" t="s">
        <v>10418</v>
      </c>
      <c r="D211" s="178" t="s">
        <v>10419</v>
      </c>
      <c r="E211" s="178" t="s">
        <v>10420</v>
      </c>
      <c r="F211" s="179"/>
      <c r="G211" s="179"/>
      <c r="H211" s="180" t="s">
        <v>10421</v>
      </c>
      <c r="I211" s="181" t="s">
        <v>10517</v>
      </c>
    </row>
    <row r="212" spans="1:9" ht="19.95" customHeight="1" x14ac:dyDescent="0.3">
      <c r="A212" s="18" t="s">
        <v>10423</v>
      </c>
      <c r="B212" s="184">
        <v>0.8</v>
      </c>
      <c r="C212" s="184">
        <v>0.9</v>
      </c>
      <c r="D212" t="s">
        <v>10518</v>
      </c>
      <c r="E212" t="s">
        <v>10519</v>
      </c>
    </row>
    <row r="213" spans="1:9" ht="19.95" customHeight="1" x14ac:dyDescent="0.3">
      <c r="A213" s="18" t="s">
        <v>10425</v>
      </c>
      <c r="B213" s="184">
        <v>0.7</v>
      </c>
      <c r="C213" s="184">
        <v>0.8</v>
      </c>
      <c r="D213" t="s">
        <v>10518</v>
      </c>
      <c r="E213" t="s">
        <v>10520</v>
      </c>
    </row>
    <row r="214" spans="1:9" ht="19.95" customHeight="1" x14ac:dyDescent="0.3">
      <c r="A214" s="18" t="s">
        <v>10427</v>
      </c>
      <c r="B214" s="184">
        <v>0.9</v>
      </c>
      <c r="C214" s="184">
        <v>0.95</v>
      </c>
      <c r="D214" t="s">
        <v>10518</v>
      </c>
      <c r="E214" t="s">
        <v>10521</v>
      </c>
    </row>
    <row r="215" spans="1:9" ht="19.95" customHeight="1" x14ac:dyDescent="0.3">
      <c r="A215" s="18" t="s">
        <v>10429</v>
      </c>
      <c r="B215" s="184">
        <v>0.6</v>
      </c>
      <c r="C215" s="184">
        <v>0.7</v>
      </c>
      <c r="D215" t="s">
        <v>10522</v>
      </c>
      <c r="E215" t="s">
        <v>10523</v>
      </c>
    </row>
    <row r="216" spans="1:9" ht="19.95" customHeight="1" x14ac:dyDescent="0.3">
      <c r="A216" s="18" t="s">
        <v>10431</v>
      </c>
      <c r="B216" s="184">
        <v>0.5</v>
      </c>
      <c r="C216" s="184">
        <v>0.6</v>
      </c>
      <c r="D216" t="s">
        <v>10522</v>
      </c>
      <c r="E216" t="s">
        <v>10524</v>
      </c>
    </row>
    <row r="217" spans="1:9" ht="19.95" customHeight="1" x14ac:dyDescent="0.3">
      <c r="A217" s="18" t="s">
        <v>10433</v>
      </c>
      <c r="B217" s="184">
        <v>0.9</v>
      </c>
      <c r="C217" s="184">
        <v>0.95</v>
      </c>
      <c r="D217" t="s">
        <v>10518</v>
      </c>
      <c r="E217" t="s">
        <v>10525</v>
      </c>
    </row>
    <row r="218" spans="1:9" ht="19.95" customHeight="1" x14ac:dyDescent="0.3">
      <c r="A218" s="18" t="s">
        <v>10435</v>
      </c>
      <c r="B218" s="184">
        <v>0.7</v>
      </c>
      <c r="C218" s="184">
        <v>0.8</v>
      </c>
      <c r="D218" t="s">
        <v>10518</v>
      </c>
      <c r="E218" t="s">
        <v>10526</v>
      </c>
    </row>
    <row r="219" spans="1:9" ht="19.95" customHeight="1" x14ac:dyDescent="0.3">
      <c r="A219" s="18" t="s">
        <v>10437</v>
      </c>
      <c r="B219" s="184">
        <v>0.8</v>
      </c>
      <c r="C219" s="184">
        <v>0.9</v>
      </c>
      <c r="D219" t="s">
        <v>10518</v>
      </c>
      <c r="E219" t="s">
        <v>10527</v>
      </c>
    </row>
    <row r="220" spans="1:9" ht="19.95" customHeight="1" x14ac:dyDescent="0.3">
      <c r="A220" s="18" t="s">
        <v>10439</v>
      </c>
      <c r="B220" s="184">
        <v>0.9</v>
      </c>
      <c r="C220" s="184">
        <v>0.95</v>
      </c>
      <c r="D220" t="s">
        <v>10518</v>
      </c>
      <c r="E220" t="s">
        <v>10528</v>
      </c>
    </row>
    <row r="221" spans="1:9" ht="19.95" customHeight="1" x14ac:dyDescent="0.3">
      <c r="A221" s="18" t="s">
        <v>10441</v>
      </c>
      <c r="B221" s="184">
        <v>0.8</v>
      </c>
      <c r="C221" s="184">
        <v>0.85</v>
      </c>
      <c r="D221" t="s">
        <v>10518</v>
      </c>
      <c r="E221" t="s">
        <v>10529</v>
      </c>
    </row>
    <row r="222" spans="1:9" ht="19.95" customHeight="1" x14ac:dyDescent="0.3">
      <c r="A222" s="18" t="s">
        <v>10443</v>
      </c>
      <c r="B222" s="184">
        <v>0.7</v>
      </c>
      <c r="C222" s="184">
        <v>0.85</v>
      </c>
      <c r="D222" t="s">
        <v>10518</v>
      </c>
      <c r="E222" t="s">
        <v>10530</v>
      </c>
    </row>
    <row r="223" spans="1:9" ht="19.95" customHeight="1" x14ac:dyDescent="0.3">
      <c r="A223" s="18" t="s">
        <v>10445</v>
      </c>
      <c r="B223" s="184">
        <v>0.8</v>
      </c>
      <c r="C223" s="184">
        <v>0.8</v>
      </c>
      <c r="D223" t="s">
        <v>10522</v>
      </c>
      <c r="E223" t="s">
        <v>10531</v>
      </c>
    </row>
    <row r="224" spans="1:9" ht="19.95" customHeight="1" x14ac:dyDescent="0.3">
      <c r="A224" s="182" t="s">
        <v>10447</v>
      </c>
      <c r="B224" s="184">
        <v>0.3</v>
      </c>
      <c r="C224" s="184">
        <v>0.7</v>
      </c>
      <c r="D224" t="s">
        <v>10522</v>
      </c>
      <c r="E224" t="s">
        <v>10532</v>
      </c>
    </row>
    <row r="225" spans="1:9" ht="19.95" customHeight="1" x14ac:dyDescent="0.3">
      <c r="A225" s="182" t="s">
        <v>10449</v>
      </c>
      <c r="B225" s="184">
        <v>0.9</v>
      </c>
      <c r="C225" s="184">
        <v>0.9</v>
      </c>
      <c r="D225" t="s">
        <v>10518</v>
      </c>
      <c r="E225" t="s">
        <v>10533</v>
      </c>
    </row>
    <row r="226" spans="1:9" ht="19.95" customHeight="1" x14ac:dyDescent="0.3"/>
    <row r="227" spans="1:9" ht="19.95" customHeight="1" x14ac:dyDescent="0.35">
      <c r="A227" s="186" t="s">
        <v>10451</v>
      </c>
      <c r="B227" s="187">
        <f>IF(COUNTA(B212:B225)&gt;0,AVERAGE(B212:B225),0)</f>
        <v>0.73571428571428588</v>
      </c>
      <c r="C227" s="188" t="s">
        <v>10452</v>
      </c>
      <c r="D227" s="189" t="str">
        <f>IF(B227&gt;=0.7,"EXTREME — Demands attention",IF(B227&gt;=0.5,"STRONG — Formal investigation warranted",IF(B227&gt;=0.3,"PATTERN FORMING — Run base-rate analysis",IF(B227&gt;=0.15,"MILD — Note and watch","NOTHING UNUSUAL"))))</f>
        <v>EXTREME — Demands attention</v>
      </c>
      <c r="E227" s="158"/>
      <c r="F227" s="158"/>
      <c r="G227" s="158"/>
      <c r="H227" s="158"/>
      <c r="I227" s="158"/>
    </row>
    <row r="228" spans="1:9" ht="19.95" customHeight="1" x14ac:dyDescent="0.3">
      <c r="A228" s="125" t="s">
        <v>10453</v>
      </c>
      <c r="B228">
        <f>COUNTA(B212:B225)</f>
        <v>14</v>
      </c>
      <c r="C228" t="s">
        <v>10454</v>
      </c>
      <c r="D228" t="s">
        <v>10455</v>
      </c>
      <c r="E228" s="190">
        <f>IF(COUNTA(C212:C225)&gt;0,AVERAGE(C212:C225),0)</f>
        <v>0.83214285714285718</v>
      </c>
    </row>
    <row r="229" spans="1:9" ht="19.95" customHeight="1" x14ac:dyDescent="0.3"/>
    <row r="230" spans="1:9" ht="19.95" customHeight="1" x14ac:dyDescent="0.3">
      <c r="A230" s="132" t="s">
        <v>10456</v>
      </c>
    </row>
    <row r="231" spans="1:9" ht="19.95" customHeight="1" x14ac:dyDescent="0.3">
      <c r="A231" t="s">
        <v>10457</v>
      </c>
      <c r="B231" s="191" t="str">
        <f>IF(COUNTA(B43:B50)&gt;=6,"MATURE",IF(COUNTA(B43:B50)&gt;=3,"MID","EARLY"))</f>
        <v>MATURE</v>
      </c>
    </row>
    <row r="232" spans="1:9" ht="19.95" customHeight="1" x14ac:dyDescent="0.3">
      <c r="A232" s="192" t="s">
        <v>10459</v>
      </c>
      <c r="B232" s="183">
        <f>IF(B231="EARLY",0.7,IF(B231="MID",0.2,0.1))</f>
        <v>0.1</v>
      </c>
    </row>
    <row r="233" spans="1:9" ht="19.95" customHeight="1" x14ac:dyDescent="0.3">
      <c r="A233" s="135" t="s">
        <v>10460</v>
      </c>
      <c r="B233" s="183">
        <f>IF(B231="EARLY",0.2,IF(B231="MID",0.5,0.2))</f>
        <v>0.2</v>
      </c>
    </row>
    <row r="234" spans="1:9" ht="19.95" customHeight="1" x14ac:dyDescent="0.3">
      <c r="A234" s="142" t="s">
        <v>10461</v>
      </c>
      <c r="B234" s="183">
        <f>IF(B231="EARLY",0.1,IF(B231="MID",0.3,0.7))</f>
        <v>0.7</v>
      </c>
    </row>
    <row r="235" spans="1:9" ht="19.95" customHeight="1" x14ac:dyDescent="0.3"/>
    <row r="236" spans="1:9" ht="19.95" customHeight="1" x14ac:dyDescent="0.3">
      <c r="A236" s="204" t="s">
        <v>10543</v>
      </c>
      <c r="B236" s="205" t="s">
        <v>10417</v>
      </c>
      <c r="C236" s="205" t="s">
        <v>1650</v>
      </c>
      <c r="D236" s="205" t="s">
        <v>10544</v>
      </c>
      <c r="E236" s="206"/>
      <c r="F236" s="206"/>
      <c r="G236" s="206"/>
      <c r="H236" s="207" t="s">
        <v>10545</v>
      </c>
      <c r="I236" s="208" t="s">
        <v>10616</v>
      </c>
    </row>
    <row r="237" spans="1:9" ht="19.95" customHeight="1" x14ac:dyDescent="0.3">
      <c r="A237" s="209" t="s">
        <v>10547</v>
      </c>
    </row>
    <row r="238" spans="1:9" ht="19.95" customHeight="1" x14ac:dyDescent="0.3">
      <c r="A238" t="s">
        <v>10548</v>
      </c>
      <c r="B238" s="184">
        <v>0.8</v>
      </c>
      <c r="C238" s="24">
        <v>6</v>
      </c>
      <c r="D238" t="s">
        <v>10617</v>
      </c>
    </row>
    <row r="239" spans="1:9" ht="19.95" customHeight="1" x14ac:dyDescent="0.3">
      <c r="A239" t="s">
        <v>10550</v>
      </c>
      <c r="B239" s="184">
        <v>0.9</v>
      </c>
      <c r="C239" s="24">
        <v>5</v>
      </c>
      <c r="D239" t="s">
        <v>10618</v>
      </c>
    </row>
    <row r="240" spans="1:9" ht="19.95" customHeight="1" x14ac:dyDescent="0.3">
      <c r="A240" t="s">
        <v>10552</v>
      </c>
      <c r="B240" s="184">
        <v>0.7</v>
      </c>
      <c r="C240" s="24">
        <v>4</v>
      </c>
      <c r="D240" t="s">
        <v>10619</v>
      </c>
    </row>
    <row r="241" spans="1:9" ht="19.95" customHeight="1" x14ac:dyDescent="0.3">
      <c r="A241" t="s">
        <v>10554</v>
      </c>
      <c r="B241" s="184">
        <v>0.8</v>
      </c>
      <c r="C241" s="24">
        <v>3</v>
      </c>
      <c r="D241" t="s">
        <v>10620</v>
      </c>
    </row>
    <row r="242" spans="1:9" ht="19.95" customHeight="1" x14ac:dyDescent="0.3">
      <c r="A242" t="s">
        <v>10556</v>
      </c>
      <c r="B242" s="184">
        <v>0.9</v>
      </c>
      <c r="C242" s="24">
        <v>3</v>
      </c>
      <c r="D242" s="228" t="s">
        <v>10621</v>
      </c>
    </row>
    <row r="243" spans="1:9" ht="19.95" customHeight="1" x14ac:dyDescent="0.3"/>
    <row r="244" spans="1:9" ht="19.95" customHeight="1" x14ac:dyDescent="0.35">
      <c r="A244" s="211" t="s">
        <v>10558</v>
      </c>
      <c r="B244" s="212">
        <f>IF(COUNTA(B238:B242)&gt;0,AVERAGE(B238:B242),0)</f>
        <v>0.82000000000000006</v>
      </c>
      <c r="C244" s="213" t="s">
        <v>10452</v>
      </c>
      <c r="D244" s="214" t="str">
        <f>IF(B244&gt;=0.7,"UNSTABLE — Narrative structurally compromised",IF(B244&gt;=0.5,"SIGNIFICANT DRIFT — Multiple unresolved contradictions",IF(B244&gt;=0.3,"MODERATE — Some inconsistencies",IF(B244&gt;=0.15,"MINOR — Normal narrative evolution","STABLE — No significant contradictions"))))</f>
        <v>UNSTABLE — Narrative structurally compromised</v>
      </c>
      <c r="E244" s="215"/>
      <c r="F244" s="215"/>
      <c r="G244" s="215"/>
      <c r="H244" s="215"/>
      <c r="I244" s="215"/>
    </row>
    <row r="245" spans="1:9" ht="19.95" customHeight="1" x14ac:dyDescent="0.3">
      <c r="A245" t="s">
        <v>10559</v>
      </c>
      <c r="B245">
        <f>SUM(C238:C242)</f>
        <v>21</v>
      </c>
      <c r="C245" t="s">
        <v>10560</v>
      </c>
      <c r="D245" s="24" t="s">
        <v>10622</v>
      </c>
    </row>
    <row r="246" spans="1:9" ht="19.95" customHeight="1" x14ac:dyDescent="0.3"/>
    <row r="247" spans="1:9" ht="19.95" customHeight="1" x14ac:dyDescent="0.3">
      <c r="A247" s="182" t="s">
        <v>10561</v>
      </c>
      <c r="D247" t="s">
        <v>10562</v>
      </c>
    </row>
    <row r="248" spans="1:9" ht="19.95" customHeight="1" x14ac:dyDescent="0.3">
      <c r="A248" s="126" t="s">
        <v>10563</v>
      </c>
      <c r="D248" t="s">
        <v>10564</v>
      </c>
    </row>
    <row r="249" spans="1:9" ht="19.95" customHeight="1" x14ac:dyDescent="0.3"/>
    <row r="250" spans="1:9" ht="19.95" customHeight="1" x14ac:dyDescent="0.3"/>
    <row r="251" spans="1:9" ht="19.95" customHeight="1" x14ac:dyDescent="0.3"/>
    <row r="252" spans="1:9" ht="19.95" customHeight="1" x14ac:dyDescent="0.3"/>
    <row r="253" spans="1:9" ht="19.95" customHeight="1" x14ac:dyDescent="0.3"/>
    <row r="254" spans="1:9" ht="19.95" customHeight="1" x14ac:dyDescent="0.3">
      <c r="A254" s="193" t="s">
        <v>10462</v>
      </c>
      <c r="B254" s="194"/>
      <c r="C254" s="194"/>
      <c r="D254" s="194"/>
      <c r="E254" s="194"/>
      <c r="F254" s="194"/>
      <c r="G254" s="194"/>
      <c r="H254" s="195" t="s">
        <v>10463</v>
      </c>
      <c r="I254" s="196" t="s">
        <v>10534</v>
      </c>
    </row>
    <row r="255" spans="1:9" ht="19.95" customHeight="1" x14ac:dyDescent="0.3">
      <c r="A255" s="198" t="s">
        <v>10465</v>
      </c>
    </row>
    <row r="256" spans="1:9" ht="19.95" customHeight="1" x14ac:dyDescent="0.3">
      <c r="A256" t="s">
        <v>10466</v>
      </c>
      <c r="B256" s="24" t="s">
        <v>10535</v>
      </c>
    </row>
    <row r="257" spans="1:4" ht="19.95" customHeight="1" x14ac:dyDescent="0.3">
      <c r="A257" t="s">
        <v>10467</v>
      </c>
      <c r="B257" s="24" t="s">
        <v>10536</v>
      </c>
    </row>
    <row r="258" spans="1:4" ht="19.95" customHeight="1" x14ac:dyDescent="0.3">
      <c r="A258" t="s">
        <v>10468</v>
      </c>
      <c r="B258" s="24">
        <v>150</v>
      </c>
    </row>
    <row r="259" spans="1:4" ht="19.95" customHeight="1" x14ac:dyDescent="0.3">
      <c r="A259" t="s">
        <v>10469</v>
      </c>
      <c r="B259" s="24" t="s">
        <v>10537</v>
      </c>
    </row>
    <row r="260" spans="1:4" ht="19.95" customHeight="1" x14ac:dyDescent="0.3">
      <c r="A260" s="198" t="s">
        <v>10470</v>
      </c>
    </row>
    <row r="261" spans="1:4" ht="19.95" customHeight="1" x14ac:dyDescent="0.3">
      <c r="A261" t="s">
        <v>10471</v>
      </c>
      <c r="B261" s="24">
        <v>42</v>
      </c>
    </row>
    <row r="262" spans="1:4" ht="19.95" customHeight="1" x14ac:dyDescent="0.3">
      <c r="A262" t="s">
        <v>10472</v>
      </c>
      <c r="B262" s="24" t="s">
        <v>10538</v>
      </c>
    </row>
    <row r="263" spans="1:4" ht="19.95" customHeight="1" x14ac:dyDescent="0.3">
      <c r="A263" t="s">
        <v>10473</v>
      </c>
      <c r="B263" s="24" t="s">
        <v>10539</v>
      </c>
    </row>
    <row r="264" spans="1:4" ht="19.95" customHeight="1" x14ac:dyDescent="0.3">
      <c r="A264" s="198" t="s">
        <v>10474</v>
      </c>
    </row>
    <row r="265" spans="1:4" ht="19.95" customHeight="1" x14ac:dyDescent="0.3">
      <c r="A265" t="s">
        <v>10475</v>
      </c>
      <c r="B265" s="24" t="s">
        <v>10540</v>
      </c>
    </row>
    <row r="266" spans="1:4" ht="19.95" customHeight="1" x14ac:dyDescent="0.3">
      <c r="A266" t="s">
        <v>10476</v>
      </c>
      <c r="B266" s="203">
        <v>19360</v>
      </c>
    </row>
    <row r="267" spans="1:4" ht="19.95" customHeight="1" x14ac:dyDescent="0.3">
      <c r="A267" t="s">
        <v>10477</v>
      </c>
      <c r="B267" s="203">
        <v>27759</v>
      </c>
    </row>
    <row r="268" spans="1:4" ht="19.95" customHeight="1" x14ac:dyDescent="0.3">
      <c r="A268" t="s">
        <v>10478</v>
      </c>
      <c r="B268" s="24" t="s">
        <v>10541</v>
      </c>
    </row>
    <row r="269" spans="1:4" ht="19.95" customHeight="1" x14ac:dyDescent="0.3">
      <c r="A269" s="198" t="s">
        <v>10479</v>
      </c>
    </row>
    <row r="270" spans="1:4" ht="19.95" customHeight="1" x14ac:dyDescent="0.3">
      <c r="A270" t="s">
        <v>10480</v>
      </c>
      <c r="B270" s="24">
        <v>7</v>
      </c>
    </row>
    <row r="271" spans="1:4" ht="19.95" customHeight="1" x14ac:dyDescent="0.3">
      <c r="A271" t="s">
        <v>10481</v>
      </c>
      <c r="B271" s="24">
        <v>1.4999999999999999E-4</v>
      </c>
      <c r="C271" t="s">
        <v>10482</v>
      </c>
      <c r="D271" s="24" t="s">
        <v>10542</v>
      </c>
    </row>
    <row r="272" spans="1:4" ht="19.95" customHeight="1" x14ac:dyDescent="0.3">
      <c r="A272" t="s">
        <v>10483</v>
      </c>
      <c r="B272">
        <f>IF(AND(B266&lt;&gt;"",B267&lt;&gt;""),YEARFRAC(B266,B267),"")</f>
        <v>23</v>
      </c>
    </row>
    <row r="273" spans="1:9" ht="19.95" customHeight="1" x14ac:dyDescent="0.3">
      <c r="A273" t="s">
        <v>10484</v>
      </c>
      <c r="B273" s="18">
        <f>IF(AND(ISNUMBER(B258),ISNUMBER(B271),ISNUMBER(B272)),B258*B271*B272,"")</f>
        <v>0.51749999999999996</v>
      </c>
    </row>
    <row r="274" spans="1:9" ht="19.95" customHeight="1" x14ac:dyDescent="0.35">
      <c r="A274" t="s">
        <v>10485</v>
      </c>
      <c r="B274" s="199">
        <f>IF(AND(ISNUMBER(B270),ISNUMBER(B273),B273&gt;0),(B270-B273)/SQRT(B273),"")</f>
        <v>9.0112979274999159</v>
      </c>
    </row>
    <row r="275" spans="1:9" ht="19.95" customHeight="1" x14ac:dyDescent="0.3">
      <c r="A275" t="s">
        <v>10486</v>
      </c>
      <c r="B275" s="18" t="str">
        <f>IF(ISNUMBER(B274),IF(B274&gt;5,"&lt; 0.000001",IF(B274&gt;3,"&lt; 0.003",IF(B274&gt;2,"&lt; 0.05","&gt; 0.05"))),"")</f>
        <v>&lt; 0.000001</v>
      </c>
    </row>
    <row r="276" spans="1:9" ht="19.95" customHeight="1" x14ac:dyDescent="0.3">
      <c r="A276" t="s">
        <v>10487</v>
      </c>
      <c r="B276" s="18" t="str">
        <f>IF(ISNUMBER(B274),IF(B274&gt;=5,"T2 — Strong Statistical Anomaly",IF(B274&gt;=3,"T3 — Credible Anomaly",IF(B274&gt;=2,"T4 — Marginal","T5 — Within noise"))),"")</f>
        <v>T2 — Strong Statistical Anomaly</v>
      </c>
    </row>
    <row r="277" spans="1:9" ht="19.95" customHeight="1" x14ac:dyDescent="0.3"/>
    <row r="278" spans="1:9" ht="19.95" customHeight="1" x14ac:dyDescent="0.3">
      <c r="A278" s="182" t="s">
        <v>10488</v>
      </c>
      <c r="B278" t="str">
        <f>IF(B256="","⚠️ Population source undefined",IF(OR(B256="conspiracy_author",B256="self_compiled"),"⚠️ BIAS WARNING: Population from "&amp;B256,"✅ Population source: "&amp;B256))</f>
        <v>✅ Population source: congressional_record</v>
      </c>
    </row>
    <row r="279" spans="1:9" ht="19.95" customHeight="1" x14ac:dyDescent="0.3">
      <c r="B279" t="str">
        <f>IF(B257="","⚠️ List type undefined",IF(B257="SELECTIVE","⚠️ SELECTION BIAS: List is selective, not exhaustive","✅ List is exhaustive"))</f>
        <v>✅ List is exhaustive</v>
      </c>
    </row>
    <row r="280" spans="1:9" ht="19.95" customHeight="1" x14ac:dyDescent="0.3">
      <c r="B280" t="str">
        <f>IF(B268="","⚠️ Time window justification missing","✅ Window justified: "&amp;LEFT(B268,50))</f>
        <v>✅ Window justified: Program start to Church Committee exposure — the p</v>
      </c>
    </row>
    <row r="281" spans="1:9" ht="28.05" customHeight="1" x14ac:dyDescent="0.3">
      <c r="A281" s="67" t="s">
        <v>2133</v>
      </c>
      <c r="B281" s="68"/>
      <c r="C281" s="68"/>
      <c r="D281" s="68"/>
      <c r="E281" s="68"/>
      <c r="F281" s="68"/>
      <c r="G281" s="68"/>
      <c r="H281" s="68"/>
      <c r="I281" s="69" t="s">
        <v>2134</v>
      </c>
    </row>
    <row r="282" spans="1:9" ht="19.95" customHeight="1" x14ac:dyDescent="0.3">
      <c r="A282" s="70" t="s">
        <v>2135</v>
      </c>
    </row>
    <row r="283" spans="1:9" ht="19.95" customHeight="1" x14ac:dyDescent="0.3"/>
    <row r="284" spans="1:9" ht="24" customHeight="1" x14ac:dyDescent="0.3">
      <c r="A284" s="72" t="s">
        <v>2136</v>
      </c>
      <c r="B284" s="73" t="s">
        <v>2137</v>
      </c>
      <c r="C284" s="73" t="s">
        <v>2138</v>
      </c>
      <c r="D284" s="73" t="s">
        <v>2139</v>
      </c>
      <c r="E284" s="73" t="s">
        <v>2140</v>
      </c>
      <c r="F284" s="73" t="s">
        <v>2141</v>
      </c>
      <c r="G284" s="74"/>
      <c r="H284" s="74"/>
      <c r="I284" s="75" t="s">
        <v>2142</v>
      </c>
    </row>
    <row r="285" spans="1:9" ht="19.95" customHeight="1" x14ac:dyDescent="0.3">
      <c r="A285" s="18" t="s">
        <v>2143</v>
      </c>
      <c r="B285">
        <f>COUNTA(B43:B50)</f>
        <v>8</v>
      </c>
      <c r="C285" s="76">
        <v>8</v>
      </c>
      <c r="D285" s="77">
        <f>IF(C285=0,0,B285/C285)</f>
        <v>1</v>
      </c>
      <c r="E285" s="77">
        <v>0.4</v>
      </c>
      <c r="F285" s="84">
        <f>D285*0.4</f>
        <v>0.4</v>
      </c>
      <c r="I285" s="36" t="s">
        <v>2144</v>
      </c>
    </row>
    <row r="286" spans="1:9" ht="19.95" customHeight="1" x14ac:dyDescent="0.3">
      <c r="A286" s="18" t="s">
        <v>2145</v>
      </c>
      <c r="B286">
        <f>MAX(0,COUNTA(D43:D50))</f>
        <v>8</v>
      </c>
      <c r="C286" s="76">
        <v>5</v>
      </c>
      <c r="D286" s="77">
        <f>IF(OR(C286=0,B286=0),0,MIN(1,B286/C286))</f>
        <v>1</v>
      </c>
      <c r="E286" s="77">
        <v>0.15</v>
      </c>
      <c r="F286" s="84">
        <f>D286*0.15</f>
        <v>0.15</v>
      </c>
      <c r="I286" s="36" t="s">
        <v>2146</v>
      </c>
    </row>
    <row r="287" spans="1:9" ht="19.95" customHeight="1" x14ac:dyDescent="0.3">
      <c r="A287" s="18" t="s">
        <v>2147</v>
      </c>
      <c r="B287">
        <f>COUNTA(B36:B40)</f>
        <v>5</v>
      </c>
      <c r="C287" s="76">
        <v>5</v>
      </c>
      <c r="D287" s="77">
        <f>IF(C287=0,0,B287/C287)</f>
        <v>1</v>
      </c>
      <c r="E287" s="77">
        <v>0.1</v>
      </c>
      <c r="F287" s="84">
        <f>D287*0.1</f>
        <v>0.1</v>
      </c>
      <c r="I287" s="36" t="s">
        <v>2148</v>
      </c>
    </row>
    <row r="288" spans="1:9" ht="19.95" customHeight="1" x14ac:dyDescent="0.3">
      <c r="A288" s="18" t="s">
        <v>2149</v>
      </c>
      <c r="B288">
        <f>COUNTA(B24:B33)</f>
        <v>10</v>
      </c>
      <c r="C288" s="76">
        <v>10</v>
      </c>
      <c r="D288" s="77">
        <f>IF(C288=0,0,B288/C288)</f>
        <v>1</v>
      </c>
      <c r="E288" s="77">
        <v>0.1</v>
      </c>
      <c r="F288" s="84">
        <f>D288*0.1</f>
        <v>0.1</v>
      </c>
      <c r="I288" s="36" t="s">
        <v>2150</v>
      </c>
    </row>
    <row r="289" spans="1:9" ht="19.95" customHeight="1" x14ac:dyDescent="0.3">
      <c r="A289" s="18" t="s">
        <v>2151</v>
      </c>
      <c r="B289">
        <f>COUNTA(B83:B87)</f>
        <v>5</v>
      </c>
      <c r="C289" s="76">
        <v>5</v>
      </c>
      <c r="D289" s="77">
        <f>IF(C289=0,0,B289/C289)</f>
        <v>1</v>
      </c>
      <c r="E289" s="77">
        <v>0.1</v>
      </c>
      <c r="F289" s="84">
        <f>D289*0.1</f>
        <v>0.1</v>
      </c>
      <c r="I289" s="36" t="s">
        <v>2152</v>
      </c>
    </row>
    <row r="290" spans="1:9" ht="19.95" customHeight="1" x14ac:dyDescent="0.3">
      <c r="A290" s="18" t="s">
        <v>2153</v>
      </c>
      <c r="B290">
        <f>COUNTA(B99:B103)</f>
        <v>4</v>
      </c>
      <c r="C290" s="76">
        <v>5</v>
      </c>
      <c r="D290" s="77">
        <f>IF(C290=0,0,B290/C290)</f>
        <v>0.8</v>
      </c>
      <c r="E290" s="77">
        <v>0.05</v>
      </c>
      <c r="F290" s="84">
        <f>D290*0.05</f>
        <v>4.0000000000000008E-2</v>
      </c>
      <c r="I290" s="36" t="s">
        <v>2154</v>
      </c>
    </row>
    <row r="291" spans="1:9" ht="19.95" customHeight="1" x14ac:dyDescent="0.3">
      <c r="A291" s="18" t="s">
        <v>2155</v>
      </c>
      <c r="B291">
        <f>COUNTA(B66:B68)</f>
        <v>3</v>
      </c>
      <c r="C291" s="76">
        <v>3</v>
      </c>
      <c r="D291" s="77">
        <f>IF(C291=0,0,B291/C291)</f>
        <v>1</v>
      </c>
      <c r="E291" s="77">
        <v>0.1</v>
      </c>
      <c r="F291" s="84">
        <f>D291*0.1</f>
        <v>0.1</v>
      </c>
      <c r="I291" s="36" t="s">
        <v>2156</v>
      </c>
    </row>
    <row r="292" spans="1:9" ht="19.95" customHeight="1" x14ac:dyDescent="0.3"/>
    <row r="293" spans="1:9" ht="31.95" customHeight="1" x14ac:dyDescent="0.35">
      <c r="A293" s="79" t="s">
        <v>2157</v>
      </c>
      <c r="B293" s="80">
        <f>MAX(0,ROUND(SUM(F285:F291)*100,1))</f>
        <v>99</v>
      </c>
      <c r="C293" s="79" t="s">
        <v>2158</v>
      </c>
      <c r="D293" s="74"/>
      <c r="E293" s="74"/>
      <c r="F293" s="74"/>
      <c r="G293" s="74"/>
      <c r="H293" s="74"/>
      <c r="I293" s="81" t="s">
        <v>2159</v>
      </c>
    </row>
    <row r="294" spans="1:9" ht="19.95" customHeight="1" x14ac:dyDescent="0.3"/>
    <row r="295" spans="1:9" ht="31.95" customHeight="1" x14ac:dyDescent="0.35">
      <c r="A295" s="79" t="s">
        <v>2160</v>
      </c>
      <c r="B295" s="80" t="str">
        <f>IF(B293&gt;=80,"T1 — PROVEN",IF(B293&gt;=60,"T2 — STRONG EVIDENCE",IF(B293&gt;=40,"T3 — CREDIBLE",IF(B293&gt;=20,"T4 — WEAK","T5 — SPECULATIVE"))))</f>
        <v>T1 — PROVEN</v>
      </c>
      <c r="C295" s="74"/>
      <c r="D295" s="74"/>
      <c r="E295" s="74"/>
      <c r="F295" s="74"/>
      <c r="G295" s="74"/>
      <c r="H295" s="74"/>
      <c r="I295" s="81" t="s">
        <v>2161</v>
      </c>
    </row>
    <row r="296" spans="1:9" ht="19.95" customHeight="1" x14ac:dyDescent="0.3"/>
    <row r="297" spans="1:9" ht="19.95" customHeight="1" x14ac:dyDescent="0.35">
      <c r="A297" s="79" t="s">
        <v>2162</v>
      </c>
      <c r="B297" s="82"/>
      <c r="C297" s="74"/>
      <c r="D297" s="74"/>
      <c r="E297" s="74"/>
      <c r="F297" s="74"/>
      <c r="G297" s="74"/>
      <c r="H297" s="74"/>
      <c r="I297" s="81" t="s">
        <v>2163</v>
      </c>
    </row>
    <row r="298" spans="1:9" ht="19.95" customHeight="1" x14ac:dyDescent="0.3">
      <c r="A298" t="s">
        <v>2164</v>
      </c>
      <c r="B298" s="20"/>
    </row>
    <row r="299" spans="1:9" ht="19.95" customHeight="1" x14ac:dyDescent="0.3"/>
    <row r="300" spans="1:9" ht="24" customHeight="1" x14ac:dyDescent="0.3">
      <c r="A300" s="83" t="s">
        <v>2165</v>
      </c>
      <c r="B300" s="74"/>
      <c r="C300" s="74"/>
      <c r="D300" s="74"/>
      <c r="E300" s="74"/>
      <c r="F300" s="74"/>
      <c r="G300" s="74"/>
      <c r="H300" s="74"/>
      <c r="I300" s="81" t="s">
        <v>2166</v>
      </c>
    </row>
    <row r="301" spans="1:9" ht="19.95" customHeight="1" x14ac:dyDescent="0.3">
      <c r="A301" t="s">
        <v>2167</v>
      </c>
      <c r="B301" s="119">
        <v>0.95</v>
      </c>
      <c r="I301" s="36" t="s">
        <v>2168</v>
      </c>
    </row>
    <row r="302" spans="1:9" ht="19.95" customHeight="1" x14ac:dyDescent="0.3">
      <c r="A302" t="s">
        <v>2169</v>
      </c>
      <c r="B302" s="119">
        <v>0.9</v>
      </c>
      <c r="I302" s="36" t="s">
        <v>2170</v>
      </c>
    </row>
    <row r="303" spans="1:9" ht="19.95" customHeight="1" x14ac:dyDescent="0.3">
      <c r="A303" t="s">
        <v>2171</v>
      </c>
      <c r="B303" s="119">
        <v>0.85</v>
      </c>
      <c r="I303" s="36" t="s">
        <v>2172</v>
      </c>
    </row>
    <row r="304" spans="1:9" ht="19.95" customHeight="1" x14ac:dyDescent="0.3">
      <c r="A304" t="s">
        <v>2173</v>
      </c>
      <c r="B304" s="119">
        <v>0.7</v>
      </c>
      <c r="I304" s="36" t="s">
        <v>2174</v>
      </c>
    </row>
    <row r="305" spans="1:9" ht="24" customHeight="1" x14ac:dyDescent="0.3">
      <c r="A305" s="108" t="s">
        <v>2175</v>
      </c>
      <c r="B305" s="122">
        <f>(1-B301)*(1-B302)*(1-B303)*(1+B304)</f>
        <v>1.2750000000000012E-3</v>
      </c>
      <c r="C305" s="109" t="s">
        <v>2176</v>
      </c>
      <c r="D305" s="110"/>
      <c r="E305" s="110"/>
      <c r="F305" s="110"/>
      <c r="G305" s="110"/>
      <c r="H305" s="110"/>
      <c r="I305" s="110"/>
    </row>
    <row r="306" spans="1:9" ht="19.95" customHeight="1" x14ac:dyDescent="0.3"/>
    <row r="307" spans="1:9" ht="28.05" customHeight="1" x14ac:dyDescent="0.3">
      <c r="A307" s="85" t="s">
        <v>2177</v>
      </c>
      <c r="B307" s="86"/>
      <c r="C307" s="86"/>
      <c r="D307" s="86"/>
      <c r="E307" s="86"/>
      <c r="F307" s="86"/>
      <c r="G307" s="86"/>
      <c r="H307" s="86"/>
      <c r="I307" s="87" t="s">
        <v>2178</v>
      </c>
    </row>
    <row r="308" spans="1:9" ht="19.95" customHeight="1" x14ac:dyDescent="0.3">
      <c r="A308" s="71" t="str">
        <f>IF(AND(B305&lt;&gt;"(fill V,C,S,N above)",B293&gt;0),IF(AND(B305&gt;0.5,B293&gt;=60),"⚠️ HIGH FICTIONALITY + HIGH CREDIBILITY SCORE — Something is wrong with your assessment. Re-examine evidence quality.",IF(AND(B305&lt;0.2,B293&lt;40),"🔍 LOW FICTIONALITY + LOW CREDIBILITY — This case may deserve deeper investigation. Evidence gap, not evidence absence.",IF(AND(B305&lt;0.3,B293&gt;=60),"✅ CONSISTENT: Low fictionality aligns with high credibility. Assessment looks sound.","Scores are in a grey zone. Review the specific metrics above for insights."))),"Fill in both the Evidence Cards and the V/C/S/N inputs to see the diagnostic.")</f>
        <v>✅ CONSISTENT: Low fictionality aligns with high credibility. Assessment looks sound.</v>
      </c>
    </row>
    <row r="309" spans="1:9" ht="19.95" customHeight="1" x14ac:dyDescent="0.3"/>
    <row r="310" spans="1:9" ht="19.95" customHeight="1" x14ac:dyDescent="0.3">
      <c r="A310" s="221" t="s">
        <v>10607</v>
      </c>
      <c r="B310" s="134"/>
      <c r="C310" s="134"/>
      <c r="D310" s="134"/>
      <c r="E310" s="222" t="s">
        <v>10608</v>
      </c>
      <c r="F310" s="134"/>
      <c r="G310" s="134"/>
      <c r="H310" s="134"/>
      <c r="I310" s="134"/>
    </row>
    <row r="311" spans="1:9" ht="19.95" customHeight="1" x14ac:dyDescent="0.35">
      <c r="A311" s="191" t="s">
        <v>10609</v>
      </c>
      <c r="B311" s="223">
        <f>B227</f>
        <v>0.73571428571428588</v>
      </c>
      <c r="D311" t="str">
        <f>D227</f>
        <v>EXTREME — Demands attention</v>
      </c>
    </row>
    <row r="312" spans="1:9" ht="19.95" customHeight="1" x14ac:dyDescent="0.35">
      <c r="A312" s="224" t="s">
        <v>10610</v>
      </c>
      <c r="B312" s="225">
        <f>B244</f>
        <v>0.82000000000000006</v>
      </c>
      <c r="D312" t="str">
        <f>D244</f>
        <v>UNSTABLE — Narrative structurally compromised</v>
      </c>
    </row>
    <row r="313" spans="1:9" ht="19.95" customHeight="1" x14ac:dyDescent="0.35">
      <c r="A313" s="198" t="s">
        <v>10611</v>
      </c>
      <c r="B313" s="226">
        <f>IF(ISNUMBER(B274),B274,"N/A")</f>
        <v>9.0112979274999159</v>
      </c>
      <c r="C313" t="s">
        <v>10612</v>
      </c>
      <c r="D313" t="str">
        <f>IF(ISNUMBER(B274),B276,"Run base-rate analysis")</f>
        <v>T2 — Strong Statistical Anomaly</v>
      </c>
    </row>
    <row r="314" spans="1:9" ht="19.95" customHeight="1" x14ac:dyDescent="0.35">
      <c r="A314" s="165" t="s">
        <v>10613</v>
      </c>
      <c r="B314" s="227">
        <f>B293</f>
        <v>99</v>
      </c>
      <c r="D314" t="str">
        <f>IF(B295&lt;&gt;"","Override: "&amp;B295,B293)</f>
        <v>Override: T1 — PROVEN</v>
      </c>
    </row>
    <row r="315" spans="1:9" ht="19.95" customHeight="1" x14ac:dyDescent="0.3"/>
    <row r="316" spans="1:9" ht="19.95" customHeight="1" x14ac:dyDescent="0.3">
      <c r="A316" s="125" t="s">
        <v>10614</v>
      </c>
      <c r="B316" s="191" t="str">
        <f>B231</f>
        <v>MATURE</v>
      </c>
      <c r="C316" t="s">
        <v>10615</v>
      </c>
      <c r="D316" s="138" t="str">
        <f>"α="&amp;TEXT(B232,"0.0")&amp;" | β="&amp;TEXT(B233,"0.0")&amp;" | γ="&amp;TEXT(B234,"0.0")</f>
        <v>α=0.1 | β=0.2 | γ=0.7</v>
      </c>
    </row>
    <row r="317" spans="1:9" ht="19.95" customHeight="1" x14ac:dyDescent="0.3"/>
    <row r="318" spans="1:9" ht="28.05" customHeight="1" x14ac:dyDescent="0.3">
      <c r="A318" s="67" t="s">
        <v>2179</v>
      </c>
      <c r="B318" s="68"/>
      <c r="C318" s="68"/>
      <c r="D318" s="68"/>
      <c r="E318" s="68"/>
      <c r="F318" s="68"/>
      <c r="G318" s="68"/>
      <c r="H318" s="68"/>
      <c r="I318" s="68"/>
    </row>
    <row r="319" spans="1:9" ht="19.95" customHeight="1" x14ac:dyDescent="0.3">
      <c r="A319" s="88" t="s">
        <v>2180</v>
      </c>
      <c r="B319" s="89" t="s">
        <v>2181</v>
      </c>
      <c r="C319" s="89" t="s">
        <v>2182</v>
      </c>
      <c r="D319" s="89" t="s">
        <v>2183</v>
      </c>
    </row>
    <row r="320" spans="1:9" ht="19.95" customHeight="1" x14ac:dyDescent="0.3">
      <c r="A320" t="s">
        <v>2184</v>
      </c>
      <c r="B320">
        <f>COUNTA(B5:B10,B13:B19)-COUNTBLANK(B5:B10)</f>
        <v>13</v>
      </c>
      <c r="C320">
        <v>11</v>
      </c>
      <c r="D320" s="77">
        <f t="shared" ref="D320:D328" si="0">IF(C320=0,0,B320/C320)</f>
        <v>1.1818181818181819</v>
      </c>
    </row>
    <row r="321" spans="1:9" ht="19.95" customHeight="1" x14ac:dyDescent="0.3">
      <c r="A321" t="s">
        <v>2185</v>
      </c>
      <c r="B321">
        <f>COUNTA(B24:B33)</f>
        <v>10</v>
      </c>
      <c r="C321">
        <v>10</v>
      </c>
      <c r="D321" s="77">
        <f t="shared" si="0"/>
        <v>1</v>
      </c>
    </row>
    <row r="322" spans="1:9" ht="19.95" customHeight="1" x14ac:dyDescent="0.3">
      <c r="A322" t="s">
        <v>2186</v>
      </c>
      <c r="B322">
        <f>COUNTA(B36:B40)</f>
        <v>5</v>
      </c>
      <c r="C322">
        <v>5</v>
      </c>
      <c r="D322" s="77">
        <f t="shared" si="0"/>
        <v>1</v>
      </c>
    </row>
    <row r="323" spans="1:9" ht="19.95" customHeight="1" x14ac:dyDescent="0.3">
      <c r="A323" t="s">
        <v>2187</v>
      </c>
      <c r="B323">
        <f>COUNTA(B43:B50)</f>
        <v>8</v>
      </c>
      <c r="C323">
        <v>8</v>
      </c>
      <c r="D323" s="77">
        <f t="shared" si="0"/>
        <v>1</v>
      </c>
    </row>
    <row r="324" spans="1:9" ht="19.95" customHeight="1" x14ac:dyDescent="0.3">
      <c r="A324" t="s">
        <v>2188</v>
      </c>
      <c r="B324">
        <f>COUNTA(B53:B55)</f>
        <v>0</v>
      </c>
      <c r="C324">
        <v>3</v>
      </c>
      <c r="D324" s="77">
        <f t="shared" si="0"/>
        <v>0</v>
      </c>
    </row>
    <row r="325" spans="1:9" ht="19.95" customHeight="1" x14ac:dyDescent="0.3">
      <c r="A325" t="s">
        <v>2189</v>
      </c>
      <c r="B325">
        <f>COUNTA(B58:B63)</f>
        <v>6</v>
      </c>
      <c r="C325">
        <v>6</v>
      </c>
      <c r="D325" s="77">
        <f t="shared" si="0"/>
        <v>1</v>
      </c>
    </row>
    <row r="326" spans="1:9" ht="19.95" customHeight="1" x14ac:dyDescent="0.3">
      <c r="A326" t="s">
        <v>2190</v>
      </c>
      <c r="B326">
        <f>COUNTA(B66:B68)</f>
        <v>3</v>
      </c>
      <c r="C326">
        <v>3</v>
      </c>
      <c r="D326" s="77">
        <f t="shared" si="0"/>
        <v>1</v>
      </c>
    </row>
    <row r="327" spans="1:9" ht="19.95" customHeight="1" x14ac:dyDescent="0.3">
      <c r="A327" t="s">
        <v>2191</v>
      </c>
      <c r="B327">
        <f>COUNTA(B71:B80)</f>
        <v>9</v>
      </c>
      <c r="C327">
        <v>10</v>
      </c>
      <c r="D327" s="77">
        <f t="shared" si="0"/>
        <v>0.9</v>
      </c>
    </row>
    <row r="328" spans="1:9" ht="19.95" customHeight="1" x14ac:dyDescent="0.3">
      <c r="A328" t="s">
        <v>2192</v>
      </c>
      <c r="B328">
        <f>COUNTA(B83:B87)</f>
        <v>5</v>
      </c>
      <c r="C328">
        <v>5</v>
      </c>
      <c r="D328" s="77">
        <f t="shared" si="0"/>
        <v>1</v>
      </c>
    </row>
    <row r="329" spans="1:9" ht="19.95" customHeight="1" x14ac:dyDescent="0.3"/>
    <row r="330" spans="1:9" ht="19.95" customHeight="1" x14ac:dyDescent="0.35">
      <c r="A330" s="79" t="s">
        <v>2193</v>
      </c>
      <c r="B330" s="89">
        <f>SUM(B320:B328)</f>
        <v>59</v>
      </c>
      <c r="C330" s="89">
        <f>SUM(C320:C328)</f>
        <v>61</v>
      </c>
      <c r="D330" s="90">
        <f>IF(C330=0,0,B330/C330)</f>
        <v>0.96721311475409832</v>
      </c>
    </row>
    <row r="331" spans="1:9" ht="19.95" customHeight="1" x14ac:dyDescent="0.3"/>
    <row r="332" spans="1:9" ht="19.95" customHeight="1" x14ac:dyDescent="0.35">
      <c r="A332" s="108" t="s">
        <v>2194</v>
      </c>
      <c r="B332" s="111">
        <v>131</v>
      </c>
      <c r="C332" s="112" t="s">
        <v>2195</v>
      </c>
      <c r="D332" s="103"/>
      <c r="E332" s="103"/>
      <c r="F332" s="103"/>
      <c r="G332" s="103"/>
      <c r="H332" s="103"/>
      <c r="I332" s="103"/>
    </row>
    <row r="334" spans="1:9" ht="15.6" x14ac:dyDescent="0.3">
      <c r="A334" s="113" t="s">
        <v>2196</v>
      </c>
      <c r="B334" s="114"/>
      <c r="C334" s="114"/>
      <c r="D334" s="114"/>
      <c r="E334" s="114"/>
      <c r="F334" s="114"/>
      <c r="G334" s="114"/>
      <c r="H334" s="114"/>
      <c r="I334" s="114"/>
    </row>
    <row r="336" spans="1:9" x14ac:dyDescent="0.3">
      <c r="A336" s="115" t="s">
        <v>2197</v>
      </c>
      <c r="B336" s="116" t="s">
        <v>1956</v>
      </c>
      <c r="C336" s="116" t="s">
        <v>2198</v>
      </c>
      <c r="D336" s="116" t="s">
        <v>2199</v>
      </c>
    </row>
    <row r="337" spans="1:4" x14ac:dyDescent="0.3">
      <c r="A337" s="117" t="s">
        <v>1904</v>
      </c>
      <c r="B337" t="s">
        <v>2200</v>
      </c>
      <c r="C337" t="s">
        <v>2201</v>
      </c>
      <c r="D337" t="s">
        <v>2202</v>
      </c>
    </row>
    <row r="338" spans="1:4" x14ac:dyDescent="0.3">
      <c r="A338" s="117" t="s">
        <v>1944</v>
      </c>
      <c r="B338" t="s">
        <v>2203</v>
      </c>
      <c r="C338" t="s">
        <v>2204</v>
      </c>
      <c r="D338" t="s">
        <v>2205</v>
      </c>
    </row>
    <row r="339" spans="1:4" x14ac:dyDescent="0.3">
      <c r="A339" s="117" t="s">
        <v>1952</v>
      </c>
      <c r="B339" t="s">
        <v>2206</v>
      </c>
      <c r="C339" t="s">
        <v>2207</v>
      </c>
      <c r="D339" t="s">
        <v>2208</v>
      </c>
    </row>
    <row r="340" spans="1:4" x14ac:dyDescent="0.3">
      <c r="A340" s="117" t="s">
        <v>1960</v>
      </c>
      <c r="B340" t="s">
        <v>2209</v>
      </c>
      <c r="C340" t="s">
        <v>2210</v>
      </c>
      <c r="D340" t="s">
        <v>2211</v>
      </c>
    </row>
    <row r="341" spans="1:4" x14ac:dyDescent="0.3">
      <c r="A341" s="117" t="s">
        <v>1968</v>
      </c>
      <c r="B341" t="s">
        <v>2212</v>
      </c>
      <c r="C341" t="s">
        <v>2213</v>
      </c>
      <c r="D341" t="s">
        <v>2214</v>
      </c>
    </row>
    <row r="342" spans="1:4" x14ac:dyDescent="0.3">
      <c r="A342" s="117" t="s">
        <v>1971</v>
      </c>
      <c r="B342" t="s">
        <v>2215</v>
      </c>
      <c r="C342" t="s">
        <v>2216</v>
      </c>
      <c r="D342" t="s">
        <v>2217</v>
      </c>
    </row>
    <row r="343" spans="1:4" x14ac:dyDescent="0.3">
      <c r="A343" s="117" t="s">
        <v>2020</v>
      </c>
      <c r="B343" t="s">
        <v>2218</v>
      </c>
      <c r="C343" t="s">
        <v>2219</v>
      </c>
      <c r="D343" t="s">
        <v>2220</v>
      </c>
    </row>
    <row r="344" spans="1:4" x14ac:dyDescent="0.3">
      <c r="A344" s="117" t="s">
        <v>2026</v>
      </c>
      <c r="B344" t="s">
        <v>2221</v>
      </c>
      <c r="C344" t="s">
        <v>2222</v>
      </c>
      <c r="D344" t="s">
        <v>2223</v>
      </c>
    </row>
    <row r="345" spans="1:4" x14ac:dyDescent="0.3">
      <c r="A345" s="117" t="s">
        <v>2033</v>
      </c>
      <c r="B345" t="s">
        <v>2224</v>
      </c>
      <c r="C345" t="s">
        <v>2225</v>
      </c>
      <c r="D345" t="s">
        <v>2226</v>
      </c>
    </row>
    <row r="346" spans="1:4" x14ac:dyDescent="0.3">
      <c r="A346" s="117" t="s">
        <v>2036</v>
      </c>
      <c r="B346" t="s">
        <v>2227</v>
      </c>
      <c r="C346" t="s">
        <v>2228</v>
      </c>
      <c r="D346" t="s">
        <v>2229</v>
      </c>
    </row>
    <row r="347" spans="1:4" x14ac:dyDescent="0.3">
      <c r="A347" s="117" t="s">
        <v>2060</v>
      </c>
      <c r="B347" t="s">
        <v>2230</v>
      </c>
      <c r="C347" t="s">
        <v>2231</v>
      </c>
      <c r="D347" t="s">
        <v>2232</v>
      </c>
    </row>
    <row r="348" spans="1:4" x14ac:dyDescent="0.3">
      <c r="A348" s="117" t="s">
        <v>2085</v>
      </c>
      <c r="B348" t="s">
        <v>2233</v>
      </c>
      <c r="C348" t="s">
        <v>2234</v>
      </c>
      <c r="D348" t="s">
        <v>2235</v>
      </c>
    </row>
    <row r="349" spans="1:4" x14ac:dyDescent="0.3">
      <c r="A349" s="117" t="s">
        <v>2092</v>
      </c>
      <c r="B349" t="s">
        <v>2236</v>
      </c>
      <c r="C349" t="s">
        <v>2237</v>
      </c>
      <c r="D349" t="s">
        <v>2238</v>
      </c>
    </row>
    <row r="350" spans="1:4" x14ac:dyDescent="0.3">
      <c r="A350" s="117" t="s">
        <v>2097</v>
      </c>
      <c r="B350" t="s">
        <v>2239</v>
      </c>
      <c r="C350" t="s">
        <v>2240</v>
      </c>
      <c r="D350" t="s">
        <v>2241</v>
      </c>
    </row>
    <row r="351" spans="1:4" x14ac:dyDescent="0.3">
      <c r="A351" s="117" t="s">
        <v>2104</v>
      </c>
      <c r="B351" t="s">
        <v>2242</v>
      </c>
      <c r="C351" t="s">
        <v>2243</v>
      </c>
      <c r="D351" t="s">
        <v>2244</v>
      </c>
    </row>
    <row r="352" spans="1:4" x14ac:dyDescent="0.3">
      <c r="A352" s="117" t="s">
        <v>2107</v>
      </c>
      <c r="B352" t="s">
        <v>2245</v>
      </c>
      <c r="C352" t="s">
        <v>2246</v>
      </c>
      <c r="D352" t="s">
        <v>2247</v>
      </c>
    </row>
    <row r="353" spans="1:4" x14ac:dyDescent="0.3">
      <c r="A353" s="117" t="s">
        <v>2117</v>
      </c>
      <c r="B353" t="s">
        <v>2248</v>
      </c>
      <c r="C353" t="s">
        <v>2249</v>
      </c>
      <c r="D353" t="s">
        <v>2250</v>
      </c>
    </row>
    <row r="355" spans="1:4" x14ac:dyDescent="0.3">
      <c r="A355" s="118" t="s">
        <v>2251</v>
      </c>
      <c r="B355" s="116" t="s">
        <v>2252</v>
      </c>
      <c r="C355" s="116" t="s">
        <v>2253</v>
      </c>
    </row>
    <row r="356" spans="1:4" x14ac:dyDescent="0.3">
      <c r="A356" s="117" t="s">
        <v>2254</v>
      </c>
      <c r="B356" t="s">
        <v>2255</v>
      </c>
      <c r="C356" t="s">
        <v>2256</v>
      </c>
    </row>
    <row r="357" spans="1:4" x14ac:dyDescent="0.3">
      <c r="A357" s="117" t="s">
        <v>2257</v>
      </c>
      <c r="B357" t="s">
        <v>2258</v>
      </c>
      <c r="C357" t="s">
        <v>2259</v>
      </c>
    </row>
    <row r="358" spans="1:4" x14ac:dyDescent="0.3">
      <c r="A358" s="117" t="s">
        <v>2260</v>
      </c>
      <c r="B358" t="s">
        <v>2261</v>
      </c>
      <c r="C358" t="s">
        <v>2262</v>
      </c>
    </row>
    <row r="359" spans="1:4" x14ac:dyDescent="0.3">
      <c r="A359" s="117" t="s">
        <v>2263</v>
      </c>
      <c r="B359" t="s">
        <v>2264</v>
      </c>
      <c r="C359" t="s">
        <v>2265</v>
      </c>
    </row>
    <row r="360" spans="1:4" x14ac:dyDescent="0.3">
      <c r="A360" s="117" t="s">
        <v>2266</v>
      </c>
      <c r="B360" t="s">
        <v>2267</v>
      </c>
      <c r="C360" t="s">
        <v>2268</v>
      </c>
    </row>
    <row r="361" spans="1:4" x14ac:dyDescent="0.3">
      <c r="A361" s="117" t="s">
        <v>2269</v>
      </c>
      <c r="B361" t="s">
        <v>2270</v>
      </c>
      <c r="C361" t="s">
        <v>2271</v>
      </c>
    </row>
    <row r="362" spans="1:4" x14ac:dyDescent="0.3">
      <c r="A362" s="117" t="s">
        <v>2272</v>
      </c>
      <c r="B362" t="s">
        <v>2273</v>
      </c>
      <c r="C362" t="s">
        <v>2274</v>
      </c>
    </row>
    <row r="363" spans="1:4" x14ac:dyDescent="0.3">
      <c r="A363" s="117" t="s">
        <v>2275</v>
      </c>
      <c r="B363" t="s">
        <v>2261</v>
      </c>
      <c r="C363" t="s">
        <v>2276</v>
      </c>
    </row>
    <row r="364" spans="1:4" x14ac:dyDescent="0.3">
      <c r="A364" s="117" t="s">
        <v>2277</v>
      </c>
      <c r="B364" t="s">
        <v>2278</v>
      </c>
      <c r="C364" t="s">
        <v>2279</v>
      </c>
    </row>
    <row r="365" spans="1:4" x14ac:dyDescent="0.3">
      <c r="A365" s="117" t="s">
        <v>2280</v>
      </c>
      <c r="B365" t="s">
        <v>2281</v>
      </c>
      <c r="C365" t="s">
        <v>2282</v>
      </c>
    </row>
    <row r="366" spans="1:4" x14ac:dyDescent="0.3">
      <c r="A366" s="117" t="s">
        <v>2283</v>
      </c>
      <c r="B366" t="s">
        <v>2284</v>
      </c>
      <c r="C366" t="s">
        <v>2285</v>
      </c>
    </row>
  </sheetData>
  <dataValidations count="9">
    <dataValidation type="list" allowBlank="1" showInputMessage="1" showErrorMessage="1" sqref="B153" xr:uid="{BDCC3A5E-2A92-4844-9CF7-9FC2C16B7497}">
      <formula1>"LOW,MEDIUM,HIGH,CONFIRMED"</formula1>
    </dataValidation>
    <dataValidation type="list" allowBlank="1" showInputMessage="1" showErrorMessage="1" sqref="F53:F55" xr:uid="{5AC4FE45-B19D-4304-B2BB-5B519E644386}">
      <formula1>"AUTHENTICATED,UNVERIFIED,MANIPULATED,UNKNOWN PROVENANCE"</formula1>
    </dataValidation>
    <dataValidation type="list" allowBlank="1" showInputMessage="1" showErrorMessage="1" sqref="B297" xr:uid="{888CFE22-9C80-462A-BAB7-C39686EB691E}">
      <formula1>"T1,T1-T2,T2,T2-T3,T3,T3-T4,T4,T4-T5,T5"</formula1>
    </dataValidation>
    <dataValidation type="list" allowBlank="1" showInputMessage="1" showErrorMessage="1" sqref="C163:C165" xr:uid="{F90294C4-0648-4636-A99F-9AE337ACAA65}">
      <formula1>"UNFULFILLED,PARTIALLY FULFILLED,FULFILLED,DISPUTED"</formula1>
    </dataValidation>
    <dataValidation type="list" allowBlank="1" showInputMessage="1" showErrorMessage="1" sqref="F43:F50" xr:uid="{BB7C6E00-7A66-4B00-AB6E-F76AB3A424E1}">
      <formula1>"VERIFIED,UNVERIFIED,DISPUTED,PENDING"</formula1>
    </dataValidation>
    <dataValidation type="list" allowBlank="1" showInputMessage="1" showErrorMessage="1" sqref="E43:E50" xr:uid="{E17C2021-3944-443B-8AF9-66B03BDEA8B3}">
      <formula1>"T1,T2,T3,T4,T5"</formula1>
    </dataValidation>
    <dataValidation type="list" allowBlank="1" showInputMessage="1" showErrorMessage="1" sqref="E24:E33" xr:uid="{9C72FAEC-53BC-4896-922C-FDAEA7100C74}">
      <formula1>"VERIFIED,UNVERIFIED,DISPUTED,PARTIAL"</formula1>
    </dataValidation>
    <dataValidation type="list" allowBlank="1" showInputMessage="1" showErrorMessage="1" sqref="B9" xr:uid="{4265493B-63DC-468C-9593-3AB492694A5F}">
      <formula1>"DROPDOWNS!$B$5:$B$14"</formula1>
    </dataValidation>
    <dataValidation type="list" allowBlank="1" showInputMessage="1" showErrorMessage="1" sqref="B8" xr:uid="{D3135D3C-96A6-4DB3-9531-98DA32E73916}">
      <formula1>"DROPDOWNS!$A$17:$A$25"</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F309-5321-485A-BD9F-83C25855557F}">
  <sheetPr>
    <tabColor rgb="FFA371F7"/>
  </sheetPr>
  <dimension ref="A1:F124"/>
  <sheetViews>
    <sheetView topLeftCell="A110" workbookViewId="0"/>
  </sheetViews>
  <sheetFormatPr defaultRowHeight="14.4" x14ac:dyDescent="0.3"/>
  <cols>
    <col min="1" max="1" width="40.77734375" customWidth="1"/>
    <col min="2" max="2" width="51.88671875" customWidth="1"/>
    <col min="3" max="3" width="37" customWidth="1"/>
    <col min="4" max="5" width="22.21875" customWidth="1"/>
    <col min="6" max="6" width="33.33203125" customWidth="1"/>
  </cols>
  <sheetData>
    <row r="1" spans="1:6" ht="23.4" x14ac:dyDescent="0.45">
      <c r="A1" s="289" t="s">
        <v>12015</v>
      </c>
      <c r="B1" s="148"/>
      <c r="C1" s="148"/>
      <c r="D1" s="148"/>
      <c r="E1" s="148"/>
      <c r="F1" s="258" t="s">
        <v>12016</v>
      </c>
    </row>
    <row r="2" spans="1:6" ht="15.6" x14ac:dyDescent="0.3">
      <c r="A2" s="290" t="s">
        <v>12017</v>
      </c>
    </row>
    <row r="4" spans="1:6" ht="17.399999999999999" x14ac:dyDescent="0.35">
      <c r="A4" s="291" t="s">
        <v>12018</v>
      </c>
      <c r="B4" s="130"/>
      <c r="C4" s="130"/>
      <c r="D4" s="130"/>
      <c r="E4" s="130"/>
      <c r="F4" s="292" t="s">
        <v>12019</v>
      </c>
    </row>
    <row r="5" spans="1:6" x14ac:dyDescent="0.3">
      <c r="A5" t="s">
        <v>12020</v>
      </c>
      <c r="B5" s="293"/>
      <c r="C5" t="s">
        <v>12021</v>
      </c>
      <c r="D5" s="293"/>
    </row>
    <row r="6" spans="1:6" x14ac:dyDescent="0.3">
      <c r="A6" t="s">
        <v>12022</v>
      </c>
      <c r="B6" s="293"/>
      <c r="C6" t="s">
        <v>12023</v>
      </c>
      <c r="D6" s="293"/>
    </row>
    <row r="7" spans="1:6" x14ac:dyDescent="0.3">
      <c r="A7" t="s">
        <v>12024</v>
      </c>
      <c r="B7" s="293"/>
      <c r="C7" s="126" t="s">
        <v>12025</v>
      </c>
    </row>
    <row r="9" spans="1:6" x14ac:dyDescent="0.3">
      <c r="A9" t="s">
        <v>12026</v>
      </c>
      <c r="B9" t="s">
        <v>12027</v>
      </c>
    </row>
    <row r="10" spans="1:6" x14ac:dyDescent="0.3">
      <c r="A10" t="s">
        <v>12028</v>
      </c>
      <c r="B10" t="s">
        <v>12029</v>
      </c>
    </row>
    <row r="11" spans="1:6" x14ac:dyDescent="0.3">
      <c r="A11" t="s">
        <v>12030</v>
      </c>
      <c r="B11" t="s">
        <v>12031</v>
      </c>
    </row>
    <row r="13" spans="1:6" x14ac:dyDescent="0.3">
      <c r="A13" s="164" t="s">
        <v>12032</v>
      </c>
    </row>
    <row r="14" spans="1:6" ht="100.8" x14ac:dyDescent="0.3">
      <c r="A14" s="301" t="s">
        <v>12033</v>
      </c>
      <c r="B14" s="245"/>
    </row>
    <row r="16" spans="1:6" ht="17.399999999999999" x14ac:dyDescent="0.35">
      <c r="A16" s="291" t="s">
        <v>12034</v>
      </c>
      <c r="B16" s="130"/>
      <c r="C16" s="130"/>
      <c r="D16" s="130"/>
      <c r="E16" s="130"/>
      <c r="F16" s="292" t="s">
        <v>12035</v>
      </c>
    </row>
    <row r="17" spans="1:6" x14ac:dyDescent="0.3">
      <c r="A17" t="s">
        <v>12036</v>
      </c>
    </row>
    <row r="18" spans="1:6" x14ac:dyDescent="0.3">
      <c r="A18" t="s">
        <v>12022</v>
      </c>
      <c r="B18" s="293"/>
      <c r="C18" t="s">
        <v>12023</v>
      </c>
      <c r="D18" s="293"/>
    </row>
    <row r="19" spans="1:6" x14ac:dyDescent="0.3">
      <c r="A19" t="s">
        <v>12037</v>
      </c>
      <c r="B19" t="s">
        <v>12038</v>
      </c>
    </row>
    <row r="20" spans="1:6" x14ac:dyDescent="0.3">
      <c r="A20" t="s">
        <v>12039</v>
      </c>
      <c r="B20" t="s">
        <v>12040</v>
      </c>
    </row>
    <row r="21" spans="1:6" x14ac:dyDescent="0.3">
      <c r="B21" s="293"/>
    </row>
    <row r="22" spans="1:6" x14ac:dyDescent="0.3">
      <c r="A22" t="s">
        <v>12041</v>
      </c>
      <c r="B22" s="293"/>
    </row>
    <row r="23" spans="1:6" x14ac:dyDescent="0.3">
      <c r="A23" t="s">
        <v>12042</v>
      </c>
      <c r="B23" t="s">
        <v>12043</v>
      </c>
    </row>
    <row r="24" spans="1:6" x14ac:dyDescent="0.3">
      <c r="A24" t="s">
        <v>12044</v>
      </c>
      <c r="B24" s="293"/>
    </row>
    <row r="26" spans="1:6" ht="17.399999999999999" x14ac:dyDescent="0.35">
      <c r="A26" s="291" t="s">
        <v>12045</v>
      </c>
      <c r="B26" s="130"/>
      <c r="C26" s="130"/>
      <c r="D26" s="130"/>
      <c r="E26" s="130"/>
      <c r="F26" s="292" t="s">
        <v>12046</v>
      </c>
    </row>
    <row r="27" spans="1:6" ht="28.8" x14ac:dyDescent="0.3">
      <c r="A27" s="164" t="s">
        <v>12047</v>
      </c>
      <c r="B27" s="301" t="s">
        <v>12048</v>
      </c>
    </row>
    <row r="28" spans="1:6" x14ac:dyDescent="0.3">
      <c r="A28" s="126" t="s">
        <v>12049</v>
      </c>
    </row>
    <row r="30" spans="1:6" x14ac:dyDescent="0.3">
      <c r="A30" s="191" t="s">
        <v>12050</v>
      </c>
    </row>
    <row r="31" spans="1:6" x14ac:dyDescent="0.3">
      <c r="A31" t="s">
        <v>12051</v>
      </c>
    </row>
    <row r="32" spans="1:6" x14ac:dyDescent="0.3">
      <c r="A32" t="s">
        <v>12052</v>
      </c>
    </row>
    <row r="33" spans="1:6" x14ac:dyDescent="0.3">
      <c r="A33" t="s">
        <v>12053</v>
      </c>
    </row>
    <row r="34" spans="1:6" x14ac:dyDescent="0.3">
      <c r="A34" t="s">
        <v>12054</v>
      </c>
    </row>
    <row r="35" spans="1:6" x14ac:dyDescent="0.3">
      <c r="A35" t="s">
        <v>12055</v>
      </c>
    </row>
    <row r="36" spans="1:6" x14ac:dyDescent="0.3">
      <c r="A36" t="s">
        <v>12056</v>
      </c>
      <c r="B36" s="293"/>
      <c r="C36" s="126" t="s">
        <v>12057</v>
      </c>
    </row>
    <row r="38" spans="1:6" x14ac:dyDescent="0.3">
      <c r="A38" t="s">
        <v>12058</v>
      </c>
      <c r="B38" t="s">
        <v>12059</v>
      </c>
    </row>
    <row r="39" spans="1:6" x14ac:dyDescent="0.3">
      <c r="B39" t="s">
        <v>12060</v>
      </c>
      <c r="C39" s="293"/>
      <c r="D39" t="s">
        <v>12061</v>
      </c>
      <c r="E39" s="293"/>
    </row>
    <row r="41" spans="1:6" ht="17.399999999999999" x14ac:dyDescent="0.35">
      <c r="A41" s="291" t="s">
        <v>12062</v>
      </c>
      <c r="B41" s="130"/>
      <c r="C41" s="130"/>
      <c r="D41" s="130"/>
      <c r="E41" s="130"/>
      <c r="F41" s="292" t="s">
        <v>12063</v>
      </c>
    </row>
    <row r="42" spans="1:6" x14ac:dyDescent="0.3">
      <c r="A42" s="133" t="s">
        <v>12064</v>
      </c>
      <c r="B42" s="133" t="s">
        <v>12065</v>
      </c>
      <c r="C42" s="133" t="s">
        <v>12066</v>
      </c>
    </row>
    <row r="43" spans="1:6" x14ac:dyDescent="0.3">
      <c r="A43" t="s">
        <v>12067</v>
      </c>
      <c r="B43" t="s">
        <v>12068</v>
      </c>
      <c r="C43" s="124"/>
    </row>
    <row r="44" spans="1:6" x14ac:dyDescent="0.3">
      <c r="A44" t="s">
        <v>12069</v>
      </c>
      <c r="B44" t="s">
        <v>12068</v>
      </c>
      <c r="C44" s="124"/>
    </row>
    <row r="45" spans="1:6" x14ac:dyDescent="0.3">
      <c r="A45" t="s">
        <v>12070</v>
      </c>
      <c r="B45" t="s">
        <v>12068</v>
      </c>
      <c r="C45" s="124"/>
    </row>
    <row r="46" spans="1:6" x14ac:dyDescent="0.3">
      <c r="A46" t="s">
        <v>12071</v>
      </c>
      <c r="B46" t="s">
        <v>12072</v>
      </c>
      <c r="C46" s="124"/>
    </row>
    <row r="47" spans="1:6" x14ac:dyDescent="0.3">
      <c r="A47" t="s">
        <v>12073</v>
      </c>
      <c r="B47" t="s">
        <v>12074</v>
      </c>
      <c r="C47" s="124"/>
    </row>
    <row r="49" spans="1:6" x14ac:dyDescent="0.3">
      <c r="A49" t="s">
        <v>12075</v>
      </c>
      <c r="B49" t="s">
        <v>12076</v>
      </c>
    </row>
    <row r="50" spans="1:6" x14ac:dyDescent="0.3">
      <c r="B50" s="293"/>
      <c r="C50" t="s">
        <v>12077</v>
      </c>
    </row>
    <row r="51" spans="1:6" x14ac:dyDescent="0.3">
      <c r="A51" t="s">
        <v>12078</v>
      </c>
      <c r="B51" s="293"/>
      <c r="C51" s="294" t="s">
        <v>12079</v>
      </c>
    </row>
    <row r="53" spans="1:6" ht="17.399999999999999" x14ac:dyDescent="0.35">
      <c r="A53" s="291" t="s">
        <v>12080</v>
      </c>
      <c r="B53" s="130"/>
      <c r="C53" s="130"/>
      <c r="D53" s="130"/>
      <c r="E53" s="130"/>
      <c r="F53" s="292" t="s">
        <v>12081</v>
      </c>
    </row>
    <row r="54" spans="1:6" x14ac:dyDescent="0.3">
      <c r="A54" t="s">
        <v>12082</v>
      </c>
      <c r="B54" t="s">
        <v>12083</v>
      </c>
      <c r="C54" s="293"/>
    </row>
    <row r="55" spans="1:6" x14ac:dyDescent="0.3">
      <c r="B55" t="s">
        <v>12084</v>
      </c>
      <c r="C55" s="293"/>
    </row>
    <row r="56" spans="1:6" x14ac:dyDescent="0.3">
      <c r="B56" t="s">
        <v>12085</v>
      </c>
      <c r="C56" s="293"/>
    </row>
    <row r="57" spans="1:6" x14ac:dyDescent="0.3">
      <c r="A57" t="s">
        <v>12086</v>
      </c>
      <c r="B57" t="s">
        <v>12087</v>
      </c>
    </row>
    <row r="58" spans="1:6" x14ac:dyDescent="0.3">
      <c r="A58" t="s">
        <v>12088</v>
      </c>
      <c r="B58" t="s">
        <v>12089</v>
      </c>
      <c r="C58" s="293"/>
      <c r="D58" t="s">
        <v>12090</v>
      </c>
      <c r="E58" s="293"/>
    </row>
    <row r="59" spans="1:6" x14ac:dyDescent="0.3">
      <c r="B59" t="s">
        <v>12091</v>
      </c>
      <c r="C59" s="293"/>
      <c r="D59" t="s">
        <v>12092</v>
      </c>
      <c r="E59" s="293"/>
    </row>
    <row r="61" spans="1:6" ht="17.399999999999999" x14ac:dyDescent="0.35">
      <c r="A61" s="295" t="s">
        <v>12093</v>
      </c>
      <c r="B61" s="152"/>
      <c r="C61" s="152"/>
      <c r="D61" s="152"/>
      <c r="E61" s="152"/>
      <c r="F61" s="296" t="s">
        <v>12094</v>
      </c>
    </row>
    <row r="62" spans="1:6" x14ac:dyDescent="0.3">
      <c r="A62" s="165" t="s">
        <v>12095</v>
      </c>
    </row>
    <row r="63" spans="1:6" x14ac:dyDescent="0.3">
      <c r="A63" t="s">
        <v>12096</v>
      </c>
    </row>
    <row r="64" spans="1:6" x14ac:dyDescent="0.3">
      <c r="A64" t="s">
        <v>12097</v>
      </c>
    </row>
    <row r="65" spans="1:6" x14ac:dyDescent="0.3">
      <c r="A65" t="s">
        <v>12098</v>
      </c>
    </row>
    <row r="66" spans="1:6" x14ac:dyDescent="0.3">
      <c r="A66" t="s">
        <v>12099</v>
      </c>
    </row>
    <row r="67" spans="1:6" x14ac:dyDescent="0.3">
      <c r="A67" t="s">
        <v>12100</v>
      </c>
    </row>
    <row r="68" spans="1:6" x14ac:dyDescent="0.3">
      <c r="A68" t="s">
        <v>12101</v>
      </c>
    </row>
    <row r="69" spans="1:6" x14ac:dyDescent="0.3">
      <c r="A69" t="s">
        <v>12102</v>
      </c>
      <c r="B69" s="293"/>
      <c r="C69" s="126" t="s">
        <v>12103</v>
      </c>
    </row>
    <row r="71" spans="1:6" x14ac:dyDescent="0.3">
      <c r="A71" t="s">
        <v>12104</v>
      </c>
      <c r="B71" t="s">
        <v>12105</v>
      </c>
    </row>
    <row r="72" spans="1:6" x14ac:dyDescent="0.3">
      <c r="A72" t="s">
        <v>12106</v>
      </c>
      <c r="B72" t="s">
        <v>12107</v>
      </c>
      <c r="C72" s="293"/>
    </row>
    <row r="73" spans="1:6" x14ac:dyDescent="0.3">
      <c r="A73" t="s">
        <v>12108</v>
      </c>
      <c r="B73" s="293"/>
      <c r="C73" s="126" t="s">
        <v>12109</v>
      </c>
    </row>
    <row r="75" spans="1:6" x14ac:dyDescent="0.3">
      <c r="A75" t="s">
        <v>12110</v>
      </c>
    </row>
    <row r="76" spans="1:6" x14ac:dyDescent="0.3">
      <c r="A76" t="s">
        <v>12111</v>
      </c>
      <c r="B76" s="293"/>
    </row>
    <row r="77" spans="1:6" x14ac:dyDescent="0.3">
      <c r="A77" t="s">
        <v>12112</v>
      </c>
    </row>
    <row r="78" spans="1:6" x14ac:dyDescent="0.3">
      <c r="A78" t="s">
        <v>12113</v>
      </c>
    </row>
    <row r="80" spans="1:6" ht="17.399999999999999" x14ac:dyDescent="0.35">
      <c r="A80" s="295" t="s">
        <v>12114</v>
      </c>
      <c r="B80" s="152"/>
      <c r="C80" s="152"/>
      <c r="D80" s="152"/>
      <c r="E80" s="152"/>
      <c r="F80" s="297" t="s">
        <v>12115</v>
      </c>
    </row>
    <row r="81" spans="1:6" x14ac:dyDescent="0.3">
      <c r="A81" t="s">
        <v>12116</v>
      </c>
      <c r="B81" t="s">
        <v>12117</v>
      </c>
    </row>
    <row r="82" spans="1:6" x14ac:dyDescent="0.3">
      <c r="B82" t="s">
        <v>12118</v>
      </c>
      <c r="C82" s="293"/>
    </row>
    <row r="83" spans="1:6" x14ac:dyDescent="0.3">
      <c r="B83" t="s">
        <v>12119</v>
      </c>
      <c r="C83" s="293"/>
    </row>
    <row r="84" spans="1:6" x14ac:dyDescent="0.3">
      <c r="B84" t="s">
        <v>12120</v>
      </c>
    </row>
    <row r="85" spans="1:6" x14ac:dyDescent="0.3">
      <c r="B85" t="s">
        <v>12121</v>
      </c>
    </row>
    <row r="86" spans="1:6" x14ac:dyDescent="0.3">
      <c r="B86" t="s">
        <v>12122</v>
      </c>
      <c r="C86" s="293"/>
    </row>
    <row r="87" spans="1:6" x14ac:dyDescent="0.3">
      <c r="A87" t="s">
        <v>12123</v>
      </c>
      <c r="B87" s="293"/>
      <c r="C87" s="126" t="s">
        <v>12124</v>
      </c>
    </row>
    <row r="89" spans="1:6" x14ac:dyDescent="0.3">
      <c r="A89" s="182" t="s">
        <v>12125</v>
      </c>
      <c r="B89" s="150" t="s">
        <v>12126</v>
      </c>
    </row>
    <row r="91" spans="1:6" x14ac:dyDescent="0.3">
      <c r="A91" t="s">
        <v>12127</v>
      </c>
      <c r="B91" t="s">
        <v>12128</v>
      </c>
      <c r="C91" s="293"/>
    </row>
    <row r="92" spans="1:6" x14ac:dyDescent="0.3">
      <c r="B92" t="s">
        <v>12129</v>
      </c>
      <c r="C92" s="293"/>
    </row>
    <row r="93" spans="1:6" x14ac:dyDescent="0.3">
      <c r="B93" t="s">
        <v>12130</v>
      </c>
      <c r="C93" s="293"/>
    </row>
    <row r="95" spans="1:6" ht="17.399999999999999" x14ac:dyDescent="0.35">
      <c r="A95" s="298" t="s">
        <v>12131</v>
      </c>
      <c r="B95" s="144"/>
      <c r="C95" s="144"/>
      <c r="D95" s="144"/>
      <c r="E95" s="144"/>
      <c r="F95" s="299" t="s">
        <v>12132</v>
      </c>
    </row>
    <row r="96" spans="1:6" x14ac:dyDescent="0.3">
      <c r="A96" t="s">
        <v>12133</v>
      </c>
    </row>
    <row r="97" spans="1:3" x14ac:dyDescent="0.3">
      <c r="A97" t="s">
        <v>12134</v>
      </c>
    </row>
    <row r="98" spans="1:3" x14ac:dyDescent="0.3">
      <c r="A98" t="s">
        <v>12135</v>
      </c>
    </row>
    <row r="99" spans="1:3" x14ac:dyDescent="0.3">
      <c r="A99" t="s">
        <v>12136</v>
      </c>
    </row>
    <row r="100" spans="1:3" x14ac:dyDescent="0.3">
      <c r="A100" t="s">
        <v>12137</v>
      </c>
    </row>
    <row r="101" spans="1:3" x14ac:dyDescent="0.3">
      <c r="A101" t="s">
        <v>12138</v>
      </c>
    </row>
    <row r="102" spans="1:3" x14ac:dyDescent="0.3">
      <c r="A102" t="s">
        <v>12139</v>
      </c>
    </row>
    <row r="103" spans="1:3" x14ac:dyDescent="0.3">
      <c r="A103" t="s">
        <v>12140</v>
      </c>
    </row>
    <row r="104" spans="1:3" x14ac:dyDescent="0.3">
      <c r="A104" t="s">
        <v>12141</v>
      </c>
    </row>
    <row r="106" spans="1:3" x14ac:dyDescent="0.3">
      <c r="A106" s="182" t="s">
        <v>12142</v>
      </c>
    </row>
    <row r="107" spans="1:3" x14ac:dyDescent="0.3">
      <c r="A107" t="s">
        <v>12143</v>
      </c>
      <c r="B107" s="293"/>
      <c r="C107" t="s">
        <v>12144</v>
      </c>
    </row>
    <row r="108" spans="1:3" x14ac:dyDescent="0.3">
      <c r="A108" t="s">
        <v>12145</v>
      </c>
      <c r="B108" t="s">
        <v>12146</v>
      </c>
    </row>
    <row r="109" spans="1:3" x14ac:dyDescent="0.3">
      <c r="B109" t="s">
        <v>12147</v>
      </c>
    </row>
    <row r="110" spans="1:3" x14ac:dyDescent="0.3">
      <c r="A110" t="s">
        <v>12148</v>
      </c>
      <c r="B110" s="293"/>
    </row>
    <row r="112" spans="1:3" ht="15.6" x14ac:dyDescent="0.3">
      <c r="A112" s="300" t="s">
        <v>12149</v>
      </c>
    </row>
    <row r="113" spans="1:3" x14ac:dyDescent="0.3">
      <c r="A113" t="s">
        <v>12150</v>
      </c>
    </row>
    <row r="114" spans="1:3" x14ac:dyDescent="0.3">
      <c r="A114" t="s">
        <v>12151</v>
      </c>
    </row>
    <row r="115" spans="1:3" x14ac:dyDescent="0.3">
      <c r="A115" t="s">
        <v>12152</v>
      </c>
    </row>
    <row r="116" spans="1:3" x14ac:dyDescent="0.3">
      <c r="A116" t="s">
        <v>12153</v>
      </c>
    </row>
    <row r="118" spans="1:3" x14ac:dyDescent="0.3">
      <c r="A118" s="164" t="s">
        <v>12154</v>
      </c>
    </row>
    <row r="119" spans="1:3" x14ac:dyDescent="0.3">
      <c r="A119" s="133" t="s">
        <v>12155</v>
      </c>
      <c r="B119" s="133" t="s">
        <v>12156</v>
      </c>
      <c r="C119" s="133" t="s">
        <v>12157</v>
      </c>
    </row>
    <row r="120" spans="1:3" x14ac:dyDescent="0.3">
      <c r="A120" t="s">
        <v>12158</v>
      </c>
      <c r="B120" t="s">
        <v>11856</v>
      </c>
      <c r="C120" t="s">
        <v>12159</v>
      </c>
    </row>
    <row r="121" spans="1:3" x14ac:dyDescent="0.3">
      <c r="A121" t="s">
        <v>12160</v>
      </c>
      <c r="B121" t="s">
        <v>11850</v>
      </c>
      <c r="C121" t="s">
        <v>12161</v>
      </c>
    </row>
    <row r="122" spans="1:3" x14ac:dyDescent="0.3">
      <c r="A122" t="s">
        <v>12162</v>
      </c>
      <c r="B122" t="s">
        <v>11831</v>
      </c>
      <c r="C122" t="s">
        <v>12163</v>
      </c>
    </row>
    <row r="123" spans="1:3" x14ac:dyDescent="0.3">
      <c r="A123" t="s">
        <v>12164</v>
      </c>
      <c r="B123" t="s">
        <v>12165</v>
      </c>
      <c r="C123" t="s">
        <v>12166</v>
      </c>
    </row>
    <row r="124" spans="1:3" x14ac:dyDescent="0.3">
      <c r="A124" t="s">
        <v>12167</v>
      </c>
      <c r="B124" t="s">
        <v>12168</v>
      </c>
      <c r="C124" s="228" t="s">
        <v>12169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RESEARCH_INTAKE</vt:lpstr>
      <vt:lpstr>DROPDOWNS</vt:lpstr>
      <vt:lpstr>CP_Titles_(1)</vt:lpstr>
      <vt:lpstr>case_links_master</vt:lpstr>
      <vt:lpstr>Master Keywords</vt:lpstr>
      <vt:lpstr>Category Summary</vt:lpstr>
      <vt:lpstr>ZimmWriter Titles</vt:lpstr>
      <vt:lpstr>Case Template</vt:lpstr>
      <vt:lpstr>DB Schema v2.0</vt:lpstr>
      <vt:lpstr>CASE — MKUltra (OI-CT-0001)</vt:lpstr>
      <vt:lpstr>Field Interview Protocol</vt:lpstr>
      <vt:lpstr>'CASE — MKUltra (OI-CT-0001)'!Print_Area</vt:lpstr>
      <vt:lpstr>'Case Template'!Print_Area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dcterms:created xsi:type="dcterms:W3CDTF">2026-04-05T09:29:15Z</dcterms:created>
  <dcterms:modified xsi:type="dcterms:W3CDTF">2026-04-07T03:12:36Z</dcterms:modified>
</cp:coreProperties>
</file>